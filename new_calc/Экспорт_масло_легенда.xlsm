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ernovskiy-ds\OneDrive - Российская академия народного хозяйства и государственной службы при Президенте РФ\2022\Темы по продуктам\Отправлено на сайт\Получено\"/>
    </mc:Choice>
  </mc:AlternateContent>
  <bookViews>
    <workbookView xWindow="4680" yWindow="4680" windowWidth="27030" windowHeight="14430"/>
  </bookViews>
  <sheets>
    <sheet name="Лист2" sheetId="2" r:id="rId1"/>
    <sheet name="PW" sheetId="3" r:id="rId2"/>
    <sheet name="ER" sheetId="4" r:id="rId3"/>
    <sheet name="PI" sheetId="5" r:id="rId4"/>
    <sheet name="QSI" sheetId="6" r:id="rId5"/>
  </sheets>
  <definedNames>
    <definedName name="solver_adj" localSheetId="0" hidden="1">Лист2!$I$3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Лист2!#REF!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2" l="1"/>
  <c r="H17" i="2"/>
  <c r="H13" i="2"/>
  <c r="I13" i="2"/>
  <c r="H40" i="2"/>
  <c r="C34" i="5"/>
  <c r="C38" i="5"/>
  <c r="C39" i="5" s="1"/>
  <c r="H8" i="6"/>
  <c r="H7" i="6"/>
  <c r="H44" i="2"/>
  <c r="M16" i="5"/>
  <c r="H3" i="6"/>
  <c r="H2" i="6"/>
  <c r="H16" i="5"/>
  <c r="C17" i="5"/>
  <c r="C245" i="4"/>
  <c r="C54" i="3"/>
  <c r="B54" i="3"/>
  <c r="M22" i="2"/>
  <c r="M23" i="2"/>
  <c r="M18" i="2"/>
  <c r="M17" i="2"/>
  <c r="M16" i="2"/>
  <c r="M15" i="2"/>
  <c r="M14" i="2"/>
  <c r="M13" i="2"/>
  <c r="M12" i="2"/>
  <c r="M11" i="2"/>
  <c r="M7" i="2"/>
  <c r="M6" i="2"/>
  <c r="M5" i="2"/>
  <c r="M26" i="2" s="1"/>
  <c r="M4" i="2"/>
  <c r="J4" i="2" l="1"/>
  <c r="J3" i="2"/>
  <c r="J33" i="2"/>
  <c r="J32" i="2"/>
  <c r="J16" i="2"/>
  <c r="J15" i="2"/>
  <c r="J12" i="2"/>
  <c r="J11" i="2"/>
  <c r="J8" i="2"/>
  <c r="J7" i="2"/>
  <c r="H43" i="2"/>
  <c r="H46" i="2"/>
  <c r="H48" i="2" s="1"/>
  <c r="N17" i="2" s="1"/>
  <c r="H38" i="2"/>
  <c r="I38" i="2" s="1"/>
  <c r="N7" i="2"/>
  <c r="N16" i="2"/>
  <c r="N18" i="2"/>
  <c r="N6" i="2"/>
  <c r="N5" i="2"/>
  <c r="N4" i="2"/>
  <c r="H34" i="2"/>
  <c r="H25" i="2"/>
  <c r="H26" i="2" s="1"/>
  <c r="I26" i="2" s="1"/>
  <c r="I18" i="2"/>
  <c r="H5" i="2"/>
  <c r="N12" i="2" l="1"/>
  <c r="H45" i="2"/>
  <c r="H6" i="2"/>
  <c r="I6" i="2" s="1"/>
  <c r="H18" i="2"/>
  <c r="I5" i="2"/>
  <c r="I21" i="2" s="1"/>
  <c r="H14" i="2"/>
  <c r="N23" i="2"/>
  <c r="N15" i="2"/>
  <c r="I14" i="2"/>
  <c r="N13" i="2"/>
  <c r="I22" i="2" l="1"/>
  <c r="O5" i="2"/>
  <c r="I37" i="2"/>
  <c r="N14" i="2"/>
  <c r="N22" i="2"/>
  <c r="O6" i="2" l="1"/>
  <c r="I47" i="2"/>
  <c r="O7" i="2"/>
  <c r="I39" i="2"/>
  <c r="I44" i="2" s="1"/>
  <c r="I25" i="2"/>
  <c r="I27" i="2" s="1"/>
  <c r="I30" i="2" s="1"/>
  <c r="I46" i="2" l="1"/>
  <c r="O15" i="2" s="1"/>
  <c r="I43" i="2"/>
  <c r="O12" i="2" s="1"/>
  <c r="N37" i="2" s="1"/>
  <c r="O4" i="2"/>
  <c r="O18" i="2"/>
  <c r="Q15" i="2" l="1"/>
  <c r="N46" i="2"/>
  <c r="N45" i="2"/>
  <c r="P15" i="2"/>
  <c r="N38" i="2"/>
  <c r="N58" i="2"/>
  <c r="N54" i="2"/>
  <c r="N57" i="2"/>
  <c r="N53" i="2"/>
  <c r="O16" i="2"/>
  <c r="O13" i="2"/>
  <c r="I45" i="2"/>
  <c r="N56" i="2" l="1"/>
  <c r="N44" i="2"/>
  <c r="N50" i="2"/>
  <c r="N49" i="2"/>
  <c r="P16" i="2"/>
  <c r="N29" i="2"/>
  <c r="Q16" i="2"/>
  <c r="I48" i="2"/>
  <c r="O17" i="2" s="1"/>
  <c r="N52" i="2"/>
  <c r="N42" i="2"/>
  <c r="N41" i="2"/>
  <c r="N28" i="2"/>
  <c r="O14" i="2"/>
  <c r="Q13" i="2"/>
  <c r="P13" i="2"/>
  <c r="O23" i="2" l="1"/>
  <c r="N48" i="2"/>
  <c r="N27" i="2"/>
  <c r="O22" i="2"/>
  <c r="Q17" i="2"/>
  <c r="P17" i="2"/>
  <c r="P23" i="2" l="1"/>
  <c r="Q23" i="2"/>
  <c r="M50" i="2"/>
  <c r="M45" i="2"/>
  <c r="M49" i="2"/>
  <c r="M44" i="2"/>
  <c r="M48" i="2"/>
  <c r="M46" i="2"/>
  <c r="M29" i="2"/>
  <c r="M42" i="2"/>
  <c r="M38" i="2"/>
  <c r="M32" i="2"/>
  <c r="M57" i="2"/>
  <c r="M30" i="2"/>
  <c r="M56" i="2"/>
  <c r="M37" i="2"/>
  <c r="M28" i="2"/>
  <c r="M52" i="2"/>
  <c r="M33" i="2"/>
  <c r="M27" i="2"/>
  <c r="M54" i="2"/>
  <c r="M41" i="2"/>
  <c r="M36" i="2"/>
  <c r="M58" i="2"/>
  <c r="M53" i="2"/>
  <c r="M40" i="2"/>
  <c r="M34" i="2"/>
  <c r="N11" i="2" l="1"/>
  <c r="P4" i="2" l="1"/>
  <c r="Q4" i="2"/>
  <c r="P5" i="2" l="1"/>
  <c r="Q5" i="2"/>
  <c r="Q18" i="2"/>
  <c r="P18" i="2" l="1"/>
  <c r="P7" i="2"/>
  <c r="Q7" i="2"/>
  <c r="P8" i="2" s="1"/>
  <c r="N36" i="2" l="1"/>
  <c r="N40" i="2"/>
  <c r="P12" i="2"/>
  <c r="Q12" i="2"/>
  <c r="O11" i="2" l="1"/>
  <c r="P11" i="2" s="1"/>
  <c r="N26" i="2" l="1"/>
  <c r="N30" i="2" s="1"/>
  <c r="N34" i="2"/>
  <c r="N33" i="2"/>
  <c r="Q6" i="2"/>
  <c r="Q11" i="2"/>
  <c r="P6" i="2"/>
  <c r="N32" i="2" l="1"/>
  <c r="Q14" i="2"/>
  <c r="P14" i="2"/>
  <c r="Q22" i="2"/>
  <c r="P22" i="2"/>
</calcChain>
</file>

<file path=xl/sharedStrings.xml><?xml version="1.0" encoding="utf-8"?>
<sst xmlns="http://schemas.openxmlformats.org/spreadsheetml/2006/main" count="602" uniqueCount="189">
  <si>
    <t>A</t>
  </si>
  <si>
    <t>e_SI_A</t>
  </si>
  <si>
    <t>ER</t>
  </si>
  <si>
    <t>TD</t>
  </si>
  <si>
    <t>i_cost</t>
  </si>
  <si>
    <t>QSI_A</t>
  </si>
  <si>
    <t>shift_QSI_A</t>
  </si>
  <si>
    <t>Z_QSI_A</t>
  </si>
  <si>
    <t>QSW_RUS_A</t>
  </si>
  <si>
    <t>Список товаров</t>
  </si>
  <si>
    <t>Обменный курс</t>
  </si>
  <si>
    <t>долл США</t>
  </si>
  <si>
    <t>руб/долл США</t>
  </si>
  <si>
    <t>Дисконт к эквивалентной цене</t>
  </si>
  <si>
    <t>до</t>
  </si>
  <si>
    <t>после</t>
  </si>
  <si>
    <t>Расчет суммы вывозной таможенной пошлины</t>
  </si>
  <si>
    <t>руб/т</t>
  </si>
  <si>
    <t>Внутреннее производство товара А</t>
  </si>
  <si>
    <t>Индекс превышения затрат на производство над ценами</t>
  </si>
  <si>
    <t>Объем внутреннего производства товара А</t>
  </si>
  <si>
    <t>Экзогенный сдвиг во внутреннем предложении товара А</t>
  </si>
  <si>
    <t>Калибруемый вспомогательный параметр</t>
  </si>
  <si>
    <t>млн тонн</t>
  </si>
  <si>
    <t>S</t>
  </si>
  <si>
    <t>предложение</t>
  </si>
  <si>
    <t>D</t>
  </si>
  <si>
    <t>I</t>
  </si>
  <si>
    <t>W</t>
  </si>
  <si>
    <t>спрос</t>
  </si>
  <si>
    <t>внутренний рынок</t>
  </si>
  <si>
    <t>мировой рынок</t>
  </si>
  <si>
    <t>Эластичности по собственной цене</t>
  </si>
  <si>
    <t>Результаты</t>
  </si>
  <si>
    <t>Цены:</t>
  </si>
  <si>
    <t>Прирост</t>
  </si>
  <si>
    <t xml:space="preserve"> +/-</t>
  </si>
  <si>
    <t>%</t>
  </si>
  <si>
    <t>Производство и потребление:</t>
  </si>
  <si>
    <t>Стоимостные эффекты:</t>
  </si>
  <si>
    <t>Эффект платежного баланса</t>
  </si>
  <si>
    <t>Эффект таможенных сборов</t>
  </si>
  <si>
    <t xml:space="preserve"> - излишек производителя товара А</t>
  </si>
  <si>
    <t xml:space="preserve"> - изменение оборота из-за изменения цен</t>
  </si>
  <si>
    <t xml:space="preserve"> - изменение объема производства</t>
  </si>
  <si>
    <t>Изменение оборота производителей товара А:</t>
  </si>
  <si>
    <t xml:space="preserve"> - излишек косвенных потребителей товара А</t>
  </si>
  <si>
    <t>Вклад в ИПЦ</t>
  </si>
  <si>
    <t xml:space="preserve"> - переплата потребителей из-за изменения цен</t>
  </si>
  <si>
    <t xml:space="preserve"> - изменение объема потребления</t>
  </si>
  <si>
    <t>Эффект перераспределения:</t>
  </si>
  <si>
    <t>Эффект экономических потерь</t>
  </si>
  <si>
    <t>Изменение ИПЦ</t>
  </si>
  <si>
    <t>Семена подсолнечника</t>
  </si>
  <si>
    <t>C</t>
  </si>
  <si>
    <t>e_DI_C</t>
  </si>
  <si>
    <t>Коэффициенты выхода продукции</t>
  </si>
  <si>
    <t>Шрот подсолнечный</t>
  </si>
  <si>
    <t>Цены на мировом рынке товаров группы B</t>
  </si>
  <si>
    <t>Внутренний рынок товаров группы B</t>
  </si>
  <si>
    <t>Внутренний рынок товара А</t>
  </si>
  <si>
    <t>Внутреняя цена товара А</t>
  </si>
  <si>
    <t>Внутренняя цена товара А</t>
  </si>
  <si>
    <t>Стоимость продуктов переработки 1 единицы товара А</t>
  </si>
  <si>
    <t>Внутреннее производство товара С</t>
  </si>
  <si>
    <t>Цена товара С</t>
  </si>
  <si>
    <t>Затраты на производство и обращение товара С (без учета стоимости В)</t>
  </si>
  <si>
    <t>Производство/потребление товара С</t>
  </si>
  <si>
    <t>Производство и баланс товаров группы B</t>
  </si>
  <si>
    <t>Внутреннее производство и баланс товара А</t>
  </si>
  <si>
    <t>Экспорт товара А (экзогенно)</t>
  </si>
  <si>
    <t>Внутренний спрос на товар С</t>
  </si>
  <si>
    <t>Изменение оборота производителей товара C:</t>
  </si>
  <si>
    <t>Изменение суммы покупок потребителей товара С:</t>
  </si>
  <si>
    <t>Масло подсолнечное рафинированное (потребление)</t>
  </si>
  <si>
    <t>Масло подсолнечное сырое (сырье)</t>
  </si>
  <si>
    <t>B1</t>
  </si>
  <si>
    <t>Мировая цена товара B1</t>
  </si>
  <si>
    <t>Вывозная таможенная пошлина на товар B1</t>
  </si>
  <si>
    <t>Адвалорная ставка пошлины на товар B1</t>
  </si>
  <si>
    <t>T_A_to_B1</t>
  </si>
  <si>
    <t xml:space="preserve">   - в т.ч. потребителей товара B1/C</t>
  </si>
  <si>
    <t>Изменение оборота производителей товара B1:</t>
  </si>
  <si>
    <t>Изменение суммы покупок потребителей товара B1:</t>
  </si>
  <si>
    <t>Стоимость услуг трейдеров товара B1</t>
  </si>
  <si>
    <t>Внутренняя цена товара B1</t>
  </si>
  <si>
    <t>Базовая цена товара B1</t>
  </si>
  <si>
    <t>Ставка вывозной пошлины товара B1</t>
  </si>
  <si>
    <t>Внутреннее производство товара B1</t>
  </si>
  <si>
    <t>Внутреннее потребление товара B1</t>
  </si>
  <si>
    <t>Экспорт товара B1</t>
  </si>
  <si>
    <t>Объем внутреннего производства товара B1</t>
  </si>
  <si>
    <t>Внутренний спрос на товар B1</t>
  </si>
  <si>
    <t>Стоимость услуг трейдеров товара B2</t>
  </si>
  <si>
    <t>Внутренняя цена товара B2</t>
  </si>
  <si>
    <t>Базовая цена товара B2</t>
  </si>
  <si>
    <t>Внутреннее производство товара B2</t>
  </si>
  <si>
    <t>Ставка вывозной пошлины товара B2</t>
  </si>
  <si>
    <t>Внутреннее потребление товара B2</t>
  </si>
  <si>
    <t>Экспорт товара B2</t>
  </si>
  <si>
    <t>Объем внутреннего производства товара B2</t>
  </si>
  <si>
    <t>Внутренний спрос на товар B2</t>
  </si>
  <si>
    <t>B2</t>
  </si>
  <si>
    <t>Мировая цена товара B2</t>
  </si>
  <si>
    <t>T_A_to_B2</t>
  </si>
  <si>
    <t>Вывозная таможенная пошлина на товар B2</t>
  </si>
  <si>
    <t>Адвалорная ставка пошлины на товар B2</t>
  </si>
  <si>
    <t xml:space="preserve">   - в т.ч. потребителей товара B2</t>
  </si>
  <si>
    <t>Изменение оборота производителей товара B2:</t>
  </si>
  <si>
    <t>Изменение суммы покупок потребителей товара B2:</t>
  </si>
  <si>
    <t>PW_B1</t>
  </si>
  <si>
    <t>PW_B2</t>
  </si>
  <si>
    <t>CT_B1</t>
  </si>
  <si>
    <t>CT_B2</t>
  </si>
  <si>
    <t>Pb_B1</t>
  </si>
  <si>
    <t>t_B1</t>
  </si>
  <si>
    <t>tax_B1</t>
  </si>
  <si>
    <t>tb_B1</t>
  </si>
  <si>
    <t>Pb_B2</t>
  </si>
  <si>
    <t>tb_B2</t>
  </si>
  <si>
    <t>tax_B2</t>
  </si>
  <si>
    <t>t_B2</t>
  </si>
  <si>
    <t>PI_B1</t>
  </si>
  <si>
    <t>PI_B2</t>
  </si>
  <si>
    <t>VT_A</t>
  </si>
  <si>
    <t>VP_A</t>
  </si>
  <si>
    <t>Стоимость переработки 1 единицы товара А</t>
  </si>
  <si>
    <t>PI_A</t>
  </si>
  <si>
    <t>Внутренняя цена товара С</t>
  </si>
  <si>
    <t>PI_С</t>
  </si>
  <si>
    <t>VT_C</t>
  </si>
  <si>
    <t>QDI_С</t>
  </si>
  <si>
    <t>Z_QDI_C</t>
  </si>
  <si>
    <t>QSI_B1</t>
  </si>
  <si>
    <t>QDI_B1</t>
  </si>
  <si>
    <t>QSW_RUS_B1</t>
  </si>
  <si>
    <t>QSI_B2</t>
  </si>
  <si>
    <t>QDI_B2</t>
  </si>
  <si>
    <t>QSW_RUS_B2</t>
  </si>
  <si>
    <t>Изменяемые пользователем поля (есть значения по умолчанию)</t>
  </si>
  <si>
    <t>Расчетные поля (содержат формулы)</t>
  </si>
  <si>
    <t>Таблицы вывода результатов</t>
  </si>
  <si>
    <t>Константы (у пользователя нет доступа)</t>
  </si>
  <si>
    <t>Таблицы ввода исходных данных</t>
  </si>
  <si>
    <t>Обозначение</t>
  </si>
  <si>
    <t>Масло</t>
  </si>
  <si>
    <t>Шрот</t>
  </si>
  <si>
    <t>nominal</t>
  </si>
  <si>
    <t>data</t>
  </si>
  <si>
    <t>curs</t>
  </si>
  <si>
    <t>cdx</t>
  </si>
  <si>
    <t>Доллар США</t>
  </si>
  <si>
    <t/>
  </si>
  <si>
    <t>2020</t>
  </si>
  <si>
    <t>Российская Федерация</t>
  </si>
  <si>
    <t xml:space="preserve">        Масло подсолнечное и его фракции нерафинированные</t>
  </si>
  <si>
    <t>Тонна;^метрическая тонна (1000 кг)</t>
  </si>
  <si>
    <t>Внутренний рынок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</si>
  <si>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</si>
  <si>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</si>
  <si>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</si>
  <si>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</si>
  <si>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</si>
  <si>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</si>
  <si>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</si>
  <si>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</si>
  <si>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</si>
  <si>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</si>
  <si>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</si>
  <si>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</si>
  <si>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Commodity</t>
  </si>
  <si>
    <t>Attribute</t>
  </si>
  <si>
    <t>Country</t>
  </si>
  <si>
    <t>2018/2019</t>
  </si>
  <si>
    <t>2019/2020</t>
  </si>
  <si>
    <t>2020/2021</t>
  </si>
  <si>
    <t>Unit Description</t>
  </si>
  <si>
    <t>Oilseed, Sunflowerseed</t>
  </si>
  <si>
    <t>Production</t>
  </si>
  <si>
    <t>Russia</t>
  </si>
  <si>
    <t>(1000 MT)</t>
  </si>
  <si>
    <t>Exports</t>
  </si>
  <si>
    <t>Масло подсолнечное, кг</t>
  </si>
  <si>
    <t>рубль</t>
  </si>
  <si>
    <t>Meal, Sunflowerseed</t>
  </si>
  <si>
    <t>Domestic Consumption</t>
  </si>
  <si>
    <t>Oil, Sunflowerseed</t>
  </si>
  <si>
    <t>Шрот подсолнечный (с НДС)</t>
  </si>
  <si>
    <t>без НДС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</si>
</sst>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"/>
    <numFmt numFmtId="165" formatCode="0.0%"/>
    <numFmt numFmtId="166" formatCode="_-* #,##0.0\ _₽_-;\-* #,##0.0\ _₽_-;_-* &quot;-&quot;?\ _₽_-;_-@_-"/>
    <numFmt numFmtId="167" formatCode="0.0000"/>
    <numFmt numFmtId="168" formatCode="0.000"/>
    <numFmt numFmtId="169" formatCode="_-* #,##0.000\ _₽_-;\-* #,##0.000\ _₽_-;_-* &quot;-&quot;???\ _₽_-;_-@_-"/>
    <numFmt numFmtId="170" formatCode="0.000000000"/>
    <numFmt numFmtId="171" formatCode="_-* #,##0.00000\ _₽_-;\-* #,##0.00000\ _₽_-;_-* &quot;-&quot;?\ _₽_-;_-@_-"/>
    <numFmt numFmtId="172" formatCode="#,##0.0000"/>
  </numFmts>
  <fonts count="9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i/>
      <sz val="10"/>
      <color rgb="FF000000"/>
      <name val="Verdan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2"/>
      <color rgb="FF000000"/>
      <name val="PT Sans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1" xfId="0" applyBorder="1"/>
    <xf numFmtId="164" fontId="0" fillId="2" borderId="1" xfId="0" applyNumberFormat="1" applyFill="1" applyBorder="1"/>
    <xf numFmtId="0" fontId="0" fillId="0" borderId="0" xfId="0" applyBorder="1"/>
    <xf numFmtId="0" fontId="0" fillId="0" borderId="1" xfId="0" applyFill="1" applyBorder="1"/>
    <xf numFmtId="164" fontId="0" fillId="0" borderId="0" xfId="0" applyNumberFormat="1"/>
    <xf numFmtId="166" fontId="0" fillId="0" borderId="0" xfId="0" applyNumberFormat="1"/>
    <xf numFmtId="167" fontId="0" fillId="0" borderId="0" xfId="0" applyNumberFormat="1"/>
    <xf numFmtId="169" fontId="0" fillId="0" borderId="0" xfId="0" applyNumberFormat="1"/>
    <xf numFmtId="2" fontId="0" fillId="2" borderId="1" xfId="0" applyNumberFormat="1" applyFill="1" applyBorder="1"/>
    <xf numFmtId="164" fontId="0" fillId="2" borderId="0" xfId="0" applyNumberFormat="1" applyFill="1" applyBorder="1"/>
    <xf numFmtId="0" fontId="0" fillId="0" borderId="1" xfId="0" applyBorder="1" applyAlignment="1">
      <alignment horizontal="left"/>
    </xf>
    <xf numFmtId="170" fontId="0" fillId="0" borderId="0" xfId="0" applyNumberFormat="1"/>
    <xf numFmtId="171" fontId="0" fillId="0" borderId="0" xfId="0" applyNumberFormat="1"/>
    <xf numFmtId="0" fontId="0" fillId="2" borderId="1" xfId="0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0" fontId="0" fillId="4" borderId="2" xfId="0" applyFill="1" applyBorder="1" applyAlignment="1">
      <alignment horizontal="center"/>
    </xf>
    <xf numFmtId="0" fontId="0" fillId="4" borderId="1" xfId="0" applyFill="1" applyBorder="1"/>
    <xf numFmtId="0" fontId="0" fillId="4" borderId="0" xfId="0" applyFill="1"/>
    <xf numFmtId="0" fontId="0" fillId="5" borderId="1" xfId="0" applyFill="1" applyBorder="1"/>
    <xf numFmtId="0" fontId="0" fillId="6" borderId="1" xfId="0" applyFill="1" applyBorder="1"/>
    <xf numFmtId="164" fontId="0" fillId="6" borderId="1" xfId="0" applyNumberFormat="1" applyFill="1" applyBorder="1"/>
    <xf numFmtId="0" fontId="0" fillId="6" borderId="1" xfId="0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0" fillId="7" borderId="1" xfId="0" applyFill="1" applyBorder="1"/>
    <xf numFmtId="0" fontId="0" fillId="4" borderId="1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 applyBorder="1"/>
    <xf numFmtId="0" fontId="2" fillId="3" borderId="1" xfId="0" applyFont="1" applyFill="1" applyBorder="1" applyAlignment="1">
      <alignment horizontal="center"/>
    </xf>
    <xf numFmtId="0" fontId="0" fillId="8" borderId="1" xfId="0" applyFill="1" applyBorder="1"/>
    <xf numFmtId="166" fontId="0" fillId="8" borderId="1" xfId="0" applyNumberFormat="1" applyFill="1" applyBorder="1"/>
    <xf numFmtId="164" fontId="0" fillId="8" borderId="1" xfId="0" applyNumberFormat="1" applyFill="1" applyBorder="1"/>
    <xf numFmtId="165" fontId="0" fillId="8" borderId="1" xfId="1" applyNumberFormat="1" applyFont="1" applyFill="1" applyBorder="1"/>
    <xf numFmtId="10" fontId="0" fillId="8" borderId="1" xfId="1" applyNumberFormat="1" applyFont="1" applyFill="1" applyBorder="1"/>
    <xf numFmtId="0" fontId="0" fillId="8" borderId="0" xfId="0" applyFill="1"/>
    <xf numFmtId="0" fontId="4" fillId="8" borderId="1" xfId="0" applyFont="1" applyFill="1" applyBorder="1"/>
    <xf numFmtId="166" fontId="0" fillId="8" borderId="0" xfId="0" applyNumberFormat="1" applyFill="1"/>
    <xf numFmtId="164" fontId="0" fillId="8" borderId="0" xfId="0" applyNumberFormat="1" applyFill="1"/>
    <xf numFmtId="0" fontId="4" fillId="5" borderId="1" xfId="0" applyFont="1" applyFill="1" applyBorder="1"/>
    <xf numFmtId="164" fontId="0" fillId="5" borderId="1" xfId="0" applyNumberFormat="1" applyFill="1" applyBorder="1"/>
    <xf numFmtId="0" fontId="0" fillId="4" borderId="2" xfId="0" applyFill="1" applyBorder="1" applyAlignment="1">
      <alignment horizontal="center" vertical="center"/>
    </xf>
    <xf numFmtId="14" fontId="0" fillId="0" borderId="0" xfId="0" applyNumberFormat="1"/>
    <xf numFmtId="0" fontId="0" fillId="0" borderId="0" xfId="0"/>
    <xf numFmtId="3" fontId="0" fillId="0" borderId="0" xfId="0" applyNumberFormat="1"/>
    <xf numFmtId="14" fontId="0" fillId="0" borderId="0" xfId="0" applyNumberFormat="1"/>
    <xf numFmtId="172" fontId="0" fillId="0" borderId="0" xfId="0" applyNumberFormat="1"/>
    <xf numFmtId="4" fontId="0" fillId="0" borderId="0" xfId="0" applyNumberFormat="1"/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68" fontId="0" fillId="2" borderId="1" xfId="0" applyNumberFormat="1" applyFill="1" applyBorder="1"/>
    <xf numFmtId="168" fontId="0" fillId="6" borderId="1" xfId="0" applyNumberFormat="1" applyFill="1" applyBorder="1"/>
    <xf numFmtId="164" fontId="0" fillId="2" borderId="1" xfId="0" applyNumberFormat="1" applyFill="1" applyBorder="1" applyAlignment="1">
      <alignment horizontal="center"/>
    </xf>
    <xf numFmtId="3" fontId="8" fillId="0" borderId="0" xfId="0" applyNumberFormat="1" applyFont="1"/>
    <xf numFmtId="164" fontId="0" fillId="0" borderId="0" xfId="0" applyNumberFormat="1" applyBorder="1"/>
    <xf numFmtId="164" fontId="5" fillId="2" borderId="1" xfId="0" applyNumberFormat="1" applyFont="1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5" xfId="0" applyFont="1" applyFill="1" applyBorder="1" applyAlignment="1">
      <alignment horizontal="center"/>
    </xf>
    <xf numFmtId="0" fontId="0" fillId="7" borderId="6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T65"/>
  <sheetViews>
    <sheetView tabSelected="1" topLeftCell="A10" zoomScale="85" zoomScaleNormal="85" workbookViewId="0">
      <selection activeCell="B29" sqref="B29"/>
    </sheetView>
  </sheetViews>
  <sheetFormatPr defaultRowHeight="15"/>
  <cols>
    <col min="1" max="1" width="16" customWidth="1"/>
    <col min="2" max="2" width="51.42578125" customWidth="1"/>
    <col min="3" max="3" width="16" customWidth="1"/>
    <col min="5" max="5" width="70.140625" customWidth="1"/>
    <col min="6" max="6" width="21.28515625" customWidth="1"/>
    <col min="7" max="7" width="14.85546875" style="3" customWidth="1"/>
    <col min="8" max="8" width="12.85546875" style="3" customWidth="1"/>
    <col min="9" max="9" width="12.28515625" style="3" customWidth="1"/>
    <col min="10" max="10" width="24.42578125" customWidth="1"/>
    <col min="12" max="12" width="57.140625" customWidth="1"/>
    <col min="13" max="13" width="37" customWidth="1"/>
    <col min="14" max="14" width="13.42578125" customWidth="1"/>
    <col min="15" max="15" width="13.85546875" customWidth="1"/>
    <col min="16" max="16" width="11.140625" customWidth="1"/>
    <col min="17" max="18" width="12" bestFit="1" customWidth="1"/>
    <col min="19" max="19" width="11.7109375" bestFit="1" customWidth="1"/>
    <col min="20" max="20" width="11" bestFit="1" customWidth="1"/>
  </cols>
  <sheetData>
    <row r="1" spans="1:20">
      <c r="A1" s="41" t="s">
        <v>144</v>
      </c>
      <c r="B1" s="26" t="s">
        <v>9</v>
      </c>
      <c r="C1" s="26" t="s">
        <v>47</v>
      </c>
      <c r="E1" s="16"/>
      <c r="F1" s="16"/>
      <c r="G1" s="16"/>
      <c r="H1" s="29" t="s">
        <v>14</v>
      </c>
      <c r="I1" s="29" t="s">
        <v>15</v>
      </c>
      <c r="L1" s="70" t="s">
        <v>33</v>
      </c>
      <c r="M1" s="70"/>
      <c r="N1" s="61" t="s">
        <v>14</v>
      </c>
      <c r="O1" s="61" t="s">
        <v>15</v>
      </c>
      <c r="P1" s="66" t="s">
        <v>35</v>
      </c>
      <c r="Q1" s="66"/>
    </row>
    <row r="2" spans="1:20">
      <c r="A2" s="18" t="s">
        <v>0</v>
      </c>
      <c r="B2" s="18" t="s">
        <v>53</v>
      </c>
      <c r="C2" s="18"/>
      <c r="E2" s="57" t="s">
        <v>58</v>
      </c>
      <c r="F2" s="58"/>
      <c r="G2" s="58"/>
      <c r="H2" s="58"/>
      <c r="I2" s="59"/>
      <c r="L2" s="71"/>
      <c r="M2" s="71"/>
      <c r="N2" s="62"/>
      <c r="O2" s="62"/>
      <c r="P2" s="24" t="s">
        <v>36</v>
      </c>
      <c r="Q2" s="24" t="s">
        <v>37</v>
      </c>
    </row>
    <row r="3" spans="1:20">
      <c r="A3" s="18" t="s">
        <v>76</v>
      </c>
      <c r="B3" s="18" t="s">
        <v>75</v>
      </c>
      <c r="C3" s="18"/>
      <c r="E3" s="1" t="s">
        <v>77</v>
      </c>
      <c r="F3" s="1" t="s">
        <v>11</v>
      </c>
      <c r="G3" s="1" t="s">
        <v>110</v>
      </c>
      <c r="H3" s="21">
        <v>829</v>
      </c>
      <c r="I3" s="21">
        <v>829</v>
      </c>
      <c r="J3" t="str">
        <f>IF(H3&lt;&gt;I3,"Параметр изменен","Параметр не изменен")</f>
        <v>Параметр не изменен</v>
      </c>
      <c r="L3" s="67" t="s">
        <v>34</v>
      </c>
      <c r="M3" s="68"/>
      <c r="N3" s="68"/>
      <c r="O3" s="68"/>
      <c r="P3" s="68"/>
      <c r="Q3" s="69"/>
    </row>
    <row r="4" spans="1:20">
      <c r="A4" s="18" t="s">
        <v>102</v>
      </c>
      <c r="B4" s="18" t="s">
        <v>57</v>
      </c>
      <c r="C4" s="18"/>
      <c r="E4" s="1" t="s">
        <v>103</v>
      </c>
      <c r="F4" s="1" t="s">
        <v>11</v>
      </c>
      <c r="G4" s="1" t="s">
        <v>111</v>
      </c>
      <c r="H4" s="21">
        <v>226.8</v>
      </c>
      <c r="I4" s="21">
        <v>226.8</v>
      </c>
      <c r="J4" t="str">
        <f>IF(H4&lt;&gt;I4,"Параметр изменен","Параметр не изменен")</f>
        <v>Параметр не изменен</v>
      </c>
      <c r="L4" s="30" t="s">
        <v>61</v>
      </c>
      <c r="M4" s="30" t="str">
        <f>F3</f>
        <v>долл США</v>
      </c>
      <c r="N4" s="31">
        <f>H27</f>
        <v>23415.200000000001</v>
      </c>
      <c r="O4" s="31">
        <f>I27</f>
        <v>22688.131464800001</v>
      </c>
      <c r="P4" s="32">
        <f>O4-N4</f>
        <v>-727.06853520000004</v>
      </c>
      <c r="Q4" s="33">
        <f>O4/N4-1</f>
        <v>-3.1051134955071946E-2</v>
      </c>
    </row>
    <row r="5" spans="1:20">
      <c r="A5" s="18" t="s">
        <v>54</v>
      </c>
      <c r="B5" s="18" t="s">
        <v>74</v>
      </c>
      <c r="C5" s="18">
        <v>0.38100000000000001</v>
      </c>
      <c r="E5" s="1" t="s">
        <v>84</v>
      </c>
      <c r="F5" s="1" t="s">
        <v>11</v>
      </c>
      <c r="G5" s="1" t="s">
        <v>112</v>
      </c>
      <c r="H5" s="2">
        <f>H3-((H21/(1-H8)+H13)/H7)</f>
        <v>152.24806415929197</v>
      </c>
      <c r="I5" s="2">
        <f>H5</f>
        <v>152.24806415929197</v>
      </c>
      <c r="L5" s="30" t="s">
        <v>85</v>
      </c>
      <c r="M5" s="30" t="str">
        <f>F21</f>
        <v>руб/т</v>
      </c>
      <c r="N5" s="31">
        <f>H21</f>
        <v>48942.7</v>
      </c>
      <c r="O5" s="31">
        <f>I21</f>
        <v>48942.7</v>
      </c>
      <c r="P5" s="32">
        <f t="shared" ref="P5:P7" si="0">O5-N5</f>
        <v>0</v>
      </c>
      <c r="Q5" s="33">
        <f t="shared" ref="Q5:Q7" si="1">O5/N5-1</f>
        <v>0</v>
      </c>
    </row>
    <row r="6" spans="1:20">
      <c r="A6" s="19"/>
      <c r="B6" s="19"/>
      <c r="C6" s="19"/>
      <c r="E6" s="1" t="s">
        <v>93</v>
      </c>
      <c r="F6" s="1" t="s">
        <v>11</v>
      </c>
      <c r="G6" s="1" t="s">
        <v>113</v>
      </c>
      <c r="H6" s="2">
        <f>H4-((H22/(1-H8)+H17)/H7)</f>
        <v>46.187444690265494</v>
      </c>
      <c r="I6" s="10">
        <f>H6</f>
        <v>46.187444690265494</v>
      </c>
      <c r="L6" s="30" t="s">
        <v>94</v>
      </c>
      <c r="M6" s="30" t="str">
        <f>F22</f>
        <v>руб/т</v>
      </c>
      <c r="N6" s="31">
        <f>H22</f>
        <v>13061.9</v>
      </c>
      <c r="O6" s="31">
        <f>I22</f>
        <v>11292.8768</v>
      </c>
      <c r="P6" s="32">
        <f t="shared" si="0"/>
        <v>-1769.0231999999996</v>
      </c>
      <c r="Q6" s="33">
        <f t="shared" si="1"/>
        <v>-0.13543383428138323</v>
      </c>
      <c r="T6" s="6"/>
    </row>
    <row r="7" spans="1:20">
      <c r="A7" s="17" t="s">
        <v>144</v>
      </c>
      <c r="B7" s="26" t="s">
        <v>32</v>
      </c>
      <c r="C7" s="27"/>
      <c r="E7" s="1" t="s">
        <v>10</v>
      </c>
      <c r="F7" s="1" t="s">
        <v>12</v>
      </c>
      <c r="G7" s="1" t="s">
        <v>2</v>
      </c>
      <c r="H7" s="22">
        <v>72.319999999999993</v>
      </c>
      <c r="I7" s="22">
        <v>72.319999999999993</v>
      </c>
      <c r="J7" t="str">
        <f>IF(H7&lt;&gt;I7,"Параметр изменен","Параметр не изменен")</f>
        <v>Параметр не изменен</v>
      </c>
      <c r="L7" s="30" t="s">
        <v>65</v>
      </c>
      <c r="M7" s="30" t="str">
        <f>F37</f>
        <v>руб/т</v>
      </c>
      <c r="N7" s="31">
        <f>H37</f>
        <v>106430.8</v>
      </c>
      <c r="O7" s="31">
        <f>I37</f>
        <v>106430.8</v>
      </c>
      <c r="P7" s="32">
        <f t="shared" si="0"/>
        <v>0</v>
      </c>
      <c r="Q7" s="33">
        <f t="shared" si="1"/>
        <v>0</v>
      </c>
    </row>
    <row r="8" spans="1:20">
      <c r="A8" s="18" t="s">
        <v>1</v>
      </c>
      <c r="B8" s="18">
        <v>0.2</v>
      </c>
      <c r="C8" s="28"/>
      <c r="E8" s="1" t="s">
        <v>13</v>
      </c>
      <c r="F8" s="1"/>
      <c r="G8" s="1" t="s">
        <v>3</v>
      </c>
      <c r="H8" s="22">
        <v>0</v>
      </c>
      <c r="I8" s="22">
        <v>0</v>
      </c>
      <c r="J8" t="str">
        <f>IF(H8&lt;&gt;I8,"Параметр изменен","Параметр не изменен")</f>
        <v>Параметр не изменен</v>
      </c>
      <c r="L8" s="30" t="s">
        <v>52</v>
      </c>
      <c r="M8" s="30"/>
      <c r="N8" s="31"/>
      <c r="O8" s="31"/>
      <c r="P8" s="34">
        <f>Q7*C5/100</f>
        <v>0</v>
      </c>
      <c r="Q8" s="33"/>
    </row>
    <row r="9" spans="1:20">
      <c r="A9" s="18" t="s">
        <v>55</v>
      </c>
      <c r="B9" s="18">
        <v>-0.35</v>
      </c>
      <c r="C9" s="28"/>
      <c r="L9" s="35"/>
      <c r="M9" s="35"/>
      <c r="N9" s="35"/>
      <c r="O9" s="35"/>
      <c r="P9" s="35"/>
      <c r="Q9" s="35"/>
    </row>
    <row r="10" spans="1:20">
      <c r="A10" s="18" t="s">
        <v>24</v>
      </c>
      <c r="B10" s="18" t="s">
        <v>25</v>
      </c>
      <c r="C10" s="28"/>
      <c r="E10" s="60" t="s">
        <v>16</v>
      </c>
      <c r="F10" s="60"/>
      <c r="G10" s="60"/>
      <c r="H10" s="60"/>
      <c r="I10" s="60"/>
      <c r="L10" s="67" t="s">
        <v>38</v>
      </c>
      <c r="M10" s="68"/>
      <c r="N10" s="68"/>
      <c r="O10" s="68"/>
      <c r="P10" s="68"/>
      <c r="Q10" s="69"/>
    </row>
    <row r="11" spans="1:20">
      <c r="A11" s="18" t="s">
        <v>26</v>
      </c>
      <c r="B11" s="18" t="s">
        <v>29</v>
      </c>
      <c r="C11" s="28"/>
      <c r="E11" s="1" t="s">
        <v>86</v>
      </c>
      <c r="F11" s="1" t="s">
        <v>17</v>
      </c>
      <c r="G11" s="1" t="s">
        <v>114</v>
      </c>
      <c r="H11" s="21">
        <v>82500</v>
      </c>
      <c r="I11" s="21">
        <v>82500</v>
      </c>
      <c r="J11" t="str">
        <f>IF(H11&lt;&gt;I11,"Параметр изменен","Параметр не изменен")</f>
        <v>Параметр не изменен</v>
      </c>
      <c r="L11" s="30" t="s">
        <v>18</v>
      </c>
      <c r="M11" s="30" t="str">
        <f>F30</f>
        <v>млн тонн</v>
      </c>
      <c r="N11" s="32">
        <f>H30</f>
        <v>13.760999999999999</v>
      </c>
      <c r="O11" s="32">
        <f>I30</f>
        <v>13.674459412062832</v>
      </c>
      <c r="P11" s="32">
        <f>O11-N11</f>
        <v>-8.6540587937166791E-2</v>
      </c>
      <c r="Q11" s="33">
        <f t="shared" ref="Q11" si="2">O11/N11-1</f>
        <v>-6.2888298769833151E-3</v>
      </c>
    </row>
    <row r="12" spans="1:20">
      <c r="A12" s="18" t="s">
        <v>27</v>
      </c>
      <c r="B12" s="18" t="s">
        <v>30</v>
      </c>
      <c r="C12" s="28"/>
      <c r="E12" s="1" t="s">
        <v>87</v>
      </c>
      <c r="F12" s="1"/>
      <c r="G12" s="1" t="s">
        <v>117</v>
      </c>
      <c r="H12" s="21">
        <v>0</v>
      </c>
      <c r="I12" s="21">
        <v>0.7</v>
      </c>
      <c r="J12" t="str">
        <f>IF(H12&lt;&gt;I12,"Параметр изменен","Параметр не изменен")</f>
        <v>Параметр изменен</v>
      </c>
      <c r="L12" s="30" t="s">
        <v>88</v>
      </c>
      <c r="M12" s="30" t="str">
        <f t="shared" ref="M12:M17" si="3">F43</f>
        <v>млн тонн</v>
      </c>
      <c r="N12" s="32">
        <f t="shared" ref="N12:O17" si="4">H43</f>
        <v>5.3846939999999988</v>
      </c>
      <c r="O12" s="32">
        <f t="shared" si="4"/>
        <v>5.6475517371819492</v>
      </c>
      <c r="P12" s="32">
        <f t="shared" ref="P12:P18" si="5">O12-N12</f>
        <v>0.26285773718195049</v>
      </c>
      <c r="Q12" s="33">
        <f t="shared" ref="Q12:Q18" si="6">O12/N12-1</f>
        <v>4.8815724195646171E-2</v>
      </c>
      <c r="S12" s="12"/>
    </row>
    <row r="13" spans="1:20">
      <c r="A13" s="18" t="s">
        <v>28</v>
      </c>
      <c r="B13" s="18" t="s">
        <v>31</v>
      </c>
      <c r="C13" s="28"/>
      <c r="E13" s="1" t="s">
        <v>78</v>
      </c>
      <c r="F13" s="1" t="s">
        <v>17</v>
      </c>
      <c r="G13" s="1" t="s">
        <v>116</v>
      </c>
      <c r="H13" s="56">
        <f>MAX(0,(H3*H7-H11)*H12)</f>
        <v>0</v>
      </c>
      <c r="I13" s="56">
        <f>MAX(0,(I3*I7-I11)*I12)</f>
        <v>0</v>
      </c>
      <c r="L13" s="30" t="s">
        <v>89</v>
      </c>
      <c r="M13" s="30" t="str">
        <f t="shared" si="3"/>
        <v>млн тонн</v>
      </c>
      <c r="N13" s="32">
        <f t="shared" si="4"/>
        <v>2.048</v>
      </c>
      <c r="O13" s="32">
        <f t="shared" si="4"/>
        <v>2.048</v>
      </c>
      <c r="P13" s="32">
        <f t="shared" si="5"/>
        <v>0</v>
      </c>
      <c r="Q13" s="33">
        <f t="shared" si="6"/>
        <v>0</v>
      </c>
    </row>
    <row r="14" spans="1:20">
      <c r="A14" s="28"/>
      <c r="B14" s="28"/>
      <c r="C14" s="28"/>
      <c r="E14" s="1" t="s">
        <v>79</v>
      </c>
      <c r="F14" s="1"/>
      <c r="G14" s="4" t="s">
        <v>115</v>
      </c>
      <c r="H14" s="9">
        <f>H13/(H3*H7)</f>
        <v>0</v>
      </c>
      <c r="I14" s="9">
        <f>I13/(I3*I7)</f>
        <v>0</v>
      </c>
      <c r="L14" s="30" t="s">
        <v>90</v>
      </c>
      <c r="M14" s="30" t="str">
        <f t="shared" si="3"/>
        <v>млн тонн</v>
      </c>
      <c r="N14" s="32">
        <f t="shared" si="4"/>
        <v>3.3366939999999987</v>
      </c>
      <c r="O14" s="32">
        <f t="shared" si="4"/>
        <v>3.5995517371819492</v>
      </c>
      <c r="P14" s="32">
        <f t="shared" si="5"/>
        <v>0.26285773718195049</v>
      </c>
      <c r="Q14" s="33">
        <f t="shared" si="6"/>
        <v>7.8777897278548892E-2</v>
      </c>
    </row>
    <row r="15" spans="1:20">
      <c r="A15" s="26" t="s">
        <v>144</v>
      </c>
      <c r="B15" s="26" t="s">
        <v>56</v>
      </c>
      <c r="C15" s="28"/>
      <c r="E15" s="1" t="s">
        <v>95</v>
      </c>
      <c r="F15" s="1" t="s">
        <v>17</v>
      </c>
      <c r="G15" s="1" t="s">
        <v>118</v>
      </c>
      <c r="H15" s="21">
        <v>13875</v>
      </c>
      <c r="I15" s="21">
        <v>13875</v>
      </c>
      <c r="J15" t="str">
        <f>IF(H15&lt;&gt;I15,"Параметр изменен","Параметр не изменен")</f>
        <v>Параметр не изменен</v>
      </c>
      <c r="L15" s="30" t="s">
        <v>96</v>
      </c>
      <c r="M15" s="30" t="str">
        <f t="shared" si="3"/>
        <v>млн тонн</v>
      </c>
      <c r="N15" s="32">
        <f t="shared" si="4"/>
        <v>5.358617999999999</v>
      </c>
      <c r="O15" s="32">
        <f t="shared" si="4"/>
        <v>5.6202028183578241</v>
      </c>
      <c r="P15" s="32">
        <f t="shared" ref="P15:P17" si="7">O15-N15</f>
        <v>0.2615848183578251</v>
      </c>
      <c r="Q15" s="33">
        <f t="shared" ref="Q15:Q17" si="8">O15/N15-1</f>
        <v>4.8815724195646171E-2</v>
      </c>
    </row>
    <row r="16" spans="1:20">
      <c r="A16" s="18" t="s">
        <v>80</v>
      </c>
      <c r="B16" s="18">
        <v>0.41299999999999998</v>
      </c>
      <c r="C16" s="28"/>
      <c r="E16" s="1" t="s">
        <v>97</v>
      </c>
      <c r="F16" s="1"/>
      <c r="G16" s="1" t="s">
        <v>119</v>
      </c>
      <c r="H16" s="21">
        <v>0</v>
      </c>
      <c r="I16" s="21">
        <v>0.7</v>
      </c>
      <c r="J16" t="str">
        <f>IF(H16&lt;&gt;I16,"Параметр изменен","Параметр не изменен")</f>
        <v>Параметр изменен</v>
      </c>
      <c r="L16" s="30" t="s">
        <v>98</v>
      </c>
      <c r="M16" s="30" t="str">
        <f t="shared" si="3"/>
        <v>млн тонн</v>
      </c>
      <c r="N16" s="32">
        <f t="shared" si="4"/>
        <v>3.5670000000000002</v>
      </c>
      <c r="O16" s="32">
        <f t="shared" si="4"/>
        <v>3.75339029611118</v>
      </c>
      <c r="P16" s="32">
        <f t="shared" si="7"/>
        <v>0.18639029611117985</v>
      </c>
      <c r="Q16" s="33">
        <f t="shared" si="8"/>
        <v>5.2254077967810453E-2</v>
      </c>
    </row>
    <row r="17" spans="1:20">
      <c r="A17" s="18" t="s">
        <v>104</v>
      </c>
      <c r="B17" s="18">
        <v>0.41099999999999998</v>
      </c>
      <c r="C17" s="19"/>
      <c r="E17" s="1" t="s">
        <v>105</v>
      </c>
      <c r="F17" s="1" t="s">
        <v>17</v>
      </c>
      <c r="G17" s="1" t="s">
        <v>120</v>
      </c>
      <c r="H17" s="56">
        <f>MAX(0,(H4*H7-H15)*H16)</f>
        <v>0</v>
      </c>
      <c r="I17" s="56">
        <f>MAX(0,(I4*I7-I15)*I16)</f>
        <v>1769.0231999999996</v>
      </c>
      <c r="L17" s="30" t="s">
        <v>99</v>
      </c>
      <c r="M17" s="30" t="str">
        <f t="shared" si="3"/>
        <v>млн тонн</v>
      </c>
      <c r="N17" s="32">
        <f t="shared" si="4"/>
        <v>1.7916179999999988</v>
      </c>
      <c r="O17" s="32">
        <f t="shared" si="4"/>
        <v>1.8668125222466441</v>
      </c>
      <c r="P17" s="32">
        <f t="shared" si="7"/>
        <v>7.5194522246645246E-2</v>
      </c>
      <c r="Q17" s="33">
        <f t="shared" si="8"/>
        <v>4.197017569964423E-2</v>
      </c>
    </row>
    <row r="18" spans="1:20">
      <c r="E18" s="1" t="s">
        <v>106</v>
      </c>
      <c r="F18" s="1"/>
      <c r="G18" s="4" t="s">
        <v>121</v>
      </c>
      <c r="H18" s="9">
        <f>H17/(H4*H7)</f>
        <v>0</v>
      </c>
      <c r="I18" s="9">
        <f>I17/(I4*I7)</f>
        <v>0.1078529580465421</v>
      </c>
      <c r="L18" s="30" t="s">
        <v>67</v>
      </c>
      <c r="M18" s="30" t="str">
        <f>F39</f>
        <v>млн тонн</v>
      </c>
      <c r="N18" s="32">
        <f>H39</f>
        <v>2.048</v>
      </c>
      <c r="O18" s="32">
        <f>I39</f>
        <v>2.048</v>
      </c>
      <c r="P18" s="32">
        <f t="shared" si="5"/>
        <v>0</v>
      </c>
      <c r="Q18" s="33">
        <f t="shared" si="6"/>
        <v>0</v>
      </c>
    </row>
    <row r="19" spans="1:20">
      <c r="L19" s="30"/>
      <c r="M19" s="30"/>
      <c r="N19" s="32"/>
      <c r="O19" s="32"/>
      <c r="P19" s="32"/>
      <c r="Q19" s="33"/>
    </row>
    <row r="20" spans="1:20">
      <c r="A20" s="18"/>
      <c r="B20" t="s">
        <v>142</v>
      </c>
      <c r="E20" s="60" t="s">
        <v>59</v>
      </c>
      <c r="F20" s="60"/>
      <c r="G20" s="60"/>
      <c r="H20" s="60"/>
      <c r="I20" s="60"/>
      <c r="L20" s="35"/>
      <c r="M20" s="35"/>
      <c r="N20" s="35"/>
      <c r="O20" s="35"/>
      <c r="P20" s="35"/>
      <c r="Q20" s="35"/>
    </row>
    <row r="21" spans="1:20">
      <c r="A21" s="21"/>
      <c r="B21" t="s">
        <v>139</v>
      </c>
      <c r="E21" s="1" t="s">
        <v>85</v>
      </c>
      <c r="F21" s="1" t="s">
        <v>17</v>
      </c>
      <c r="G21" s="1" t="s">
        <v>122</v>
      </c>
      <c r="H21" s="21">
        <v>48942.7</v>
      </c>
      <c r="I21" s="2">
        <f>((I3-I5)*I7-I13)*(1-I8)</f>
        <v>48942.7</v>
      </c>
      <c r="L21" s="63" t="s">
        <v>39</v>
      </c>
      <c r="M21" s="64"/>
      <c r="N21" s="64"/>
      <c r="O21" s="64"/>
      <c r="P21" s="64"/>
      <c r="Q21" s="65"/>
    </row>
    <row r="22" spans="1:20">
      <c r="A22" s="2"/>
      <c r="B22" t="s">
        <v>140</v>
      </c>
      <c r="E22" s="1" t="s">
        <v>94</v>
      </c>
      <c r="F22" s="1" t="s">
        <v>17</v>
      </c>
      <c r="G22" s="1" t="s">
        <v>123</v>
      </c>
      <c r="H22" s="21">
        <v>13061.9</v>
      </c>
      <c r="I22" s="2">
        <f>((I4-I6)*I7-I17)*(1-I8)</f>
        <v>11292.8768</v>
      </c>
      <c r="L22" s="30" t="s">
        <v>40</v>
      </c>
      <c r="M22" s="30" t="str">
        <f>_xlfn.CONCAT(F3,"*",F7,"*",F45)</f>
        <v>долл США*руб/долл США*млн тонн</v>
      </c>
      <c r="N22" s="32">
        <f>(H45*H3+H48*H4)*H7</f>
        <v>229432.18341708789</v>
      </c>
      <c r="O22" s="32">
        <f>(I45*I3+I48*I4)*I7</f>
        <v>246424.72072264913</v>
      </c>
      <c r="P22" s="32">
        <f t="shared" ref="P22" si="9">O22-N22</f>
        <v>16992.537305561244</v>
      </c>
      <c r="Q22" s="33">
        <f t="shared" ref="Q22" si="10">O22/N22-1</f>
        <v>7.4063442418931702E-2</v>
      </c>
    </row>
    <row r="23" spans="1:20">
      <c r="A23" s="25"/>
      <c r="B23" t="s">
        <v>141</v>
      </c>
      <c r="L23" s="36" t="s">
        <v>41</v>
      </c>
      <c r="M23" s="30" t="str">
        <f>_xlfn.CONCAT(F13,"*",F45)</f>
        <v>руб/т*млн тонн</v>
      </c>
      <c r="N23" s="32">
        <f>H13*H45+H17*H48</f>
        <v>0</v>
      </c>
      <c r="O23" s="32">
        <f>I13*I45+I17*I48</f>
        <v>3302.4346619048288</v>
      </c>
      <c r="P23" s="32">
        <f>O23-N23</f>
        <v>3302.4346619048288</v>
      </c>
      <c r="Q23" s="33" t="e">
        <f>O23/N23-1</f>
        <v>#DIV/0!</v>
      </c>
      <c r="R23" s="6"/>
    </row>
    <row r="24" spans="1:20">
      <c r="A24" s="16"/>
      <c r="B24" t="s">
        <v>143</v>
      </c>
      <c r="E24" s="60" t="s">
        <v>60</v>
      </c>
      <c r="F24" s="60"/>
      <c r="G24" s="60"/>
      <c r="H24" s="60"/>
      <c r="I24" s="60"/>
      <c r="K24" s="5"/>
      <c r="L24" s="35"/>
      <c r="M24" s="35"/>
      <c r="N24" s="35"/>
      <c r="O24" s="35"/>
      <c r="P24" s="35"/>
      <c r="Q24" s="35"/>
      <c r="T24" s="6"/>
    </row>
    <row r="25" spans="1:20">
      <c r="E25" s="1" t="s">
        <v>63</v>
      </c>
      <c r="F25" s="1" t="s">
        <v>17</v>
      </c>
      <c r="G25" s="1" t="s">
        <v>125</v>
      </c>
      <c r="H25" s="2">
        <f>H21*B16+H22*B17</f>
        <v>25581.775999999998</v>
      </c>
      <c r="I25" s="2">
        <f>I21*B16+I22*B17</f>
        <v>24854.707464799998</v>
      </c>
      <c r="L25" s="39" t="s">
        <v>50</v>
      </c>
      <c r="M25" s="20"/>
      <c r="N25" s="20"/>
      <c r="O25" s="35"/>
      <c r="P25" s="35"/>
      <c r="Q25" s="35"/>
      <c r="T25" s="6"/>
    </row>
    <row r="26" spans="1:20">
      <c r="E26" s="4" t="s">
        <v>126</v>
      </c>
      <c r="F26" s="1" t="s">
        <v>17</v>
      </c>
      <c r="G26" s="1" t="s">
        <v>124</v>
      </c>
      <c r="H26" s="2">
        <f>H25-H27</f>
        <v>2166.5759999999973</v>
      </c>
      <c r="I26" s="2">
        <f>H26</f>
        <v>2166.5759999999973</v>
      </c>
      <c r="L26" s="30" t="s">
        <v>42</v>
      </c>
      <c r="M26" s="30" t="str">
        <f>_xlfn.CONCAT($M$5,"*",$M$11)</f>
        <v>руб/т*млн тонн</v>
      </c>
      <c r="N26" s="32">
        <f>-(N11*(N4-O4)-0.5*(N4-O4)*(N11-O11))</f>
        <v>-9973.7296436337874</v>
      </c>
      <c r="O26" s="35"/>
      <c r="P26" s="35"/>
      <c r="Q26" s="37"/>
      <c r="S26" s="6"/>
    </row>
    <row r="27" spans="1:20">
      <c r="E27" s="4" t="s">
        <v>62</v>
      </c>
      <c r="F27" s="1" t="s">
        <v>17</v>
      </c>
      <c r="G27" s="1" t="s">
        <v>127</v>
      </c>
      <c r="H27" s="21">
        <v>23415.200000000001</v>
      </c>
      <c r="I27" s="2">
        <f>I25-I26</f>
        <v>22688.131464800001</v>
      </c>
      <c r="L27" s="30" t="s">
        <v>46</v>
      </c>
      <c r="M27" s="30" t="str">
        <f>_xlfn.CONCAT($M$5,"*",$M$11)</f>
        <v>руб/т*млн тонн</v>
      </c>
      <c r="N27" s="32">
        <f>N28+N29</f>
        <v>6474.9701334377723</v>
      </c>
      <c r="O27" s="35"/>
      <c r="P27" s="35"/>
      <c r="Q27" s="37"/>
    </row>
    <row r="28" spans="1:20">
      <c r="L28" s="30" t="s">
        <v>81</v>
      </c>
      <c r="M28" s="30" t="str">
        <f>_xlfn.CONCAT($M$5,"*",$M$11)</f>
        <v>руб/т*млн тонн</v>
      </c>
      <c r="N28" s="32">
        <f>(N5-O5)*N13+0.5*(N5-O5)*(O13-N13)</f>
        <v>0</v>
      </c>
      <c r="O28" s="35"/>
      <c r="P28" s="35"/>
      <c r="Q28" s="37"/>
      <c r="S28" s="13"/>
    </row>
    <row r="29" spans="1:20">
      <c r="E29" s="60" t="s">
        <v>69</v>
      </c>
      <c r="F29" s="60"/>
      <c r="G29" s="60"/>
      <c r="H29" s="60"/>
      <c r="I29" s="60"/>
      <c r="L29" s="30" t="s">
        <v>107</v>
      </c>
      <c r="M29" s="30" t="str">
        <f>_xlfn.CONCAT($M$5,"*",$M$11)</f>
        <v>руб/т*млн тонн</v>
      </c>
      <c r="N29" s="32">
        <f>(N6-O6)*N16+0.5*(N6-O6)*(O16-N16)</f>
        <v>6474.9701334377723</v>
      </c>
      <c r="O29" s="35"/>
      <c r="P29" s="35"/>
      <c r="Q29" s="37"/>
      <c r="R29" s="6"/>
    </row>
    <row r="30" spans="1:20">
      <c r="E30" s="1" t="s">
        <v>20</v>
      </c>
      <c r="F30" s="1" t="s">
        <v>23</v>
      </c>
      <c r="G30" s="1" t="s">
        <v>5</v>
      </c>
      <c r="H30" s="21">
        <v>13.760999999999999</v>
      </c>
      <c r="I30" s="2">
        <f>H34*(1+I33)*(I27/I32)^$B$8</f>
        <v>13.674459412062832</v>
      </c>
      <c r="L30" s="36" t="s">
        <v>51</v>
      </c>
      <c r="M30" s="30" t="str">
        <f>_xlfn.CONCAT($M$5,"*",$M$11)</f>
        <v>руб/т*млн тонн</v>
      </c>
      <c r="N30" s="32">
        <f>N26+N27+P23</f>
        <v>-196.3248482911863</v>
      </c>
      <c r="O30" s="35"/>
      <c r="P30" s="35"/>
      <c r="Q30" s="37"/>
      <c r="R30" s="6"/>
    </row>
    <row r="31" spans="1:20">
      <c r="E31" s="1" t="s">
        <v>70</v>
      </c>
      <c r="F31" s="1" t="s">
        <v>23</v>
      </c>
      <c r="G31" s="1" t="s">
        <v>8</v>
      </c>
      <c r="H31" s="21">
        <v>0.72299999999999998</v>
      </c>
      <c r="I31" s="21">
        <v>0</v>
      </c>
      <c r="L31" s="35"/>
      <c r="M31" s="35"/>
      <c r="N31" s="35"/>
      <c r="O31" s="35"/>
      <c r="P31" s="35"/>
      <c r="Q31" s="35"/>
    </row>
    <row r="32" spans="1:20">
      <c r="E32" s="1" t="s">
        <v>19</v>
      </c>
      <c r="F32" s="1"/>
      <c r="G32" s="1" t="s">
        <v>4</v>
      </c>
      <c r="H32" s="21">
        <v>1</v>
      </c>
      <c r="I32" s="21">
        <v>1</v>
      </c>
      <c r="J32" t="str">
        <f>IF(H32&lt;&gt;I32,"Параметр изменен","Параметр не изменен")</f>
        <v>Параметр не изменен</v>
      </c>
      <c r="L32" s="20" t="s">
        <v>45</v>
      </c>
      <c r="M32" s="20" t="str">
        <f>_xlfn.CONCAT($M$5,"*",$M$11)</f>
        <v>руб/т*млн тонн</v>
      </c>
      <c r="N32" s="40">
        <f>N33+N34</f>
        <v>-11968.634349046724</v>
      </c>
      <c r="O32" s="35"/>
      <c r="P32" s="35"/>
      <c r="Q32" s="37"/>
      <c r="R32" s="6"/>
    </row>
    <row r="33" spans="5:17">
      <c r="E33" s="1" t="s">
        <v>21</v>
      </c>
      <c r="F33" s="1"/>
      <c r="G33" s="1" t="s">
        <v>6</v>
      </c>
      <c r="H33" s="21">
        <v>0</v>
      </c>
      <c r="I33" s="21">
        <v>0</v>
      </c>
      <c r="J33" t="str">
        <f>IF(H33&lt;&gt;I33,"Параметр изменен","Параметр не изменен")</f>
        <v>Параметр не изменен</v>
      </c>
      <c r="L33" s="30" t="s">
        <v>43</v>
      </c>
      <c r="M33" s="30" t="str">
        <f>_xlfn.CONCAT($M$5,"*",$M$11)</f>
        <v>руб/т*млн тонн</v>
      </c>
      <c r="N33" s="32">
        <f>N11*(O4-N4)+0.5*(O4-N4)*(O11-N11)</f>
        <v>-9973.7296436337874</v>
      </c>
      <c r="O33" s="35"/>
      <c r="P33" s="35"/>
      <c r="Q33" s="37"/>
    </row>
    <row r="34" spans="5:17">
      <c r="E34" s="1" t="s">
        <v>22</v>
      </c>
      <c r="F34" s="1"/>
      <c r="G34" s="1" t="s">
        <v>7</v>
      </c>
      <c r="H34" s="2">
        <f>H30/(1+H33)/(H27/H32)^$B$8</f>
        <v>1.8397144542313719</v>
      </c>
      <c r="I34" s="1"/>
      <c r="L34" s="30" t="s">
        <v>44</v>
      </c>
      <c r="M34" s="30" t="str">
        <f>_xlfn.CONCAT($M$5,"*",$M$11)</f>
        <v>руб/т*млн тонн</v>
      </c>
      <c r="N34" s="32">
        <f>N4*(O11-N11)+0.5*(O4-N4)*(O11-N11)</f>
        <v>-1994.9047054129367</v>
      </c>
      <c r="O34" s="35"/>
      <c r="P34" s="35"/>
      <c r="Q34" s="35"/>
    </row>
    <row r="35" spans="5:17">
      <c r="L35" s="35"/>
      <c r="M35" s="35"/>
      <c r="N35" s="35"/>
      <c r="O35" s="37"/>
      <c r="P35" s="35"/>
      <c r="Q35" s="38"/>
    </row>
    <row r="36" spans="5:17">
      <c r="E36" s="60" t="s">
        <v>64</v>
      </c>
      <c r="F36" s="60"/>
      <c r="G36" s="60"/>
      <c r="H36" s="60"/>
      <c r="I36" s="60"/>
      <c r="L36" s="20" t="s">
        <v>82</v>
      </c>
      <c r="M36" s="20" t="str">
        <f>_xlfn.CONCAT($M$5,"*",$M$11)</f>
        <v>руб/т*млн тонн</v>
      </c>
      <c r="N36" s="40">
        <f>N37+N38</f>
        <v>12802.667289441526</v>
      </c>
      <c r="O36" s="35"/>
      <c r="P36" s="35"/>
      <c r="Q36" s="37"/>
    </row>
    <row r="37" spans="5:17">
      <c r="E37" s="11" t="s">
        <v>128</v>
      </c>
      <c r="F37" s="1" t="s">
        <v>17</v>
      </c>
      <c r="G37" s="1" t="s">
        <v>129</v>
      </c>
      <c r="H37" s="23">
        <v>106430.8</v>
      </c>
      <c r="I37" s="53">
        <f>I21+I38</f>
        <v>106430.8</v>
      </c>
      <c r="L37" s="30" t="s">
        <v>43</v>
      </c>
      <c r="M37" s="30" t="str">
        <f>_xlfn.CONCAT($M$5,"*",$M$11)</f>
        <v>руб/т*млн тонн</v>
      </c>
      <c r="N37" s="32">
        <f>N12*(O5-N5)+0.5*(O5-N5)*(O12-N12)</f>
        <v>0</v>
      </c>
      <c r="O37" s="35"/>
      <c r="P37" s="35"/>
      <c r="Q37" s="37"/>
    </row>
    <row r="38" spans="5:17">
      <c r="E38" s="11" t="s">
        <v>66</v>
      </c>
      <c r="F38" s="1" t="s">
        <v>17</v>
      </c>
      <c r="G38" s="1" t="s">
        <v>130</v>
      </c>
      <c r="H38" s="14">
        <f>H37-H21</f>
        <v>57488.100000000006</v>
      </c>
      <c r="I38" s="14">
        <f>H38</f>
        <v>57488.100000000006</v>
      </c>
      <c r="L38" s="30" t="s">
        <v>44</v>
      </c>
      <c r="M38" s="30" t="str">
        <f>_xlfn.CONCAT($M$5,"*",$M$11)</f>
        <v>руб/т*млн тонн</v>
      </c>
      <c r="N38" s="32">
        <f>N5*(O15-N15)+0.5*(O5-N5)*(O15-N15)</f>
        <v>12802.667289441526</v>
      </c>
      <c r="O38" s="35"/>
      <c r="P38" s="35"/>
      <c r="Q38" s="35"/>
    </row>
    <row r="39" spans="5:17">
      <c r="E39" s="1" t="s">
        <v>71</v>
      </c>
      <c r="F39" s="1" t="s">
        <v>23</v>
      </c>
      <c r="G39" s="1" t="s">
        <v>131</v>
      </c>
      <c r="H39" s="52">
        <v>2.048</v>
      </c>
      <c r="I39" s="51">
        <f>H40*(I37)^B9</f>
        <v>2.048</v>
      </c>
      <c r="J39" s="6"/>
      <c r="L39" s="35"/>
      <c r="M39" s="35"/>
      <c r="N39" s="35"/>
      <c r="O39" s="35"/>
      <c r="P39" s="35"/>
      <c r="Q39" s="38"/>
    </row>
    <row r="40" spans="5:17">
      <c r="E40" s="1" t="s">
        <v>22</v>
      </c>
      <c r="F40" s="1"/>
      <c r="G40" s="1" t="s">
        <v>132</v>
      </c>
      <c r="H40" s="2">
        <f>H39/(H37^B9)</f>
        <v>117.70733218516169</v>
      </c>
      <c r="I40" s="1"/>
      <c r="L40" s="20" t="s">
        <v>83</v>
      </c>
      <c r="M40" s="20" t="str">
        <f>_xlfn.CONCAT($M$5,"*",$M$11)</f>
        <v>руб/т*млн тонн</v>
      </c>
      <c r="N40" s="40">
        <f>N41+N42</f>
        <v>0</v>
      </c>
      <c r="O40" s="35"/>
      <c r="P40" s="35"/>
      <c r="Q40" s="38"/>
    </row>
    <row r="41" spans="5:17">
      <c r="L41" s="30" t="s">
        <v>48</v>
      </c>
      <c r="M41" s="30" t="str">
        <f>_xlfn.CONCAT($M$5,"*",$M$11)</f>
        <v>руб/т*млн тонн</v>
      </c>
      <c r="N41" s="32">
        <f>N13*(O5-N5)+0.5*(O5-N5)*(O13-N13)</f>
        <v>0</v>
      </c>
      <c r="O41" s="35"/>
      <c r="P41" s="35"/>
      <c r="Q41" s="35"/>
    </row>
    <row r="42" spans="5:17">
      <c r="E42" s="57" t="s">
        <v>68</v>
      </c>
      <c r="F42" s="58"/>
      <c r="G42" s="58"/>
      <c r="H42" s="58"/>
      <c r="I42" s="59"/>
      <c r="L42" s="30" t="s">
        <v>49</v>
      </c>
      <c r="M42" s="30" t="str">
        <f>_xlfn.CONCAT($M$5,"*",$M$11)</f>
        <v>руб/т*млн тонн</v>
      </c>
      <c r="N42" s="32">
        <f>N5*(O13-N13)+0.5*(O13-N13)*(O5-N5)</f>
        <v>0</v>
      </c>
      <c r="O42" s="35"/>
      <c r="P42" s="35"/>
      <c r="Q42" s="38"/>
    </row>
    <row r="43" spans="5:17">
      <c r="E43" s="1" t="s">
        <v>91</v>
      </c>
      <c r="F43" s="1" t="s">
        <v>23</v>
      </c>
      <c r="G43" s="1" t="s">
        <v>133</v>
      </c>
      <c r="H43" s="15">
        <f>(H30-H31)*B16</f>
        <v>5.3846939999999988</v>
      </c>
      <c r="I43" s="15">
        <f>(I30-I31)*B16</f>
        <v>5.6475517371819492</v>
      </c>
      <c r="L43" s="35"/>
      <c r="M43" s="35"/>
      <c r="N43" s="35"/>
      <c r="O43" s="38"/>
      <c r="P43" s="35"/>
      <c r="Q43" s="38"/>
    </row>
    <row r="44" spans="5:17">
      <c r="E44" s="1" t="s">
        <v>92</v>
      </c>
      <c r="F44" s="1" t="s">
        <v>23</v>
      </c>
      <c r="G44" s="1" t="s">
        <v>134</v>
      </c>
      <c r="H44" s="2">
        <f>H39</f>
        <v>2.048</v>
      </c>
      <c r="I44" s="2">
        <f>I39</f>
        <v>2.048</v>
      </c>
      <c r="L44" s="20" t="s">
        <v>108</v>
      </c>
      <c r="M44" s="20" t="str">
        <f>_xlfn.CONCAT($M$5,"*",$M$11)</f>
        <v>руб/т*млн тонн</v>
      </c>
      <c r="N44" s="40">
        <f>N45+N46</f>
        <v>-6525.474435472298</v>
      </c>
      <c r="O44" s="35"/>
      <c r="P44" s="35"/>
      <c r="Q44" s="35"/>
    </row>
    <row r="45" spans="5:17">
      <c r="E45" s="1" t="s">
        <v>90</v>
      </c>
      <c r="F45" s="1" t="s">
        <v>23</v>
      </c>
      <c r="G45" s="1" t="s">
        <v>135</v>
      </c>
      <c r="H45" s="2">
        <f>H43-H44</f>
        <v>3.3366939999999987</v>
      </c>
      <c r="I45" s="2">
        <f>I43-I44</f>
        <v>3.5995517371819492</v>
      </c>
      <c r="L45" s="30" t="s">
        <v>43</v>
      </c>
      <c r="M45" s="30" t="str">
        <f>_xlfn.CONCAT($M$5,"*",$M$11)</f>
        <v>руб/т*млн тонн</v>
      </c>
      <c r="N45" s="32">
        <f>N15*(O6-N6)+0.5*(O6-N6)*(O15-N15)</f>
        <v>-9710.8943681589844</v>
      </c>
      <c r="O45" s="35"/>
      <c r="P45" s="35"/>
      <c r="Q45" s="38"/>
    </row>
    <row r="46" spans="5:17">
      <c r="E46" s="1" t="s">
        <v>100</v>
      </c>
      <c r="F46" s="1" t="s">
        <v>23</v>
      </c>
      <c r="G46" s="1" t="s">
        <v>136</v>
      </c>
      <c r="H46" s="15">
        <f>(H30-H31)*B17</f>
        <v>5.358617999999999</v>
      </c>
      <c r="I46" s="15">
        <f>(I30-I31)*B17</f>
        <v>5.6202028183578241</v>
      </c>
      <c r="L46" s="30" t="s">
        <v>44</v>
      </c>
      <c r="M46" s="30" t="str">
        <f>_xlfn.CONCAT($M$5,"*",$M$11)</f>
        <v>руб/т*млн тонн</v>
      </c>
      <c r="N46" s="32">
        <f>N6*(O15-N15)+0.5*(O6-N6)*(O15-N15)</f>
        <v>3185.4199326866865</v>
      </c>
      <c r="O46" s="35"/>
      <c r="P46" s="35"/>
      <c r="Q46" s="38"/>
    </row>
    <row r="47" spans="5:17">
      <c r="E47" s="1" t="s">
        <v>101</v>
      </c>
      <c r="F47" s="1" t="s">
        <v>23</v>
      </c>
      <c r="G47" s="1" t="s">
        <v>137</v>
      </c>
      <c r="H47" s="52">
        <v>3.5670000000000002</v>
      </c>
      <c r="I47" s="56">
        <f>H47*(I22/H22)^B9</f>
        <v>3.75339029611118</v>
      </c>
      <c r="L47" s="35"/>
      <c r="M47" s="35"/>
      <c r="N47" s="35"/>
      <c r="O47" s="35"/>
      <c r="P47" s="35"/>
      <c r="Q47" s="35"/>
    </row>
    <row r="48" spans="5:17">
      <c r="E48" s="1" t="s">
        <v>99</v>
      </c>
      <c r="F48" s="1" t="s">
        <v>23</v>
      </c>
      <c r="G48" s="1" t="s">
        <v>138</v>
      </c>
      <c r="H48" s="2">
        <f>H46-H47</f>
        <v>1.7916179999999988</v>
      </c>
      <c r="I48" s="2">
        <f>I46-I47</f>
        <v>1.8668125222466441</v>
      </c>
      <c r="L48" s="20" t="s">
        <v>109</v>
      </c>
      <c r="M48" s="20" t="str">
        <f>_xlfn.CONCAT($M$5,"*",$M$11)</f>
        <v>руб/т*млн тонн</v>
      </c>
      <c r="N48" s="40">
        <f>N49+N50</f>
        <v>-4205.223103700926</v>
      </c>
      <c r="O48" s="35"/>
      <c r="P48" s="35"/>
      <c r="Q48" s="37"/>
    </row>
    <row r="49" spans="9:17">
      <c r="L49" s="30" t="s">
        <v>48</v>
      </c>
      <c r="M49" s="30" t="str">
        <f>_xlfn.CONCAT($M$5,"*",$M$11)</f>
        <v>руб/т*млн тонн</v>
      </c>
      <c r="N49" s="32">
        <f>N16*(O6-N6)+0.5*(O6-N6)*(O16-N16)</f>
        <v>-6474.9701334377723</v>
      </c>
      <c r="O49" s="35"/>
      <c r="P49" s="35"/>
      <c r="Q49" s="37"/>
    </row>
    <row r="50" spans="9:17">
      <c r="L50" s="30" t="s">
        <v>49</v>
      </c>
      <c r="M50" s="30" t="str">
        <f>_xlfn.CONCAT($M$5,"*",$M$11)</f>
        <v>руб/т*млн тонн</v>
      </c>
      <c r="N50" s="32">
        <f>N6*(O16-N16)+0.5*(O16-N16)*(O6-N6)</f>
        <v>2269.7470297368468</v>
      </c>
      <c r="O50" s="35"/>
      <c r="P50" s="35"/>
      <c r="Q50" s="37"/>
    </row>
    <row r="51" spans="9:17">
      <c r="L51" s="35"/>
      <c r="M51" s="35"/>
      <c r="N51" s="35"/>
      <c r="O51" s="35"/>
      <c r="P51" s="35"/>
      <c r="Q51" s="37"/>
    </row>
    <row r="52" spans="9:17">
      <c r="L52" s="20" t="s">
        <v>72</v>
      </c>
      <c r="M52" s="20" t="str">
        <f>_xlfn.CONCAT($M$5,"*",$M$11)</f>
        <v>руб/т*млн тонн</v>
      </c>
      <c r="N52" s="40">
        <f>N53+N54</f>
        <v>0</v>
      </c>
      <c r="O52" s="35"/>
      <c r="P52" s="35"/>
      <c r="Q52" s="35"/>
    </row>
    <row r="53" spans="9:17">
      <c r="L53" s="30" t="s">
        <v>43</v>
      </c>
      <c r="M53" s="30" t="str">
        <f>_xlfn.CONCAT($M$5,"*",$M$11)</f>
        <v>руб/т*млн тонн</v>
      </c>
      <c r="N53" s="32">
        <f>N18*(O7-N7)+0.5*(O7-N7)*(O18-N18)</f>
        <v>0</v>
      </c>
      <c r="O53" s="37"/>
      <c r="P53" s="35"/>
      <c r="Q53" s="35"/>
    </row>
    <row r="54" spans="9:17">
      <c r="I54" s="55"/>
      <c r="L54" s="30" t="s">
        <v>44</v>
      </c>
      <c r="M54" s="30" t="str">
        <f>_xlfn.CONCAT($M$5,"*",$M$11)</f>
        <v>руб/т*млн тонн</v>
      </c>
      <c r="N54" s="32">
        <f>N7*(O18-N18)+0.5*(O7-N7)*(O18-N18)</f>
        <v>0</v>
      </c>
      <c r="O54" s="35"/>
      <c r="P54" s="35"/>
      <c r="Q54" s="35"/>
    </row>
    <row r="55" spans="9:17">
      <c r="L55" s="35"/>
      <c r="M55" s="35"/>
      <c r="N55" s="35"/>
      <c r="O55" s="35"/>
      <c r="P55" s="35"/>
      <c r="Q55" s="35"/>
    </row>
    <row r="56" spans="9:17">
      <c r="L56" s="20" t="s">
        <v>73</v>
      </c>
      <c r="M56" s="20" t="str">
        <f>_xlfn.CONCAT($M$5,"*",$M$11)</f>
        <v>руб/т*млн тонн</v>
      </c>
      <c r="N56" s="40">
        <f>N57+N58</f>
        <v>0</v>
      </c>
      <c r="O56" s="35"/>
      <c r="P56" s="35"/>
      <c r="Q56" s="35"/>
    </row>
    <row r="57" spans="9:17">
      <c r="L57" s="30" t="s">
        <v>48</v>
      </c>
      <c r="M57" s="30" t="str">
        <f>_xlfn.CONCAT($M$5,"*",$M$11)</f>
        <v>руб/т*млн тонн</v>
      </c>
      <c r="N57" s="32">
        <f>N18*(O7-N7)+0.5*(O7-N7)*(O18-N18)</f>
        <v>0</v>
      </c>
      <c r="O57" s="35"/>
      <c r="P57" s="35"/>
      <c r="Q57" s="35"/>
    </row>
    <row r="58" spans="9:17">
      <c r="L58" s="30" t="s">
        <v>49</v>
      </c>
      <c r="M58" s="30" t="str">
        <f>_xlfn.CONCAT($M$5,"*",$M$11)</f>
        <v>руб/т*млн тонн</v>
      </c>
      <c r="N58" s="32">
        <f>N7*(O18-N18)+0.5*(O18-N18)*(O7-N7)</f>
        <v>0</v>
      </c>
      <c r="O58" s="35"/>
      <c r="P58" s="35"/>
      <c r="Q58" s="35"/>
    </row>
    <row r="59" spans="9:17">
      <c r="M59" s="8"/>
    </row>
    <row r="60" spans="9:17">
      <c r="M60" s="8"/>
      <c r="N60" s="8"/>
    </row>
    <row r="63" spans="9:17">
      <c r="M63" s="7"/>
    </row>
    <row r="64" spans="9:17">
      <c r="O64" s="5"/>
    </row>
    <row r="65" spans="15:15">
      <c r="O65" s="5"/>
    </row>
  </sheetData>
  <mergeCells count="15">
    <mergeCell ref="E2:I2"/>
    <mergeCell ref="E10:I10"/>
    <mergeCell ref="N1:N2"/>
    <mergeCell ref="O1:O2"/>
    <mergeCell ref="E42:I42"/>
    <mergeCell ref="E24:I24"/>
    <mergeCell ref="L21:Q21"/>
    <mergeCell ref="E20:I20"/>
    <mergeCell ref="E29:I29"/>
    <mergeCell ref="E36:I36"/>
    <mergeCell ref="P1:Q1"/>
    <mergeCell ref="L10:Q10"/>
    <mergeCell ref="L3:Q3"/>
    <mergeCell ref="L1:L2"/>
    <mergeCell ref="M1:M2"/>
  </mergeCells>
  <phoneticPr fontId="3" type="noConversion"/>
  <conditionalFormatting sqref="K17:K18 J6:J23 J25:J64 J3:J4">
    <cfRule type="cellIs" dxfId="3" priority="4" operator="equal">
      <formula>"Параметр не изменен"</formula>
    </cfRule>
  </conditionalFormatting>
  <conditionalFormatting sqref="K17:K18 J6:J23 J25:J64 J3:J4">
    <cfRule type="cellIs" dxfId="2" priority="3" operator="equal">
      <formula>"Параметр изменен"</formula>
    </cfRule>
  </conditionalFormatting>
  <conditionalFormatting sqref="B19">
    <cfRule type="cellIs" dxfId="1" priority="1" operator="equal">
      <formula>"Не сошлось"</formula>
    </cfRule>
    <cfRule type="cellIs" dxfId="0" priority="2" operator="equal">
      <formula>"Сошлось"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4"/>
  <sheetViews>
    <sheetView topLeftCell="A13" workbookViewId="0">
      <selection activeCell="C58" sqref="C58"/>
    </sheetView>
  </sheetViews>
  <sheetFormatPr defaultRowHeight="15"/>
  <cols>
    <col min="1" max="1" width="14.85546875" customWidth="1"/>
  </cols>
  <sheetData>
    <row r="1" spans="1:3">
      <c r="B1" t="s">
        <v>145</v>
      </c>
      <c r="C1" t="s">
        <v>146</v>
      </c>
    </row>
    <row r="2" spans="1:3">
      <c r="A2" s="42">
        <v>43833</v>
      </c>
      <c r="B2">
        <v>750</v>
      </c>
      <c r="C2">
        <v>183</v>
      </c>
    </row>
    <row r="3" spans="1:3">
      <c r="A3" s="42">
        <v>43840</v>
      </c>
      <c r="B3">
        <v>775</v>
      </c>
      <c r="C3">
        <v>190</v>
      </c>
    </row>
    <row r="4" spans="1:3">
      <c r="A4" s="42">
        <v>43847</v>
      </c>
      <c r="B4">
        <v>785</v>
      </c>
      <c r="C4">
        <v>195</v>
      </c>
    </row>
    <row r="5" spans="1:3">
      <c r="A5" s="42">
        <v>43854</v>
      </c>
      <c r="B5">
        <v>765</v>
      </c>
      <c r="C5">
        <v>200</v>
      </c>
    </row>
    <row r="6" spans="1:3">
      <c r="A6" s="42">
        <v>43861</v>
      </c>
      <c r="B6">
        <v>740</v>
      </c>
      <c r="C6">
        <v>205</v>
      </c>
    </row>
    <row r="7" spans="1:3">
      <c r="A7" s="42">
        <v>43868</v>
      </c>
      <c r="B7">
        <v>720</v>
      </c>
      <c r="C7">
        <v>205</v>
      </c>
    </row>
    <row r="8" spans="1:3">
      <c r="A8" s="42">
        <v>43875</v>
      </c>
      <c r="B8">
        <v>720</v>
      </c>
      <c r="C8">
        <v>200</v>
      </c>
    </row>
    <row r="9" spans="1:3">
      <c r="A9" s="42">
        <v>43882</v>
      </c>
      <c r="B9">
        <v>710</v>
      </c>
      <c r="C9">
        <v>200</v>
      </c>
    </row>
    <row r="10" spans="1:3">
      <c r="A10" s="42">
        <v>43889</v>
      </c>
      <c r="B10">
        <v>675</v>
      </c>
      <c r="C10">
        <v>200</v>
      </c>
    </row>
    <row r="11" spans="1:3">
      <c r="A11" s="42">
        <v>43896</v>
      </c>
      <c r="B11">
        <v>685</v>
      </c>
      <c r="C11">
        <v>200</v>
      </c>
    </row>
    <row r="12" spans="1:3">
      <c r="A12" s="42">
        <v>43903</v>
      </c>
      <c r="B12">
        <v>655</v>
      </c>
      <c r="C12">
        <v>190</v>
      </c>
    </row>
    <row r="13" spans="1:3">
      <c r="A13" s="42">
        <v>43910</v>
      </c>
      <c r="B13">
        <v>645</v>
      </c>
      <c r="C13">
        <v>190</v>
      </c>
    </row>
    <row r="14" spans="1:3">
      <c r="A14" s="42">
        <v>43917</v>
      </c>
      <c r="B14">
        <v>640</v>
      </c>
      <c r="C14">
        <v>190</v>
      </c>
    </row>
    <row r="15" spans="1:3">
      <c r="A15" s="42">
        <v>43924</v>
      </c>
      <c r="B15">
        <v>670</v>
      </c>
      <c r="C15">
        <v>205</v>
      </c>
    </row>
    <row r="16" spans="1:3">
      <c r="A16" s="42">
        <v>43931</v>
      </c>
      <c r="B16">
        <v>710</v>
      </c>
      <c r="C16">
        <v>218</v>
      </c>
    </row>
    <row r="17" spans="1:3">
      <c r="A17" s="42">
        <v>43938</v>
      </c>
      <c r="B17">
        <v>715</v>
      </c>
      <c r="C17">
        <v>218</v>
      </c>
    </row>
    <row r="18" spans="1:3">
      <c r="A18" s="42">
        <v>43945</v>
      </c>
      <c r="B18">
        <v>695</v>
      </c>
      <c r="C18">
        <v>218</v>
      </c>
    </row>
    <row r="19" spans="1:3">
      <c r="A19" s="42">
        <v>43952</v>
      </c>
      <c r="B19">
        <v>690</v>
      </c>
      <c r="C19">
        <v>218</v>
      </c>
    </row>
    <row r="20" spans="1:3">
      <c r="A20" s="42">
        <v>43959</v>
      </c>
      <c r="B20">
        <v>695</v>
      </c>
      <c r="C20">
        <v>218</v>
      </c>
    </row>
    <row r="21" spans="1:3">
      <c r="A21" s="42">
        <v>43966</v>
      </c>
      <c r="B21">
        <v>700</v>
      </c>
      <c r="C21">
        <v>218</v>
      </c>
    </row>
    <row r="22" spans="1:3">
      <c r="A22" s="42">
        <v>43973</v>
      </c>
      <c r="B22">
        <v>740</v>
      </c>
      <c r="C22">
        <v>218</v>
      </c>
    </row>
    <row r="23" spans="1:3">
      <c r="A23" s="42">
        <v>43980</v>
      </c>
      <c r="B23">
        <v>750</v>
      </c>
      <c r="C23">
        <v>218</v>
      </c>
    </row>
    <row r="24" spans="1:3">
      <c r="A24" s="42">
        <v>43987</v>
      </c>
      <c r="B24">
        <v>760</v>
      </c>
      <c r="C24">
        <v>218</v>
      </c>
    </row>
    <row r="25" spans="1:3">
      <c r="A25" s="42">
        <v>43994</v>
      </c>
      <c r="B25">
        <v>770</v>
      </c>
      <c r="C25">
        <v>218</v>
      </c>
    </row>
    <row r="26" spans="1:3">
      <c r="A26" s="42">
        <v>44001</v>
      </c>
      <c r="B26">
        <v>780</v>
      </c>
      <c r="C26">
        <v>218</v>
      </c>
    </row>
    <row r="27" spans="1:3">
      <c r="A27" s="42">
        <v>44008</v>
      </c>
      <c r="B27">
        <v>780</v>
      </c>
      <c r="C27">
        <v>220</v>
      </c>
    </row>
    <row r="28" spans="1:3">
      <c r="A28" s="42">
        <v>44015</v>
      </c>
      <c r="B28">
        <v>775</v>
      </c>
      <c r="C28">
        <v>220</v>
      </c>
    </row>
    <row r="29" spans="1:3">
      <c r="A29" s="42">
        <v>44022</v>
      </c>
      <c r="B29">
        <v>770</v>
      </c>
      <c r="C29">
        <v>220</v>
      </c>
    </row>
    <row r="30" spans="1:3">
      <c r="A30" s="42">
        <v>44029</v>
      </c>
      <c r="B30">
        <v>770</v>
      </c>
      <c r="C30">
        <v>220</v>
      </c>
    </row>
    <row r="31" spans="1:3">
      <c r="A31" s="42">
        <v>44036</v>
      </c>
      <c r="B31">
        <v>790</v>
      </c>
      <c r="C31">
        <v>220</v>
      </c>
    </row>
    <row r="32" spans="1:3">
      <c r="A32" s="42">
        <v>44043</v>
      </c>
      <c r="B32">
        <v>790</v>
      </c>
      <c r="C32">
        <v>220</v>
      </c>
    </row>
    <row r="33" spans="1:3">
      <c r="A33" s="42">
        <v>44050</v>
      </c>
      <c r="B33">
        <v>805</v>
      </c>
      <c r="C33">
        <v>220</v>
      </c>
    </row>
    <row r="34" spans="1:3">
      <c r="A34" s="42">
        <v>44057</v>
      </c>
      <c r="B34">
        <v>805</v>
      </c>
      <c r="C34">
        <v>220</v>
      </c>
    </row>
    <row r="35" spans="1:3">
      <c r="A35" s="42">
        <v>44064</v>
      </c>
      <c r="B35">
        <v>800</v>
      </c>
      <c r="C35">
        <v>215</v>
      </c>
    </row>
    <row r="36" spans="1:3">
      <c r="A36" s="42">
        <v>44071</v>
      </c>
      <c r="B36">
        <v>815</v>
      </c>
      <c r="C36">
        <v>215</v>
      </c>
    </row>
    <row r="37" spans="1:3">
      <c r="A37" s="42">
        <v>44078</v>
      </c>
      <c r="B37">
        <v>845</v>
      </c>
      <c r="C37">
        <v>215</v>
      </c>
    </row>
    <row r="38" spans="1:3">
      <c r="A38" s="42">
        <v>44085</v>
      </c>
      <c r="B38">
        <v>885</v>
      </c>
      <c r="C38">
        <v>220</v>
      </c>
    </row>
    <row r="39" spans="1:3">
      <c r="A39" s="42">
        <v>44092</v>
      </c>
      <c r="B39">
        <v>1010</v>
      </c>
      <c r="C39">
        <v>225</v>
      </c>
    </row>
    <row r="40" spans="1:3">
      <c r="A40" s="42">
        <v>44099</v>
      </c>
      <c r="B40">
        <v>885</v>
      </c>
      <c r="C40">
        <v>225</v>
      </c>
    </row>
    <row r="41" spans="1:3">
      <c r="A41" s="42">
        <v>44106</v>
      </c>
      <c r="B41">
        <v>870</v>
      </c>
      <c r="C41">
        <v>225</v>
      </c>
    </row>
    <row r="42" spans="1:3">
      <c r="A42" s="42">
        <v>44113</v>
      </c>
      <c r="B42">
        <v>950</v>
      </c>
      <c r="C42">
        <v>230</v>
      </c>
    </row>
    <row r="43" spans="1:3">
      <c r="A43" s="42">
        <v>44120</v>
      </c>
      <c r="B43">
        <v>965</v>
      </c>
      <c r="C43">
        <v>235</v>
      </c>
    </row>
    <row r="44" spans="1:3">
      <c r="A44" s="42">
        <v>44127</v>
      </c>
      <c r="B44">
        <v>980</v>
      </c>
      <c r="C44">
        <v>255</v>
      </c>
    </row>
    <row r="45" spans="1:3">
      <c r="A45" s="42">
        <v>44134</v>
      </c>
      <c r="B45">
        <v>985</v>
      </c>
      <c r="C45">
        <v>265</v>
      </c>
    </row>
    <row r="46" spans="1:3">
      <c r="A46" s="42">
        <v>44141</v>
      </c>
      <c r="B46">
        <v>1005</v>
      </c>
      <c r="C46">
        <v>275</v>
      </c>
    </row>
    <row r="47" spans="1:3">
      <c r="A47" s="42">
        <v>44148</v>
      </c>
      <c r="B47">
        <v>1075</v>
      </c>
      <c r="C47">
        <v>290</v>
      </c>
    </row>
    <row r="48" spans="1:3">
      <c r="A48" s="42">
        <v>44155</v>
      </c>
      <c r="B48">
        <v>1130</v>
      </c>
      <c r="C48">
        <v>305</v>
      </c>
    </row>
    <row r="49" spans="1:3">
      <c r="A49" s="42">
        <v>44162</v>
      </c>
      <c r="B49">
        <v>1135</v>
      </c>
      <c r="C49">
        <v>310</v>
      </c>
    </row>
    <row r="50" spans="1:3">
      <c r="A50" s="42">
        <v>44169</v>
      </c>
      <c r="B50">
        <v>1110</v>
      </c>
      <c r="C50">
        <v>300</v>
      </c>
    </row>
    <row r="51" spans="1:3">
      <c r="A51" s="42">
        <v>44176</v>
      </c>
      <c r="B51">
        <v>1100</v>
      </c>
      <c r="C51">
        <v>295</v>
      </c>
    </row>
    <row r="52" spans="1:3">
      <c r="A52" s="42">
        <v>44183</v>
      </c>
      <c r="B52">
        <v>1160</v>
      </c>
      <c r="C52">
        <v>290</v>
      </c>
    </row>
    <row r="53" spans="1:3">
      <c r="A53" s="42">
        <v>44190</v>
      </c>
      <c r="B53">
        <v>1180</v>
      </c>
      <c r="C53">
        <v>295</v>
      </c>
    </row>
    <row r="54" spans="1:3">
      <c r="B54" s="5">
        <f>AVERAGE(B2:B53)</f>
        <v>829.03846153846155</v>
      </c>
      <c r="C54" s="5">
        <f>AVERAGE(C2:C53)</f>
        <v>226.84615384615384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45"/>
  <sheetViews>
    <sheetView topLeftCell="A203" workbookViewId="0">
      <selection activeCell="C248" sqref="C248"/>
    </sheetView>
  </sheetViews>
  <sheetFormatPr defaultRowHeight="15"/>
  <cols>
    <col min="2" max="2" width="14.28515625" customWidth="1"/>
    <col min="3" max="3" width="11" bestFit="1" customWidth="1"/>
  </cols>
  <sheetData>
    <row r="1" spans="1:4">
      <c r="A1" s="43" t="s">
        <v>147</v>
      </c>
      <c r="B1" s="43" t="s">
        <v>148</v>
      </c>
      <c r="C1" s="43" t="s">
        <v>149</v>
      </c>
      <c r="D1" s="43" t="s">
        <v>150</v>
      </c>
    </row>
    <row r="2" spans="1:4">
      <c r="A2" s="44">
        <v>1</v>
      </c>
      <c r="B2" s="45">
        <v>43831</v>
      </c>
      <c r="C2" s="46">
        <v>61.905700000000003</v>
      </c>
      <c r="D2" s="43" t="s">
        <v>151</v>
      </c>
    </row>
    <row r="3" spans="1:4">
      <c r="A3" s="44">
        <v>1</v>
      </c>
      <c r="B3" s="45">
        <v>43840</v>
      </c>
      <c r="C3" s="46">
        <v>61.234000000000002</v>
      </c>
      <c r="D3" s="43" t="s">
        <v>151</v>
      </c>
    </row>
    <row r="4" spans="1:4">
      <c r="A4" s="44">
        <v>1</v>
      </c>
      <c r="B4" s="45">
        <v>43841</v>
      </c>
      <c r="C4" s="46">
        <v>61.263199999999998</v>
      </c>
      <c r="D4" s="43" t="s">
        <v>151</v>
      </c>
    </row>
    <row r="5" spans="1:4">
      <c r="A5" s="44">
        <v>1</v>
      </c>
      <c r="B5" s="45">
        <v>43844</v>
      </c>
      <c r="C5" s="46">
        <v>60.947400000000002</v>
      </c>
      <c r="D5" s="43" t="s">
        <v>151</v>
      </c>
    </row>
    <row r="6" spans="1:4">
      <c r="A6" s="44">
        <v>1</v>
      </c>
      <c r="B6" s="45">
        <v>43845</v>
      </c>
      <c r="C6" s="46">
        <v>61.414000000000001</v>
      </c>
      <c r="D6" s="43" t="s">
        <v>151</v>
      </c>
    </row>
    <row r="7" spans="1:4">
      <c r="A7" s="44">
        <v>1</v>
      </c>
      <c r="B7" s="45">
        <v>43846</v>
      </c>
      <c r="C7" s="46">
        <v>61.4328</v>
      </c>
      <c r="D7" s="43" t="s">
        <v>151</v>
      </c>
    </row>
    <row r="8" spans="1:4">
      <c r="A8" s="44">
        <v>1</v>
      </c>
      <c r="B8" s="45">
        <v>43847</v>
      </c>
      <c r="C8" s="46">
        <v>61.569400000000002</v>
      </c>
      <c r="D8" s="43" t="s">
        <v>151</v>
      </c>
    </row>
    <row r="9" spans="1:4">
      <c r="A9" s="44">
        <v>1</v>
      </c>
      <c r="B9" s="45">
        <v>43848</v>
      </c>
      <c r="C9" s="46">
        <v>61.533299999999997</v>
      </c>
      <c r="D9" s="43" t="s">
        <v>151</v>
      </c>
    </row>
    <row r="10" spans="1:4">
      <c r="A10" s="44">
        <v>1</v>
      </c>
      <c r="B10" s="45">
        <v>43851</v>
      </c>
      <c r="C10" s="46">
        <v>61.465400000000002</v>
      </c>
      <c r="D10" s="43" t="s">
        <v>151</v>
      </c>
    </row>
    <row r="11" spans="1:4">
      <c r="A11" s="44">
        <v>1</v>
      </c>
      <c r="B11" s="45">
        <v>43852</v>
      </c>
      <c r="C11" s="46">
        <v>61.855200000000004</v>
      </c>
      <c r="D11" s="43" t="s">
        <v>151</v>
      </c>
    </row>
    <row r="12" spans="1:4">
      <c r="A12" s="44">
        <v>1</v>
      </c>
      <c r="B12" s="45">
        <v>43853</v>
      </c>
      <c r="C12" s="46">
        <v>61.834299999999999</v>
      </c>
      <c r="D12" s="43" t="s">
        <v>151</v>
      </c>
    </row>
    <row r="13" spans="1:4">
      <c r="A13" s="44">
        <v>1</v>
      </c>
      <c r="B13" s="45">
        <v>43854</v>
      </c>
      <c r="C13" s="46">
        <v>61.951500000000003</v>
      </c>
      <c r="D13" s="43" t="s">
        <v>151</v>
      </c>
    </row>
    <row r="14" spans="1:4">
      <c r="A14" s="44">
        <v>1</v>
      </c>
      <c r="B14" s="45">
        <v>43855</v>
      </c>
      <c r="C14" s="46">
        <v>61.803100000000001</v>
      </c>
      <c r="D14" s="43" t="s">
        <v>151</v>
      </c>
    </row>
    <row r="15" spans="1:4">
      <c r="A15" s="44">
        <v>1</v>
      </c>
      <c r="B15" s="45">
        <v>43858</v>
      </c>
      <c r="C15" s="46">
        <v>62.338000000000001</v>
      </c>
      <c r="D15" s="43" t="s">
        <v>151</v>
      </c>
    </row>
    <row r="16" spans="1:4">
      <c r="A16" s="44">
        <v>1</v>
      </c>
      <c r="B16" s="45">
        <v>43859</v>
      </c>
      <c r="C16" s="46">
        <v>62.829900000000002</v>
      </c>
      <c r="D16" s="43" t="s">
        <v>151</v>
      </c>
    </row>
    <row r="17" spans="1:4">
      <c r="A17" s="44">
        <v>1</v>
      </c>
      <c r="B17" s="45">
        <v>43860</v>
      </c>
      <c r="C17" s="46">
        <v>62.3934</v>
      </c>
      <c r="D17" s="43" t="s">
        <v>151</v>
      </c>
    </row>
    <row r="18" spans="1:4">
      <c r="A18" s="44">
        <v>1</v>
      </c>
      <c r="B18" s="45">
        <v>43861</v>
      </c>
      <c r="C18" s="46">
        <v>63.035899999999998</v>
      </c>
      <c r="D18" s="43" t="s">
        <v>151</v>
      </c>
    </row>
    <row r="19" spans="1:4">
      <c r="A19" s="44">
        <v>1</v>
      </c>
      <c r="B19" s="45">
        <v>43862</v>
      </c>
      <c r="C19" s="46">
        <v>63.138500000000001</v>
      </c>
      <c r="D19" s="43" t="s">
        <v>151</v>
      </c>
    </row>
    <row r="20" spans="1:4">
      <c r="A20" s="44">
        <v>1</v>
      </c>
      <c r="B20" s="45">
        <v>43865</v>
      </c>
      <c r="C20" s="46">
        <v>63.909100000000002</v>
      </c>
      <c r="D20" s="43" t="s">
        <v>151</v>
      </c>
    </row>
    <row r="21" spans="1:4">
      <c r="A21" s="44">
        <v>1</v>
      </c>
      <c r="B21" s="45">
        <v>43866</v>
      </c>
      <c r="C21" s="46">
        <v>63.434199999999997</v>
      </c>
      <c r="D21" s="43" t="s">
        <v>151</v>
      </c>
    </row>
    <row r="22" spans="1:4">
      <c r="A22" s="44">
        <v>1</v>
      </c>
      <c r="B22" s="45">
        <v>43867</v>
      </c>
      <c r="C22" s="46">
        <v>63.174199999999999</v>
      </c>
      <c r="D22" s="43" t="s">
        <v>151</v>
      </c>
    </row>
    <row r="23" spans="1:4">
      <c r="A23" s="44">
        <v>1</v>
      </c>
      <c r="B23" s="45">
        <v>43868</v>
      </c>
      <c r="C23" s="46">
        <v>62.797699999999999</v>
      </c>
      <c r="D23" s="43" t="s">
        <v>151</v>
      </c>
    </row>
    <row r="24" spans="1:4">
      <c r="A24" s="44">
        <v>1</v>
      </c>
      <c r="B24" s="45">
        <v>43869</v>
      </c>
      <c r="C24" s="46">
        <v>63.472000000000001</v>
      </c>
      <c r="D24" s="43" t="s">
        <v>151</v>
      </c>
    </row>
    <row r="25" spans="1:4">
      <c r="A25" s="44">
        <v>1</v>
      </c>
      <c r="B25" s="45">
        <v>43872</v>
      </c>
      <c r="C25" s="46">
        <v>63.770800000000001</v>
      </c>
      <c r="D25" s="43" t="s">
        <v>151</v>
      </c>
    </row>
    <row r="26" spans="1:4">
      <c r="A26" s="44">
        <v>1</v>
      </c>
      <c r="B26" s="45">
        <v>43873</v>
      </c>
      <c r="C26" s="46">
        <v>63.948999999999998</v>
      </c>
      <c r="D26" s="43" t="s">
        <v>151</v>
      </c>
    </row>
    <row r="27" spans="1:4">
      <c r="A27" s="44">
        <v>1</v>
      </c>
      <c r="B27" s="45">
        <v>43874</v>
      </c>
      <c r="C27" s="46">
        <v>63.046999999999997</v>
      </c>
      <c r="D27" s="43" t="s">
        <v>151</v>
      </c>
    </row>
    <row r="28" spans="1:4">
      <c r="A28" s="44">
        <v>1</v>
      </c>
      <c r="B28" s="45">
        <v>43875</v>
      </c>
      <c r="C28" s="46">
        <v>63.601599999999998</v>
      </c>
      <c r="D28" s="43" t="s">
        <v>151</v>
      </c>
    </row>
    <row r="29" spans="1:4">
      <c r="A29" s="44">
        <v>1</v>
      </c>
      <c r="B29" s="45">
        <v>43876</v>
      </c>
      <c r="C29" s="46">
        <v>63.453600000000002</v>
      </c>
      <c r="D29" s="43" t="s">
        <v>151</v>
      </c>
    </row>
    <row r="30" spans="1:4">
      <c r="A30" s="44">
        <v>1</v>
      </c>
      <c r="B30" s="45">
        <v>43879</v>
      </c>
      <c r="C30" s="46">
        <v>63.308500000000002</v>
      </c>
      <c r="D30" s="43" t="s">
        <v>151</v>
      </c>
    </row>
    <row r="31" spans="1:4">
      <c r="A31" s="44">
        <v>1</v>
      </c>
      <c r="B31" s="45">
        <v>43880</v>
      </c>
      <c r="C31" s="46">
        <v>63.769799999999996</v>
      </c>
      <c r="D31" s="43" t="s">
        <v>151</v>
      </c>
    </row>
    <row r="32" spans="1:4">
      <c r="A32" s="44">
        <v>1</v>
      </c>
      <c r="B32" s="45">
        <v>43881</v>
      </c>
      <c r="C32" s="46">
        <v>63.6873</v>
      </c>
      <c r="D32" s="43" t="s">
        <v>151</v>
      </c>
    </row>
    <row r="33" spans="1:4">
      <c r="A33" s="44">
        <v>1</v>
      </c>
      <c r="B33" s="45">
        <v>43882</v>
      </c>
      <c r="C33" s="46">
        <v>63.741300000000003</v>
      </c>
      <c r="D33" s="43" t="s">
        <v>151</v>
      </c>
    </row>
    <row r="34" spans="1:4">
      <c r="A34" s="44">
        <v>1</v>
      </c>
      <c r="B34" s="45">
        <v>43883</v>
      </c>
      <c r="C34" s="46">
        <v>64.300799999999995</v>
      </c>
      <c r="D34" s="43" t="s">
        <v>151</v>
      </c>
    </row>
    <row r="35" spans="1:4">
      <c r="A35" s="44">
        <v>1</v>
      </c>
      <c r="B35" s="45">
        <v>43887</v>
      </c>
      <c r="C35" s="46">
        <v>64.921300000000002</v>
      </c>
      <c r="D35" s="43" t="s">
        <v>151</v>
      </c>
    </row>
    <row r="36" spans="1:4">
      <c r="A36" s="44">
        <v>1</v>
      </c>
      <c r="B36" s="45">
        <v>43888</v>
      </c>
      <c r="C36" s="46">
        <v>65.517700000000005</v>
      </c>
      <c r="D36" s="43" t="s">
        <v>151</v>
      </c>
    </row>
    <row r="37" spans="1:4">
      <c r="A37" s="44">
        <v>1</v>
      </c>
      <c r="B37" s="45">
        <v>43889</v>
      </c>
      <c r="C37" s="46">
        <v>65.609700000000004</v>
      </c>
      <c r="D37" s="43" t="s">
        <v>151</v>
      </c>
    </row>
    <row r="38" spans="1:4">
      <c r="A38" s="44">
        <v>1</v>
      </c>
      <c r="B38" s="45">
        <v>43890</v>
      </c>
      <c r="C38" s="46">
        <v>66.990899999999996</v>
      </c>
      <c r="D38" s="43" t="s">
        <v>151</v>
      </c>
    </row>
    <row r="39" spans="1:4">
      <c r="A39" s="44">
        <v>1</v>
      </c>
      <c r="B39" s="45">
        <v>43893</v>
      </c>
      <c r="C39" s="46">
        <v>66.327399999999997</v>
      </c>
      <c r="D39" s="43" t="s">
        <v>151</v>
      </c>
    </row>
    <row r="40" spans="1:4">
      <c r="A40" s="44">
        <v>1</v>
      </c>
      <c r="B40" s="45">
        <v>43894</v>
      </c>
      <c r="C40" s="46">
        <v>66.443700000000007</v>
      </c>
      <c r="D40" s="43" t="s">
        <v>151</v>
      </c>
    </row>
    <row r="41" spans="1:4">
      <c r="A41" s="44">
        <v>1</v>
      </c>
      <c r="B41" s="45">
        <v>43895</v>
      </c>
      <c r="C41" s="46">
        <v>66.078400000000002</v>
      </c>
      <c r="D41" s="43" t="s">
        <v>151</v>
      </c>
    </row>
    <row r="42" spans="1:4">
      <c r="A42" s="44">
        <v>1</v>
      </c>
      <c r="B42" s="45">
        <v>43896</v>
      </c>
      <c r="C42" s="46">
        <v>66.185400000000001</v>
      </c>
      <c r="D42" s="43" t="s">
        <v>151</v>
      </c>
    </row>
    <row r="43" spans="1:4">
      <c r="A43" s="44">
        <v>1</v>
      </c>
      <c r="B43" s="45">
        <v>43897</v>
      </c>
      <c r="C43" s="46">
        <v>67.517499999999998</v>
      </c>
      <c r="D43" s="43" t="s">
        <v>151</v>
      </c>
    </row>
    <row r="44" spans="1:4">
      <c r="A44" s="44">
        <v>1</v>
      </c>
      <c r="B44" s="45">
        <v>43901</v>
      </c>
      <c r="C44" s="46">
        <v>72.020799999999994</v>
      </c>
      <c r="D44" s="43" t="s">
        <v>151</v>
      </c>
    </row>
    <row r="45" spans="1:4">
      <c r="A45" s="44">
        <v>1</v>
      </c>
      <c r="B45" s="45">
        <v>43902</v>
      </c>
      <c r="C45" s="46">
        <v>71.471999999999994</v>
      </c>
      <c r="D45" s="43" t="s">
        <v>151</v>
      </c>
    </row>
    <row r="46" spans="1:4">
      <c r="A46" s="44">
        <v>1</v>
      </c>
      <c r="B46" s="45">
        <v>43903</v>
      </c>
      <c r="C46" s="46">
        <v>74.0274</v>
      </c>
      <c r="D46" s="43" t="s">
        <v>151</v>
      </c>
    </row>
    <row r="47" spans="1:4">
      <c r="A47" s="44">
        <v>1</v>
      </c>
      <c r="B47" s="45">
        <v>43904</v>
      </c>
      <c r="C47" s="46">
        <v>73.188199999999995</v>
      </c>
      <c r="D47" s="43" t="s">
        <v>151</v>
      </c>
    </row>
    <row r="48" spans="1:4">
      <c r="A48" s="44">
        <v>1</v>
      </c>
      <c r="B48" s="45">
        <v>43907</v>
      </c>
      <c r="C48" s="46">
        <v>74.126199999999997</v>
      </c>
      <c r="D48" s="43" t="s">
        <v>151</v>
      </c>
    </row>
    <row r="49" spans="1:4">
      <c r="A49" s="44">
        <v>1</v>
      </c>
      <c r="B49" s="45">
        <v>43908</v>
      </c>
      <c r="C49" s="46">
        <v>73.889600000000002</v>
      </c>
      <c r="D49" s="43" t="s">
        <v>151</v>
      </c>
    </row>
    <row r="50" spans="1:4">
      <c r="A50" s="44">
        <v>1</v>
      </c>
      <c r="B50" s="45">
        <v>43909</v>
      </c>
      <c r="C50" s="46">
        <v>77.213099999999997</v>
      </c>
      <c r="D50" s="43" t="s">
        <v>151</v>
      </c>
    </row>
    <row r="51" spans="1:4">
      <c r="A51" s="44">
        <v>1</v>
      </c>
      <c r="B51" s="45">
        <v>43910</v>
      </c>
      <c r="C51" s="46">
        <v>80.156999999999996</v>
      </c>
      <c r="D51" s="43" t="s">
        <v>151</v>
      </c>
    </row>
    <row r="52" spans="1:4">
      <c r="A52" s="44">
        <v>1</v>
      </c>
      <c r="B52" s="45">
        <v>43911</v>
      </c>
      <c r="C52" s="46">
        <v>78.044300000000007</v>
      </c>
      <c r="D52" s="43" t="s">
        <v>151</v>
      </c>
    </row>
    <row r="53" spans="1:4">
      <c r="A53" s="44">
        <v>1</v>
      </c>
      <c r="B53" s="45">
        <v>43914</v>
      </c>
      <c r="C53" s="46">
        <v>80.881500000000003</v>
      </c>
      <c r="D53" s="43" t="s">
        <v>151</v>
      </c>
    </row>
    <row r="54" spans="1:4">
      <c r="A54" s="44">
        <v>1</v>
      </c>
      <c r="B54" s="45">
        <v>43915</v>
      </c>
      <c r="C54" s="46">
        <v>78.849299999999999</v>
      </c>
      <c r="D54" s="43" t="s">
        <v>151</v>
      </c>
    </row>
    <row r="55" spans="1:4">
      <c r="A55" s="44">
        <v>1</v>
      </c>
      <c r="B55" s="45">
        <v>43916</v>
      </c>
      <c r="C55" s="46">
        <v>77.7928</v>
      </c>
      <c r="D55" s="43" t="s">
        <v>151</v>
      </c>
    </row>
    <row r="56" spans="1:4">
      <c r="A56" s="44">
        <v>1</v>
      </c>
      <c r="B56" s="45">
        <v>43917</v>
      </c>
      <c r="C56" s="46">
        <v>78.722300000000004</v>
      </c>
      <c r="D56" s="43" t="s">
        <v>151</v>
      </c>
    </row>
    <row r="57" spans="1:4">
      <c r="A57" s="44">
        <v>1</v>
      </c>
      <c r="B57" s="45">
        <v>43918</v>
      </c>
      <c r="C57" s="46">
        <v>77.732500000000002</v>
      </c>
      <c r="D57" s="43" t="s">
        <v>151</v>
      </c>
    </row>
    <row r="58" spans="1:4">
      <c r="A58" s="44">
        <v>1</v>
      </c>
      <c r="B58" s="45">
        <v>43928</v>
      </c>
      <c r="C58" s="46">
        <v>76.407399999999996</v>
      </c>
      <c r="D58" s="43" t="s">
        <v>151</v>
      </c>
    </row>
    <row r="59" spans="1:4">
      <c r="A59" s="44">
        <v>1</v>
      </c>
      <c r="B59" s="45">
        <v>43929</v>
      </c>
      <c r="C59" s="46">
        <v>75.454999999999998</v>
      </c>
      <c r="D59" s="43" t="s">
        <v>151</v>
      </c>
    </row>
    <row r="60" spans="1:4">
      <c r="A60" s="44">
        <v>1</v>
      </c>
      <c r="B60" s="45">
        <v>43930</v>
      </c>
      <c r="C60" s="46">
        <v>75.749899999999997</v>
      </c>
      <c r="D60" s="43" t="s">
        <v>151</v>
      </c>
    </row>
    <row r="61" spans="1:4">
      <c r="A61" s="44">
        <v>1</v>
      </c>
      <c r="B61" s="45">
        <v>43931</v>
      </c>
      <c r="C61" s="46">
        <v>74.605000000000004</v>
      </c>
      <c r="D61" s="43" t="s">
        <v>151</v>
      </c>
    </row>
    <row r="62" spans="1:4">
      <c r="A62" s="44">
        <v>1</v>
      </c>
      <c r="B62" s="45">
        <v>43932</v>
      </c>
      <c r="C62" s="46">
        <v>73.751499999999993</v>
      </c>
      <c r="D62" s="43" t="s">
        <v>151</v>
      </c>
    </row>
    <row r="63" spans="1:4">
      <c r="A63" s="44">
        <v>1</v>
      </c>
      <c r="B63" s="45">
        <v>43935</v>
      </c>
      <c r="C63" s="46">
        <v>73.524500000000003</v>
      </c>
      <c r="D63" s="43" t="s">
        <v>151</v>
      </c>
    </row>
    <row r="64" spans="1:4">
      <c r="A64" s="44">
        <v>1</v>
      </c>
      <c r="B64" s="45">
        <v>43936</v>
      </c>
      <c r="C64" s="46">
        <v>73.314999999999998</v>
      </c>
      <c r="D64" s="43" t="s">
        <v>151</v>
      </c>
    </row>
    <row r="65" spans="1:4">
      <c r="A65" s="44">
        <v>1</v>
      </c>
      <c r="B65" s="45">
        <v>43937</v>
      </c>
      <c r="C65" s="46">
        <v>73.714500000000001</v>
      </c>
      <c r="D65" s="43" t="s">
        <v>151</v>
      </c>
    </row>
    <row r="66" spans="1:4">
      <c r="A66" s="44">
        <v>1</v>
      </c>
      <c r="B66" s="45">
        <v>43938</v>
      </c>
      <c r="C66" s="46">
        <v>74.7119</v>
      </c>
      <c r="D66" s="43" t="s">
        <v>151</v>
      </c>
    </row>
    <row r="67" spans="1:4">
      <c r="A67" s="44">
        <v>1</v>
      </c>
      <c r="B67" s="45">
        <v>43939</v>
      </c>
      <c r="C67" s="46">
        <v>73.944100000000006</v>
      </c>
      <c r="D67" s="43" t="s">
        <v>151</v>
      </c>
    </row>
    <row r="68" spans="1:4">
      <c r="A68" s="44">
        <v>1</v>
      </c>
      <c r="B68" s="45">
        <v>43942</v>
      </c>
      <c r="C68" s="46">
        <v>74.665700000000001</v>
      </c>
      <c r="D68" s="43" t="s">
        <v>151</v>
      </c>
    </row>
    <row r="69" spans="1:4">
      <c r="A69" s="44">
        <v>1</v>
      </c>
      <c r="B69" s="45">
        <v>43943</v>
      </c>
      <c r="C69" s="46">
        <v>76.256200000000007</v>
      </c>
      <c r="D69" s="43" t="s">
        <v>151</v>
      </c>
    </row>
    <row r="70" spans="1:4">
      <c r="A70" s="44">
        <v>1</v>
      </c>
      <c r="B70" s="45">
        <v>43944</v>
      </c>
      <c r="C70" s="46">
        <v>77.041600000000003</v>
      </c>
      <c r="D70" s="43" t="s">
        <v>151</v>
      </c>
    </row>
    <row r="71" spans="1:4">
      <c r="A71" s="44">
        <v>1</v>
      </c>
      <c r="B71" s="45">
        <v>43945</v>
      </c>
      <c r="C71" s="46">
        <v>75.129000000000005</v>
      </c>
      <c r="D71" s="43" t="s">
        <v>151</v>
      </c>
    </row>
    <row r="72" spans="1:4">
      <c r="A72" s="44">
        <v>1</v>
      </c>
      <c r="B72" s="45">
        <v>43946</v>
      </c>
      <c r="C72" s="46">
        <v>74.716300000000004</v>
      </c>
      <c r="D72" s="43" t="s">
        <v>151</v>
      </c>
    </row>
    <row r="73" spans="1:4">
      <c r="A73" s="44">
        <v>1</v>
      </c>
      <c r="B73" s="45">
        <v>43949</v>
      </c>
      <c r="C73" s="46">
        <v>74.495999999999995</v>
      </c>
      <c r="D73" s="43" t="s">
        <v>151</v>
      </c>
    </row>
    <row r="74" spans="1:4">
      <c r="A74" s="44">
        <v>1</v>
      </c>
      <c r="B74" s="45">
        <v>43950</v>
      </c>
      <c r="C74" s="46">
        <v>74.570599999999999</v>
      </c>
      <c r="D74" s="43" t="s">
        <v>151</v>
      </c>
    </row>
    <row r="75" spans="1:4">
      <c r="A75" s="44">
        <v>1</v>
      </c>
      <c r="B75" s="45">
        <v>43951</v>
      </c>
      <c r="C75" s="46">
        <v>73.689400000000006</v>
      </c>
      <c r="D75" s="43" t="s">
        <v>151</v>
      </c>
    </row>
    <row r="76" spans="1:4">
      <c r="A76" s="44">
        <v>1</v>
      </c>
      <c r="B76" s="45">
        <v>43952</v>
      </c>
      <c r="C76" s="46">
        <v>72.726299999999995</v>
      </c>
      <c r="D76" s="43" t="s">
        <v>151</v>
      </c>
    </row>
    <row r="77" spans="1:4">
      <c r="A77" s="44">
        <v>1</v>
      </c>
      <c r="B77" s="45">
        <v>43958</v>
      </c>
      <c r="C77" s="46">
        <v>73.971900000000005</v>
      </c>
      <c r="D77" s="43" t="s">
        <v>151</v>
      </c>
    </row>
    <row r="78" spans="1:4">
      <c r="A78" s="44">
        <v>1</v>
      </c>
      <c r="B78" s="45">
        <v>43959</v>
      </c>
      <c r="C78" s="46">
        <v>74.116900000000001</v>
      </c>
      <c r="D78" s="43" t="s">
        <v>151</v>
      </c>
    </row>
    <row r="79" spans="1:4">
      <c r="A79" s="44">
        <v>1</v>
      </c>
      <c r="B79" s="45">
        <v>43960</v>
      </c>
      <c r="C79" s="46">
        <v>73.872500000000002</v>
      </c>
      <c r="D79" s="43" t="s">
        <v>151</v>
      </c>
    </row>
    <row r="80" spans="1:4">
      <c r="A80" s="44">
        <v>1</v>
      </c>
      <c r="B80" s="45">
        <v>43964</v>
      </c>
      <c r="C80" s="46">
        <v>73.432599999999994</v>
      </c>
      <c r="D80" s="43" t="s">
        <v>151</v>
      </c>
    </row>
    <row r="81" spans="1:4">
      <c r="A81" s="44">
        <v>1</v>
      </c>
      <c r="B81" s="45">
        <v>43965</v>
      </c>
      <c r="C81" s="46">
        <v>73.581900000000005</v>
      </c>
      <c r="D81" s="43" t="s">
        <v>151</v>
      </c>
    </row>
    <row r="82" spans="1:4">
      <c r="A82" s="44">
        <v>1</v>
      </c>
      <c r="B82" s="45">
        <v>43966</v>
      </c>
      <c r="C82" s="46">
        <v>73.9298</v>
      </c>
      <c r="D82" s="43" t="s">
        <v>151</v>
      </c>
    </row>
    <row r="83" spans="1:4">
      <c r="A83" s="44">
        <v>1</v>
      </c>
      <c r="B83" s="45">
        <v>43967</v>
      </c>
      <c r="C83" s="46">
        <v>73.205600000000004</v>
      </c>
      <c r="D83" s="43" t="s">
        <v>151</v>
      </c>
    </row>
    <row r="84" spans="1:4">
      <c r="A84" s="44">
        <v>1</v>
      </c>
      <c r="B84" s="45">
        <v>43970</v>
      </c>
      <c r="C84" s="46">
        <v>72.979799999999997</v>
      </c>
      <c r="D84" s="43" t="s">
        <v>151</v>
      </c>
    </row>
    <row r="85" spans="1:4">
      <c r="A85" s="44">
        <v>1</v>
      </c>
      <c r="B85" s="45">
        <v>43971</v>
      </c>
      <c r="C85" s="46">
        <v>72.391800000000003</v>
      </c>
      <c r="D85" s="43" t="s">
        <v>151</v>
      </c>
    </row>
    <row r="86" spans="1:4">
      <c r="A86" s="44">
        <v>1</v>
      </c>
      <c r="B86" s="45">
        <v>43972</v>
      </c>
      <c r="C86" s="46">
        <v>72.338099999999997</v>
      </c>
      <c r="D86" s="43" t="s">
        <v>151</v>
      </c>
    </row>
    <row r="87" spans="1:4">
      <c r="A87" s="44">
        <v>1</v>
      </c>
      <c r="B87" s="45">
        <v>43973</v>
      </c>
      <c r="C87" s="46">
        <v>70.924000000000007</v>
      </c>
      <c r="D87" s="43" t="s">
        <v>151</v>
      </c>
    </row>
    <row r="88" spans="1:4">
      <c r="A88" s="44">
        <v>1</v>
      </c>
      <c r="B88" s="45">
        <v>43974</v>
      </c>
      <c r="C88" s="46">
        <v>71.880399999999995</v>
      </c>
      <c r="D88" s="43" t="s">
        <v>151</v>
      </c>
    </row>
    <row r="89" spans="1:4">
      <c r="A89" s="44">
        <v>1</v>
      </c>
      <c r="B89" s="45">
        <v>43977</v>
      </c>
      <c r="C89" s="46">
        <v>71.596199999999996</v>
      </c>
      <c r="D89" s="43" t="s">
        <v>151</v>
      </c>
    </row>
    <row r="90" spans="1:4">
      <c r="A90" s="44">
        <v>1</v>
      </c>
      <c r="B90" s="45">
        <v>43978</v>
      </c>
      <c r="C90" s="46">
        <v>71.140799999999999</v>
      </c>
      <c r="D90" s="43" t="s">
        <v>151</v>
      </c>
    </row>
    <row r="91" spans="1:4">
      <c r="A91" s="44">
        <v>1</v>
      </c>
      <c r="B91" s="45">
        <v>43979</v>
      </c>
      <c r="C91" s="46">
        <v>71.063500000000005</v>
      </c>
      <c r="D91" s="43" t="s">
        <v>151</v>
      </c>
    </row>
    <row r="92" spans="1:4">
      <c r="A92" s="44">
        <v>1</v>
      </c>
      <c r="B92" s="45">
        <v>43980</v>
      </c>
      <c r="C92" s="46">
        <v>71.101200000000006</v>
      </c>
      <c r="D92" s="43" t="s">
        <v>151</v>
      </c>
    </row>
    <row r="93" spans="1:4">
      <c r="A93" s="44">
        <v>1</v>
      </c>
      <c r="B93" s="45">
        <v>43981</v>
      </c>
      <c r="C93" s="46">
        <v>70.751999999999995</v>
      </c>
      <c r="D93" s="43" t="s">
        <v>151</v>
      </c>
    </row>
    <row r="94" spans="1:4">
      <c r="A94" s="44">
        <v>1</v>
      </c>
      <c r="B94" s="45">
        <v>43984</v>
      </c>
      <c r="C94" s="46">
        <v>69.711399999999998</v>
      </c>
      <c r="D94" s="43" t="s">
        <v>151</v>
      </c>
    </row>
    <row r="95" spans="1:4">
      <c r="A95" s="44">
        <v>1</v>
      </c>
      <c r="B95" s="45">
        <v>43985</v>
      </c>
      <c r="C95" s="46">
        <v>68.983099999999993</v>
      </c>
      <c r="D95" s="43" t="s">
        <v>151</v>
      </c>
    </row>
    <row r="96" spans="1:4">
      <c r="A96" s="44">
        <v>1</v>
      </c>
      <c r="B96" s="45">
        <v>43986</v>
      </c>
      <c r="C96" s="46">
        <v>68.341300000000004</v>
      </c>
      <c r="D96" s="43" t="s">
        <v>151</v>
      </c>
    </row>
    <row r="97" spans="1:4">
      <c r="A97" s="44">
        <v>1</v>
      </c>
      <c r="B97" s="45">
        <v>43987</v>
      </c>
      <c r="C97" s="46">
        <v>69.015100000000004</v>
      </c>
      <c r="D97" s="43" t="s">
        <v>151</v>
      </c>
    </row>
    <row r="98" spans="1:4">
      <c r="A98" s="44">
        <v>1</v>
      </c>
      <c r="B98" s="45">
        <v>43988</v>
      </c>
      <c r="C98" s="46">
        <v>68.631900000000002</v>
      </c>
      <c r="D98" s="43" t="s">
        <v>151</v>
      </c>
    </row>
    <row r="99" spans="1:4">
      <c r="A99" s="44">
        <v>1</v>
      </c>
      <c r="B99" s="45">
        <v>43991</v>
      </c>
      <c r="C99" s="46">
        <v>68.312299999999993</v>
      </c>
      <c r="D99" s="43" t="s">
        <v>151</v>
      </c>
    </row>
    <row r="100" spans="1:4">
      <c r="A100" s="44">
        <v>1</v>
      </c>
      <c r="B100" s="45">
        <v>43992</v>
      </c>
      <c r="C100" s="46">
        <v>68.674499999999995</v>
      </c>
      <c r="D100" s="43" t="s">
        <v>151</v>
      </c>
    </row>
    <row r="101" spans="1:4">
      <c r="A101" s="44">
        <v>1</v>
      </c>
      <c r="B101" s="45">
        <v>43993</v>
      </c>
      <c r="C101" s="46">
        <v>68.618300000000005</v>
      </c>
      <c r="D101" s="43" t="s">
        <v>151</v>
      </c>
    </row>
    <row r="102" spans="1:4">
      <c r="A102" s="44">
        <v>1</v>
      </c>
      <c r="B102" s="45">
        <v>43994</v>
      </c>
      <c r="C102" s="46">
        <v>69.121899999999997</v>
      </c>
      <c r="D102" s="43" t="s">
        <v>151</v>
      </c>
    </row>
    <row r="103" spans="1:4">
      <c r="A103" s="44">
        <v>1</v>
      </c>
      <c r="B103" s="45">
        <v>43998</v>
      </c>
      <c r="C103" s="46">
        <v>70.394999999999996</v>
      </c>
      <c r="D103" s="43" t="s">
        <v>151</v>
      </c>
    </row>
    <row r="104" spans="1:4">
      <c r="A104" s="44">
        <v>1</v>
      </c>
      <c r="B104" s="45">
        <v>43999</v>
      </c>
      <c r="C104" s="46">
        <v>69.752399999999994</v>
      </c>
      <c r="D104" s="43" t="s">
        <v>151</v>
      </c>
    </row>
    <row r="105" spans="1:4">
      <c r="A105" s="44">
        <v>1</v>
      </c>
      <c r="B105" s="45">
        <v>44000</v>
      </c>
      <c r="C105" s="46">
        <v>69.482200000000006</v>
      </c>
      <c r="D105" s="43" t="s">
        <v>151</v>
      </c>
    </row>
    <row r="106" spans="1:4">
      <c r="A106" s="44">
        <v>1</v>
      </c>
      <c r="B106" s="45">
        <v>44001</v>
      </c>
      <c r="C106" s="46">
        <v>69.617999999999995</v>
      </c>
      <c r="D106" s="43" t="s">
        <v>151</v>
      </c>
    </row>
    <row r="107" spans="1:4">
      <c r="A107" s="44">
        <v>1</v>
      </c>
      <c r="B107" s="45">
        <v>44002</v>
      </c>
      <c r="C107" s="46">
        <v>69.572500000000005</v>
      </c>
      <c r="D107" s="43" t="s">
        <v>151</v>
      </c>
    </row>
    <row r="108" spans="1:4">
      <c r="A108" s="44">
        <v>1</v>
      </c>
      <c r="B108" s="45">
        <v>44005</v>
      </c>
      <c r="C108" s="46">
        <v>69.483500000000006</v>
      </c>
      <c r="D108" s="43" t="s">
        <v>151</v>
      </c>
    </row>
    <row r="109" spans="1:4">
      <c r="A109" s="44">
        <v>1</v>
      </c>
      <c r="B109" s="45">
        <v>44006</v>
      </c>
      <c r="C109" s="46">
        <v>68.837599999999995</v>
      </c>
      <c r="D109" s="43" t="s">
        <v>151</v>
      </c>
    </row>
    <row r="110" spans="1:4">
      <c r="A110" s="44">
        <v>1</v>
      </c>
      <c r="B110" s="45">
        <v>44007</v>
      </c>
      <c r="C110" s="46">
        <v>68.837599999999995</v>
      </c>
      <c r="D110" s="43" t="s">
        <v>151</v>
      </c>
    </row>
    <row r="111" spans="1:4">
      <c r="A111" s="44">
        <v>1</v>
      </c>
      <c r="B111" s="45">
        <v>44008</v>
      </c>
      <c r="C111" s="46">
        <v>69.465999999999994</v>
      </c>
      <c r="D111" s="43" t="s">
        <v>151</v>
      </c>
    </row>
    <row r="112" spans="1:4">
      <c r="A112" s="44">
        <v>1</v>
      </c>
      <c r="B112" s="45">
        <v>44009</v>
      </c>
      <c r="C112" s="46">
        <v>69.128399999999999</v>
      </c>
      <c r="D112" s="43" t="s">
        <v>151</v>
      </c>
    </row>
    <row r="113" spans="1:4">
      <c r="A113" s="44">
        <v>1</v>
      </c>
      <c r="B113" s="45">
        <v>44012</v>
      </c>
      <c r="C113" s="46">
        <v>69.951300000000003</v>
      </c>
      <c r="D113" s="43" t="s">
        <v>151</v>
      </c>
    </row>
    <row r="114" spans="1:4">
      <c r="A114" s="44">
        <v>1</v>
      </c>
      <c r="B114" s="45">
        <v>44013</v>
      </c>
      <c r="C114" s="46">
        <v>70.441299999999998</v>
      </c>
      <c r="D114" s="43" t="s">
        <v>151</v>
      </c>
    </row>
    <row r="115" spans="1:4">
      <c r="A115" s="44">
        <v>1</v>
      </c>
      <c r="B115" s="45">
        <v>44014</v>
      </c>
      <c r="C115" s="46">
        <v>70.441299999999998</v>
      </c>
      <c r="D115" s="43" t="s">
        <v>151</v>
      </c>
    </row>
    <row r="116" spans="1:4">
      <c r="A116" s="44">
        <v>1</v>
      </c>
      <c r="B116" s="45">
        <v>44015</v>
      </c>
      <c r="C116" s="46">
        <v>70.519800000000004</v>
      </c>
      <c r="D116" s="43" t="s">
        <v>151</v>
      </c>
    </row>
    <row r="117" spans="1:4">
      <c r="A117" s="44">
        <v>1</v>
      </c>
      <c r="B117" s="45">
        <v>44016</v>
      </c>
      <c r="C117" s="46">
        <v>70.499899999999997</v>
      </c>
      <c r="D117" s="43" t="s">
        <v>151</v>
      </c>
    </row>
    <row r="118" spans="1:4">
      <c r="A118" s="44">
        <v>1</v>
      </c>
      <c r="B118" s="45">
        <v>44019</v>
      </c>
      <c r="C118" s="46">
        <v>71.340900000000005</v>
      </c>
      <c r="D118" s="43" t="s">
        <v>151</v>
      </c>
    </row>
    <row r="119" spans="1:4">
      <c r="A119" s="44">
        <v>1</v>
      </c>
      <c r="B119" s="45">
        <v>44020</v>
      </c>
      <c r="C119" s="46">
        <v>72.171899999999994</v>
      </c>
      <c r="D119" s="43" t="s">
        <v>151</v>
      </c>
    </row>
    <row r="120" spans="1:4">
      <c r="A120" s="44">
        <v>1</v>
      </c>
      <c r="B120" s="45">
        <v>44021</v>
      </c>
      <c r="C120" s="46">
        <v>71.237899999999996</v>
      </c>
      <c r="D120" s="43" t="s">
        <v>151</v>
      </c>
    </row>
    <row r="121" spans="1:4">
      <c r="A121" s="44">
        <v>1</v>
      </c>
      <c r="B121" s="45">
        <v>44022</v>
      </c>
      <c r="C121" s="46">
        <v>70.88</v>
      </c>
      <c r="D121" s="43" t="s">
        <v>151</v>
      </c>
    </row>
    <row r="122" spans="1:4">
      <c r="A122" s="44">
        <v>1</v>
      </c>
      <c r="B122" s="45">
        <v>44023</v>
      </c>
      <c r="C122" s="46">
        <v>71.229799999999997</v>
      </c>
      <c r="D122" s="43" t="s">
        <v>151</v>
      </c>
    </row>
    <row r="123" spans="1:4">
      <c r="A123" s="44">
        <v>1</v>
      </c>
      <c r="B123" s="45">
        <v>44026</v>
      </c>
      <c r="C123" s="46">
        <v>70.747900000000001</v>
      </c>
      <c r="D123" s="43" t="s">
        <v>151</v>
      </c>
    </row>
    <row r="124" spans="1:4">
      <c r="A124" s="44">
        <v>1</v>
      </c>
      <c r="B124" s="45">
        <v>44027</v>
      </c>
      <c r="C124" s="46">
        <v>71.127499999999998</v>
      </c>
      <c r="D124" s="43" t="s">
        <v>151</v>
      </c>
    </row>
    <row r="125" spans="1:4">
      <c r="A125" s="44">
        <v>1</v>
      </c>
      <c r="B125" s="45">
        <v>44028</v>
      </c>
      <c r="C125" s="46">
        <v>70.799800000000005</v>
      </c>
      <c r="D125" s="43" t="s">
        <v>151</v>
      </c>
    </row>
    <row r="126" spans="1:4">
      <c r="A126" s="44">
        <v>1</v>
      </c>
      <c r="B126" s="45">
        <v>44029</v>
      </c>
      <c r="C126" s="46">
        <v>71.230999999999995</v>
      </c>
      <c r="D126" s="43" t="s">
        <v>151</v>
      </c>
    </row>
    <row r="127" spans="1:4">
      <c r="A127" s="44">
        <v>1</v>
      </c>
      <c r="B127" s="45">
        <v>44030</v>
      </c>
      <c r="C127" s="46">
        <v>71.713899999999995</v>
      </c>
      <c r="D127" s="43" t="s">
        <v>151</v>
      </c>
    </row>
    <row r="128" spans="1:4">
      <c r="A128" s="44">
        <v>1</v>
      </c>
      <c r="B128" s="45">
        <v>44033</v>
      </c>
      <c r="C128" s="46">
        <v>71.962800000000001</v>
      </c>
      <c r="D128" s="43" t="s">
        <v>151</v>
      </c>
    </row>
    <row r="129" spans="1:4">
      <c r="A129" s="44">
        <v>1</v>
      </c>
      <c r="B129" s="45">
        <v>44034</v>
      </c>
      <c r="C129" s="46">
        <v>70.966800000000006</v>
      </c>
      <c r="D129" s="43" t="s">
        <v>151</v>
      </c>
    </row>
    <row r="130" spans="1:4">
      <c r="A130" s="44">
        <v>1</v>
      </c>
      <c r="B130" s="45">
        <v>44035</v>
      </c>
      <c r="C130" s="46">
        <v>70.7881</v>
      </c>
      <c r="D130" s="43" t="s">
        <v>151</v>
      </c>
    </row>
    <row r="131" spans="1:4">
      <c r="A131" s="44">
        <v>1</v>
      </c>
      <c r="B131" s="45">
        <v>44036</v>
      </c>
      <c r="C131" s="46">
        <v>70.962999999999994</v>
      </c>
      <c r="D131" s="43" t="s">
        <v>151</v>
      </c>
    </row>
    <row r="132" spans="1:4">
      <c r="A132" s="44">
        <v>1</v>
      </c>
      <c r="B132" s="45">
        <v>44037</v>
      </c>
      <c r="C132" s="46">
        <v>71.597399999999993</v>
      </c>
      <c r="D132" s="43" t="s">
        <v>151</v>
      </c>
    </row>
    <row r="133" spans="1:4">
      <c r="A133" s="44">
        <v>1</v>
      </c>
      <c r="B133" s="45">
        <v>44040</v>
      </c>
      <c r="C133" s="46">
        <v>71.584999999999994</v>
      </c>
      <c r="D133" s="43" t="s">
        <v>151</v>
      </c>
    </row>
    <row r="134" spans="1:4">
      <c r="A134" s="44">
        <v>1</v>
      </c>
      <c r="B134" s="45">
        <v>44041</v>
      </c>
      <c r="C134" s="46">
        <v>71.919600000000003</v>
      </c>
      <c r="D134" s="43" t="s">
        <v>151</v>
      </c>
    </row>
    <row r="135" spans="1:4">
      <c r="A135" s="44">
        <v>1</v>
      </c>
      <c r="B135" s="45">
        <v>44042</v>
      </c>
      <c r="C135" s="46">
        <v>72.234800000000007</v>
      </c>
      <c r="D135" s="43" t="s">
        <v>151</v>
      </c>
    </row>
    <row r="136" spans="1:4">
      <c r="A136" s="44">
        <v>1</v>
      </c>
      <c r="B136" s="45">
        <v>44043</v>
      </c>
      <c r="C136" s="46">
        <v>73.363299999999995</v>
      </c>
      <c r="D136" s="43" t="s">
        <v>151</v>
      </c>
    </row>
    <row r="137" spans="1:4">
      <c r="A137" s="44">
        <v>1</v>
      </c>
      <c r="B137" s="45">
        <v>44044</v>
      </c>
      <c r="C137" s="46">
        <v>73.426100000000005</v>
      </c>
      <c r="D137" s="43" t="s">
        <v>151</v>
      </c>
    </row>
    <row r="138" spans="1:4">
      <c r="A138" s="44">
        <v>1</v>
      </c>
      <c r="B138" s="45">
        <v>44047</v>
      </c>
      <c r="C138" s="46">
        <v>74.158600000000007</v>
      </c>
      <c r="D138" s="43" t="s">
        <v>151</v>
      </c>
    </row>
    <row r="139" spans="1:4">
      <c r="A139" s="44">
        <v>1</v>
      </c>
      <c r="B139" s="45">
        <v>44048</v>
      </c>
      <c r="C139" s="46">
        <v>73.380600000000001</v>
      </c>
      <c r="D139" s="43" t="s">
        <v>151</v>
      </c>
    </row>
    <row r="140" spans="1:4">
      <c r="A140" s="44">
        <v>1</v>
      </c>
      <c r="B140" s="45">
        <v>44049</v>
      </c>
      <c r="C140" s="46">
        <v>73.280600000000007</v>
      </c>
      <c r="D140" s="43" t="s">
        <v>151</v>
      </c>
    </row>
    <row r="141" spans="1:4">
      <c r="A141" s="44">
        <v>1</v>
      </c>
      <c r="B141" s="45">
        <v>44050</v>
      </c>
      <c r="C141" s="46">
        <v>73.039699999999996</v>
      </c>
      <c r="D141" s="43" t="s">
        <v>151</v>
      </c>
    </row>
    <row r="142" spans="1:4">
      <c r="A142" s="44">
        <v>1</v>
      </c>
      <c r="B142" s="45">
        <v>44051</v>
      </c>
      <c r="C142" s="46">
        <v>73.637600000000006</v>
      </c>
      <c r="D142" s="43" t="s">
        <v>151</v>
      </c>
    </row>
    <row r="143" spans="1:4">
      <c r="A143" s="44">
        <v>1</v>
      </c>
      <c r="B143" s="45">
        <v>44054</v>
      </c>
      <c r="C143" s="46">
        <v>73.775000000000006</v>
      </c>
      <c r="D143" s="43" t="s">
        <v>151</v>
      </c>
    </row>
    <row r="144" spans="1:4">
      <c r="A144" s="44">
        <v>1</v>
      </c>
      <c r="B144" s="45">
        <v>44055</v>
      </c>
      <c r="C144" s="46">
        <v>73.152199999999993</v>
      </c>
      <c r="D144" s="43" t="s">
        <v>151</v>
      </c>
    </row>
    <row r="145" spans="1:4">
      <c r="A145" s="44">
        <v>1</v>
      </c>
      <c r="B145" s="45">
        <v>44056</v>
      </c>
      <c r="C145" s="46">
        <v>73.235100000000003</v>
      </c>
      <c r="D145" s="43" t="s">
        <v>151</v>
      </c>
    </row>
    <row r="146" spans="1:4">
      <c r="A146" s="44">
        <v>1</v>
      </c>
      <c r="B146" s="45">
        <v>44057</v>
      </c>
      <c r="C146" s="46">
        <v>73.606700000000004</v>
      </c>
      <c r="D146" s="43" t="s">
        <v>151</v>
      </c>
    </row>
    <row r="147" spans="1:4">
      <c r="A147" s="44">
        <v>1</v>
      </c>
      <c r="B147" s="45">
        <v>44058</v>
      </c>
      <c r="C147" s="46">
        <v>73.215699999999998</v>
      </c>
      <c r="D147" s="43" t="s">
        <v>151</v>
      </c>
    </row>
    <row r="148" spans="1:4">
      <c r="A148" s="44">
        <v>1</v>
      </c>
      <c r="B148" s="45">
        <v>44061</v>
      </c>
      <c r="C148" s="46">
        <v>72.967600000000004</v>
      </c>
      <c r="D148" s="43" t="s">
        <v>151</v>
      </c>
    </row>
    <row r="149" spans="1:4">
      <c r="A149" s="44">
        <v>1</v>
      </c>
      <c r="B149" s="45">
        <v>44062</v>
      </c>
      <c r="C149" s="46">
        <v>73.432100000000005</v>
      </c>
      <c r="D149" s="43" t="s">
        <v>151</v>
      </c>
    </row>
    <row r="150" spans="1:4">
      <c r="A150" s="44">
        <v>1</v>
      </c>
      <c r="B150" s="45">
        <v>44063</v>
      </c>
      <c r="C150" s="46">
        <v>73.239199999999997</v>
      </c>
      <c r="D150" s="43" t="s">
        <v>151</v>
      </c>
    </row>
    <row r="151" spans="1:4">
      <c r="A151" s="44">
        <v>1</v>
      </c>
      <c r="B151" s="45">
        <v>44064</v>
      </c>
      <c r="C151" s="46">
        <v>73.771100000000004</v>
      </c>
      <c r="D151" s="43" t="s">
        <v>151</v>
      </c>
    </row>
    <row r="152" spans="1:4">
      <c r="A152" s="44">
        <v>1</v>
      </c>
      <c r="B152" s="45">
        <v>44065</v>
      </c>
      <c r="C152" s="46">
        <v>74.099900000000005</v>
      </c>
      <c r="D152" s="43" t="s">
        <v>151</v>
      </c>
    </row>
    <row r="153" spans="1:4">
      <c r="A153" s="44">
        <v>1</v>
      </c>
      <c r="B153" s="45">
        <v>44068</v>
      </c>
      <c r="C153" s="46">
        <v>74.418400000000005</v>
      </c>
      <c r="D153" s="43" t="s">
        <v>151</v>
      </c>
    </row>
    <row r="154" spans="1:4">
      <c r="A154" s="44">
        <v>1</v>
      </c>
      <c r="B154" s="45">
        <v>44069</v>
      </c>
      <c r="C154" s="46">
        <v>74.512600000000006</v>
      </c>
      <c r="D154" s="43" t="s">
        <v>151</v>
      </c>
    </row>
    <row r="155" spans="1:4">
      <c r="A155" s="44">
        <v>1</v>
      </c>
      <c r="B155" s="45">
        <v>44070</v>
      </c>
      <c r="C155" s="46">
        <v>75.537899999999993</v>
      </c>
      <c r="D155" s="43" t="s">
        <v>151</v>
      </c>
    </row>
    <row r="156" spans="1:4">
      <c r="A156" s="44">
        <v>1</v>
      </c>
      <c r="B156" s="45">
        <v>44071</v>
      </c>
      <c r="C156" s="46">
        <v>75.235399999999998</v>
      </c>
      <c r="D156" s="43" t="s">
        <v>151</v>
      </c>
    </row>
    <row r="157" spans="1:4">
      <c r="A157" s="44">
        <v>1</v>
      </c>
      <c r="B157" s="45">
        <v>44072</v>
      </c>
      <c r="C157" s="46">
        <v>74.638199999999998</v>
      </c>
      <c r="D157" s="43" t="s">
        <v>151</v>
      </c>
    </row>
    <row r="158" spans="1:4">
      <c r="A158" s="44">
        <v>1</v>
      </c>
      <c r="B158" s="45">
        <v>44075</v>
      </c>
      <c r="C158" s="46">
        <v>73.803899999999999</v>
      </c>
      <c r="D158" s="43" t="s">
        <v>151</v>
      </c>
    </row>
    <row r="159" spans="1:4">
      <c r="A159" s="44">
        <v>1</v>
      </c>
      <c r="B159" s="45">
        <v>44076</v>
      </c>
      <c r="C159" s="46">
        <v>73.584900000000005</v>
      </c>
      <c r="D159" s="43" t="s">
        <v>151</v>
      </c>
    </row>
    <row r="160" spans="1:4">
      <c r="A160" s="44">
        <v>1</v>
      </c>
      <c r="B160" s="45">
        <v>44077</v>
      </c>
      <c r="C160" s="46">
        <v>73.858800000000002</v>
      </c>
      <c r="D160" s="43" t="s">
        <v>151</v>
      </c>
    </row>
    <row r="161" spans="1:4">
      <c r="A161" s="44">
        <v>1</v>
      </c>
      <c r="B161" s="45">
        <v>44078</v>
      </c>
      <c r="C161" s="46">
        <v>75.468000000000004</v>
      </c>
      <c r="D161" s="43" t="s">
        <v>151</v>
      </c>
    </row>
    <row r="162" spans="1:4">
      <c r="A162" s="44">
        <v>1</v>
      </c>
      <c r="B162" s="45">
        <v>44079</v>
      </c>
      <c r="C162" s="46">
        <v>75.182299999999998</v>
      </c>
      <c r="D162" s="43" t="s">
        <v>151</v>
      </c>
    </row>
    <row r="163" spans="1:4">
      <c r="A163" s="44">
        <v>1</v>
      </c>
      <c r="B163" s="45">
        <v>44082</v>
      </c>
      <c r="C163" s="46">
        <v>75.590999999999994</v>
      </c>
      <c r="D163" s="43" t="s">
        <v>151</v>
      </c>
    </row>
    <row r="164" spans="1:4">
      <c r="A164" s="44">
        <v>1</v>
      </c>
      <c r="B164" s="45">
        <v>44083</v>
      </c>
      <c r="C164" s="46">
        <v>75.964500000000001</v>
      </c>
      <c r="D164" s="43" t="s">
        <v>151</v>
      </c>
    </row>
    <row r="165" spans="1:4">
      <c r="A165" s="44">
        <v>1</v>
      </c>
      <c r="B165" s="45">
        <v>44084</v>
      </c>
      <c r="C165" s="46">
        <v>76.071299999999994</v>
      </c>
      <c r="D165" s="43" t="s">
        <v>151</v>
      </c>
    </row>
    <row r="166" spans="1:4">
      <c r="A166" s="44">
        <v>1</v>
      </c>
      <c r="B166" s="45">
        <v>44085</v>
      </c>
      <c r="C166" s="46">
        <v>75.5274</v>
      </c>
      <c r="D166" s="43" t="s">
        <v>151</v>
      </c>
    </row>
    <row r="167" spans="1:4">
      <c r="A167" s="44">
        <v>1</v>
      </c>
      <c r="B167" s="45">
        <v>44086</v>
      </c>
      <c r="C167" s="46">
        <v>74.889600000000002</v>
      </c>
      <c r="D167" s="43" t="s">
        <v>151</v>
      </c>
    </row>
    <row r="168" spans="1:4">
      <c r="A168" s="44">
        <v>1</v>
      </c>
      <c r="B168" s="45">
        <v>44089</v>
      </c>
      <c r="C168" s="46">
        <v>74.714799999999997</v>
      </c>
      <c r="D168" s="43" t="s">
        <v>151</v>
      </c>
    </row>
    <row r="169" spans="1:4">
      <c r="A169" s="44">
        <v>1</v>
      </c>
      <c r="B169" s="45">
        <v>44090</v>
      </c>
      <c r="C169" s="46">
        <v>75.188400000000001</v>
      </c>
      <c r="D169" s="43" t="s">
        <v>151</v>
      </c>
    </row>
    <row r="170" spans="1:4">
      <c r="A170" s="44">
        <v>1</v>
      </c>
      <c r="B170" s="45">
        <v>44091</v>
      </c>
      <c r="C170" s="46">
        <v>74.927800000000005</v>
      </c>
      <c r="D170" s="43" t="s">
        <v>151</v>
      </c>
    </row>
    <row r="171" spans="1:4">
      <c r="A171" s="44">
        <v>1</v>
      </c>
      <c r="B171" s="45">
        <v>44092</v>
      </c>
      <c r="C171" s="46">
        <v>75.194100000000006</v>
      </c>
      <c r="D171" s="43" t="s">
        <v>151</v>
      </c>
    </row>
    <row r="172" spans="1:4">
      <c r="A172" s="44">
        <v>1</v>
      </c>
      <c r="B172" s="45">
        <v>44093</v>
      </c>
      <c r="C172" s="46">
        <v>75.031899999999993</v>
      </c>
      <c r="D172" s="43" t="s">
        <v>151</v>
      </c>
    </row>
    <row r="173" spans="1:4">
      <c r="A173" s="44">
        <v>1</v>
      </c>
      <c r="B173" s="45">
        <v>44096</v>
      </c>
      <c r="C173" s="46">
        <v>76.0381</v>
      </c>
      <c r="D173" s="43" t="s">
        <v>151</v>
      </c>
    </row>
    <row r="174" spans="1:4">
      <c r="A174" s="44">
        <v>1</v>
      </c>
      <c r="B174" s="45">
        <v>44097</v>
      </c>
      <c r="C174" s="46">
        <v>76.271100000000004</v>
      </c>
      <c r="D174" s="43" t="s">
        <v>151</v>
      </c>
    </row>
    <row r="175" spans="1:4">
      <c r="A175" s="44">
        <v>1</v>
      </c>
      <c r="B175" s="45">
        <v>44098</v>
      </c>
      <c r="C175" s="46">
        <v>76.354500000000002</v>
      </c>
      <c r="D175" s="43" t="s">
        <v>151</v>
      </c>
    </row>
    <row r="176" spans="1:4">
      <c r="A176" s="44">
        <v>1</v>
      </c>
      <c r="B176" s="45">
        <v>44099</v>
      </c>
      <c r="C176" s="46">
        <v>77.177999999999997</v>
      </c>
      <c r="D176" s="43" t="s">
        <v>151</v>
      </c>
    </row>
    <row r="177" spans="1:4">
      <c r="A177" s="44">
        <v>1</v>
      </c>
      <c r="B177" s="45">
        <v>44100</v>
      </c>
      <c r="C177" s="46">
        <v>76.819500000000005</v>
      </c>
      <c r="D177" s="43" t="s">
        <v>151</v>
      </c>
    </row>
    <row r="178" spans="1:4">
      <c r="A178" s="44">
        <v>1</v>
      </c>
      <c r="B178" s="45">
        <v>44103</v>
      </c>
      <c r="C178" s="46">
        <v>78.671300000000002</v>
      </c>
      <c r="D178" s="43" t="s">
        <v>151</v>
      </c>
    </row>
    <row r="179" spans="1:4">
      <c r="A179" s="44">
        <v>1</v>
      </c>
      <c r="B179" s="45">
        <v>44104</v>
      </c>
      <c r="C179" s="46">
        <v>79.6845</v>
      </c>
      <c r="D179" s="43" t="s">
        <v>151</v>
      </c>
    </row>
    <row r="180" spans="1:4">
      <c r="A180" s="44">
        <v>1</v>
      </c>
      <c r="B180" s="45">
        <v>44105</v>
      </c>
      <c r="C180" s="46">
        <v>78.784700000000001</v>
      </c>
      <c r="D180" s="43" t="s">
        <v>151</v>
      </c>
    </row>
    <row r="181" spans="1:4">
      <c r="A181" s="44">
        <v>1</v>
      </c>
      <c r="B181" s="45">
        <v>44106</v>
      </c>
      <c r="C181" s="46">
        <v>77.2774</v>
      </c>
      <c r="D181" s="43" t="s">
        <v>151</v>
      </c>
    </row>
    <row r="182" spans="1:4">
      <c r="A182" s="44">
        <v>1</v>
      </c>
      <c r="B182" s="45">
        <v>44107</v>
      </c>
      <c r="C182" s="46">
        <v>78.091499999999996</v>
      </c>
      <c r="D182" s="43" t="s">
        <v>151</v>
      </c>
    </row>
    <row r="183" spans="1:4">
      <c r="A183" s="44">
        <v>1</v>
      </c>
      <c r="B183" s="45">
        <v>44110</v>
      </c>
      <c r="C183" s="46">
        <v>78.128100000000003</v>
      </c>
      <c r="D183" s="43" t="s">
        <v>151</v>
      </c>
    </row>
    <row r="184" spans="1:4">
      <c r="A184" s="44">
        <v>1</v>
      </c>
      <c r="B184" s="45">
        <v>44111</v>
      </c>
      <c r="C184" s="46">
        <v>78.511899999999997</v>
      </c>
      <c r="D184" s="43" t="s">
        <v>151</v>
      </c>
    </row>
    <row r="185" spans="1:4">
      <c r="A185" s="44">
        <v>1</v>
      </c>
      <c r="B185" s="45">
        <v>44112</v>
      </c>
      <c r="C185" s="46">
        <v>78.092100000000002</v>
      </c>
      <c r="D185" s="43" t="s">
        <v>151</v>
      </c>
    </row>
    <row r="186" spans="1:4">
      <c r="A186" s="44">
        <v>1</v>
      </c>
      <c r="B186" s="45">
        <v>44113</v>
      </c>
      <c r="C186" s="46">
        <v>77.915700000000001</v>
      </c>
      <c r="D186" s="43" t="s">
        <v>151</v>
      </c>
    </row>
    <row r="187" spans="1:4">
      <c r="A187" s="44">
        <v>1</v>
      </c>
      <c r="B187" s="45">
        <v>44114</v>
      </c>
      <c r="C187" s="46">
        <v>77.028400000000005</v>
      </c>
      <c r="D187" s="43" t="s">
        <v>151</v>
      </c>
    </row>
    <row r="188" spans="1:4">
      <c r="A188" s="44">
        <v>1</v>
      </c>
      <c r="B188" s="45">
        <v>44117</v>
      </c>
      <c r="C188" s="46">
        <v>77.023899999999998</v>
      </c>
      <c r="D188" s="43" t="s">
        <v>151</v>
      </c>
    </row>
    <row r="189" spans="1:4">
      <c r="A189" s="44">
        <v>1</v>
      </c>
      <c r="B189" s="45">
        <v>44118</v>
      </c>
      <c r="C189" s="46">
        <v>77.285499999999999</v>
      </c>
      <c r="D189" s="43" t="s">
        <v>151</v>
      </c>
    </row>
    <row r="190" spans="1:4">
      <c r="A190" s="44">
        <v>1</v>
      </c>
      <c r="B190" s="45">
        <v>44119</v>
      </c>
      <c r="C190" s="46">
        <v>77.275899999999993</v>
      </c>
      <c r="D190" s="43" t="s">
        <v>151</v>
      </c>
    </row>
    <row r="191" spans="1:4">
      <c r="A191" s="44">
        <v>1</v>
      </c>
      <c r="B191" s="45">
        <v>44120</v>
      </c>
      <c r="C191" s="46">
        <v>77.946100000000001</v>
      </c>
      <c r="D191" s="43" t="s">
        <v>151</v>
      </c>
    </row>
    <row r="192" spans="1:4">
      <c r="A192" s="44">
        <v>1</v>
      </c>
      <c r="B192" s="45">
        <v>44121</v>
      </c>
      <c r="C192" s="46">
        <v>77.964399999999998</v>
      </c>
      <c r="D192" s="43" t="s">
        <v>151</v>
      </c>
    </row>
    <row r="193" spans="1:4">
      <c r="A193" s="44">
        <v>1</v>
      </c>
      <c r="B193" s="45">
        <v>44124</v>
      </c>
      <c r="C193" s="46">
        <v>77.924099999999996</v>
      </c>
      <c r="D193" s="43" t="s">
        <v>151</v>
      </c>
    </row>
    <row r="194" spans="1:4">
      <c r="A194" s="44">
        <v>1</v>
      </c>
      <c r="B194" s="45">
        <v>44125</v>
      </c>
      <c r="C194" s="46">
        <v>77.778000000000006</v>
      </c>
      <c r="D194" s="43" t="s">
        <v>151</v>
      </c>
    </row>
    <row r="195" spans="1:4">
      <c r="A195" s="44">
        <v>1</v>
      </c>
      <c r="B195" s="45">
        <v>44126</v>
      </c>
      <c r="C195" s="46">
        <v>77.032200000000003</v>
      </c>
      <c r="D195" s="43" t="s">
        <v>151</v>
      </c>
    </row>
    <row r="196" spans="1:4">
      <c r="A196" s="44">
        <v>1</v>
      </c>
      <c r="B196" s="45">
        <v>44127</v>
      </c>
      <c r="C196" s="46">
        <v>77.0809</v>
      </c>
      <c r="D196" s="43" t="s">
        <v>151</v>
      </c>
    </row>
    <row r="197" spans="1:4">
      <c r="A197" s="44">
        <v>1</v>
      </c>
      <c r="B197" s="45">
        <v>44128</v>
      </c>
      <c r="C197" s="46">
        <v>76.466700000000003</v>
      </c>
      <c r="D197" s="43" t="s">
        <v>151</v>
      </c>
    </row>
    <row r="198" spans="1:4">
      <c r="A198" s="44">
        <v>1</v>
      </c>
      <c r="B198" s="45">
        <v>44131</v>
      </c>
      <c r="C198" s="46">
        <v>76.444299999999998</v>
      </c>
      <c r="D198" s="43" t="s">
        <v>151</v>
      </c>
    </row>
    <row r="199" spans="1:4">
      <c r="A199" s="44">
        <v>1</v>
      </c>
      <c r="B199" s="45">
        <v>44132</v>
      </c>
      <c r="C199" s="46">
        <v>76.455600000000004</v>
      </c>
      <c r="D199" s="43" t="s">
        <v>151</v>
      </c>
    </row>
    <row r="200" spans="1:4">
      <c r="A200" s="44">
        <v>1</v>
      </c>
      <c r="B200" s="45">
        <v>44133</v>
      </c>
      <c r="C200" s="46">
        <v>77.552000000000007</v>
      </c>
      <c r="D200" s="43" t="s">
        <v>151</v>
      </c>
    </row>
    <row r="201" spans="1:4">
      <c r="A201" s="44">
        <v>1</v>
      </c>
      <c r="B201" s="45">
        <v>44134</v>
      </c>
      <c r="C201" s="46">
        <v>78.869900000000001</v>
      </c>
      <c r="D201" s="43" t="s">
        <v>151</v>
      </c>
    </row>
    <row r="202" spans="1:4">
      <c r="A202" s="44">
        <v>1</v>
      </c>
      <c r="B202" s="45">
        <v>44135</v>
      </c>
      <c r="C202" s="46">
        <v>79.332300000000004</v>
      </c>
      <c r="D202" s="43" t="s">
        <v>151</v>
      </c>
    </row>
    <row r="203" spans="1:4">
      <c r="A203" s="44">
        <v>1</v>
      </c>
      <c r="B203" s="45">
        <v>44138</v>
      </c>
      <c r="C203" s="46">
        <v>80.5749</v>
      </c>
      <c r="D203" s="43" t="s">
        <v>151</v>
      </c>
    </row>
    <row r="204" spans="1:4">
      <c r="A204" s="44">
        <v>1</v>
      </c>
      <c r="B204" s="45">
        <v>44139</v>
      </c>
      <c r="C204" s="46">
        <v>80.000600000000006</v>
      </c>
      <c r="D204" s="43" t="s">
        <v>151</v>
      </c>
    </row>
    <row r="205" spans="1:4">
      <c r="A205" s="44">
        <v>1</v>
      </c>
      <c r="B205" s="45">
        <v>44141</v>
      </c>
      <c r="C205" s="46">
        <v>78.4559</v>
      </c>
      <c r="D205" s="43" t="s">
        <v>151</v>
      </c>
    </row>
    <row r="206" spans="1:4">
      <c r="A206" s="44">
        <v>1</v>
      </c>
      <c r="B206" s="45">
        <v>44142</v>
      </c>
      <c r="C206" s="46">
        <v>77.1875</v>
      </c>
      <c r="D206" s="43" t="s">
        <v>151</v>
      </c>
    </row>
    <row r="207" spans="1:4">
      <c r="A207" s="44">
        <v>1</v>
      </c>
      <c r="B207" s="45">
        <v>44145</v>
      </c>
      <c r="C207" s="46">
        <v>76.951499999999996</v>
      </c>
      <c r="D207" s="43" t="s">
        <v>151</v>
      </c>
    </row>
    <row r="208" spans="1:4">
      <c r="A208" s="44">
        <v>1</v>
      </c>
      <c r="B208" s="45">
        <v>44146</v>
      </c>
      <c r="C208" s="46">
        <v>76.397800000000004</v>
      </c>
      <c r="D208" s="43" t="s">
        <v>151</v>
      </c>
    </row>
    <row r="209" spans="1:4">
      <c r="A209" s="44">
        <v>1</v>
      </c>
      <c r="B209" s="45">
        <v>44147</v>
      </c>
      <c r="C209" s="46">
        <v>76.207499999999996</v>
      </c>
      <c r="D209" s="43" t="s">
        <v>151</v>
      </c>
    </row>
    <row r="210" spans="1:4">
      <c r="A210" s="44">
        <v>1</v>
      </c>
      <c r="B210" s="45">
        <v>44148</v>
      </c>
      <c r="C210" s="46">
        <v>77.114800000000002</v>
      </c>
      <c r="D210" s="43" t="s">
        <v>151</v>
      </c>
    </row>
    <row r="211" spans="1:4">
      <c r="A211" s="44">
        <v>1</v>
      </c>
      <c r="B211" s="45">
        <v>44149</v>
      </c>
      <c r="C211" s="46">
        <v>77.3262</v>
      </c>
      <c r="D211" s="43" t="s">
        <v>151</v>
      </c>
    </row>
    <row r="212" spans="1:4">
      <c r="A212" s="44">
        <v>1</v>
      </c>
      <c r="B212" s="45">
        <v>44152</v>
      </c>
      <c r="C212" s="46">
        <v>76.919700000000006</v>
      </c>
      <c r="D212" s="43" t="s">
        <v>151</v>
      </c>
    </row>
    <row r="213" spans="1:4">
      <c r="A213" s="44">
        <v>1</v>
      </c>
      <c r="B213" s="45">
        <v>44153</v>
      </c>
      <c r="C213" s="46">
        <v>76.253</v>
      </c>
      <c r="D213" s="43" t="s">
        <v>151</v>
      </c>
    </row>
    <row r="214" spans="1:4">
      <c r="A214" s="44">
        <v>1</v>
      </c>
      <c r="B214" s="45">
        <v>44154</v>
      </c>
      <c r="C214" s="46">
        <v>75.9268</v>
      </c>
      <c r="D214" s="43" t="s">
        <v>151</v>
      </c>
    </row>
    <row r="215" spans="1:4">
      <c r="A215" s="44">
        <v>1</v>
      </c>
      <c r="B215" s="45">
        <v>44155</v>
      </c>
      <c r="C215" s="46">
        <v>76.262699999999995</v>
      </c>
      <c r="D215" s="43" t="s">
        <v>151</v>
      </c>
    </row>
    <row r="216" spans="1:4">
      <c r="A216" s="44">
        <v>1</v>
      </c>
      <c r="B216" s="45">
        <v>44156</v>
      </c>
      <c r="C216" s="46">
        <v>76.012</v>
      </c>
      <c r="D216" s="43" t="s">
        <v>151</v>
      </c>
    </row>
    <row r="217" spans="1:4">
      <c r="A217" s="44">
        <v>1</v>
      </c>
      <c r="B217" s="45">
        <v>44159</v>
      </c>
      <c r="C217" s="46">
        <v>75.760000000000005</v>
      </c>
      <c r="D217" s="43" t="s">
        <v>151</v>
      </c>
    </row>
    <row r="218" spans="1:4">
      <c r="A218" s="44">
        <v>1</v>
      </c>
      <c r="B218" s="45">
        <v>44160</v>
      </c>
      <c r="C218" s="46">
        <v>75.814599999999999</v>
      </c>
      <c r="D218" s="43" t="s">
        <v>151</v>
      </c>
    </row>
    <row r="219" spans="1:4">
      <c r="A219" s="44">
        <v>1</v>
      </c>
      <c r="B219" s="45">
        <v>44161</v>
      </c>
      <c r="C219" s="46">
        <v>75.472700000000003</v>
      </c>
      <c r="D219" s="43" t="s">
        <v>151</v>
      </c>
    </row>
    <row r="220" spans="1:4">
      <c r="A220" s="44">
        <v>1</v>
      </c>
      <c r="B220" s="45">
        <v>44162</v>
      </c>
      <c r="C220" s="46">
        <v>75.451800000000006</v>
      </c>
      <c r="D220" s="43" t="s">
        <v>151</v>
      </c>
    </row>
    <row r="221" spans="1:4">
      <c r="A221" s="44">
        <v>1</v>
      </c>
      <c r="B221" s="45">
        <v>44163</v>
      </c>
      <c r="C221" s="46">
        <v>75.859899999999996</v>
      </c>
      <c r="D221" s="43" t="s">
        <v>151</v>
      </c>
    </row>
    <row r="222" spans="1:4">
      <c r="A222" s="44">
        <v>1</v>
      </c>
      <c r="B222" s="45">
        <v>44166</v>
      </c>
      <c r="C222" s="46">
        <v>76.1999</v>
      </c>
      <c r="D222" s="43" t="s">
        <v>151</v>
      </c>
    </row>
    <row r="223" spans="1:4">
      <c r="A223" s="44">
        <v>1</v>
      </c>
      <c r="B223" s="45">
        <v>44167</v>
      </c>
      <c r="C223" s="46">
        <v>76.320300000000003</v>
      </c>
      <c r="D223" s="43" t="s">
        <v>151</v>
      </c>
    </row>
    <row r="224" spans="1:4">
      <c r="A224" s="44">
        <v>1</v>
      </c>
      <c r="B224" s="45">
        <v>44168</v>
      </c>
      <c r="C224" s="46">
        <v>75.615099999999998</v>
      </c>
      <c r="D224" s="43" t="s">
        <v>151</v>
      </c>
    </row>
    <row r="225" spans="1:4">
      <c r="A225" s="44">
        <v>1</v>
      </c>
      <c r="B225" s="45">
        <v>44169</v>
      </c>
      <c r="C225" s="46">
        <v>75.199600000000004</v>
      </c>
      <c r="D225" s="43" t="s">
        <v>151</v>
      </c>
    </row>
    <row r="226" spans="1:4">
      <c r="A226" s="44">
        <v>1</v>
      </c>
      <c r="B226" s="45">
        <v>44170</v>
      </c>
      <c r="C226" s="46">
        <v>74.252899999999997</v>
      </c>
      <c r="D226" s="43" t="s">
        <v>151</v>
      </c>
    </row>
    <row r="227" spans="1:4">
      <c r="A227" s="44">
        <v>1</v>
      </c>
      <c r="B227" s="45">
        <v>44173</v>
      </c>
      <c r="C227" s="46">
        <v>74.250600000000006</v>
      </c>
      <c r="D227" s="43" t="s">
        <v>151</v>
      </c>
    </row>
    <row r="228" spans="1:4">
      <c r="A228" s="44">
        <v>1</v>
      </c>
      <c r="B228" s="45">
        <v>44174</v>
      </c>
      <c r="C228" s="46">
        <v>73.661799999999999</v>
      </c>
      <c r="D228" s="43" t="s">
        <v>151</v>
      </c>
    </row>
    <row r="229" spans="1:4">
      <c r="A229" s="44">
        <v>1</v>
      </c>
      <c r="B229" s="45">
        <v>44175</v>
      </c>
      <c r="C229" s="46">
        <v>73.305700000000002</v>
      </c>
      <c r="D229" s="43" t="s">
        <v>151</v>
      </c>
    </row>
    <row r="230" spans="1:4">
      <c r="A230" s="44">
        <v>1</v>
      </c>
      <c r="B230" s="45">
        <v>44176</v>
      </c>
      <c r="C230" s="46">
        <v>73.712400000000002</v>
      </c>
      <c r="D230" s="43" t="s">
        <v>151</v>
      </c>
    </row>
    <row r="231" spans="1:4">
      <c r="A231" s="44">
        <v>1</v>
      </c>
      <c r="B231" s="45">
        <v>44177</v>
      </c>
      <c r="C231" s="46">
        <v>73.119500000000002</v>
      </c>
      <c r="D231" s="43" t="s">
        <v>151</v>
      </c>
    </row>
    <row r="232" spans="1:4">
      <c r="A232" s="44">
        <v>1</v>
      </c>
      <c r="B232" s="45">
        <v>44180</v>
      </c>
      <c r="C232" s="46">
        <v>72.927199999999999</v>
      </c>
      <c r="D232" s="43" t="s">
        <v>151</v>
      </c>
    </row>
    <row r="233" spans="1:4">
      <c r="A233" s="44">
        <v>1</v>
      </c>
      <c r="B233" s="45">
        <v>44181</v>
      </c>
      <c r="C233" s="46">
        <v>73.445300000000003</v>
      </c>
      <c r="D233" s="43" t="s">
        <v>151</v>
      </c>
    </row>
    <row r="234" spans="1:4">
      <c r="A234" s="44">
        <v>1</v>
      </c>
      <c r="B234" s="45">
        <v>44182</v>
      </c>
      <c r="C234" s="46">
        <v>73.420100000000005</v>
      </c>
      <c r="D234" s="43" t="s">
        <v>151</v>
      </c>
    </row>
    <row r="235" spans="1:4">
      <c r="A235" s="44">
        <v>1</v>
      </c>
      <c r="B235" s="45">
        <v>44183</v>
      </c>
      <c r="C235" s="46">
        <v>72.978099999999998</v>
      </c>
      <c r="D235" s="43" t="s">
        <v>151</v>
      </c>
    </row>
    <row r="236" spans="1:4">
      <c r="A236" s="44">
        <v>1</v>
      </c>
      <c r="B236" s="45">
        <v>44184</v>
      </c>
      <c r="C236" s="46">
        <v>73.3155</v>
      </c>
      <c r="D236" s="43" t="s">
        <v>151</v>
      </c>
    </row>
    <row r="237" spans="1:4">
      <c r="A237" s="44">
        <v>1</v>
      </c>
      <c r="B237" s="45">
        <v>44187</v>
      </c>
      <c r="C237" s="46">
        <v>74.6721</v>
      </c>
      <c r="D237" s="43" t="s">
        <v>151</v>
      </c>
    </row>
    <row r="238" spans="1:4">
      <c r="A238" s="44">
        <v>1</v>
      </c>
      <c r="B238" s="45">
        <v>44188</v>
      </c>
      <c r="C238" s="46">
        <v>75.349800000000002</v>
      </c>
      <c r="D238" s="43" t="s">
        <v>151</v>
      </c>
    </row>
    <row r="239" spans="1:4">
      <c r="A239" s="44">
        <v>1</v>
      </c>
      <c r="B239" s="45">
        <v>44189</v>
      </c>
      <c r="C239" s="46">
        <v>75.457099999999997</v>
      </c>
      <c r="D239" s="43" t="s">
        <v>151</v>
      </c>
    </row>
    <row r="240" spans="1:4">
      <c r="A240" s="44">
        <v>1</v>
      </c>
      <c r="B240" s="45">
        <v>44190</v>
      </c>
      <c r="C240" s="46">
        <v>74.839200000000005</v>
      </c>
      <c r="D240" s="43" t="s">
        <v>151</v>
      </c>
    </row>
    <row r="241" spans="1:4">
      <c r="A241" s="44">
        <v>1</v>
      </c>
      <c r="B241" s="45">
        <v>44191</v>
      </c>
      <c r="C241" s="46">
        <v>73.692099999999996</v>
      </c>
      <c r="D241" s="43" t="s">
        <v>151</v>
      </c>
    </row>
    <row r="242" spans="1:4">
      <c r="A242" s="44">
        <v>1</v>
      </c>
      <c r="B242" s="45">
        <v>44194</v>
      </c>
      <c r="C242" s="46">
        <v>73.717500000000001</v>
      </c>
      <c r="D242" s="43" t="s">
        <v>151</v>
      </c>
    </row>
    <row r="243" spans="1:4">
      <c r="A243" s="44">
        <v>1</v>
      </c>
      <c r="B243" s="45">
        <v>44195</v>
      </c>
      <c r="C243" s="46">
        <v>73.656700000000001</v>
      </c>
      <c r="D243" s="43" t="s">
        <v>151</v>
      </c>
    </row>
    <row r="244" spans="1:4">
      <c r="A244" s="44">
        <v>1</v>
      </c>
      <c r="B244" s="45">
        <v>44196</v>
      </c>
      <c r="C244" s="46">
        <v>73.875699999999995</v>
      </c>
      <c r="D244" s="43" t="s">
        <v>151</v>
      </c>
    </row>
    <row r="245" spans="1:4">
      <c r="C245" s="47">
        <f>AVERAGE(C2:C244)</f>
        <v>72.323002057613166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9"/>
  <sheetViews>
    <sheetView workbookViewId="0">
      <selection activeCell="C43" sqref="C43"/>
    </sheetView>
  </sheetViews>
  <sheetFormatPr defaultRowHeight="15"/>
  <cols>
    <col min="1" max="1" width="18.85546875" customWidth="1"/>
    <col min="3" max="3" width="48.5703125" customWidth="1"/>
    <col min="6" max="7" width="9.140625" style="43"/>
    <col min="8" max="8" width="31" style="43" customWidth="1"/>
    <col min="13" max="13" width="29.7109375" customWidth="1"/>
  </cols>
  <sheetData>
    <row r="1" spans="1:13">
      <c r="A1" s="43" t="s">
        <v>152</v>
      </c>
      <c r="B1" s="43" t="s">
        <v>152</v>
      </c>
      <c r="C1" s="43" t="s">
        <v>153</v>
      </c>
      <c r="F1" s="43" t="s">
        <v>152</v>
      </c>
      <c r="G1" s="43" t="s">
        <v>152</v>
      </c>
      <c r="H1" s="43" t="s">
        <v>154</v>
      </c>
      <c r="K1" s="43" t="s">
        <v>152</v>
      </c>
      <c r="L1" s="43" t="s">
        <v>152</v>
      </c>
      <c r="M1" s="43" t="s">
        <v>182</v>
      </c>
    </row>
    <row r="2" spans="1:13">
      <c r="A2" s="43" t="s">
        <v>152</v>
      </c>
      <c r="B2" s="43" t="s">
        <v>152</v>
      </c>
      <c r="C2" s="43" t="s">
        <v>154</v>
      </c>
      <c r="F2" s="43" t="s">
        <v>152</v>
      </c>
      <c r="G2" s="43" t="s">
        <v>152</v>
      </c>
      <c r="H2" s="43" t="s">
        <v>156</v>
      </c>
      <c r="K2" s="43" t="s">
        <v>152</v>
      </c>
      <c r="L2" s="43" t="s">
        <v>152</v>
      </c>
      <c r="M2" s="43" t="s">
        <v>154</v>
      </c>
    </row>
    <row r="3" spans="1:13">
      <c r="A3" s="43" t="s">
        <v>152</v>
      </c>
      <c r="B3" s="43" t="s">
        <v>152</v>
      </c>
      <c r="C3" s="43" t="s">
        <v>155</v>
      </c>
      <c r="F3" s="43" t="s">
        <v>152</v>
      </c>
      <c r="G3" s="43" t="s">
        <v>152</v>
      </c>
      <c r="H3" s="43" t="s">
        <v>53</v>
      </c>
      <c r="K3" s="43" t="s">
        <v>152</v>
      </c>
      <c r="L3" s="43" t="s">
        <v>152</v>
      </c>
      <c r="M3" s="43" t="s">
        <v>183</v>
      </c>
    </row>
    <row r="4" spans="1:13">
      <c r="A4" s="43" t="s">
        <v>152</v>
      </c>
      <c r="B4" s="43" t="s">
        <v>152</v>
      </c>
      <c r="C4" s="43" t="s">
        <v>156</v>
      </c>
      <c r="F4" s="43" t="s">
        <v>153</v>
      </c>
      <c r="G4" s="43" t="s">
        <v>158</v>
      </c>
      <c r="H4" s="43">
        <v>16848.28</v>
      </c>
      <c r="K4" s="43" t="s">
        <v>153</v>
      </c>
      <c r="L4" s="43" t="s">
        <v>158</v>
      </c>
      <c r="M4" s="43">
        <v>98.89</v>
      </c>
    </row>
    <row r="5" spans="1:13">
      <c r="A5" s="43" t="s">
        <v>157</v>
      </c>
      <c r="B5" s="43" t="s">
        <v>158</v>
      </c>
      <c r="C5" s="43">
        <v>39850.370000000003</v>
      </c>
      <c r="F5" s="43" t="s">
        <v>152</v>
      </c>
      <c r="G5" s="43" t="s">
        <v>159</v>
      </c>
      <c r="H5" s="43">
        <v>18460.669999999998</v>
      </c>
      <c r="K5" s="43" t="s">
        <v>152</v>
      </c>
      <c r="L5" s="43" t="s">
        <v>159</v>
      </c>
      <c r="M5" s="43">
        <v>98.75</v>
      </c>
    </row>
    <row r="6" spans="1:13">
      <c r="A6" s="43" t="s">
        <v>152</v>
      </c>
      <c r="B6" s="43" t="s">
        <v>159</v>
      </c>
      <c r="C6" s="43">
        <v>39689.54</v>
      </c>
      <c r="F6" s="43" t="s">
        <v>152</v>
      </c>
      <c r="G6" s="43" t="s">
        <v>160</v>
      </c>
      <c r="H6" s="43">
        <v>18809.87</v>
      </c>
      <c r="K6" s="43" t="s">
        <v>152</v>
      </c>
      <c r="L6" s="43" t="s">
        <v>160</v>
      </c>
      <c r="M6" s="43">
        <v>99.66</v>
      </c>
    </row>
    <row r="7" spans="1:13">
      <c r="A7" s="43" t="s">
        <v>152</v>
      </c>
      <c r="B7" s="43" t="s">
        <v>160</v>
      </c>
      <c r="C7" s="43">
        <v>40710.980000000003</v>
      </c>
      <c r="F7" s="43" t="s">
        <v>152</v>
      </c>
      <c r="G7" s="43" t="s">
        <v>161</v>
      </c>
      <c r="H7" s="43">
        <v>19968.29</v>
      </c>
      <c r="K7" s="43" t="s">
        <v>152</v>
      </c>
      <c r="L7" s="43" t="s">
        <v>161</v>
      </c>
      <c r="M7" s="43">
        <v>100.56</v>
      </c>
    </row>
    <row r="8" spans="1:13">
      <c r="A8" s="43" t="s">
        <v>152</v>
      </c>
      <c r="B8" s="43" t="s">
        <v>161</v>
      </c>
      <c r="C8" s="43">
        <v>42573.81</v>
      </c>
      <c r="F8" s="43" t="s">
        <v>152</v>
      </c>
      <c r="G8" s="43" t="s">
        <v>162</v>
      </c>
      <c r="H8" s="43">
        <v>21148.49</v>
      </c>
      <c r="K8" s="43" t="s">
        <v>152</v>
      </c>
      <c r="L8" s="43" t="s">
        <v>162</v>
      </c>
      <c r="M8" s="43">
        <v>101.7</v>
      </c>
    </row>
    <row r="9" spans="1:13">
      <c r="A9" s="43" t="s">
        <v>152</v>
      </c>
      <c r="B9" s="43" t="s">
        <v>162</v>
      </c>
      <c r="C9" s="43">
        <v>43916.22</v>
      </c>
      <c r="F9" s="43" t="s">
        <v>152</v>
      </c>
      <c r="G9" s="43" t="s">
        <v>163</v>
      </c>
      <c r="H9" s="43">
        <v>22413.3</v>
      </c>
      <c r="K9" s="43" t="s">
        <v>152</v>
      </c>
      <c r="L9" s="43" t="s">
        <v>163</v>
      </c>
      <c r="M9" s="43">
        <v>102.62</v>
      </c>
    </row>
    <row r="10" spans="1:13">
      <c r="A10" s="43" t="s">
        <v>152</v>
      </c>
      <c r="B10" s="43" t="s">
        <v>163</v>
      </c>
      <c r="C10" s="43">
        <v>46553.24</v>
      </c>
      <c r="F10" s="43" t="s">
        <v>152</v>
      </c>
      <c r="G10" s="43" t="s">
        <v>164</v>
      </c>
      <c r="H10" s="43">
        <v>22770.959999999999</v>
      </c>
      <c r="K10" s="43" t="s">
        <v>152</v>
      </c>
      <c r="L10" s="43" t="s">
        <v>164</v>
      </c>
      <c r="M10" s="43">
        <v>103.21</v>
      </c>
    </row>
    <row r="11" spans="1:13">
      <c r="A11" s="43" t="s">
        <v>152</v>
      </c>
      <c r="B11" s="43" t="s">
        <v>164</v>
      </c>
      <c r="C11" s="43">
        <v>46041.46</v>
      </c>
      <c r="F11" s="43" t="s">
        <v>152</v>
      </c>
      <c r="G11" s="43" t="s">
        <v>165</v>
      </c>
      <c r="H11" s="43">
        <v>22881.55</v>
      </c>
      <c r="K11" s="43" t="s">
        <v>152</v>
      </c>
      <c r="L11" s="43" t="s">
        <v>165</v>
      </c>
      <c r="M11" s="43">
        <v>103.46</v>
      </c>
    </row>
    <row r="12" spans="1:13">
      <c r="A12" s="43" t="s">
        <v>152</v>
      </c>
      <c r="B12" s="43" t="s">
        <v>165</v>
      </c>
      <c r="C12" s="43">
        <v>49316.17</v>
      </c>
      <c r="F12" s="43" t="s">
        <v>152</v>
      </c>
      <c r="G12" s="43" t="s">
        <v>166</v>
      </c>
      <c r="H12" s="43">
        <v>24339.040000000001</v>
      </c>
      <c r="K12" s="43" t="s">
        <v>152</v>
      </c>
      <c r="L12" s="43" t="s">
        <v>166</v>
      </c>
      <c r="M12" s="43">
        <v>106.22</v>
      </c>
    </row>
    <row r="13" spans="1:13">
      <c r="A13" s="43" t="s">
        <v>152</v>
      </c>
      <c r="B13" s="43" t="s">
        <v>166</v>
      </c>
      <c r="C13" s="43">
        <v>51411.51</v>
      </c>
      <c r="F13" s="43" t="s">
        <v>152</v>
      </c>
      <c r="G13" s="43" t="s">
        <v>167</v>
      </c>
      <c r="H13" s="43">
        <v>27860.03</v>
      </c>
      <c r="K13" s="43" t="s">
        <v>152</v>
      </c>
      <c r="L13" s="43" t="s">
        <v>167</v>
      </c>
      <c r="M13" s="43">
        <v>114.27</v>
      </c>
    </row>
    <row r="14" spans="1:13">
      <c r="A14" s="43" t="s">
        <v>152</v>
      </c>
      <c r="B14" s="43" t="s">
        <v>167</v>
      </c>
      <c r="C14" s="43">
        <v>57301.35</v>
      </c>
      <c r="F14" s="43" t="s">
        <v>152</v>
      </c>
      <c r="G14" s="43" t="s">
        <v>168</v>
      </c>
      <c r="H14" s="43">
        <v>29696.06</v>
      </c>
      <c r="K14" s="43" t="s">
        <v>152</v>
      </c>
      <c r="L14" s="43" t="s">
        <v>168</v>
      </c>
      <c r="M14" s="43">
        <v>122.89</v>
      </c>
    </row>
    <row r="15" spans="1:13">
      <c r="A15" s="43" t="s">
        <v>152</v>
      </c>
      <c r="B15" s="43" t="s">
        <v>168</v>
      </c>
      <c r="C15" s="43">
        <v>60801.37</v>
      </c>
      <c r="F15" s="43" t="s">
        <v>152</v>
      </c>
      <c r="G15" s="43" t="s">
        <v>169</v>
      </c>
      <c r="H15" s="43">
        <v>35785.71</v>
      </c>
      <c r="K15" s="43" t="s">
        <v>152</v>
      </c>
      <c r="L15" s="43" t="s">
        <v>169</v>
      </c>
      <c r="M15" s="43">
        <v>124.94</v>
      </c>
    </row>
    <row r="16" spans="1:13">
      <c r="A16" s="43" t="s">
        <v>152</v>
      </c>
      <c r="B16" s="43" t="s">
        <v>169</v>
      </c>
      <c r="C16" s="43">
        <v>69146.13</v>
      </c>
      <c r="H16" s="5">
        <f>AVERAGE(H4:H15)</f>
        <v>23415.1875</v>
      </c>
      <c r="M16">
        <f>AVERAGE(M4:M15)</f>
        <v>106.43083333333335</v>
      </c>
    </row>
    <row r="17" spans="1:3">
      <c r="C17" s="5">
        <f>AVERAGE(C5:C16)</f>
        <v>48942.679166666661</v>
      </c>
    </row>
    <row r="22" spans="1:3">
      <c r="A22" s="43" t="s">
        <v>152</v>
      </c>
      <c r="B22" s="43" t="s">
        <v>152</v>
      </c>
      <c r="C22" s="43" t="s">
        <v>153</v>
      </c>
    </row>
    <row r="23" spans="1:3">
      <c r="A23" s="43" t="s">
        <v>152</v>
      </c>
      <c r="B23" s="43" t="s">
        <v>152</v>
      </c>
      <c r="C23" s="43" t="s">
        <v>154</v>
      </c>
    </row>
    <row r="24" spans="1:3">
      <c r="A24" s="43" t="s">
        <v>152</v>
      </c>
      <c r="B24" s="43" t="s">
        <v>152</v>
      </c>
      <c r="C24" s="43" t="s">
        <v>187</v>
      </c>
    </row>
    <row r="25" spans="1:3">
      <c r="A25" s="43" t="s">
        <v>152</v>
      </c>
      <c r="B25" s="43" t="s">
        <v>152</v>
      </c>
      <c r="C25" s="43" t="s">
        <v>156</v>
      </c>
    </row>
    <row r="26" spans="1:3">
      <c r="A26" s="43" t="s">
        <v>157</v>
      </c>
      <c r="B26" s="43" t="s">
        <v>158</v>
      </c>
      <c r="C26" s="44">
        <v>11951</v>
      </c>
    </row>
    <row r="27" spans="1:3" ht="15.75">
      <c r="A27" s="43" t="s">
        <v>152</v>
      </c>
      <c r="B27" s="43" t="s">
        <v>159</v>
      </c>
      <c r="C27" s="54">
        <v>12817</v>
      </c>
    </row>
    <row r="28" spans="1:3">
      <c r="A28" s="43" t="s">
        <v>152</v>
      </c>
      <c r="B28" s="43" t="s">
        <v>160</v>
      </c>
      <c r="C28" s="44">
        <v>12413</v>
      </c>
    </row>
    <row r="29" spans="1:3" ht="15.75">
      <c r="A29" s="43" t="s">
        <v>152</v>
      </c>
      <c r="B29" s="43" t="s">
        <v>161</v>
      </c>
      <c r="C29" s="54">
        <v>12855</v>
      </c>
    </row>
    <row r="30" spans="1:3">
      <c r="A30" s="43" t="s">
        <v>152</v>
      </c>
      <c r="B30" s="43" t="s">
        <v>162</v>
      </c>
      <c r="C30" s="44">
        <v>12938</v>
      </c>
    </row>
    <row r="31" spans="1:3" ht="15.75">
      <c r="A31" s="43" t="s">
        <v>152</v>
      </c>
      <c r="B31" s="43" t="s">
        <v>163</v>
      </c>
      <c r="C31" s="54">
        <v>14988</v>
      </c>
    </row>
    <row r="32" spans="1:3">
      <c r="A32" s="43" t="s">
        <v>152</v>
      </c>
      <c r="B32" s="43" t="s">
        <v>164</v>
      </c>
      <c r="C32" s="44">
        <v>15171</v>
      </c>
    </row>
    <row r="33" spans="1:3">
      <c r="A33" s="43" t="s">
        <v>152</v>
      </c>
      <c r="B33" s="43" t="s">
        <v>165</v>
      </c>
      <c r="C33" s="44">
        <v>15372</v>
      </c>
    </row>
    <row r="34" spans="1:3">
      <c r="A34" s="43" t="s">
        <v>152</v>
      </c>
      <c r="B34" s="43" t="s">
        <v>166</v>
      </c>
      <c r="C34" s="44">
        <f>C35+238</f>
        <v>14956</v>
      </c>
    </row>
    <row r="35" spans="1:3">
      <c r="A35" s="43" t="s">
        <v>152</v>
      </c>
      <c r="B35" s="43" t="s">
        <v>167</v>
      </c>
      <c r="C35" s="44">
        <v>14718</v>
      </c>
    </row>
    <row r="36" spans="1:3">
      <c r="A36" s="43" t="s">
        <v>152</v>
      </c>
      <c r="B36" s="43" t="s">
        <v>168</v>
      </c>
      <c r="C36" s="44">
        <v>15773</v>
      </c>
    </row>
    <row r="37" spans="1:3">
      <c r="A37" s="43" t="s">
        <v>152</v>
      </c>
      <c r="B37" s="43" t="s">
        <v>169</v>
      </c>
      <c r="C37" s="44">
        <v>18465</v>
      </c>
    </row>
    <row r="38" spans="1:3">
      <c r="A38" s="43"/>
      <c r="B38" s="43"/>
      <c r="C38" s="5">
        <f>AVERAGE(C26:C37)</f>
        <v>14368.083333333334</v>
      </c>
    </row>
    <row r="39" spans="1:3">
      <c r="B39" t="s">
        <v>188</v>
      </c>
      <c r="C39" s="5">
        <f>C38/1.1</f>
        <v>13061.893939393938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>
      <selection activeCell="C28" sqref="C28"/>
    </sheetView>
  </sheetViews>
  <sheetFormatPr defaultRowHeight="15"/>
  <cols>
    <col min="1" max="1" width="20.85546875" customWidth="1"/>
    <col min="2" max="2" width="19" customWidth="1"/>
  </cols>
  <sheetData>
    <row r="1" spans="1:8">
      <c r="A1" s="48" t="s">
        <v>170</v>
      </c>
      <c r="B1" s="48" t="s">
        <v>171</v>
      </c>
      <c r="C1" s="48" t="s">
        <v>172</v>
      </c>
      <c r="D1" s="48" t="s">
        <v>173</v>
      </c>
      <c r="E1" s="48" t="s">
        <v>174</v>
      </c>
      <c r="F1" s="48" t="s">
        <v>175</v>
      </c>
      <c r="G1" s="48" t="s">
        <v>176</v>
      </c>
      <c r="H1" s="1"/>
    </row>
    <row r="2" spans="1:8">
      <c r="A2" s="49" t="s">
        <v>177</v>
      </c>
      <c r="B2" s="49" t="s">
        <v>178</v>
      </c>
      <c r="C2" s="49" t="s">
        <v>179</v>
      </c>
      <c r="D2" s="49">
        <v>12710</v>
      </c>
      <c r="E2" s="49">
        <v>15305</v>
      </c>
      <c r="F2" s="49">
        <v>13269</v>
      </c>
      <c r="G2" s="49" t="s">
        <v>180</v>
      </c>
      <c r="H2" s="1">
        <f>AVERAGE(D2:F2)</f>
        <v>13761.333333333334</v>
      </c>
    </row>
    <row r="3" spans="1:8">
      <c r="A3" s="50"/>
      <c r="B3" s="49" t="s">
        <v>181</v>
      </c>
      <c r="C3" s="49" t="s">
        <v>179</v>
      </c>
      <c r="D3" s="49">
        <v>363</v>
      </c>
      <c r="E3" s="49">
        <v>1253</v>
      </c>
      <c r="F3" s="49">
        <v>554</v>
      </c>
      <c r="G3" s="49" t="s">
        <v>180</v>
      </c>
      <c r="H3" s="1">
        <f>AVERAGE(D3:F3)</f>
        <v>723.33333333333337</v>
      </c>
    </row>
    <row r="6" spans="1:8">
      <c r="A6" s="48" t="s">
        <v>170</v>
      </c>
      <c r="B6" s="48" t="s">
        <v>171</v>
      </c>
      <c r="C6" s="48" t="s">
        <v>172</v>
      </c>
      <c r="D6" s="48" t="s">
        <v>173</v>
      </c>
      <c r="E6" s="48" t="s">
        <v>174</v>
      </c>
      <c r="F6" s="48" t="s">
        <v>175</v>
      </c>
      <c r="G6" s="48" t="s">
        <v>176</v>
      </c>
      <c r="H6" s="1"/>
    </row>
    <row r="7" spans="1:8" ht="26.25">
      <c r="A7" s="49" t="s">
        <v>184</v>
      </c>
      <c r="B7" s="49" t="s">
        <v>185</v>
      </c>
      <c r="C7" s="49" t="s">
        <v>179</v>
      </c>
      <c r="D7" s="49">
        <v>3.35</v>
      </c>
      <c r="E7" s="49">
        <v>3.65</v>
      </c>
      <c r="F7" s="49">
        <v>3.7</v>
      </c>
      <c r="G7" s="49" t="s">
        <v>180</v>
      </c>
      <c r="H7" s="1">
        <f>AVERAGE(D7:F7)</f>
        <v>3.5666666666666664</v>
      </c>
    </row>
    <row r="8" spans="1:8" ht="26.25">
      <c r="A8" s="49" t="s">
        <v>186</v>
      </c>
      <c r="B8" s="49" t="s">
        <v>185</v>
      </c>
      <c r="C8" s="49" t="s">
        <v>179</v>
      </c>
      <c r="D8" s="49">
        <v>2.125</v>
      </c>
      <c r="E8" s="49">
        <v>2.0249999999999999</v>
      </c>
      <c r="F8" s="49">
        <v>1.9950000000000001</v>
      </c>
      <c r="G8" s="49" t="s">
        <v>180</v>
      </c>
      <c r="H8" s="1">
        <f>AVERAGE(D8:F8)</f>
        <v>2.0483333333333333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Лист2</vt:lpstr>
      <vt:lpstr>PW</vt:lpstr>
      <vt:lpstr>ER</vt:lpstr>
      <vt:lpstr>PI</vt:lpstr>
      <vt:lpstr>QSI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</dc:creator>
  <cp:lastModifiedBy>Терновский Денис Сергеевич</cp:lastModifiedBy>
  <dcterms:created xsi:type="dcterms:W3CDTF">2022-08-16T12:44:38Z</dcterms:created>
  <dcterms:modified xsi:type="dcterms:W3CDTF">2022-10-18T06:35:48Z</dcterms:modified>
</cp:coreProperties>
</file>