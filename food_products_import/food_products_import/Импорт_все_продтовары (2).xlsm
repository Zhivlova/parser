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terno\Downloads\Telegram Desktop\"/>
    </mc:Choice>
  </mc:AlternateContent>
  <xr:revisionPtr revIDLastSave="0" documentId="13_ncr:1_{6EFA7C23-C12B-4952-9292-8A6B454F6520}" xr6:coauthVersionLast="47" xr6:coauthVersionMax="47" xr10:uidLastSave="{00000000-0000-0000-0000-000000000000}"/>
  <bookViews>
    <workbookView xWindow="-120" yWindow="-120" windowWidth="38640" windowHeight="21120" xr2:uid="{B54F6DA5-A301-43F6-BCFC-2647A33058DB}"/>
  </bookViews>
  <sheets>
    <sheet name="Лист1" sheetId="1" r:id="rId1"/>
  </sheets>
  <definedNames>
    <definedName name="solver_adj" localSheetId="0" hidden="1">Лист1!$E$12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0</definedName>
    <definedName name="solver_nwt" localSheetId="0" hidden="1">1</definedName>
    <definedName name="solver_opt" localSheetId="0" hidden="1">Лист1!$I$17</definedName>
    <definedName name="solver_pre" localSheetId="0" hidden="1">0.000001</definedName>
    <definedName name="solver_rbv" localSheetId="0" hidden="1">1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3</definedName>
    <definedName name="solver_val" localSheetId="0" hidden="1">0</definedName>
    <definedName name="solver_ver" localSheetId="0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I16" i="1" l="1"/>
  <c r="D12" i="1" s="1"/>
  <c r="D5" i="1" s="1"/>
  <c r="C45" i="1"/>
  <c r="E5" i="1"/>
  <c r="C29" i="1"/>
  <c r="C42" i="1" s="1"/>
  <c r="C26" i="1"/>
  <c r="C25" i="1"/>
  <c r="C24" i="1"/>
  <c r="D16" i="1"/>
  <c r="F8" i="1"/>
  <c r="F7" i="1"/>
  <c r="I12" i="1" l="1"/>
  <c r="D19" i="1"/>
  <c r="D6" i="1"/>
  <c r="F5" i="1"/>
  <c r="D18" i="1"/>
  <c r="C30" i="1"/>
  <c r="C33" i="1"/>
  <c r="C36" i="1"/>
  <c r="C38" i="1"/>
  <c r="C41" i="1"/>
  <c r="C32" i="1"/>
  <c r="C34" i="1"/>
  <c r="C37" i="1"/>
  <c r="C40" i="1"/>
  <c r="D20" i="1" l="1"/>
  <c r="J6" i="1" s="1"/>
  <c r="J7" i="1" l="1"/>
  <c r="J8" i="1"/>
  <c r="I13" i="1" s="1"/>
  <c r="E4" i="1" s="1"/>
  <c r="I14" i="1" l="1"/>
  <c r="E15" i="1" s="1"/>
  <c r="B32" i="1" s="1"/>
  <c r="F4" i="1"/>
  <c r="I15" i="1" l="1"/>
  <c r="E17" i="1" s="1"/>
  <c r="J16" i="1" s="1"/>
  <c r="B41" i="1"/>
  <c r="B42" i="1"/>
  <c r="F15" i="1"/>
  <c r="E16" i="1"/>
  <c r="B24" i="1"/>
  <c r="D24" i="1" s="1"/>
  <c r="I17" i="1" l="1"/>
  <c r="H18" i="1" s="1"/>
  <c r="E19" i="1"/>
  <c r="E20" i="1" s="1"/>
  <c r="B29" i="1"/>
  <c r="D29" i="1" s="1"/>
  <c r="B26" i="1"/>
  <c r="D26" i="1" s="1"/>
  <c r="B30" i="1"/>
  <c r="D30" i="1" s="1"/>
  <c r="F17" i="1"/>
  <c r="B40" i="1"/>
  <c r="F16" i="1"/>
  <c r="E18" i="1"/>
  <c r="E6" i="1"/>
  <c r="E3" i="1" s="1"/>
  <c r="B45" i="1" l="1"/>
  <c r="D45" i="1" s="1"/>
  <c r="B46" i="1" s="1"/>
  <c r="B33" i="1"/>
  <c r="B34" i="1" s="1"/>
  <c r="F6" i="1"/>
  <c r="B37" i="1"/>
  <c r="B25" i="1"/>
  <c r="D25" i="1" s="1"/>
  <c r="F18" i="1"/>
  <c r="B38" i="1" l="1"/>
  <c r="B36" i="1" s="1"/>
  <c r="F3" i="1"/>
</calcChain>
</file>

<file path=xl/sharedStrings.xml><?xml version="1.0" encoding="utf-8"?>
<sst xmlns="http://schemas.openxmlformats.org/spreadsheetml/2006/main" count="97" uniqueCount="89">
  <si>
    <t>до</t>
  </si>
  <si>
    <t>после</t>
  </si>
  <si>
    <t>Прирост,%</t>
  </si>
  <si>
    <t>Характеристики ценообразования</t>
  </si>
  <si>
    <t>Значения параметров</t>
  </si>
  <si>
    <t>Розничная цена</t>
  </si>
  <si>
    <t>Pc</t>
  </si>
  <si>
    <t>руб/кг</t>
  </si>
  <si>
    <t>Ed</t>
  </si>
  <si>
    <t>Цена внутреннего производителя</t>
  </si>
  <si>
    <t>Pd</t>
  </si>
  <si>
    <t>Эластичность внутреннего предложения по собственной цене</t>
  </si>
  <si>
    <t>Es</t>
  </si>
  <si>
    <t>Цена импорта</t>
  </si>
  <si>
    <t>Pm</t>
  </si>
  <si>
    <t>Эластичность замещения (Армингтона)</t>
  </si>
  <si>
    <t>Ω</t>
  </si>
  <si>
    <t>Внутренняя цена</t>
  </si>
  <si>
    <t>Pws</t>
  </si>
  <si>
    <t>Эластичность спроса на отечественную продукцию по перекрестной цене</t>
  </si>
  <si>
    <t>Edm</t>
  </si>
  <si>
    <t>Цена на границе</t>
  </si>
  <si>
    <t>Pcif</t>
  </si>
  <si>
    <t>долл США/кг</t>
  </si>
  <si>
    <t>Эластичность спроса на отечественный товар по собственной цене</t>
  </si>
  <si>
    <t>Edd</t>
  </si>
  <si>
    <t>Обменный курс</t>
  </si>
  <si>
    <t>ER</t>
  </si>
  <si>
    <t>руб/долл США</t>
  </si>
  <si>
    <t>Эластичность переноса импортных цен в цены производителя</t>
  </si>
  <si>
    <t>η</t>
  </si>
  <si>
    <t>Ставка тарифа в пределах квоты</t>
  </si>
  <si>
    <t>t_in</t>
  </si>
  <si>
    <t>Параметр апроксимации эффективного уровня тарифа</t>
  </si>
  <si>
    <t>SigDel</t>
  </si>
  <si>
    <t>Ставка тарифа внеквотная</t>
  </si>
  <si>
    <t>t_out</t>
  </si>
  <si>
    <t>Эффективный уровень тарифа</t>
  </si>
  <si>
    <t>tia</t>
  </si>
  <si>
    <t>dlnPm</t>
  </si>
  <si>
    <t>dlnPd</t>
  </si>
  <si>
    <t>Количественные характеристики</t>
  </si>
  <si>
    <t>dlnS</t>
  </si>
  <si>
    <t>Внутреннее производство</t>
  </si>
  <si>
    <t>S</t>
  </si>
  <si>
    <t>тыс тонн</t>
  </si>
  <si>
    <t>dlnM</t>
  </si>
  <si>
    <t>Спрос на отечественный товар</t>
  </si>
  <si>
    <t>D</t>
  </si>
  <si>
    <t>Импорт</t>
  </si>
  <si>
    <t>M</t>
  </si>
  <si>
    <t>dt</t>
  </si>
  <si>
    <t>Внутреннее потребление</t>
  </si>
  <si>
    <t>С</t>
  </si>
  <si>
    <t>Тарифная квота</t>
  </si>
  <si>
    <t>Qt</t>
  </si>
  <si>
    <t>Доля отечественного товара в обороте</t>
  </si>
  <si>
    <t>Sd</t>
  </si>
  <si>
    <t>Доля импортного товара в обороте</t>
  </si>
  <si>
    <t>Sm</t>
  </si>
  <si>
    <t>Колличественные эффекты</t>
  </si>
  <si>
    <t>эффект защиты отечественного производства</t>
  </si>
  <si>
    <t>эффект потребления</t>
  </si>
  <si>
    <t>эффект внешней торговли</t>
  </si>
  <si>
    <t>Стоимостные эффекты</t>
  </si>
  <si>
    <t>эффект платежного баланса</t>
  </si>
  <si>
    <t>эффект таможенных сборов</t>
  </si>
  <si>
    <t>эффект перераспределения:</t>
  </si>
  <si>
    <t xml:space="preserve"> - излишек производителя</t>
  </si>
  <si>
    <t xml:space="preserve"> - излишек потребителя</t>
  </si>
  <si>
    <t>эффект экономических потерь</t>
  </si>
  <si>
    <t>Изменение суммы покупок потребителей:</t>
  </si>
  <si>
    <t xml:space="preserve"> - переплата потребителей из-за изменения цен</t>
  </si>
  <si>
    <t xml:space="preserve"> - изменение объема потребления</t>
  </si>
  <si>
    <t>Изменение оборота производителей:</t>
  </si>
  <si>
    <t xml:space="preserve"> - изменение оборота из-за изменения цен</t>
  </si>
  <si>
    <t xml:space="preserve"> - изменение объема производства</t>
  </si>
  <si>
    <t>Эластичность совокупного спроса по собственной цене</t>
  </si>
  <si>
    <t>Вклад в ИПЦ</t>
  </si>
  <si>
    <t>weght_icp</t>
  </si>
  <si>
    <t>Ценовые эффекты</t>
  </si>
  <si>
    <t>Изменение ИПЦ</t>
  </si>
  <si>
    <t>Изменение средней розничной цены</t>
  </si>
  <si>
    <t>Прирост</t>
  </si>
  <si>
    <t>вводит пользователь (есть значения по умолчанию)</t>
  </si>
  <si>
    <t>не выводится в интерфейс</t>
  </si>
  <si>
    <t>формулы (пользователь видит цифры)</t>
  </si>
  <si>
    <t>таблицы вывода результатов</t>
  </si>
  <si>
    <t>формулы (пользователь видит цифры) - хорошо бы сделать чтобы значения были видны только после поиска решения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</si>
</sst>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0.0%"/>
    <numFmt numFmtId="166" formatCode="0.000"/>
  </numFmts>
  <fonts count="5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  <font>
      <i/>
      <sz val="10"/>
      <color rgb="FF000000"/>
      <name val="Verdana"/>
      <family val="2"/>
      <charset val="204"/>
    </font>
    <font>
      <sz val="11"/>
      <color rgb="FF000000"/>
      <name val="Calibri"/>
      <family val="2"/>
      <charset val="204"/>
    </font>
  </fonts>
  <fills count="7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3999755851924192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9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/>
    <xf numFmtId="0" fontId="0" fillId="2" borderId="1" xfId="0" applyFill="1" applyBorder="1"/>
    <xf numFmtId="164" fontId="0" fillId="3" borderId="1" xfId="0" applyNumberFormat="1" applyFill="1" applyBorder="1"/>
    <xf numFmtId="2" fontId="0" fillId="3" borderId="1" xfId="0" applyNumberFormat="1" applyFill="1" applyBorder="1"/>
    <xf numFmtId="2" fontId="0" fillId="2" borderId="1" xfId="0" applyNumberFormat="1" applyFill="1" applyBorder="1"/>
    <xf numFmtId="1" fontId="0" fillId="3" borderId="1" xfId="0" applyNumberFormat="1" applyFill="1" applyBorder="1"/>
    <xf numFmtId="1" fontId="0" fillId="0" borderId="0" xfId="0" applyNumberFormat="1"/>
    <xf numFmtId="164" fontId="0" fillId="0" borderId="0" xfId="0" applyNumberFormat="1"/>
    <xf numFmtId="0" fontId="0" fillId="0" borderId="1" xfId="0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4" borderId="1" xfId="0" applyFill="1" applyBorder="1"/>
    <xf numFmtId="2" fontId="0" fillId="4" borderId="1" xfId="0" applyNumberFormat="1" applyFill="1" applyBorder="1"/>
    <xf numFmtId="0" fontId="2" fillId="4" borderId="1" xfId="0" applyFont="1" applyFill="1" applyBorder="1"/>
    <xf numFmtId="0" fontId="0" fillId="4" borderId="0" xfId="0" applyFill="1"/>
    <xf numFmtId="166" fontId="0" fillId="4" borderId="0" xfId="0" applyNumberFormat="1" applyFill="1"/>
    <xf numFmtId="0" fontId="0" fillId="5" borderId="1" xfId="0" applyFill="1" applyBorder="1"/>
    <xf numFmtId="0" fontId="0" fillId="5" borderId="1" xfId="0" applyFill="1" applyBorder="1" applyAlignment="1">
      <alignment horizontal="center"/>
    </xf>
    <xf numFmtId="0" fontId="3" fillId="5" borderId="1" xfId="0" applyFont="1" applyFill="1" applyBorder="1"/>
    <xf numFmtId="1" fontId="0" fillId="5" borderId="1" xfId="0" applyNumberFormat="1" applyFill="1" applyBorder="1"/>
    <xf numFmtId="165" fontId="0" fillId="5" borderId="1" xfId="1" applyNumberFormat="1" applyFont="1" applyFill="1" applyBorder="1"/>
    <xf numFmtId="0" fontId="0" fillId="5" borderId="0" xfId="0" applyFill="1"/>
    <xf numFmtId="164" fontId="0" fillId="5" borderId="1" xfId="0" applyNumberFormat="1" applyFill="1" applyBorder="1"/>
    <xf numFmtId="0" fontId="0" fillId="5" borderId="2" xfId="0" applyFill="1" applyBorder="1"/>
    <xf numFmtId="10" fontId="0" fillId="5" borderId="1" xfId="1" applyNumberFormat="1" applyFont="1" applyFill="1" applyBorder="1"/>
    <xf numFmtId="165" fontId="0" fillId="6" borderId="1" xfId="1" applyNumberFormat="1" applyFont="1" applyFill="1" applyBorder="1"/>
    <xf numFmtId="0" fontId="0" fillId="6" borderId="0" xfId="0" applyFill="1"/>
    <xf numFmtId="0" fontId="0" fillId="6" borderId="1" xfId="0" applyFill="1" applyBorder="1"/>
  </cellXfs>
  <cellStyles count="2">
    <cellStyle name="Обычный" xfId="0" builtinId="0"/>
    <cellStyle name="Процентный" xfId="1" builtinId="5"/>
  </cellStyles>
  <dxfs count="4"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590550</xdr:colOff>
          <xdr:row>18</xdr:row>
          <xdr:rowOff>171450</xdr:rowOff>
        </xdr:from>
        <xdr:to>
          <xdr:col>7</xdr:col>
          <xdr:colOff>1514475</xdr:colOff>
          <xdr:row>21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Поиск решения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7467D6-78B1-41A2-BA27-485143F64CAC}">
  <sheetPr codeName="Лист1"/>
  <dimension ref="A1:J52"/>
  <sheetViews>
    <sheetView tabSelected="1" workbookViewId="0">
      <selection activeCell="G32" sqref="G32:G33"/>
    </sheetView>
  </sheetViews>
  <sheetFormatPr defaultRowHeight="15" x14ac:dyDescent="0.25"/>
  <cols>
    <col min="1" max="1" width="49.7109375" customWidth="1"/>
    <col min="2" max="2" width="12.140625" customWidth="1"/>
    <col min="3" max="3" width="17.85546875" customWidth="1"/>
    <col min="4" max="4" width="12.140625" bestFit="1" customWidth="1"/>
    <col min="5" max="5" width="10.5703125" bestFit="1" customWidth="1"/>
    <col min="6" max="6" width="11.5703125" customWidth="1"/>
    <col min="7" max="7" width="41.7109375" customWidth="1"/>
    <col min="8" max="8" width="71" customWidth="1"/>
    <col min="9" max="9" width="10.5703125" customWidth="1"/>
  </cols>
  <sheetData>
    <row r="1" spans="1:10" x14ac:dyDescent="0.25">
      <c r="D1" s="1" t="s">
        <v>0</v>
      </c>
      <c r="E1" s="1" t="s">
        <v>1</v>
      </c>
      <c r="F1" s="1" t="s">
        <v>2</v>
      </c>
    </row>
    <row r="2" spans="1:10" x14ac:dyDescent="0.25">
      <c r="A2" s="10" t="s">
        <v>3</v>
      </c>
      <c r="B2" s="10"/>
      <c r="C2" s="10"/>
      <c r="D2" s="10"/>
      <c r="E2" s="10"/>
      <c r="F2" s="2"/>
      <c r="H2" s="11" t="s">
        <v>4</v>
      </c>
      <c r="I2" s="11"/>
      <c r="J2" s="11"/>
    </row>
    <row r="3" spans="1:10" x14ac:dyDescent="0.25">
      <c r="A3" s="2" t="s">
        <v>5</v>
      </c>
      <c r="B3" s="2" t="s">
        <v>6</v>
      </c>
      <c r="C3" s="2" t="s">
        <v>7</v>
      </c>
      <c r="D3" s="3">
        <v>400</v>
      </c>
      <c r="E3" s="4">
        <f>D3-D6+E6</f>
        <v>400.00000118019477</v>
      </c>
      <c r="F3" s="26">
        <f>E3/D3-1</f>
        <v>2.9504869658580901E-9</v>
      </c>
      <c r="H3" s="12" t="s">
        <v>77</v>
      </c>
      <c r="I3" s="12" t="s">
        <v>8</v>
      </c>
      <c r="J3" s="13">
        <v>-0.5</v>
      </c>
    </row>
    <row r="4" spans="1:10" x14ac:dyDescent="0.25">
      <c r="A4" s="2" t="s">
        <v>9</v>
      </c>
      <c r="B4" s="2" t="s">
        <v>10</v>
      </c>
      <c r="C4" s="2" t="s">
        <v>7</v>
      </c>
      <c r="D4" s="3">
        <v>240</v>
      </c>
      <c r="E4" s="4">
        <f>D4*EXP(I13)</f>
        <v>240.00000102164276</v>
      </c>
      <c r="F4" s="26">
        <f t="shared" ref="F4:F8" si="0">E4/D4-1</f>
        <v>4.2568448765933908E-9</v>
      </c>
      <c r="H4" s="12" t="s">
        <v>11</v>
      </c>
      <c r="I4" s="12" t="s">
        <v>12</v>
      </c>
      <c r="J4" s="13">
        <v>0.3</v>
      </c>
    </row>
    <row r="5" spans="1:10" x14ac:dyDescent="0.25">
      <c r="A5" s="2" t="s">
        <v>13</v>
      </c>
      <c r="B5" s="2" t="s">
        <v>14</v>
      </c>
      <c r="C5" s="2" t="s">
        <v>7</v>
      </c>
      <c r="D5" s="4">
        <f>D7*D8*(1+D12)</f>
        <v>248.53397375361959</v>
      </c>
      <c r="E5" s="4">
        <f>E7*E8*(1+E12)</f>
        <v>248.53397645267685</v>
      </c>
      <c r="F5" s="26">
        <f t="shared" si="0"/>
        <v>1.0859912746852274E-8</v>
      </c>
      <c r="H5" s="12" t="s">
        <v>15</v>
      </c>
      <c r="I5" s="14" t="s">
        <v>16</v>
      </c>
      <c r="J5" s="13">
        <v>5</v>
      </c>
    </row>
    <row r="6" spans="1:10" x14ac:dyDescent="0.25">
      <c r="A6" s="2" t="s">
        <v>17</v>
      </c>
      <c r="B6" s="2" t="s">
        <v>18</v>
      </c>
      <c r="C6" s="2" t="s">
        <v>7</v>
      </c>
      <c r="D6" s="4">
        <f>D4*D16/(D16+D17)+D5*D17/(D16+D17)</f>
        <v>240.94821930595774</v>
      </c>
      <c r="E6" s="4">
        <f>E4*E16/(E16+E17)+E5*E17/(E16+E17)</f>
        <v>240.94822048615248</v>
      </c>
      <c r="F6" s="26">
        <f t="shared" si="0"/>
        <v>4.8981261269176457E-9</v>
      </c>
      <c r="H6" s="12" t="s">
        <v>19</v>
      </c>
      <c r="I6" s="14" t="s">
        <v>20</v>
      </c>
      <c r="J6" s="13">
        <f>(J5+J3)*D20</f>
        <v>0.51574146194047854</v>
      </c>
    </row>
    <row r="7" spans="1:10" x14ac:dyDescent="0.25">
      <c r="A7" s="2" t="s">
        <v>21</v>
      </c>
      <c r="B7" s="2" t="s">
        <v>22</v>
      </c>
      <c r="C7" s="2" t="s">
        <v>23</v>
      </c>
      <c r="D7" s="3">
        <v>3</v>
      </c>
      <c r="E7" s="3">
        <v>3</v>
      </c>
      <c r="F7" s="26">
        <f t="shared" si="0"/>
        <v>0</v>
      </c>
      <c r="H7" s="12" t="s">
        <v>24</v>
      </c>
      <c r="I7" s="14" t="s">
        <v>25</v>
      </c>
      <c r="J7" s="13">
        <f>J3*D19-J5*D20</f>
        <v>-1.0157414619404785</v>
      </c>
    </row>
    <row r="8" spans="1:10" x14ac:dyDescent="0.25">
      <c r="A8" s="2" t="s">
        <v>26</v>
      </c>
      <c r="B8" s="2" t="s">
        <v>27</v>
      </c>
      <c r="C8" s="2" t="s">
        <v>28</v>
      </c>
      <c r="D8" s="3">
        <v>75</v>
      </c>
      <c r="E8" s="3">
        <v>75</v>
      </c>
      <c r="F8" s="26">
        <f t="shared" si="0"/>
        <v>0</v>
      </c>
      <c r="H8" s="12" t="s">
        <v>29</v>
      </c>
      <c r="I8" s="14" t="s">
        <v>30</v>
      </c>
      <c r="J8" s="13">
        <f>J6/(J4-J7)</f>
        <v>0.39197781392391023</v>
      </c>
    </row>
    <row r="9" spans="1:10" x14ac:dyDescent="0.25">
      <c r="A9" s="2" t="s">
        <v>31</v>
      </c>
      <c r="B9" s="2" t="s">
        <v>32</v>
      </c>
      <c r="C9" s="2"/>
      <c r="D9" s="3">
        <v>0.1</v>
      </c>
      <c r="E9" s="3">
        <v>0.1</v>
      </c>
      <c r="F9" s="26"/>
      <c r="H9" s="12" t="s">
        <v>33</v>
      </c>
      <c r="I9" s="14" t="s">
        <v>34</v>
      </c>
      <c r="J9" s="12">
        <v>10</v>
      </c>
    </row>
    <row r="10" spans="1:10" x14ac:dyDescent="0.25">
      <c r="A10" s="2" t="s">
        <v>35</v>
      </c>
      <c r="B10" s="2" t="s">
        <v>36</v>
      </c>
      <c r="C10" s="2"/>
      <c r="D10" s="3">
        <v>0.3</v>
      </c>
      <c r="E10" s="3">
        <v>0.3</v>
      </c>
      <c r="F10" s="26"/>
      <c r="H10" s="12" t="s">
        <v>78</v>
      </c>
      <c r="I10" s="14" t="s">
        <v>79</v>
      </c>
      <c r="J10" s="12">
        <v>8.5</v>
      </c>
    </row>
    <row r="11" spans="1:10" x14ac:dyDescent="0.25">
      <c r="A11" s="2" t="s">
        <v>54</v>
      </c>
      <c r="B11" s="2" t="s">
        <v>55</v>
      </c>
      <c r="C11" s="2" t="s">
        <v>45</v>
      </c>
      <c r="D11" s="3">
        <v>800</v>
      </c>
      <c r="E11" s="3">
        <v>800</v>
      </c>
      <c r="F11" s="26"/>
      <c r="H11" s="15"/>
      <c r="I11" s="15"/>
      <c r="J11" s="15"/>
    </row>
    <row r="12" spans="1:10" x14ac:dyDescent="0.25">
      <c r="A12" s="2" t="s">
        <v>37</v>
      </c>
      <c r="B12" s="2" t="s">
        <v>38</v>
      </c>
      <c r="C12" s="2"/>
      <c r="D12" s="6">
        <f>I16</f>
        <v>0.10459543890497598</v>
      </c>
      <c r="E12" s="5">
        <v>0.10459545090078598</v>
      </c>
      <c r="F12" s="26"/>
      <c r="H12" s="15" t="s">
        <v>39</v>
      </c>
      <c r="I12" s="15">
        <f>LN(E7)-LN(D7)+LN(E8)-LN(D8)+(LN(E12+1)-LN(D12+1))</f>
        <v>1.0859912719096698E-8</v>
      </c>
      <c r="J12" s="15"/>
    </row>
    <row r="13" spans="1:10" x14ac:dyDescent="0.25">
      <c r="F13" s="27"/>
      <c r="H13" s="15" t="s">
        <v>40</v>
      </c>
      <c r="I13" s="15">
        <f>J8*I12</f>
        <v>4.2568448470359917E-9</v>
      </c>
      <c r="J13" s="15"/>
    </row>
    <row r="14" spans="1:10" x14ac:dyDescent="0.25">
      <c r="A14" s="10" t="s">
        <v>41</v>
      </c>
      <c r="B14" s="10"/>
      <c r="C14" s="10"/>
      <c r="D14" s="10"/>
      <c r="E14" s="10"/>
      <c r="F14" s="28"/>
      <c r="H14" s="15" t="s">
        <v>42</v>
      </c>
      <c r="I14" s="15">
        <f>I13*J4</f>
        <v>1.2770534541107974E-9</v>
      </c>
      <c r="J14" s="15"/>
    </row>
    <row r="15" spans="1:10" x14ac:dyDescent="0.25">
      <c r="A15" s="2" t="s">
        <v>43</v>
      </c>
      <c r="B15" s="2" t="s">
        <v>44</v>
      </c>
      <c r="C15" s="2" t="s">
        <v>45</v>
      </c>
      <c r="D15" s="3">
        <v>4000</v>
      </c>
      <c r="E15" s="7">
        <f>D15*EXP(I14)</f>
        <v>4000.0000051082134</v>
      </c>
      <c r="F15" s="26">
        <f>E15/D15-1</f>
        <v>1.2770533519557148E-9</v>
      </c>
      <c r="H15" s="15" t="s">
        <v>46</v>
      </c>
      <c r="I15" s="15">
        <f>I14+J5*(J8-1)*I12</f>
        <v>-3.173828590619273E-8</v>
      </c>
      <c r="J15" s="15"/>
    </row>
    <row r="16" spans="1:10" x14ac:dyDescent="0.25">
      <c r="A16" s="2" t="s">
        <v>47</v>
      </c>
      <c r="B16" s="2" t="s">
        <v>48</v>
      </c>
      <c r="C16" s="2" t="s">
        <v>45</v>
      </c>
      <c r="D16" s="3">
        <f>D15</f>
        <v>4000</v>
      </c>
      <c r="E16" s="7">
        <f>E15</f>
        <v>4000.0000051082134</v>
      </c>
      <c r="F16" s="26">
        <f t="shared" ref="F16:F18" si="1">E16/D16-1</f>
        <v>1.2770533519557148E-9</v>
      </c>
      <c r="H16" s="15" t="s">
        <v>38</v>
      </c>
      <c r="I16" s="16">
        <f>D9+EXP(MIN(0,(D17-(D11+0.001))/(D11+0.001)*J9))/(1+EXP(-ABS(D17-(D11+0.001))/(D11+0.001)*J9))*(D10-D9)</f>
        <v>0.10459543890497598</v>
      </c>
      <c r="J16" s="16">
        <f>E9+EXP(MIN(0,(E17-(E11+0.001))/(E11+0.001)*J9))/(1+EXP(-ABS(E17-(E11+0.001))/(E11+0.001)*J9))*(E10-E9)</f>
        <v>0.10459543801435157</v>
      </c>
    </row>
    <row r="17" spans="1:10" x14ac:dyDescent="0.25">
      <c r="A17" s="2" t="s">
        <v>49</v>
      </c>
      <c r="B17" s="2" t="s">
        <v>50</v>
      </c>
      <c r="C17" s="2" t="s">
        <v>45</v>
      </c>
      <c r="D17" s="3">
        <v>500</v>
      </c>
      <c r="E17" s="7">
        <f>D17*EXP(I15)</f>
        <v>499.99998413085729</v>
      </c>
      <c r="F17" s="26">
        <f t="shared" si="1"/>
        <v>-3.1738285444227188E-8</v>
      </c>
      <c r="H17" s="15" t="s">
        <v>51</v>
      </c>
      <c r="I17" s="16">
        <f>J16-E12</f>
        <v>-1.2886434405667835E-8</v>
      </c>
      <c r="J17" s="15"/>
    </row>
    <row r="18" spans="1:10" x14ac:dyDescent="0.25">
      <c r="A18" s="2" t="s">
        <v>52</v>
      </c>
      <c r="B18" s="2" t="s">
        <v>53</v>
      </c>
      <c r="C18" s="2" t="s">
        <v>45</v>
      </c>
      <c r="D18" s="7">
        <f>D16+D17</f>
        <v>4500</v>
      </c>
      <c r="E18" s="7">
        <f>E16+E17</f>
        <v>4499.9999892390706</v>
      </c>
      <c r="F18" s="26">
        <f t="shared" si="1"/>
        <v>-2.3913176994128094E-9</v>
      </c>
      <c r="H18" t="str">
        <f>IF(SUMSQ(I17)&lt;0.000001,"Сошлось","Не сошлось")</f>
        <v>Сошлось</v>
      </c>
    </row>
    <row r="19" spans="1:10" x14ac:dyDescent="0.25">
      <c r="A19" s="2" t="s">
        <v>56</v>
      </c>
      <c r="B19" s="2" t="s">
        <v>57</v>
      </c>
      <c r="C19" s="2"/>
      <c r="D19" s="5">
        <f>D4*D15/(D4*D15+D5*D17)</f>
        <v>0.8853907862354492</v>
      </c>
      <c r="E19" s="5">
        <f>E4*E15/(E4*E15+E5*E17)</f>
        <v>0.8853907889156063</v>
      </c>
      <c r="F19" s="26"/>
    </row>
    <row r="20" spans="1:10" x14ac:dyDescent="0.25">
      <c r="A20" s="2" t="s">
        <v>58</v>
      </c>
      <c r="B20" s="2" t="s">
        <v>59</v>
      </c>
      <c r="C20" s="2"/>
      <c r="D20" s="5">
        <f>1-D19</f>
        <v>0.1146092137645508</v>
      </c>
      <c r="E20" s="5">
        <f>1-E19</f>
        <v>0.1146092110843937</v>
      </c>
      <c r="F20" s="26"/>
    </row>
    <row r="23" spans="1:10" x14ac:dyDescent="0.25">
      <c r="A23" s="17" t="s">
        <v>60</v>
      </c>
      <c r="B23" s="17"/>
      <c r="C23" s="17"/>
      <c r="D23" s="18" t="s">
        <v>83</v>
      </c>
    </row>
    <row r="24" spans="1:10" x14ac:dyDescent="0.25">
      <c r="A24" s="19" t="s">
        <v>61</v>
      </c>
      <c r="B24" s="20">
        <f>E15-D15</f>
        <v>5.1082133722957224E-6</v>
      </c>
      <c r="C24" s="20" t="str">
        <f>C15</f>
        <v>тыс тонн</v>
      </c>
      <c r="D24" s="21">
        <f>B24/D15</f>
        <v>1.2770533430739306E-9</v>
      </c>
      <c r="F24" s="3"/>
      <c r="G24" t="s">
        <v>84</v>
      </c>
    </row>
    <row r="25" spans="1:10" x14ac:dyDescent="0.25">
      <c r="A25" s="19" t="s">
        <v>62</v>
      </c>
      <c r="B25" s="20">
        <f>E18-D18</f>
        <v>-1.0760929399111774E-5</v>
      </c>
      <c r="C25" s="20" t="str">
        <f>C18</f>
        <v>тыс тонн</v>
      </c>
      <c r="D25" s="21">
        <f>B25/D18</f>
        <v>-2.391317644247061E-9</v>
      </c>
      <c r="F25" s="12"/>
      <c r="G25" t="s">
        <v>85</v>
      </c>
    </row>
    <row r="26" spans="1:10" x14ac:dyDescent="0.25">
      <c r="A26" s="19" t="s">
        <v>63</v>
      </c>
      <c r="B26" s="20">
        <f>E17-D17</f>
        <v>-1.5869142714564077E-5</v>
      </c>
      <c r="C26" s="20" t="str">
        <f>C17</f>
        <v>тыс тонн</v>
      </c>
      <c r="D26" s="21">
        <f>B26/D17</f>
        <v>-3.1738285429128157E-8</v>
      </c>
      <c r="F26" s="17"/>
      <c r="G26" t="s">
        <v>87</v>
      </c>
    </row>
    <row r="27" spans="1:10" x14ac:dyDescent="0.25">
      <c r="A27" s="22"/>
      <c r="B27" s="22"/>
      <c r="C27" s="22"/>
      <c r="D27" s="22"/>
      <c r="F27" s="7"/>
      <c r="G27" t="s">
        <v>86</v>
      </c>
    </row>
    <row r="28" spans="1:10" x14ac:dyDescent="0.25">
      <c r="A28" s="19" t="s">
        <v>64</v>
      </c>
      <c r="B28" s="17"/>
      <c r="C28" s="17"/>
      <c r="D28" s="17"/>
      <c r="F28" s="26"/>
      <c r="G28" t="s">
        <v>88</v>
      </c>
    </row>
    <row r="29" spans="1:10" x14ac:dyDescent="0.25">
      <c r="A29" s="19" t="s">
        <v>65</v>
      </c>
      <c r="B29" s="20">
        <f>-(E7*E8*E17-D7*D8*D17)</f>
        <v>3.5705571062862873E-3</v>
      </c>
      <c r="C29" s="20" t="str">
        <f>_xlfn.CONCAT(C17,"*",C5)</f>
        <v>тыс тонн*руб/кг</v>
      </c>
      <c r="D29" s="21">
        <f>B29/(D7*D8*D17)</f>
        <v>3.1738285389211445E-8</v>
      </c>
    </row>
    <row r="30" spans="1:10" x14ac:dyDescent="0.25">
      <c r="A30" s="19" t="s">
        <v>66</v>
      </c>
      <c r="B30" s="23">
        <f>E5*(1-1/(1+E12))*E17-D5*(1-1/(1+D12))*D17</f>
        <v>9.7606460622046143E-4</v>
      </c>
      <c r="C30" s="20" t="str">
        <f>C29</f>
        <v>тыс тонн*руб/кг</v>
      </c>
      <c r="D30" s="21">
        <f>B30/(D5*(1-1/(1+D12))*D17)</f>
        <v>8.2949408921673552E-8</v>
      </c>
    </row>
    <row r="31" spans="1:10" x14ac:dyDescent="0.25">
      <c r="A31" s="19" t="s">
        <v>67</v>
      </c>
      <c r="B31" s="17"/>
      <c r="C31" s="17"/>
      <c r="D31" s="17"/>
    </row>
    <row r="32" spans="1:10" x14ac:dyDescent="0.25">
      <c r="A32" s="17" t="s">
        <v>68</v>
      </c>
      <c r="B32" s="23">
        <f>D15*(E4-D4)+0.5*(E4-D4)*(E15-D15)</f>
        <v>4.086571041506476E-3</v>
      </c>
      <c r="C32" s="23" t="str">
        <f>C29</f>
        <v>тыс тонн*руб/кг</v>
      </c>
      <c r="D32" s="17"/>
    </row>
    <row r="33" spans="1:7" x14ac:dyDescent="0.25">
      <c r="A33" s="17" t="s">
        <v>69</v>
      </c>
      <c r="B33" s="23">
        <f>-(D18*(E3-D3)+0.5*(E3-D3)*(E18-D18))</f>
        <v>-5.3108764682457199E-3</v>
      </c>
      <c r="C33" s="23" t="str">
        <f>C29</f>
        <v>тыс тонн*руб/кг</v>
      </c>
      <c r="D33" s="17"/>
    </row>
    <row r="34" spans="1:7" x14ac:dyDescent="0.25">
      <c r="A34" s="19" t="s">
        <v>70</v>
      </c>
      <c r="B34" s="23">
        <f>B32+B33+B30</f>
        <v>-2.4824082051878252E-4</v>
      </c>
      <c r="C34" s="23" t="str">
        <f>C29</f>
        <v>тыс тонн*руб/кг</v>
      </c>
      <c r="D34" s="17"/>
      <c r="F34" s="9"/>
      <c r="G34" s="9"/>
    </row>
    <row r="35" spans="1:7" x14ac:dyDescent="0.25">
      <c r="A35" s="17"/>
      <c r="B35" s="17"/>
      <c r="C35" s="17"/>
      <c r="D35" s="17"/>
    </row>
    <row r="36" spans="1:7" x14ac:dyDescent="0.25">
      <c r="A36" s="17" t="s">
        <v>71</v>
      </c>
      <c r="B36" s="23">
        <f>B37+B38</f>
        <v>1.0065047022510144E-3</v>
      </c>
      <c r="C36" s="23" t="str">
        <f>C29</f>
        <v>тыс тонн*руб/кг</v>
      </c>
      <c r="D36" s="17"/>
    </row>
    <row r="37" spans="1:7" x14ac:dyDescent="0.25">
      <c r="A37" s="17" t="s">
        <v>72</v>
      </c>
      <c r="B37" s="23">
        <f>D18*(E3-D3)+0.5*(E3-D3)*(E18-D18)</f>
        <v>5.3108764682457199E-3</v>
      </c>
      <c r="C37" s="23" t="str">
        <f>C29</f>
        <v>тыс тонн*руб/кг</v>
      </c>
      <c r="D37" s="17"/>
    </row>
    <row r="38" spans="1:7" x14ac:dyDescent="0.25">
      <c r="A38" s="17" t="s">
        <v>73</v>
      </c>
      <c r="B38" s="23">
        <f>D3*(E18-D18)+0.5*(E3-D3)*(E18-D18)</f>
        <v>-4.3043717659947056E-3</v>
      </c>
      <c r="C38" s="23" t="str">
        <f>C29</f>
        <v>тыс тонн*руб/кг</v>
      </c>
      <c r="D38" s="17"/>
    </row>
    <row r="39" spans="1:7" x14ac:dyDescent="0.25">
      <c r="A39" s="24"/>
      <c r="B39" s="24"/>
      <c r="C39" s="17"/>
      <c r="D39" s="17"/>
    </row>
    <row r="40" spans="1:7" x14ac:dyDescent="0.25">
      <c r="A40" s="17" t="s">
        <v>74</v>
      </c>
      <c r="B40" s="23">
        <f>B41+B42</f>
        <v>5.3125422534668343E-3</v>
      </c>
      <c r="C40" s="23" t="str">
        <f>C29</f>
        <v>тыс тонн*руб/кг</v>
      </c>
      <c r="D40" s="17"/>
    </row>
    <row r="41" spans="1:7" x14ac:dyDescent="0.25">
      <c r="A41" s="17" t="s">
        <v>75</v>
      </c>
      <c r="B41" s="23">
        <f>D15*(E4-D4)+0.5*(E4-D4)*(E15-D15)</f>
        <v>4.086571041506476E-3</v>
      </c>
      <c r="C41" s="23" t="str">
        <f>C29</f>
        <v>тыс тонн*руб/кг</v>
      </c>
      <c r="D41" s="17"/>
    </row>
    <row r="42" spans="1:7" x14ac:dyDescent="0.25">
      <c r="A42" s="17" t="s">
        <v>76</v>
      </c>
      <c r="B42" s="23">
        <f>D4*(E15-D15)+0.5*(E4-D4)*(E15-D15)</f>
        <v>1.2259712119603579E-3</v>
      </c>
      <c r="C42" s="23" t="str">
        <f>C29</f>
        <v>тыс тонн*руб/кг</v>
      </c>
      <c r="D42" s="17"/>
    </row>
    <row r="43" spans="1:7" x14ac:dyDescent="0.25">
      <c r="A43" s="22"/>
      <c r="B43" s="22"/>
      <c r="C43" s="22"/>
      <c r="D43" s="22"/>
    </row>
    <row r="44" spans="1:7" x14ac:dyDescent="0.25">
      <c r="A44" s="17" t="s">
        <v>80</v>
      </c>
      <c r="B44" s="17"/>
      <c r="C44" s="17"/>
      <c r="D44" s="17"/>
    </row>
    <row r="45" spans="1:7" x14ac:dyDescent="0.25">
      <c r="A45" s="17" t="s">
        <v>82</v>
      </c>
      <c r="B45" s="23">
        <f>E3-D3</f>
        <v>1.1801947721323813E-6</v>
      </c>
      <c r="C45" s="17" t="str">
        <f>C3</f>
        <v>руб/кг</v>
      </c>
      <c r="D45" s="21">
        <f>B45/D3</f>
        <v>2.9504869303309533E-9</v>
      </c>
    </row>
    <row r="46" spans="1:7" x14ac:dyDescent="0.25">
      <c r="A46" s="17" t="s">
        <v>81</v>
      </c>
      <c r="B46" s="25">
        <f>D45*J10/100</f>
        <v>2.5079138907813105E-10</v>
      </c>
      <c r="C46" s="17"/>
      <c r="D46" s="17"/>
    </row>
    <row r="47" spans="1:7" x14ac:dyDescent="0.25">
      <c r="B47" s="8"/>
    </row>
    <row r="48" spans="1:7" x14ac:dyDescent="0.25">
      <c r="B48" s="8"/>
    </row>
    <row r="50" spans="2:2" x14ac:dyDescent="0.25">
      <c r="B50" s="8"/>
    </row>
    <row r="51" spans="2:2" x14ac:dyDescent="0.25">
      <c r="B51" s="8"/>
    </row>
    <row r="52" spans="2:2" x14ac:dyDescent="0.25">
      <c r="B52" s="8"/>
    </row>
  </sheetData>
  <mergeCells count="3">
    <mergeCell ref="A2:E2"/>
    <mergeCell ref="H2:J2"/>
    <mergeCell ref="A14:E14"/>
  </mergeCells>
  <conditionalFormatting sqref="H18">
    <cfRule type="cellIs" dxfId="3" priority="2" operator="equal">
      <formula>"Сошлось"</formula>
    </cfRule>
    <cfRule type="cellIs" dxfId="2" priority="1" operator="equal">
      <formula>"Не сошлось"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Макрос1">
                <anchor moveWithCells="1" sizeWithCells="1">
                  <from>
                    <xdr:col>6</xdr:col>
                    <xdr:colOff>590550</xdr:colOff>
                    <xdr:row>18</xdr:row>
                    <xdr:rowOff>171450</xdr:rowOff>
                  </from>
                  <to>
                    <xdr:col>7</xdr:col>
                    <xdr:colOff>1514475</xdr:colOff>
                    <xdr:row>21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Denis</dc:creator>
  <cp:lastModifiedBy>Денис Терновский</cp:lastModifiedBy>
  <dcterms:created xsi:type="dcterms:W3CDTF">2022-08-16T10:03:49Z</dcterms:created>
  <dcterms:modified xsi:type="dcterms:W3CDTF">2022-11-02T13:56:55Z</dcterms:modified>
</cp:coreProperties>
</file>