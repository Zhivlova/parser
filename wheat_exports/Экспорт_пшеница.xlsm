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https://ranepa-my.sharepoint.com/personal/ternovskiy-ds_ranepa_ru/Documents/2022/Темы по продуктам/"/>
    </mc:Choice>
  </mc:AlternateContent>
  <xr:revisionPtr revIDLastSave="2650" documentId="8_{AC9E9A1D-78F0-45F5-95C9-BD05192F4178}" xr6:coauthVersionLast="47" xr6:coauthVersionMax="47" xr10:uidLastSave="{2E807439-CCF9-4AD7-91AB-D6C68BE8084C}"/>
  <bookViews>
    <workbookView xWindow="30" yWindow="30" windowWidth="38370" windowHeight="20850" xr2:uid="{E6AF714B-B3B3-4295-AE93-330B1D33F16E}"/>
  </bookViews>
  <sheets>
    <sheet name="Лист2" sheetId="2" r:id="rId1"/>
  </sheets>
  <definedNames>
    <definedName name="solver_adj" localSheetId="0" hidden="1">Лист2!$I$3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Лист2!$I$68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67" i="2" l="1"/>
  <c r="J66" i="2"/>
  <c r="H61" i="2"/>
  <c r="M20" i="2"/>
  <c r="M19" i="2"/>
  <c r="M16" i="2"/>
  <c r="M15" i="2"/>
  <c r="M14" i="2"/>
  <c r="M13" i="2"/>
  <c r="M12" i="2"/>
  <c r="M8" i="2"/>
  <c r="M7" i="2"/>
  <c r="M6" i="2"/>
  <c r="M5" i="2"/>
  <c r="M26" i="2" s="1"/>
  <c r="M4" i="2"/>
  <c r="M39" i="2" l="1"/>
  <c r="M35" i="2"/>
  <c r="M29" i="2"/>
  <c r="M46" i="2"/>
  <c r="M27" i="2"/>
  <c r="M45" i="2"/>
  <c r="M34" i="2"/>
  <c r="M25" i="2"/>
  <c r="M41" i="2"/>
  <c r="M30" i="2"/>
  <c r="M24" i="2"/>
  <c r="M23" i="2"/>
  <c r="M43" i="2"/>
  <c r="M38" i="2"/>
  <c r="M33" i="2"/>
  <c r="M47" i="2"/>
  <c r="M42" i="2"/>
  <c r="M37" i="2"/>
  <c r="M31" i="2"/>
  <c r="J25" i="2"/>
  <c r="H38" i="2" l="1"/>
  <c r="H47" i="2"/>
  <c r="H54" i="2" s="1"/>
  <c r="N13" i="2" s="1"/>
  <c r="H50" i="2"/>
  <c r="N16" i="2" l="1"/>
  <c r="N15" i="2"/>
  <c r="N12" i="2"/>
  <c r="I5" i="2"/>
  <c r="J4" i="2"/>
  <c r="J6" i="2"/>
  <c r="J7" i="2"/>
  <c r="J8" i="2"/>
  <c r="J11" i="2"/>
  <c r="J12" i="2"/>
  <c r="J13" i="2"/>
  <c r="J14" i="2"/>
  <c r="J15" i="2"/>
  <c r="J16" i="2"/>
  <c r="J29" i="2"/>
  <c r="J30" i="2"/>
  <c r="I17" i="2" l="1"/>
  <c r="I20" i="2" s="1"/>
  <c r="O4" i="2"/>
  <c r="I19" i="2"/>
  <c r="I18" i="2"/>
  <c r="I24" i="2" l="1"/>
  <c r="I21" i="2"/>
  <c r="F49" i="2"/>
  <c r="F47" i="2"/>
  <c r="F38" i="2"/>
  <c r="F40" i="2"/>
  <c r="H41" i="2"/>
  <c r="I47" i="2"/>
  <c r="H5" i="2"/>
  <c r="H64" i="2" l="1"/>
  <c r="I60" i="2" s="1"/>
  <c r="H63" i="2"/>
  <c r="I59" i="2" s="1"/>
  <c r="H62" i="2"/>
  <c r="O5" i="2"/>
  <c r="H17" i="2"/>
  <c r="H20" i="2" s="1"/>
  <c r="H24" i="2" s="1"/>
  <c r="N7" i="2"/>
  <c r="N4" i="2"/>
  <c r="H45" i="2"/>
  <c r="N8" i="2"/>
  <c r="H36" i="2"/>
  <c r="H18" i="2"/>
  <c r="H19" i="2"/>
  <c r="I38" i="2"/>
  <c r="I58" i="2" l="1"/>
  <c r="I61" i="2" s="1"/>
  <c r="H21" i="2"/>
  <c r="H55" i="2"/>
  <c r="H65" i="2" s="1"/>
  <c r="H68" i="2" s="1"/>
  <c r="P4" i="2"/>
  <c r="Q4" i="2"/>
  <c r="I26" i="2" l="1"/>
  <c r="N19" i="2"/>
  <c r="H26" i="2"/>
  <c r="N6" i="2" s="1"/>
  <c r="N5" i="2"/>
  <c r="H48" i="2"/>
  <c r="I48" i="2" s="1"/>
  <c r="I50" i="2" s="1"/>
  <c r="O8" i="2" s="1"/>
  <c r="H39" i="2"/>
  <c r="I39" i="2" s="1"/>
  <c r="I41" i="2" s="1"/>
  <c r="I35" i="2" s="1"/>
  <c r="I37" i="2" s="1"/>
  <c r="N14" i="2"/>
  <c r="N20" i="2" s="1"/>
  <c r="H32" i="2" l="1"/>
  <c r="I29" i="2" s="1"/>
  <c r="I44" i="2"/>
  <c r="I49" i="2" s="1"/>
  <c r="P5" i="2"/>
  <c r="Q5" i="2"/>
  <c r="P8" i="2"/>
  <c r="Q8" i="2"/>
  <c r="O15" i="2"/>
  <c r="Q15" i="2" s="1"/>
  <c r="O7" i="2"/>
  <c r="O16" i="2" l="1"/>
  <c r="Q16" i="2" s="1"/>
  <c r="I46" i="2"/>
  <c r="N25" i="2"/>
  <c r="I40" i="2"/>
  <c r="P15" i="2"/>
  <c r="I54" i="2"/>
  <c r="O13" i="2" s="1"/>
  <c r="N38" i="2"/>
  <c r="N35" i="2"/>
  <c r="P7" i="2"/>
  <c r="Q7" i="2"/>
  <c r="P9" i="2" s="1"/>
  <c r="N34" i="2"/>
  <c r="N39" i="2"/>
  <c r="N26" i="2" l="1"/>
  <c r="N46" i="2"/>
  <c r="N47" i="2"/>
  <c r="N42" i="2"/>
  <c r="N43" i="2"/>
  <c r="P16" i="2"/>
  <c r="N24" i="2"/>
  <c r="N33" i="2"/>
  <c r="N37" i="2"/>
  <c r="P13" i="2"/>
  <c r="Q13" i="2"/>
  <c r="N45" i="2" l="1"/>
  <c r="N41" i="2"/>
  <c r="O12" i="2"/>
  <c r="O6" i="2"/>
  <c r="N23" i="2" l="1"/>
  <c r="Q6" i="2"/>
  <c r="Q12" i="2"/>
  <c r="N31" i="2"/>
  <c r="P12" i="2"/>
  <c r="P6" i="2"/>
  <c r="N30" i="2"/>
  <c r="I55" i="2"/>
  <c r="I65" i="2" l="1"/>
  <c r="I68" i="2" s="1"/>
  <c r="B17" i="2" s="1"/>
  <c r="N29" i="2"/>
  <c r="O14" i="2"/>
  <c r="O20" i="2" s="1"/>
  <c r="O19" i="2"/>
  <c r="Q14" i="2" l="1"/>
  <c r="P14" i="2"/>
  <c r="Q19" i="2"/>
  <c r="P19" i="2"/>
  <c r="P20" i="2" l="1"/>
  <c r="N27" i="2" s="1"/>
  <c r="Q20" i="2"/>
</calcChain>
</file>

<file path=xl/sharedStrings.xml><?xml version="1.0" encoding="utf-8"?>
<sst xmlns="http://schemas.openxmlformats.org/spreadsheetml/2006/main" count="203" uniqueCount="156">
  <si>
    <t>A</t>
  </si>
  <si>
    <t>Пшеница</t>
  </si>
  <si>
    <t>PW_A_const</t>
  </si>
  <si>
    <t>e_SI_A</t>
  </si>
  <si>
    <t>PW_A_shift</t>
  </si>
  <si>
    <t>e_DI_C1</t>
  </si>
  <si>
    <t>PW_A</t>
  </si>
  <si>
    <t>e_DI_C2</t>
  </si>
  <si>
    <t>C_1</t>
  </si>
  <si>
    <t>Хлеб</t>
  </si>
  <si>
    <t>ER</t>
  </si>
  <si>
    <t>С_2</t>
  </si>
  <si>
    <t>Мясо</t>
  </si>
  <si>
    <t>CT</t>
  </si>
  <si>
    <t>TD</t>
  </si>
  <si>
    <t>Pb</t>
  </si>
  <si>
    <t>Pb2</t>
  </si>
  <si>
    <t>Pb3</t>
  </si>
  <si>
    <t>t1</t>
  </si>
  <si>
    <t>PI_A_cons</t>
  </si>
  <si>
    <t>t2</t>
  </si>
  <si>
    <t>PI_A_prod</t>
  </si>
  <si>
    <t>t3</t>
  </si>
  <si>
    <t>tax_1</t>
  </si>
  <si>
    <t>tax_2</t>
  </si>
  <si>
    <t>tax_3</t>
  </si>
  <si>
    <t>tax</t>
  </si>
  <si>
    <t>demp</t>
  </si>
  <si>
    <t>i_cost</t>
  </si>
  <si>
    <t>QSI_A</t>
  </si>
  <si>
    <t>shift_QSI_A</t>
  </si>
  <si>
    <t>Z_QSI_A</t>
  </si>
  <si>
    <t>QDI_С1</t>
  </si>
  <si>
    <t>Z_QDI_C1</t>
  </si>
  <si>
    <t>QDI_A_C1</t>
  </si>
  <si>
    <t>d_A_C1</t>
  </si>
  <si>
    <t>QSW_A</t>
  </si>
  <si>
    <t>CI_C1_other</t>
  </si>
  <si>
    <t>QSW_exRUS_A</t>
  </si>
  <si>
    <t>PI_C1</t>
  </si>
  <si>
    <t>QSW_RUS_A</t>
  </si>
  <si>
    <t>SpI_C1</t>
  </si>
  <si>
    <t>QDI_A</t>
  </si>
  <si>
    <t>shift_QSW_A</t>
  </si>
  <si>
    <t>i_cost_world</t>
  </si>
  <si>
    <t>Список товаров</t>
  </si>
  <si>
    <t>Мировая цена товара А до сдвига</t>
  </si>
  <si>
    <t>Инфляционный сдвиг мировой цены товара А</t>
  </si>
  <si>
    <t>Мировая цена товара А после сдвига</t>
  </si>
  <si>
    <t>Обменный курс</t>
  </si>
  <si>
    <t>долл США</t>
  </si>
  <si>
    <t>руб/долл США</t>
  </si>
  <si>
    <t>Стоимость услуг трейдеров</t>
  </si>
  <si>
    <t>Дисконт к эквивалентной цене</t>
  </si>
  <si>
    <t>до</t>
  </si>
  <si>
    <t>после</t>
  </si>
  <si>
    <t>Цены на мировом рынке</t>
  </si>
  <si>
    <t>Расчет суммы вывозной таможенной пошлины</t>
  </si>
  <si>
    <t>Первая базовая цена</t>
  </si>
  <si>
    <t>Вторая базовая цена</t>
  </si>
  <si>
    <t>Третья базовая цена</t>
  </si>
  <si>
    <t>Ставка к первой базовой цене</t>
  </si>
  <si>
    <t>Ставка ко второй базовой цене</t>
  </si>
  <si>
    <t>Ставка к третьей базовой цене</t>
  </si>
  <si>
    <t>Вспомогательные расчеты</t>
  </si>
  <si>
    <t>руб/т</t>
  </si>
  <si>
    <t>долл/т</t>
  </si>
  <si>
    <t>Внутренние цены с учетом демпфера</t>
  </si>
  <si>
    <t>Ставка зернового демпфера</t>
  </si>
  <si>
    <t>Вывозная таможенная пошлина на товар А</t>
  </si>
  <si>
    <t>Внутренняя цена товара А для потребителей</t>
  </si>
  <si>
    <t>Внутренняя цена товара А для производителей</t>
  </si>
  <si>
    <t>Внутреннее производство товара А</t>
  </si>
  <si>
    <t>Индекс превышения затрат на производство над ценами</t>
  </si>
  <si>
    <t>Объем внутреннего производства товара А</t>
  </si>
  <si>
    <t>Экзогенный сдвиг во внутреннем предложении товара А</t>
  </si>
  <si>
    <t>Калибруемый вспомогательный параметр</t>
  </si>
  <si>
    <t>Внутренний спрос на товар С1</t>
  </si>
  <si>
    <t>Внутреннее производство товара С1</t>
  </si>
  <si>
    <t>Объем товара А на производство товара С1</t>
  </si>
  <si>
    <t>Использование единиц А на единицу С1 (калибруемый параметр)</t>
  </si>
  <si>
    <t>Затраты на производство единицы С1 кроме А (калибруемый параметр)</t>
  </si>
  <si>
    <t>Цена товара С1</t>
  </si>
  <si>
    <t>Внутренние затраты потребителей на С1</t>
  </si>
  <si>
    <t>Внутреннее производство товара С2</t>
  </si>
  <si>
    <t>Внутренний спрос на товар С2</t>
  </si>
  <si>
    <t>Объем товара А на производство товара С2</t>
  </si>
  <si>
    <t>Использование единиц А на единицу С2 (калибруемый параметр)</t>
  </si>
  <si>
    <t>Затраты на производство единицы С2 кроме А (калибруемый параметр)</t>
  </si>
  <si>
    <t>Внутренние затраты потребителей на С2</t>
  </si>
  <si>
    <t>Цена товара С2</t>
  </si>
  <si>
    <t>млн тонн</t>
  </si>
  <si>
    <t>Объем прочего использования товара А</t>
  </si>
  <si>
    <t>Other_use_A</t>
  </si>
  <si>
    <t>Прочее использование и баланс товара А</t>
  </si>
  <si>
    <t>Внутренний спрос на товар А</t>
  </si>
  <si>
    <t>Экспортное предложение товара А со стороны России</t>
  </si>
  <si>
    <t>Мировой рынок товара А</t>
  </si>
  <si>
    <t>Экспортное предложение товара А со стороны прочих стран</t>
  </si>
  <si>
    <t>Экзогенный сдвиг во внешнем предложении товара А</t>
  </si>
  <si>
    <t>Индекс превышения затрат на производство над ценами в остальном мире</t>
  </si>
  <si>
    <t>Совокупное предложение товара А на мировом рынке</t>
  </si>
  <si>
    <t>Баланс</t>
  </si>
  <si>
    <t>S</t>
  </si>
  <si>
    <t>предложение</t>
  </si>
  <si>
    <t>D</t>
  </si>
  <si>
    <t>I</t>
  </si>
  <si>
    <t>W</t>
  </si>
  <si>
    <t>спрос</t>
  </si>
  <si>
    <t>внутренний рынок</t>
  </si>
  <si>
    <t>мировой рынок</t>
  </si>
  <si>
    <t>Эластичности по собственной цене</t>
  </si>
  <si>
    <t>Результаты</t>
  </si>
  <si>
    <t>Цены:</t>
  </si>
  <si>
    <t>Мировая цена товара А</t>
  </si>
  <si>
    <t>Прирост</t>
  </si>
  <si>
    <t xml:space="preserve"> +/-</t>
  </si>
  <si>
    <t>%</t>
  </si>
  <si>
    <t>Производство и потребление:</t>
  </si>
  <si>
    <t>Внутреннее потребление товара А</t>
  </si>
  <si>
    <t>Экспорт товара А</t>
  </si>
  <si>
    <t>Производство/потребление товара С1</t>
  </si>
  <si>
    <t>Производство/потребление товара С2</t>
  </si>
  <si>
    <t>Стоимостные эффекты:</t>
  </si>
  <si>
    <t>Эффект платежного баланса</t>
  </si>
  <si>
    <t>Эффект таможенных сборов</t>
  </si>
  <si>
    <t xml:space="preserve"> - излишек производителя товара А</t>
  </si>
  <si>
    <t xml:space="preserve"> - изменение оборота из-за изменения цен</t>
  </si>
  <si>
    <t xml:space="preserve"> - изменение объема производства</t>
  </si>
  <si>
    <t>Изменение оборота производителей товара А:</t>
  </si>
  <si>
    <t>Изменение оборота производителей товара С1:</t>
  </si>
  <si>
    <t>Изменение оборота производителей товара С2:</t>
  </si>
  <si>
    <t xml:space="preserve"> - излишек косвенных потребителей товара А</t>
  </si>
  <si>
    <t>Адвалорная ставка пошлины на товар А</t>
  </si>
  <si>
    <t>t</t>
  </si>
  <si>
    <t>Вклад в ИПЦ</t>
  </si>
  <si>
    <t xml:space="preserve">   - в т.ч. потребителей товара С1</t>
  </si>
  <si>
    <t xml:space="preserve">   - в т.ч. потребителей товара С2</t>
  </si>
  <si>
    <t xml:space="preserve"> - переплата потребителей из-за изменения цен</t>
  </si>
  <si>
    <t xml:space="preserve"> - изменение объема потребления</t>
  </si>
  <si>
    <t>Изменение суммы покупок потребителей товара С1:</t>
  </si>
  <si>
    <t>Изменение суммы покупок потребителей товара С2:</t>
  </si>
  <si>
    <t>Эффект перераспределения:</t>
  </si>
  <si>
    <t>Эффект экономических потерь</t>
  </si>
  <si>
    <t>Изменение ИПЦ</t>
  </si>
  <si>
    <t>QD_A</t>
  </si>
  <si>
    <t>Z_QD_A</t>
  </si>
  <si>
    <t>Производство товара А (остальной мир)</t>
  </si>
  <si>
    <t>Внутренний спрос экспортеров (остальной мир)</t>
  </si>
  <si>
    <t>Глобальный спрос со стороны импортеров</t>
  </si>
  <si>
    <t>QD_exRUS_A</t>
  </si>
  <si>
    <t>QS_exRUS_A</t>
  </si>
  <si>
    <t>Z_QS_exRUS_A</t>
  </si>
  <si>
    <t>Z_QD_exRUS_A</t>
  </si>
  <si>
    <t>e_S_A</t>
  </si>
  <si>
    <t>e_D_A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</si>
</sst>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_-;\-* #,##0.00_-;_-* &quot;-&quot;??_-;_-@_-"/>
    <numFmt numFmtId="164" formatCode="0.0"/>
    <numFmt numFmtId="165" formatCode="0.0%"/>
    <numFmt numFmtId="166" formatCode="_-* #,##0.0_-;\-* #,##0.0_-;_-* &quot;-&quot;??_-;_-@_-"/>
    <numFmt numFmtId="167" formatCode="_-* #,##0.0\ _₽_-;\-* #,##0.0\ _₽_-;_-* &quot;-&quot;?\ _₽_-;_-@_-"/>
    <numFmt numFmtId="168" formatCode="0.0000"/>
    <numFmt numFmtId="169" formatCode="0.000"/>
    <numFmt numFmtId="170" formatCode="_-* #,##0.00\ _₽_-;\-* #,##0.00\ _₽_-;_-* &quot;-&quot;??\ _₽_-;_-@_-"/>
    <numFmt numFmtId="171" formatCode="_-* #,##0.000\ _₽_-;\-* #,##0.000\ _₽_-;_-* &quot;-&quot;???\ _₽_-;_-@_-"/>
  </numFmts>
  <fonts count="7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i/>
      <sz val="10"/>
      <color rgb="FF000000"/>
      <name val="Verdana"/>
      <family val="2"/>
      <charset val="204"/>
    </font>
    <font>
      <sz val="1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2">
    <xf numFmtId="0" fontId="0" fillId="0" borderId="0" xfId="0"/>
    <xf numFmtId="0" fontId="0" fillId="0" borderId="1" xfId="0" applyBorder="1"/>
    <xf numFmtId="164" fontId="0" fillId="2" borderId="1" xfId="0" applyNumberFormat="1" applyFill="1" applyBorder="1"/>
    <xf numFmtId="164" fontId="0" fillId="3" borderId="1" xfId="0" applyNumberFormat="1" applyFill="1" applyBorder="1"/>
    <xf numFmtId="0" fontId="0" fillId="2" borderId="1" xfId="0" applyFill="1" applyBorder="1"/>
    <xf numFmtId="0" fontId="0" fillId="3" borderId="1" xfId="0" applyFill="1" applyBorder="1"/>
    <xf numFmtId="166" fontId="0" fillId="0" borderId="1" xfId="1" applyNumberFormat="1" applyFont="1" applyBorder="1"/>
    <xf numFmtId="166" fontId="0" fillId="2" borderId="1" xfId="1" applyNumberFormat="1" applyFont="1" applyFill="1" applyBorder="1"/>
    <xf numFmtId="0" fontId="0" fillId="0" borderId="0" xfId="0" applyBorder="1"/>
    <xf numFmtId="0" fontId="0" fillId="0" borderId="1" xfId="0" applyBorder="1" applyAlignment="1">
      <alignment horizontal="center"/>
    </xf>
    <xf numFmtId="167" fontId="0" fillId="2" borderId="1" xfId="0" applyNumberFormat="1" applyFill="1" applyBorder="1"/>
    <xf numFmtId="0" fontId="0" fillId="0" borderId="1" xfId="0" applyFill="1" applyBorder="1"/>
    <xf numFmtId="0" fontId="2" fillId="0" borderId="1" xfId="0" applyFont="1" applyBorder="1" applyAlignment="1">
      <alignment horizontal="center"/>
    </xf>
    <xf numFmtId="164" fontId="0" fillId="0" borderId="0" xfId="0" applyNumberFormat="1"/>
    <xf numFmtId="167" fontId="0" fillId="0" borderId="0" xfId="0" applyNumberFormat="1"/>
    <xf numFmtId="167" fontId="0" fillId="0" borderId="1" xfId="0" applyNumberFormat="1" applyBorder="1"/>
    <xf numFmtId="164" fontId="0" fillId="0" borderId="1" xfId="0" applyNumberFormat="1" applyBorder="1"/>
    <xf numFmtId="165" fontId="0" fillId="0" borderId="1" xfId="2" applyNumberFormat="1" applyFont="1" applyBorder="1"/>
    <xf numFmtId="0" fontId="0" fillId="0" borderId="1" xfId="0" applyFont="1" applyBorder="1" applyAlignment="1">
      <alignment horizontal="center"/>
    </xf>
    <xf numFmtId="168" fontId="0" fillId="0" borderId="0" xfId="0" applyNumberFormat="1"/>
    <xf numFmtId="169" fontId="0" fillId="0" borderId="0" xfId="0" applyNumberFormat="1"/>
    <xf numFmtId="2" fontId="0" fillId="0" borderId="0" xfId="0" applyNumberFormat="1"/>
    <xf numFmtId="0" fontId="4" fillId="0" borderId="1" xfId="0" applyFont="1" applyBorder="1"/>
    <xf numFmtId="164" fontId="0" fillId="0" borderId="1" xfId="1" applyNumberFormat="1" applyFont="1" applyBorder="1"/>
    <xf numFmtId="164" fontId="0" fillId="2" borderId="1" xfId="1" applyNumberFormat="1" applyFont="1" applyFill="1" applyBorder="1"/>
    <xf numFmtId="170" fontId="0" fillId="0" borderId="0" xfId="0" applyNumberFormat="1"/>
    <xf numFmtId="171" fontId="0" fillId="0" borderId="0" xfId="0" applyNumberFormat="1"/>
    <xf numFmtId="2" fontId="0" fillId="2" borderId="1" xfId="0" applyNumberFormat="1" applyFill="1" applyBorder="1"/>
    <xf numFmtId="0" fontId="0" fillId="0" borderId="0" xfId="0" applyBorder="1" applyAlignment="1">
      <alignment horizontal="center"/>
    </xf>
    <xf numFmtId="164" fontId="5" fillId="2" borderId="1" xfId="0" applyNumberFormat="1" applyFont="1" applyFill="1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" xfId="0" applyBorder="1" applyAlignment="1">
      <alignment horizontal="left" vertic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0" fillId="0" borderId="6" xfId="0" applyFont="1" applyBorder="1" applyAlignment="1">
      <alignment horizontal="center"/>
    </xf>
    <xf numFmtId="164" fontId="0" fillId="0" borderId="1" xfId="0" applyNumberFormat="1" applyBorder="1" applyAlignment="1">
      <alignment horizontal="center"/>
    </xf>
  </cellXfs>
  <cellStyles count="3">
    <cellStyle name="Обычный" xfId="0" builtinId="0"/>
    <cellStyle name="Процентный" xfId="2" builtinId="5"/>
    <cellStyle name="Финансовый" xfId="1" builtinId="3"/>
  </cellStyles>
  <dxfs count="4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895350</xdr:colOff>
          <xdr:row>18</xdr:row>
          <xdr:rowOff>0</xdr:rowOff>
        </xdr:from>
        <xdr:to>
          <xdr:col>2</xdr:col>
          <xdr:colOff>0</xdr:colOff>
          <xdr:row>20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Поиск решения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8236A-482C-409E-AFCC-15BD510DDDAF}">
  <sheetPr codeName="Лист2"/>
  <dimension ref="A1:T68"/>
  <sheetViews>
    <sheetView tabSelected="1" zoomScale="85" zoomScaleNormal="85" workbookViewId="0">
      <selection activeCell="J60" sqref="J60"/>
    </sheetView>
  </sheetViews>
  <sheetFormatPr defaultRowHeight="15" x14ac:dyDescent="0.25"/>
  <cols>
    <col min="1" max="1" width="13.7109375" customWidth="1"/>
    <col min="2" max="2" width="23.5703125" customWidth="1"/>
    <col min="3" max="3" width="16" customWidth="1"/>
    <col min="5" max="5" width="70.140625" customWidth="1"/>
    <col min="6" max="6" width="21.28515625" customWidth="1"/>
    <col min="7" max="7" width="14.85546875" style="8" customWidth="1"/>
    <col min="8" max="8" width="12.85546875" style="8" customWidth="1"/>
    <col min="9" max="9" width="12.28515625" style="8" customWidth="1"/>
    <col min="10" max="10" width="24.42578125" customWidth="1"/>
    <col min="12" max="12" width="50.7109375" customWidth="1"/>
    <col min="13" max="13" width="37" customWidth="1"/>
    <col min="14" max="14" width="13.42578125" customWidth="1"/>
    <col min="15" max="15" width="13.85546875" customWidth="1"/>
    <col min="16" max="16" width="11.140625" customWidth="1"/>
    <col min="17" max="18" width="12" bestFit="1" customWidth="1"/>
    <col min="20" max="20" width="11" bestFit="1" customWidth="1"/>
  </cols>
  <sheetData>
    <row r="1" spans="1:20" x14ac:dyDescent="0.25">
      <c r="A1" s="33" t="s">
        <v>45</v>
      </c>
      <c r="B1" s="34"/>
      <c r="C1" s="9" t="s">
        <v>135</v>
      </c>
      <c r="E1" s="1"/>
      <c r="F1" s="1"/>
      <c r="G1" s="1"/>
      <c r="H1" s="12" t="s">
        <v>54</v>
      </c>
      <c r="I1" s="12" t="s">
        <v>55</v>
      </c>
      <c r="L1" s="37" t="s">
        <v>112</v>
      </c>
      <c r="M1" s="37"/>
      <c r="N1" s="39" t="s">
        <v>54</v>
      </c>
      <c r="O1" s="39" t="s">
        <v>55</v>
      </c>
      <c r="P1" s="32" t="s">
        <v>115</v>
      </c>
      <c r="Q1" s="32"/>
    </row>
    <row r="2" spans="1:20" x14ac:dyDescent="0.25">
      <c r="A2" s="1" t="s">
        <v>0</v>
      </c>
      <c r="B2" s="1" t="s">
        <v>1</v>
      </c>
      <c r="C2" s="1"/>
      <c r="E2" s="33" t="s">
        <v>56</v>
      </c>
      <c r="F2" s="36"/>
      <c r="G2" s="36"/>
      <c r="H2" s="36"/>
      <c r="I2" s="34"/>
      <c r="L2" s="38"/>
      <c r="M2" s="38"/>
      <c r="N2" s="40"/>
      <c r="O2" s="40"/>
      <c r="P2" s="18" t="s">
        <v>116</v>
      </c>
      <c r="Q2" s="18" t="s">
        <v>117</v>
      </c>
    </row>
    <row r="3" spans="1:20" x14ac:dyDescent="0.25">
      <c r="A3" s="1" t="s">
        <v>8</v>
      </c>
      <c r="B3" s="1" t="s">
        <v>9</v>
      </c>
      <c r="C3" s="1">
        <v>2.8</v>
      </c>
      <c r="E3" s="1" t="s">
        <v>46</v>
      </c>
      <c r="F3" s="1" t="s">
        <v>50</v>
      </c>
      <c r="G3" s="1" t="s">
        <v>2</v>
      </c>
      <c r="H3" s="1">
        <v>300</v>
      </c>
      <c r="I3" s="2">
        <v>299.87670573899442</v>
      </c>
      <c r="L3" s="33" t="s">
        <v>113</v>
      </c>
      <c r="M3" s="36"/>
      <c r="N3" s="36"/>
      <c r="O3" s="36"/>
      <c r="P3" s="36"/>
      <c r="Q3" s="34"/>
    </row>
    <row r="4" spans="1:20" x14ac:dyDescent="0.25">
      <c r="A4" s="1" t="s">
        <v>11</v>
      </c>
      <c r="B4" s="1" t="s">
        <v>12</v>
      </c>
      <c r="C4" s="1">
        <v>8.6</v>
      </c>
      <c r="E4" s="1" t="s">
        <v>47</v>
      </c>
      <c r="F4" s="1" t="s">
        <v>50</v>
      </c>
      <c r="G4" s="1" t="s">
        <v>4</v>
      </c>
      <c r="H4" s="1"/>
      <c r="I4" s="3">
        <v>0</v>
      </c>
      <c r="J4" t="str">
        <f>IF(H4&lt;&gt;I4,"Параметр изменен","Параметр не изменен")</f>
        <v>Параметр не изменен</v>
      </c>
      <c r="L4" s="1" t="s">
        <v>114</v>
      </c>
      <c r="M4" s="1" t="str">
        <f>F3</f>
        <v>долл США</v>
      </c>
      <c r="N4" s="15">
        <f>H5</f>
        <v>300</v>
      </c>
      <c r="O4" s="15">
        <f>I5</f>
        <v>299.87670573899442</v>
      </c>
      <c r="P4" s="16">
        <f>O4-N4</f>
        <v>-0.12329426100558294</v>
      </c>
      <c r="Q4" s="17">
        <f>O4/N4-1</f>
        <v>-4.1098087001856243E-4</v>
      </c>
    </row>
    <row r="5" spans="1:20" x14ac:dyDescent="0.25">
      <c r="E5" s="1" t="s">
        <v>48</v>
      </c>
      <c r="F5" s="1" t="s">
        <v>50</v>
      </c>
      <c r="G5" s="1" t="s">
        <v>6</v>
      </c>
      <c r="H5" s="4">
        <f>H4+H3</f>
        <v>300</v>
      </c>
      <c r="I5" s="2">
        <f>I4+I3</f>
        <v>299.87670573899442</v>
      </c>
      <c r="L5" s="1" t="s">
        <v>70</v>
      </c>
      <c r="M5" s="1" t="str">
        <f>F24</f>
        <v>руб/т</v>
      </c>
      <c r="N5" s="15">
        <f>H24</f>
        <v>13500</v>
      </c>
      <c r="O5" s="15">
        <f>I24</f>
        <v>13572.13340843162</v>
      </c>
      <c r="P5" s="16">
        <f t="shared" ref="P5:P8" si="0">O5-N5</f>
        <v>72.13340843162041</v>
      </c>
      <c r="Q5" s="17">
        <f t="shared" ref="Q5:Q8" si="1">O5/N5-1</f>
        <v>5.343215439379323E-3</v>
      </c>
    </row>
    <row r="6" spans="1:20" x14ac:dyDescent="0.25">
      <c r="A6" s="33" t="s">
        <v>111</v>
      </c>
      <c r="B6" s="34"/>
      <c r="C6" s="28"/>
      <c r="E6" s="1" t="s">
        <v>49</v>
      </c>
      <c r="F6" s="1" t="s">
        <v>51</v>
      </c>
      <c r="G6" s="1" t="s">
        <v>10</v>
      </c>
      <c r="H6" s="3">
        <v>75</v>
      </c>
      <c r="I6" s="3">
        <v>75</v>
      </c>
      <c r="J6" t="str">
        <f>IF(H6&lt;&gt;I6,"Параметр изменен","Параметр не изменен")</f>
        <v>Параметр не изменен</v>
      </c>
      <c r="L6" s="1" t="s">
        <v>71</v>
      </c>
      <c r="M6" s="1" t="str">
        <f>F26</f>
        <v>руб/т</v>
      </c>
      <c r="N6" s="15">
        <f>H26</f>
        <v>13623.529411764706</v>
      </c>
      <c r="O6" s="15">
        <f>I26</f>
        <v>13693.74798541969</v>
      </c>
      <c r="P6" s="16">
        <f t="shared" si="0"/>
        <v>70.218573654983629</v>
      </c>
      <c r="Q6" s="17">
        <f t="shared" si="1"/>
        <v>5.1542130921189422E-3</v>
      </c>
      <c r="T6" s="14"/>
    </row>
    <row r="7" spans="1:20" x14ac:dyDescent="0.25">
      <c r="A7" s="1" t="s">
        <v>3</v>
      </c>
      <c r="B7" s="1">
        <v>0.3</v>
      </c>
      <c r="C7" s="8"/>
      <c r="E7" s="1" t="s">
        <v>52</v>
      </c>
      <c r="F7" s="1" t="s">
        <v>50</v>
      </c>
      <c r="G7" s="1" t="s">
        <v>13</v>
      </c>
      <c r="H7" s="3">
        <v>50</v>
      </c>
      <c r="I7" s="3">
        <v>50</v>
      </c>
      <c r="J7" t="str">
        <f t="shared" ref="J7:J8" si="2">IF(H7&lt;&gt;I7,"Параметр изменен","Параметр не изменен")</f>
        <v>Параметр не изменен</v>
      </c>
      <c r="L7" s="1" t="s">
        <v>82</v>
      </c>
      <c r="M7" s="1" t="str">
        <f>F41</f>
        <v>руб/т</v>
      </c>
      <c r="N7" s="15">
        <f>H41</f>
        <v>50000</v>
      </c>
      <c r="O7" s="15">
        <f>I41</f>
        <v>50072.133408431619</v>
      </c>
      <c r="P7" s="16">
        <f t="shared" si="0"/>
        <v>72.133408431618591</v>
      </c>
      <c r="Q7" s="17">
        <f t="shared" si="1"/>
        <v>1.4426681686323661E-3</v>
      </c>
    </row>
    <row r="8" spans="1:20" x14ac:dyDescent="0.25">
      <c r="A8" s="1" t="s">
        <v>5</v>
      </c>
      <c r="B8" s="1">
        <v>-0.1</v>
      </c>
      <c r="C8" s="8"/>
      <c r="E8" s="1" t="s">
        <v>53</v>
      </c>
      <c r="F8" s="1"/>
      <c r="G8" s="1" t="s">
        <v>14</v>
      </c>
      <c r="H8" s="3">
        <v>0</v>
      </c>
      <c r="I8" s="3">
        <v>0</v>
      </c>
      <c r="J8" t="str">
        <f t="shared" si="2"/>
        <v>Параметр не изменен</v>
      </c>
      <c r="L8" s="1" t="s">
        <v>90</v>
      </c>
      <c r="M8" s="1" t="str">
        <f>F50</f>
        <v>руб/т</v>
      </c>
      <c r="N8" s="15">
        <f>H50</f>
        <v>200000</v>
      </c>
      <c r="O8" s="15">
        <f>I50</f>
        <v>200257.61931582721</v>
      </c>
      <c r="P8" s="16">
        <f t="shared" si="0"/>
        <v>257.61931582720717</v>
      </c>
      <c r="Q8" s="17">
        <f t="shared" si="1"/>
        <v>1.2880965791359777E-3</v>
      </c>
    </row>
    <row r="9" spans="1:20" x14ac:dyDescent="0.25">
      <c r="A9" s="1" t="s">
        <v>7</v>
      </c>
      <c r="B9" s="1">
        <v>-0.2</v>
      </c>
      <c r="C9" s="8"/>
      <c r="L9" s="11" t="s">
        <v>144</v>
      </c>
      <c r="M9" s="1"/>
      <c r="N9" s="15"/>
      <c r="O9" s="15"/>
      <c r="P9" s="17">
        <f>Q7*C3/100+Q8*C4/100</f>
        <v>1.5117101452740033E-4</v>
      </c>
      <c r="Q9" s="17"/>
    </row>
    <row r="10" spans="1:20" x14ac:dyDescent="0.25">
      <c r="A10" s="1" t="s">
        <v>154</v>
      </c>
      <c r="B10" s="1">
        <v>0.1</v>
      </c>
      <c r="C10" s="8"/>
      <c r="E10" s="32" t="s">
        <v>57</v>
      </c>
      <c r="F10" s="32"/>
      <c r="G10" s="32"/>
      <c r="H10" s="32"/>
      <c r="I10" s="32"/>
    </row>
    <row r="11" spans="1:20" x14ac:dyDescent="0.25">
      <c r="A11" s="1" t="s">
        <v>155</v>
      </c>
      <c r="B11" s="1">
        <v>-0.4</v>
      </c>
      <c r="C11" s="8"/>
      <c r="E11" s="1" t="s">
        <v>58</v>
      </c>
      <c r="F11" s="1" t="s">
        <v>65</v>
      </c>
      <c r="G11" s="1" t="s">
        <v>15</v>
      </c>
      <c r="H11" s="5">
        <v>15000</v>
      </c>
      <c r="I11" s="5">
        <v>15000</v>
      </c>
      <c r="J11" t="str">
        <f>IF(H11&lt;&gt;I11,"Параметр изменен","Параметр не изменен")</f>
        <v>Параметр не изменен</v>
      </c>
      <c r="L11" s="33" t="s">
        <v>118</v>
      </c>
      <c r="M11" s="36"/>
      <c r="N11" s="36"/>
      <c r="O11" s="36"/>
      <c r="P11" s="36"/>
      <c r="Q11" s="34"/>
    </row>
    <row r="12" spans="1:20" x14ac:dyDescent="0.25">
      <c r="A12" s="1" t="s">
        <v>103</v>
      </c>
      <c r="B12" s="1" t="s">
        <v>104</v>
      </c>
      <c r="C12" s="8"/>
      <c r="E12" s="1" t="s">
        <v>59</v>
      </c>
      <c r="F12" s="1" t="s">
        <v>66</v>
      </c>
      <c r="G12" s="1" t="s">
        <v>16</v>
      </c>
      <c r="H12" s="5">
        <v>375</v>
      </c>
      <c r="I12" s="5">
        <v>375</v>
      </c>
      <c r="J12" t="str">
        <f>IF(H12&lt;&gt;I12,"Параметр изменен","Параметр не изменен")</f>
        <v>Параметр не изменен</v>
      </c>
      <c r="L12" s="1" t="s">
        <v>72</v>
      </c>
      <c r="M12" s="1" t="str">
        <f>F29</f>
        <v>млн тонн</v>
      </c>
      <c r="N12" s="16">
        <f>H29</f>
        <v>85</v>
      </c>
      <c r="O12" s="16">
        <f>I29</f>
        <v>85.131196023184074</v>
      </c>
      <c r="P12" s="16">
        <f t="shared" ref="P12" si="3">O12-N12</f>
        <v>0.13119602318407431</v>
      </c>
      <c r="Q12" s="17">
        <f t="shared" ref="Q12" si="4">O12/N12-1</f>
        <v>1.5434826256950362E-3</v>
      </c>
    </row>
    <row r="13" spans="1:20" x14ac:dyDescent="0.25">
      <c r="A13" s="1" t="s">
        <v>105</v>
      </c>
      <c r="B13" s="1" t="s">
        <v>108</v>
      </c>
      <c r="C13" s="8"/>
      <c r="E13" s="1" t="s">
        <v>60</v>
      </c>
      <c r="F13" s="1" t="s">
        <v>66</v>
      </c>
      <c r="G13" s="1" t="s">
        <v>17</v>
      </c>
      <c r="H13" s="5">
        <v>400</v>
      </c>
      <c r="I13" s="5">
        <v>400</v>
      </c>
      <c r="J13" t="str">
        <f>IF(H13&lt;&gt;I13,"Параметр изменен","Параметр не изменен")</f>
        <v>Параметр не изменен</v>
      </c>
      <c r="L13" s="1" t="s">
        <v>119</v>
      </c>
      <c r="M13" s="1" t="str">
        <f>F54</f>
        <v>млн тонн</v>
      </c>
      <c r="N13" s="16">
        <f>H54</f>
        <v>65</v>
      </c>
      <c r="O13" s="16">
        <f>I54</f>
        <v>64.986820134751042</v>
      </c>
      <c r="P13" s="16">
        <f t="shared" ref="P13:P16" si="5">O13-N13</f>
        <v>-1.3179865248957867E-2</v>
      </c>
      <c r="Q13" s="17">
        <f t="shared" ref="Q13:Q16" si="6">O13/N13-1</f>
        <v>-2.0276715767630904E-4</v>
      </c>
    </row>
    <row r="14" spans="1:20" x14ac:dyDescent="0.25">
      <c r="A14" s="1" t="s">
        <v>106</v>
      </c>
      <c r="B14" s="1" t="s">
        <v>109</v>
      </c>
      <c r="C14" s="8"/>
      <c r="E14" s="1" t="s">
        <v>61</v>
      </c>
      <c r="F14" s="1"/>
      <c r="G14" s="1" t="s">
        <v>18</v>
      </c>
      <c r="H14" s="5">
        <v>0.7</v>
      </c>
      <c r="I14" s="5">
        <v>0.69</v>
      </c>
      <c r="J14" t="str">
        <f t="shared" ref="J14:J16" si="7">IF(H14&lt;&gt;I14,"Параметр изменен","Параметр не изменен")</f>
        <v>Параметр изменен</v>
      </c>
      <c r="L14" s="1" t="s">
        <v>120</v>
      </c>
      <c r="M14" s="1" t="str">
        <f>F55</f>
        <v>млн тонн</v>
      </c>
      <c r="N14" s="16">
        <f>H55</f>
        <v>20</v>
      </c>
      <c r="O14" s="16">
        <f>I55</f>
        <v>20.144375888433032</v>
      </c>
      <c r="P14" s="16">
        <f t="shared" si="5"/>
        <v>0.14437588843303217</v>
      </c>
      <c r="Q14" s="17">
        <f t="shared" si="6"/>
        <v>7.2187944216515199E-3</v>
      </c>
    </row>
    <row r="15" spans="1:20" x14ac:dyDescent="0.25">
      <c r="A15" s="1" t="s">
        <v>107</v>
      </c>
      <c r="B15" s="1" t="s">
        <v>110</v>
      </c>
      <c r="C15" s="8"/>
      <c r="E15" s="1" t="s">
        <v>62</v>
      </c>
      <c r="F15" s="1"/>
      <c r="G15" s="1" t="s">
        <v>20</v>
      </c>
      <c r="H15" s="5">
        <v>0.8</v>
      </c>
      <c r="I15" s="5">
        <v>0.8</v>
      </c>
      <c r="J15" t="str">
        <f t="shared" si="7"/>
        <v>Параметр не изменен</v>
      </c>
      <c r="L15" s="1" t="s">
        <v>121</v>
      </c>
      <c r="M15" s="1" t="str">
        <f>F35</f>
        <v>млн тонн</v>
      </c>
      <c r="N15" s="16">
        <f>H35</f>
        <v>20</v>
      </c>
      <c r="O15" s="16">
        <f>I35</f>
        <v>19.997116950773897</v>
      </c>
      <c r="P15" s="16">
        <f t="shared" si="5"/>
        <v>-2.8830492261029406E-3</v>
      </c>
      <c r="Q15" s="17">
        <f t="shared" si="6"/>
        <v>-1.4415246130516923E-4</v>
      </c>
    </row>
    <row r="16" spans="1:20" x14ac:dyDescent="0.25">
      <c r="E16" s="1" t="s">
        <v>63</v>
      </c>
      <c r="F16" s="1"/>
      <c r="G16" s="1" t="s">
        <v>22</v>
      </c>
      <c r="H16" s="5">
        <v>0.9</v>
      </c>
      <c r="I16" s="5">
        <v>0.9</v>
      </c>
      <c r="J16" t="str">
        <f t="shared" si="7"/>
        <v>Параметр не изменен</v>
      </c>
      <c r="L16" s="1" t="s">
        <v>122</v>
      </c>
      <c r="M16" s="1" t="str">
        <f>F44</f>
        <v>млн тонн</v>
      </c>
      <c r="N16" s="16">
        <f>H44</f>
        <v>11.2</v>
      </c>
      <c r="O16" s="16">
        <f>I44</f>
        <v>11.197116891513598</v>
      </c>
      <c r="P16" s="16">
        <f t="shared" si="5"/>
        <v>-2.8831084864009426E-3</v>
      </c>
      <c r="Q16" s="17">
        <f t="shared" si="6"/>
        <v>-2.574204005715286E-4</v>
      </c>
    </row>
    <row r="17" spans="2:20" x14ac:dyDescent="0.25">
      <c r="B17" t="str">
        <f>IF(SUMSQ(I68)&lt;0.000001,"Сошлось","Не сошлось")</f>
        <v>Сошлось</v>
      </c>
      <c r="E17" s="35" t="s">
        <v>64</v>
      </c>
      <c r="F17" s="1"/>
      <c r="G17" s="1" t="s">
        <v>23</v>
      </c>
      <c r="H17" s="4">
        <f>(H5*H6-H11)*H14</f>
        <v>5250</v>
      </c>
      <c r="I17" s="2">
        <f>(I5*I6-I11)*I14</f>
        <v>5168.6195219929596</v>
      </c>
    </row>
    <row r="18" spans="2:20" x14ac:dyDescent="0.25">
      <c r="E18" s="35"/>
      <c r="F18" s="1"/>
      <c r="G18" s="1" t="s">
        <v>24</v>
      </c>
      <c r="H18" s="4">
        <f>(H5-H12)*H6*H15+(H12*H6-H11)*H14</f>
        <v>4687.5</v>
      </c>
      <c r="I18" s="2">
        <f>(I5-I12)*I6*I15+(I12*I6-I11)*I14</f>
        <v>4548.8523443396643</v>
      </c>
      <c r="L18" s="31" t="s">
        <v>123</v>
      </c>
      <c r="M18" s="31"/>
      <c r="N18" s="31"/>
      <c r="O18" s="31"/>
      <c r="P18" s="31"/>
      <c r="Q18" s="31"/>
    </row>
    <row r="19" spans="2:20" x14ac:dyDescent="0.25">
      <c r="E19" s="35"/>
      <c r="F19" s="1"/>
      <c r="G19" s="1" t="s">
        <v>25</v>
      </c>
      <c r="H19" s="4">
        <f>(H5-H13)*H6*H16+(H13-H12)*H6*H15+(H12*H6-H11)*H14</f>
        <v>3937.5</v>
      </c>
      <c r="I19" s="2">
        <f>(I5-I13)*I6*I16+(I13-I12)*I6*I15+(I12*I6-I11)*I14</f>
        <v>3797.9276373821231</v>
      </c>
      <c r="L19" s="1" t="s">
        <v>124</v>
      </c>
      <c r="M19" s="1" t="str">
        <f>_xlfn.CONCAT(F5,"*",F6,"*",F55)</f>
        <v>долл США*руб/долл США*млн тонн</v>
      </c>
      <c r="N19" s="1">
        <f>H5*H6*H55</f>
        <v>450000</v>
      </c>
      <c r="O19" s="16">
        <f>I5*I6*I55</f>
        <v>453062.18104434945</v>
      </c>
      <c r="P19" s="16">
        <f t="shared" ref="P19" si="8">O19-N19</f>
        <v>3062.1810443494469</v>
      </c>
      <c r="Q19" s="17">
        <f t="shared" ref="Q19" si="9">O19/N19-1</f>
        <v>6.8048467652210842E-3</v>
      </c>
    </row>
    <row r="20" spans="2:20" x14ac:dyDescent="0.25">
      <c r="E20" s="1" t="s">
        <v>69</v>
      </c>
      <c r="F20" s="1" t="s">
        <v>65</v>
      </c>
      <c r="G20" s="1" t="s">
        <v>26</v>
      </c>
      <c r="H20" s="4">
        <f>IF(H5&lt;H12,H17,IF(H5&lt;H13,H18,H19))</f>
        <v>5250</v>
      </c>
      <c r="I20" s="2">
        <f>IF(I3&lt;I12,I17,IF(I3&lt;I13,I18,I19))</f>
        <v>5168.6195219929596</v>
      </c>
      <c r="L20" s="22" t="s">
        <v>125</v>
      </c>
      <c r="M20" s="1" t="str">
        <f>_xlfn.CONCAT(F20,"*",F55)</f>
        <v>руб/т*млн тонн</v>
      </c>
      <c r="N20" s="16">
        <f>H20*N14*(1-H25)</f>
        <v>94500</v>
      </c>
      <c r="O20" s="16">
        <f>I20*O14*(1-I25)</f>
        <v>93706.753027787316</v>
      </c>
      <c r="P20" s="16">
        <f>O20-N20</f>
        <v>-793.24697221268434</v>
      </c>
      <c r="Q20" s="17">
        <f t="shared" ref="Q20" si="10">O20/N20-1</f>
        <v>-8.3941478541025294E-3</v>
      </c>
    </row>
    <row r="21" spans="2:20" x14ac:dyDescent="0.25">
      <c r="E21" s="1" t="s">
        <v>133</v>
      </c>
      <c r="F21" s="1"/>
      <c r="G21" s="11" t="s">
        <v>134</v>
      </c>
      <c r="H21" s="27">
        <f>H20/(H5*H6)</f>
        <v>0.23333333333333334</v>
      </c>
      <c r="I21" s="27">
        <f>I20/(I5*I6)</f>
        <v>0.22981087107141976</v>
      </c>
    </row>
    <row r="22" spans="2:20" x14ac:dyDescent="0.25">
      <c r="L22" s="22" t="s">
        <v>142</v>
      </c>
      <c r="M22" s="1"/>
      <c r="N22" s="1"/>
    </row>
    <row r="23" spans="2:20" x14ac:dyDescent="0.25">
      <c r="E23" s="32" t="s">
        <v>67</v>
      </c>
      <c r="F23" s="32"/>
      <c r="G23" s="32"/>
      <c r="H23" s="32"/>
      <c r="I23" s="32"/>
      <c r="L23" s="1" t="s">
        <v>126</v>
      </c>
      <c r="M23" s="1" t="str">
        <f>_xlfn.CONCAT($M$5,"*",$M$12)</f>
        <v>руб/т*млн тонн</v>
      </c>
      <c r="N23" s="16">
        <f>-(N12*(N6-O6)-0.5*(N6-O6)*(N12-O12))</f>
        <v>5973.1849594822042</v>
      </c>
      <c r="Q23" s="14"/>
      <c r="R23" s="14"/>
    </row>
    <row r="24" spans="2:20" x14ac:dyDescent="0.25">
      <c r="E24" s="1" t="s">
        <v>70</v>
      </c>
      <c r="F24" s="1" t="s">
        <v>65</v>
      </c>
      <c r="G24" s="1" t="s">
        <v>19</v>
      </c>
      <c r="H24" s="2">
        <f>((H5-H7)*H6-H20)*(1-H8)</f>
        <v>13500</v>
      </c>
      <c r="I24" s="2">
        <f>((I5-I7)*I6-I20)*(1-I8)</f>
        <v>13572.13340843162</v>
      </c>
      <c r="K24" s="13"/>
      <c r="L24" s="1" t="s">
        <v>132</v>
      </c>
      <c r="M24" s="1" t="str">
        <f t="shared" ref="M24:M47" si="11">_xlfn.CONCAT($M$5,"*",$M$12)</f>
        <v>руб/т*млн тонн</v>
      </c>
      <c r="N24" s="16">
        <f>(N5-O5)*N13+0.5*(N5-O5)*(O13-N13)</f>
        <v>-4688.1961937537881</v>
      </c>
      <c r="Q24" s="14"/>
      <c r="T24" s="14"/>
    </row>
    <row r="25" spans="2:20" x14ac:dyDescent="0.25">
      <c r="E25" s="1" t="s">
        <v>68</v>
      </c>
      <c r="F25" s="1"/>
      <c r="G25" s="1" t="s">
        <v>27</v>
      </c>
      <c r="H25" s="5">
        <v>0.1</v>
      </c>
      <c r="I25" s="5">
        <v>0.1</v>
      </c>
      <c r="J25" t="str">
        <f>IF(H25&lt;&gt;I25,"Параметр изменен","Параметр не изменен")</f>
        <v>Параметр не изменен</v>
      </c>
      <c r="L25" s="1" t="s">
        <v>136</v>
      </c>
      <c r="M25" s="1" t="str">
        <f t="shared" si="11"/>
        <v>руб/т*млн тонн</v>
      </c>
      <c r="N25" s="16">
        <f>(N7-O7)*N15+0.5*(N7-O7)*(O15-N15)</f>
        <v>-1442.5641865486944</v>
      </c>
      <c r="Q25" s="14"/>
      <c r="T25" s="14"/>
    </row>
    <row r="26" spans="2:20" x14ac:dyDescent="0.25">
      <c r="E26" s="1" t="s">
        <v>71</v>
      </c>
      <c r="F26" s="1" t="s">
        <v>65</v>
      </c>
      <c r="G26" s="1" t="s">
        <v>21</v>
      </c>
      <c r="H26" s="29">
        <f>H24+H20*H55/H29*H25</f>
        <v>13623.529411764706</v>
      </c>
      <c r="I26" s="29">
        <f>I24+I20*H55/H29*I25</f>
        <v>13693.74798541969</v>
      </c>
      <c r="L26" s="1" t="s">
        <v>137</v>
      </c>
      <c r="M26" s="1" t="str">
        <f t="shared" si="11"/>
        <v>руб/т*млн тонн</v>
      </c>
      <c r="N26" s="16">
        <f>(N8-O8)*N16+0.5*(N8-O8)*(O16-N16)</f>
        <v>-2884.9649650468587</v>
      </c>
      <c r="Q26" s="14"/>
    </row>
    <row r="27" spans="2:20" x14ac:dyDescent="0.25">
      <c r="L27" s="22" t="s">
        <v>143</v>
      </c>
      <c r="M27" s="1" t="str">
        <f t="shared" si="11"/>
        <v>руб/т*млн тонн</v>
      </c>
      <c r="N27" s="16">
        <f>N23+N24+P20</f>
        <v>491.74179351573184</v>
      </c>
      <c r="Q27" s="14"/>
    </row>
    <row r="28" spans="2:20" x14ac:dyDescent="0.25">
      <c r="E28" s="32" t="s">
        <v>72</v>
      </c>
      <c r="F28" s="32"/>
      <c r="G28" s="32"/>
      <c r="H28" s="32"/>
      <c r="I28" s="32"/>
    </row>
    <row r="29" spans="2:20" x14ac:dyDescent="0.25">
      <c r="E29" s="1" t="s">
        <v>74</v>
      </c>
      <c r="F29" s="1" t="s">
        <v>91</v>
      </c>
      <c r="G29" s="1" t="s">
        <v>29</v>
      </c>
      <c r="H29" s="1">
        <v>85</v>
      </c>
      <c r="I29" s="2">
        <f>H32*(1+I31)*(I26/I30)^$B$7</f>
        <v>85.131196023184074</v>
      </c>
      <c r="J29" t="str">
        <f t="shared" ref="J29" si="12">IF(H30&lt;&gt;I30,"Параметр изменен","Параметр не изменен")</f>
        <v>Параметр не изменен</v>
      </c>
      <c r="L29" s="1" t="s">
        <v>129</v>
      </c>
      <c r="M29" s="1" t="str">
        <f t="shared" si="11"/>
        <v>руб/т*млн тонн</v>
      </c>
      <c r="N29" s="16">
        <f>N30+N31</f>
        <v>7765.1440388456012</v>
      </c>
      <c r="Q29" s="14"/>
      <c r="R29" s="14"/>
    </row>
    <row r="30" spans="2:20" x14ac:dyDescent="0.25">
      <c r="E30" s="1" t="s">
        <v>73</v>
      </c>
      <c r="F30" s="1"/>
      <c r="G30" s="1" t="s">
        <v>28</v>
      </c>
      <c r="H30" s="5">
        <v>1</v>
      </c>
      <c r="I30" s="5">
        <v>1</v>
      </c>
      <c r="J30" t="str">
        <f t="shared" ref="J30" si="13">IF(H31&lt;&gt;I31,"Параметр изменен","Параметр не изменен")</f>
        <v>Параметр не изменен</v>
      </c>
      <c r="L30" s="1" t="s">
        <v>127</v>
      </c>
      <c r="M30" s="1" t="str">
        <f t="shared" si="11"/>
        <v>руб/т*млн тонн</v>
      </c>
      <c r="N30" s="16">
        <f>N12*(O6-N6)+0.5*(O6-N6)*(O12-N12)</f>
        <v>5973.1849594822042</v>
      </c>
      <c r="Q30" s="14"/>
      <c r="R30" s="14"/>
    </row>
    <row r="31" spans="2:20" x14ac:dyDescent="0.25">
      <c r="E31" s="1" t="s">
        <v>75</v>
      </c>
      <c r="F31" s="1"/>
      <c r="G31" s="1" t="s">
        <v>30</v>
      </c>
      <c r="H31" s="5">
        <v>0</v>
      </c>
      <c r="I31" s="5">
        <v>0</v>
      </c>
      <c r="L31" s="1" t="s">
        <v>128</v>
      </c>
      <c r="M31" s="1" t="str">
        <f t="shared" si="11"/>
        <v>руб/т*млн тонн</v>
      </c>
      <c r="N31" s="16">
        <f>N6*(O12-N12)+0.5*(O6-N6)*(O12-N12)</f>
        <v>1791.9590793633965</v>
      </c>
    </row>
    <row r="32" spans="2:20" x14ac:dyDescent="0.25">
      <c r="E32" s="1" t="s">
        <v>76</v>
      </c>
      <c r="F32" s="1"/>
      <c r="G32" s="1" t="s">
        <v>31</v>
      </c>
      <c r="H32" s="2">
        <f>H29/(1+H31)/(H26/H30)^$B$7</f>
        <v>4.8880094359685131</v>
      </c>
      <c r="I32" s="1"/>
      <c r="O32" s="14"/>
      <c r="Q32" s="13"/>
      <c r="R32" s="14"/>
    </row>
    <row r="33" spans="5:17" x14ac:dyDescent="0.25">
      <c r="L33" s="1" t="s">
        <v>130</v>
      </c>
      <c r="M33" s="1" t="str">
        <f t="shared" si="11"/>
        <v>руб/т*млн тонн</v>
      </c>
      <c r="N33" s="16">
        <f>N34+N35</f>
        <v>1298.3077431598699</v>
      </c>
      <c r="Q33" s="14"/>
    </row>
    <row r="34" spans="5:17" x14ac:dyDescent="0.25">
      <c r="E34" s="32" t="s">
        <v>78</v>
      </c>
      <c r="F34" s="32"/>
      <c r="G34" s="32"/>
      <c r="H34" s="32"/>
      <c r="I34" s="32"/>
      <c r="L34" s="1" t="s">
        <v>127</v>
      </c>
      <c r="M34" s="1" t="str">
        <f t="shared" si="11"/>
        <v>руб/т*млн тонн</v>
      </c>
      <c r="N34" s="16">
        <f>N15*(O7-N7)+0.5*(O7-N7)*(O15-N15)</f>
        <v>1442.5641865486944</v>
      </c>
      <c r="Q34" s="14"/>
    </row>
    <row r="35" spans="5:17" x14ac:dyDescent="0.25">
      <c r="E35" s="1" t="s">
        <v>77</v>
      </c>
      <c r="F35" s="1" t="s">
        <v>91</v>
      </c>
      <c r="G35" s="1" t="s">
        <v>32</v>
      </c>
      <c r="H35" s="16">
        <v>20</v>
      </c>
      <c r="I35" s="2">
        <f>H36*(I41)^B8</f>
        <v>19.997116950773897</v>
      </c>
      <c r="L35" s="1" t="s">
        <v>128</v>
      </c>
      <c r="M35" s="1" t="str">
        <f t="shared" si="11"/>
        <v>руб/т*млн тонн</v>
      </c>
      <c r="N35" s="16">
        <f>N7*(O15-N15)+0.5*(O7-N7)*(O15-N15)</f>
        <v>-144.25644338882449</v>
      </c>
    </row>
    <row r="36" spans="5:17" x14ac:dyDescent="0.25">
      <c r="E36" s="1" t="s">
        <v>76</v>
      </c>
      <c r="F36" s="1"/>
      <c r="G36" s="1" t="s">
        <v>33</v>
      </c>
      <c r="H36" s="2">
        <f>H35/(H41^B8)</f>
        <v>59.010187706738385</v>
      </c>
      <c r="I36" s="1"/>
      <c r="Q36" s="13"/>
    </row>
    <row r="37" spans="5:17" x14ac:dyDescent="0.25">
      <c r="E37" s="1" t="s">
        <v>79</v>
      </c>
      <c r="F37" s="1" t="s">
        <v>91</v>
      </c>
      <c r="G37" s="1" t="s">
        <v>34</v>
      </c>
      <c r="H37" s="1">
        <v>20</v>
      </c>
      <c r="I37" s="16">
        <f>I35*I38</f>
        <v>19.997116950773897</v>
      </c>
      <c r="L37" s="1" t="s">
        <v>140</v>
      </c>
      <c r="M37" s="1" t="str">
        <f t="shared" si="11"/>
        <v>руб/т*млн тонн</v>
      </c>
      <c r="N37" s="16">
        <f>N38+N39</f>
        <v>1298.3077431598699</v>
      </c>
      <c r="Q37" s="13"/>
    </row>
    <row r="38" spans="5:17" x14ac:dyDescent="0.25">
      <c r="E38" s="1" t="s">
        <v>80</v>
      </c>
      <c r="F38" s="1" t="str">
        <f>_xlfn.CONCAT(F35,"/",F37)</f>
        <v>млн тонн/млн тонн</v>
      </c>
      <c r="G38" s="1" t="s">
        <v>35</v>
      </c>
      <c r="H38" s="4">
        <f>H37/H35</f>
        <v>1</v>
      </c>
      <c r="I38" s="4">
        <f>H38</f>
        <v>1</v>
      </c>
      <c r="L38" s="1" t="s">
        <v>138</v>
      </c>
      <c r="M38" s="1" t="str">
        <f t="shared" si="11"/>
        <v>руб/т*млн тонн</v>
      </c>
      <c r="N38" s="16">
        <f>N15*(O7-N7)+0.5*(O7-N7)*(O15-N15)</f>
        <v>1442.5641865486944</v>
      </c>
    </row>
    <row r="39" spans="5:17" x14ac:dyDescent="0.25">
      <c r="E39" s="1" t="s">
        <v>81</v>
      </c>
      <c r="F39" s="1" t="s">
        <v>65</v>
      </c>
      <c r="G39" s="1" t="s">
        <v>37</v>
      </c>
      <c r="H39" s="10">
        <f>H41-H38*H24</f>
        <v>36500</v>
      </c>
      <c r="I39" s="10">
        <f>H39</f>
        <v>36500</v>
      </c>
      <c r="J39" s="14"/>
      <c r="L39" s="1" t="s">
        <v>139</v>
      </c>
      <c r="M39" s="1" t="str">
        <f t="shared" si="11"/>
        <v>руб/т*млн тонн</v>
      </c>
      <c r="N39" s="16">
        <f>N7*(O15-N15)+0.5*(O15-N15)*(O7-N7)</f>
        <v>-144.25644338882449</v>
      </c>
      <c r="Q39" s="13"/>
    </row>
    <row r="40" spans="5:17" x14ac:dyDescent="0.25">
      <c r="E40" s="1" t="s">
        <v>83</v>
      </c>
      <c r="F40" s="1" t="str">
        <f>_xlfn.CONCAT(F35,"*",F41)</f>
        <v>млн тонн*руб/т</v>
      </c>
      <c r="G40" s="1" t="s">
        <v>41</v>
      </c>
      <c r="H40" s="6">
        <v>1000000</v>
      </c>
      <c r="I40" s="7">
        <f>I35*I41</f>
        <v>1001298.3077431598</v>
      </c>
      <c r="O40" s="13"/>
      <c r="Q40" s="13"/>
    </row>
    <row r="41" spans="5:17" x14ac:dyDescent="0.25">
      <c r="E41" s="1" t="s">
        <v>82</v>
      </c>
      <c r="F41" s="1" t="s">
        <v>65</v>
      </c>
      <c r="G41" s="1" t="s">
        <v>39</v>
      </c>
      <c r="H41" s="10">
        <f>H40/H35</f>
        <v>50000</v>
      </c>
      <c r="I41" s="10">
        <f>I38*I24+I39</f>
        <v>50072.133408431619</v>
      </c>
      <c r="L41" s="1" t="s">
        <v>131</v>
      </c>
      <c r="M41" s="1" t="str">
        <f t="shared" si="11"/>
        <v>руб/т*млн тонн</v>
      </c>
      <c r="N41" s="16">
        <f>N42+N43</f>
        <v>2307.9718955488088</v>
      </c>
    </row>
    <row r="42" spans="5:17" x14ac:dyDescent="0.25">
      <c r="L42" s="1" t="s">
        <v>127</v>
      </c>
      <c r="M42" s="1" t="str">
        <f t="shared" si="11"/>
        <v>руб/т*млн тонн</v>
      </c>
      <c r="N42" s="16">
        <f>N16*(O8-N8)+0.5*(O8-N8)*(O16-N16)</f>
        <v>2884.9649650468587</v>
      </c>
      <c r="Q42" s="13"/>
    </row>
    <row r="43" spans="5:17" x14ac:dyDescent="0.25">
      <c r="E43" s="32" t="s">
        <v>84</v>
      </c>
      <c r="F43" s="32"/>
      <c r="G43" s="32"/>
      <c r="H43" s="32"/>
      <c r="I43" s="32"/>
      <c r="L43" s="1" t="s">
        <v>128</v>
      </c>
      <c r="M43" s="1" t="str">
        <f t="shared" si="11"/>
        <v>руб/т*млн тонн</v>
      </c>
      <c r="N43" s="16">
        <f>N8*(O16-N16)+0.5*(O8-N8)*(O16-N16)</f>
        <v>-576.99306949804964</v>
      </c>
      <c r="Q43" s="13"/>
    </row>
    <row r="44" spans="5:17" x14ac:dyDescent="0.25">
      <c r="E44" s="1" t="s">
        <v>85</v>
      </c>
      <c r="F44" s="1" t="s">
        <v>91</v>
      </c>
      <c r="G44" s="1" t="s">
        <v>32</v>
      </c>
      <c r="H44" s="1">
        <v>11.2</v>
      </c>
      <c r="I44" s="2">
        <f>H45*(I50)^B9</f>
        <v>11.197116891513598</v>
      </c>
    </row>
    <row r="45" spans="5:17" x14ac:dyDescent="0.25">
      <c r="E45" s="1" t="s">
        <v>76</v>
      </c>
      <c r="F45" s="1"/>
      <c r="G45" s="1" t="s">
        <v>33</v>
      </c>
      <c r="H45" s="2">
        <f>H44/(H50^B9)</f>
        <v>128.65421575966795</v>
      </c>
      <c r="I45" s="1"/>
      <c r="L45" s="1" t="s">
        <v>141</v>
      </c>
      <c r="M45" s="1" t="str">
        <f t="shared" si="11"/>
        <v>руб/т*млн тонн</v>
      </c>
      <c r="N45" s="16">
        <f>N46+N47</f>
        <v>2307.9718955488088</v>
      </c>
      <c r="Q45" s="14"/>
    </row>
    <row r="46" spans="5:17" x14ac:dyDescent="0.25">
      <c r="E46" s="1" t="s">
        <v>86</v>
      </c>
      <c r="F46" s="1" t="s">
        <v>91</v>
      </c>
      <c r="G46" s="1" t="s">
        <v>34</v>
      </c>
      <c r="H46" s="1">
        <v>40</v>
      </c>
      <c r="I46" s="16">
        <f>I44*I47</f>
        <v>39.989703183977142</v>
      </c>
      <c r="L46" s="1" t="s">
        <v>138</v>
      </c>
      <c r="M46" s="1" t="str">
        <f t="shared" si="11"/>
        <v>руб/т*млн тонн</v>
      </c>
      <c r="N46" s="16">
        <f>N16*(O8-N8)+0.5*(O8-N8)*(O16-N16)</f>
        <v>2884.9649650468587</v>
      </c>
      <c r="Q46" s="14"/>
    </row>
    <row r="47" spans="5:17" x14ac:dyDescent="0.25">
      <c r="E47" s="1" t="s">
        <v>87</v>
      </c>
      <c r="F47" s="1" t="str">
        <f>_xlfn.CONCAT(F44,"/",F46)</f>
        <v>млн тонн/млн тонн</v>
      </c>
      <c r="G47" s="1" t="s">
        <v>35</v>
      </c>
      <c r="H47" s="2">
        <f>H46/H44</f>
        <v>3.5714285714285716</v>
      </c>
      <c r="I47" s="2">
        <f>H47</f>
        <v>3.5714285714285716</v>
      </c>
      <c r="L47" s="1" t="s">
        <v>139</v>
      </c>
      <c r="M47" s="1" t="str">
        <f t="shared" si="11"/>
        <v>руб/т*млн тонн</v>
      </c>
      <c r="N47" s="16">
        <f>N8*(O16-N16)+0.5*(O16-N16)*(O8-N8)</f>
        <v>-576.99306949804964</v>
      </c>
      <c r="Q47" s="14"/>
    </row>
    <row r="48" spans="5:17" x14ac:dyDescent="0.25">
      <c r="E48" s="1" t="s">
        <v>88</v>
      </c>
      <c r="F48" s="1" t="s">
        <v>65</v>
      </c>
      <c r="G48" s="1" t="s">
        <v>37</v>
      </c>
      <c r="H48" s="2">
        <f>H50-H47*H24</f>
        <v>151785.71428571429</v>
      </c>
      <c r="I48" s="2">
        <f>H48</f>
        <v>151785.71428571429</v>
      </c>
      <c r="Q48" s="14"/>
    </row>
    <row r="49" spans="5:15" x14ac:dyDescent="0.25">
      <c r="E49" s="1" t="s">
        <v>89</v>
      </c>
      <c r="F49" s="1" t="str">
        <f>_xlfn.CONCAT(F44,"*",F50)</f>
        <v>млн тонн*руб/т</v>
      </c>
      <c r="G49" s="1" t="s">
        <v>41</v>
      </c>
      <c r="H49" s="23">
        <v>2240000</v>
      </c>
      <c r="I49" s="24">
        <f>I44*I50</f>
        <v>2242307.9718955485</v>
      </c>
    </row>
    <row r="50" spans="5:15" x14ac:dyDescent="0.25">
      <c r="E50" s="1" t="s">
        <v>90</v>
      </c>
      <c r="F50" s="1" t="s">
        <v>65</v>
      </c>
      <c r="G50" s="1" t="s">
        <v>39</v>
      </c>
      <c r="H50" s="2">
        <f>H49/H44</f>
        <v>200000</v>
      </c>
      <c r="I50" s="2">
        <f>I47*I24+I48</f>
        <v>200257.61931582721</v>
      </c>
      <c r="O50" s="14"/>
    </row>
    <row r="51" spans="5:15" x14ac:dyDescent="0.25">
      <c r="M51" s="13"/>
      <c r="N51" s="13"/>
    </row>
    <row r="52" spans="5:15" x14ac:dyDescent="0.25">
      <c r="E52" s="32" t="s">
        <v>94</v>
      </c>
      <c r="F52" s="32"/>
      <c r="G52" s="32"/>
      <c r="H52" s="32"/>
      <c r="I52" s="32"/>
      <c r="M52" s="13"/>
      <c r="N52" s="13"/>
    </row>
    <row r="53" spans="5:15" x14ac:dyDescent="0.25">
      <c r="E53" s="1" t="s">
        <v>92</v>
      </c>
      <c r="F53" s="1" t="s">
        <v>91</v>
      </c>
      <c r="G53" s="11" t="s">
        <v>93</v>
      </c>
      <c r="H53" s="1">
        <v>5</v>
      </c>
      <c r="I53" s="1">
        <v>5</v>
      </c>
      <c r="M53" s="25"/>
      <c r="N53" s="25"/>
    </row>
    <row r="54" spans="5:15" x14ac:dyDescent="0.25">
      <c r="E54" s="1" t="s">
        <v>95</v>
      </c>
      <c r="F54" s="1" t="s">
        <v>91</v>
      </c>
      <c r="G54" s="1" t="s">
        <v>42</v>
      </c>
      <c r="H54" s="4">
        <f>H53+H44*H47+H35*H38</f>
        <v>65</v>
      </c>
      <c r="I54" s="4">
        <f>I53+I44*I47+I35*I38</f>
        <v>64.986820134751042</v>
      </c>
      <c r="M54" s="20"/>
      <c r="N54" s="20"/>
    </row>
    <row r="55" spans="5:15" x14ac:dyDescent="0.25">
      <c r="E55" s="1" t="s">
        <v>96</v>
      </c>
      <c r="F55" s="1" t="s">
        <v>91</v>
      </c>
      <c r="G55" s="1" t="s">
        <v>40</v>
      </c>
      <c r="H55" s="4">
        <f>H29-H54</f>
        <v>20</v>
      </c>
      <c r="I55" s="2">
        <f>I29-I54</f>
        <v>20.144375888433032</v>
      </c>
      <c r="M55" s="13"/>
      <c r="N55" s="13"/>
    </row>
    <row r="56" spans="5:15" x14ac:dyDescent="0.25">
      <c r="M56" s="20"/>
      <c r="N56" s="20"/>
    </row>
    <row r="57" spans="5:15" x14ac:dyDescent="0.25">
      <c r="E57" s="32" t="s">
        <v>97</v>
      </c>
      <c r="F57" s="32"/>
      <c r="G57" s="32"/>
      <c r="H57" s="32"/>
      <c r="I57" s="32"/>
    </row>
    <row r="58" spans="5:15" x14ac:dyDescent="0.25">
      <c r="E58" s="1" t="s">
        <v>147</v>
      </c>
      <c r="F58" s="1" t="s">
        <v>91</v>
      </c>
      <c r="G58" s="30" t="s">
        <v>151</v>
      </c>
      <c r="H58" s="41">
        <v>660</v>
      </c>
      <c r="I58" s="41">
        <f>H62*(1+I66)*((I5-I7)/I67)^B10</f>
        <v>659.96744308909661</v>
      </c>
      <c r="M58" s="21"/>
      <c r="N58" s="21"/>
    </row>
    <row r="59" spans="5:15" x14ac:dyDescent="0.25">
      <c r="E59" s="1" t="s">
        <v>149</v>
      </c>
      <c r="F59" s="1" t="s">
        <v>91</v>
      </c>
      <c r="G59" s="30" t="s">
        <v>145</v>
      </c>
      <c r="H59" s="41">
        <v>180</v>
      </c>
      <c r="I59" s="41">
        <f>H63*I3^B11</f>
        <v>180.02959913826706</v>
      </c>
      <c r="M59" s="14"/>
      <c r="N59" s="14"/>
    </row>
    <row r="60" spans="5:15" x14ac:dyDescent="0.25">
      <c r="E60" s="1" t="s">
        <v>148</v>
      </c>
      <c r="F60" s="1" t="s">
        <v>91</v>
      </c>
      <c r="G60" s="30" t="s">
        <v>150</v>
      </c>
      <c r="H60" s="41">
        <v>500</v>
      </c>
      <c r="I60" s="41">
        <f>H64*I3^B11</f>
        <v>500.08221982851956</v>
      </c>
      <c r="M60" s="13"/>
      <c r="N60" s="13"/>
    </row>
    <row r="61" spans="5:15" x14ac:dyDescent="0.25">
      <c r="E61" s="1" t="s">
        <v>98</v>
      </c>
      <c r="F61" s="1" t="s">
        <v>91</v>
      </c>
      <c r="G61" s="1" t="s">
        <v>38</v>
      </c>
      <c r="H61" s="41">
        <f>H58-H60</f>
        <v>160</v>
      </c>
      <c r="I61" s="41">
        <f>I58-I60</f>
        <v>159.88522326057705</v>
      </c>
      <c r="O61" s="13"/>
    </row>
    <row r="62" spans="5:15" x14ac:dyDescent="0.25">
      <c r="E62" s="1" t="s">
        <v>76</v>
      </c>
      <c r="F62" s="30"/>
      <c r="G62" s="30" t="s">
        <v>152</v>
      </c>
      <c r="H62" s="41">
        <f>H58/(1+H66)/((H5-H7)/H67)^B10</f>
        <v>379.97054753668715</v>
      </c>
      <c r="I62" s="41"/>
      <c r="M62" s="26"/>
      <c r="N62" s="26"/>
      <c r="O62" s="13"/>
    </row>
    <row r="63" spans="5:15" x14ac:dyDescent="0.25">
      <c r="E63" s="1" t="s">
        <v>76</v>
      </c>
      <c r="F63" s="30"/>
      <c r="G63" s="30" t="s">
        <v>146</v>
      </c>
      <c r="H63" s="41">
        <f>H59/H5^B11</f>
        <v>1762.4670522497586</v>
      </c>
      <c r="I63" s="41"/>
    </row>
    <row r="64" spans="5:15" x14ac:dyDescent="0.25">
      <c r="E64" s="1" t="s">
        <v>76</v>
      </c>
      <c r="F64" s="1"/>
      <c r="G64" s="30" t="s">
        <v>153</v>
      </c>
      <c r="H64" s="41">
        <f>H60/H5^B11</f>
        <v>4895.7418118048845</v>
      </c>
      <c r="I64" s="41"/>
    </row>
    <row r="65" spans="5:13" x14ac:dyDescent="0.25">
      <c r="E65" s="11" t="s">
        <v>101</v>
      </c>
      <c r="F65" s="1"/>
      <c r="G65" s="1" t="s">
        <v>36</v>
      </c>
      <c r="H65" s="2">
        <f>H55+H61</f>
        <v>180</v>
      </c>
      <c r="I65" s="2">
        <f>I55+I61</f>
        <v>180.0295991490101</v>
      </c>
      <c r="M65" s="19"/>
    </row>
    <row r="66" spans="5:13" x14ac:dyDescent="0.25">
      <c r="E66" s="1" t="s">
        <v>99</v>
      </c>
      <c r="F66" s="1"/>
      <c r="G66" s="1" t="s">
        <v>43</v>
      </c>
      <c r="H66" s="5">
        <v>0</v>
      </c>
      <c r="I66" s="5">
        <v>0</v>
      </c>
      <c r="J66" t="str">
        <f>IF(H66&lt;&gt;I66,"Параметр изменен","Параметр не изменен")</f>
        <v>Параметр не изменен</v>
      </c>
    </row>
    <row r="67" spans="5:13" x14ac:dyDescent="0.25">
      <c r="E67" s="1" t="s">
        <v>100</v>
      </c>
      <c r="F67" s="1"/>
      <c r="G67" s="1" t="s">
        <v>44</v>
      </c>
      <c r="H67" s="5">
        <v>1</v>
      </c>
      <c r="I67" s="5">
        <v>1</v>
      </c>
      <c r="J67" t="str">
        <f>IF(H67&lt;&gt;I67,"Параметр изменен","Параметр не изменен")</f>
        <v>Параметр не изменен</v>
      </c>
    </row>
    <row r="68" spans="5:13" x14ac:dyDescent="0.25">
      <c r="E68" s="11" t="s">
        <v>102</v>
      </c>
      <c r="F68" s="1"/>
      <c r="G68" s="1"/>
      <c r="H68" s="2">
        <f>H59-H65</f>
        <v>0</v>
      </c>
      <c r="I68" s="2">
        <f>I59-I65</f>
        <v>-1.074303668247012E-8</v>
      </c>
    </row>
  </sheetData>
  <mergeCells count="19">
    <mergeCell ref="A1:B1"/>
    <mergeCell ref="P1:Q1"/>
    <mergeCell ref="L11:Q11"/>
    <mergeCell ref="L3:Q3"/>
    <mergeCell ref="L1:L2"/>
    <mergeCell ref="M1:M2"/>
    <mergeCell ref="E2:I2"/>
    <mergeCell ref="E10:I10"/>
    <mergeCell ref="N1:N2"/>
    <mergeCell ref="O1:O2"/>
    <mergeCell ref="L18:Q18"/>
    <mergeCell ref="E43:I43"/>
    <mergeCell ref="E52:I52"/>
    <mergeCell ref="E57:I57"/>
    <mergeCell ref="A6:B6"/>
    <mergeCell ref="E17:E19"/>
    <mergeCell ref="E23:I23"/>
    <mergeCell ref="E28:I28"/>
    <mergeCell ref="E34:I34"/>
  </mergeCells>
  <phoneticPr fontId="3" type="noConversion"/>
  <conditionalFormatting sqref="K17:K18 J3:J23 J25:J69">
    <cfRule type="cellIs" dxfId="3" priority="4" operator="equal">
      <formula>"Параметр не изменен"</formula>
    </cfRule>
  </conditionalFormatting>
  <conditionalFormatting sqref="K17:K18 J3:J23 J25:J69">
    <cfRule type="cellIs" dxfId="2" priority="3" operator="equal">
      <formula>"Параметр изменен"</formula>
    </cfRule>
  </conditionalFormatting>
  <conditionalFormatting sqref="B17">
    <cfRule type="cellIs" dxfId="1" priority="1" operator="equal">
      <formula>"Не сошлось"</formula>
    </cfRule>
    <cfRule type="cellIs" dxfId="0" priority="2" operator="equal">
      <formula>"Сошлось"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Макрос1">
                <anchor moveWithCells="1" sizeWithCells="1">
                  <from>
                    <xdr:col>0</xdr:col>
                    <xdr:colOff>895350</xdr:colOff>
                    <xdr:row>18</xdr:row>
                    <xdr:rowOff>0</xdr:rowOff>
                  </from>
                  <to>
                    <xdr:col>2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Denis</dc:creator>
  <cp:lastModifiedBy>Денис Терновский</cp:lastModifiedBy>
  <dcterms:created xsi:type="dcterms:W3CDTF">2022-08-16T12:44:38Z</dcterms:created>
  <dcterms:modified xsi:type="dcterms:W3CDTF">2022-08-24T16:42:44Z</dcterms:modified>
</cp:coreProperties>
</file>