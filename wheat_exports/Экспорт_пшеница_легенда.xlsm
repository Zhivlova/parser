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ranepa-my.sharepoint.com/personal/ternovskiy-ds_ranepa_ru/Documents/2022/Темы по продуктам/Отправлено на сайт/Получено/"/>
    </mc:Choice>
  </mc:AlternateContent>
  <xr:revisionPtr revIDLastSave="3032" documentId="8_{AC9E9A1D-78F0-45F5-95C9-BD05192F4178}" xr6:coauthVersionLast="47" xr6:coauthVersionMax="47" xr10:uidLastSave="{8AC452ED-FCEA-44F3-9C5B-7A5F40CAD596}"/>
  <bookViews>
    <workbookView xWindow="5370" yWindow="5370" windowWidth="27030" windowHeight="14430" xr2:uid="{E6AF714B-B3B3-4295-AE93-330B1D33F16E}"/>
  </bookViews>
  <sheets>
    <sheet name="Лист2" sheetId="2" r:id="rId1"/>
    <sheet name="PW" sheetId="3" r:id="rId2"/>
    <sheet name="QSI" sheetId="4" r:id="rId3"/>
    <sheet name="QD" sheetId="5" r:id="rId4"/>
  </sheets>
  <definedNames>
    <definedName name="solver_adj" localSheetId="0" hidden="1">Лист2!$I$3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Лист2!$I$68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1" i="4" l="1"/>
  <c r="I7" i="4"/>
  <c r="I5" i="4"/>
  <c r="I3" i="4" s="1"/>
  <c r="I4" i="4"/>
  <c r="I2" i="4"/>
  <c r="H7" i="4"/>
  <c r="H4" i="4"/>
  <c r="H61" i="2"/>
  <c r="I39" i="4"/>
  <c r="H39" i="4"/>
  <c r="H38" i="4"/>
  <c r="H36" i="4"/>
  <c r="H35" i="4"/>
  <c r="H53" i="2"/>
  <c r="F46" i="5"/>
  <c r="F47" i="5" s="1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B47" i="5"/>
  <c r="B46" i="5"/>
  <c r="T11" i="5"/>
  <c r="E30" i="4"/>
  <c r="C30" i="4"/>
  <c r="D30" i="4"/>
  <c r="B30" i="4"/>
  <c r="C29" i="4"/>
  <c r="D29" i="4"/>
  <c r="B29" i="4"/>
  <c r="H3" i="4"/>
  <c r="H5" i="4"/>
  <c r="H2" i="4"/>
  <c r="I7" i="2" l="1"/>
  <c r="B18" i="3"/>
  <c r="F16" i="3"/>
  <c r="B14" i="3" l="1"/>
  <c r="J67" i="2"/>
  <c r="J66" i="2"/>
  <c r="M20" i="2"/>
  <c r="M19" i="2"/>
  <c r="M16" i="2"/>
  <c r="M15" i="2"/>
  <c r="M14" i="2"/>
  <c r="M13" i="2"/>
  <c r="M12" i="2"/>
  <c r="M8" i="2"/>
  <c r="M7" i="2"/>
  <c r="M6" i="2"/>
  <c r="M5" i="2"/>
  <c r="M26" i="2" s="1"/>
  <c r="M4" i="2"/>
  <c r="M39" i="2" l="1"/>
  <c r="M35" i="2"/>
  <c r="M29" i="2"/>
  <c r="M46" i="2"/>
  <c r="M27" i="2"/>
  <c r="M45" i="2"/>
  <c r="M34" i="2"/>
  <c r="M25" i="2"/>
  <c r="M41" i="2"/>
  <c r="M30" i="2"/>
  <c r="M24" i="2"/>
  <c r="M23" i="2"/>
  <c r="M43" i="2"/>
  <c r="M38" i="2"/>
  <c r="M33" i="2"/>
  <c r="M47" i="2"/>
  <c r="M42" i="2"/>
  <c r="M37" i="2"/>
  <c r="M31" i="2"/>
  <c r="J25" i="2"/>
  <c r="H38" i="2" l="1"/>
  <c r="H47" i="2"/>
  <c r="H50" i="2"/>
  <c r="H54" i="2" l="1"/>
  <c r="H55" i="2" s="1"/>
  <c r="H65" i="2" s="1"/>
  <c r="H68" i="2" s="1"/>
  <c r="N16" i="2"/>
  <c r="N15" i="2"/>
  <c r="N12" i="2"/>
  <c r="I5" i="2"/>
  <c r="J4" i="2"/>
  <c r="J6" i="2"/>
  <c r="J7" i="2"/>
  <c r="J8" i="2"/>
  <c r="J11" i="2"/>
  <c r="J12" i="2"/>
  <c r="J13" i="2"/>
  <c r="J14" i="2"/>
  <c r="J15" i="2"/>
  <c r="J16" i="2"/>
  <c r="J29" i="2"/>
  <c r="J30" i="2"/>
  <c r="N13" i="2" l="1"/>
  <c r="I17" i="2"/>
  <c r="I20" i="2" s="1"/>
  <c r="O4" i="2"/>
  <c r="I19" i="2"/>
  <c r="I18" i="2"/>
  <c r="I24" i="2" l="1"/>
  <c r="I21" i="2"/>
  <c r="F49" i="2"/>
  <c r="F47" i="2"/>
  <c r="F38" i="2"/>
  <c r="F40" i="2"/>
  <c r="H41" i="2"/>
  <c r="I47" i="2"/>
  <c r="H5" i="2"/>
  <c r="H64" i="2" l="1"/>
  <c r="I60" i="2" s="1"/>
  <c r="H63" i="2"/>
  <c r="I59" i="2" s="1"/>
  <c r="H62" i="2"/>
  <c r="O5" i="2"/>
  <c r="H17" i="2"/>
  <c r="H20" i="2" s="1"/>
  <c r="H24" i="2" s="1"/>
  <c r="N7" i="2"/>
  <c r="N4" i="2"/>
  <c r="H45" i="2"/>
  <c r="N8" i="2"/>
  <c r="H36" i="2"/>
  <c r="H18" i="2"/>
  <c r="H19" i="2"/>
  <c r="I38" i="2"/>
  <c r="I58" i="2" l="1"/>
  <c r="I61" i="2" s="1"/>
  <c r="H21" i="2"/>
  <c r="P4" i="2"/>
  <c r="Q4" i="2"/>
  <c r="I26" i="2" l="1"/>
  <c r="N19" i="2"/>
  <c r="H26" i="2"/>
  <c r="N6" i="2" s="1"/>
  <c r="N5" i="2"/>
  <c r="H48" i="2"/>
  <c r="I48" i="2" s="1"/>
  <c r="I50" i="2" s="1"/>
  <c r="O8" i="2" s="1"/>
  <c r="H39" i="2"/>
  <c r="I39" i="2" s="1"/>
  <c r="I41" i="2" s="1"/>
  <c r="I35" i="2" s="1"/>
  <c r="I37" i="2" s="1"/>
  <c r="N14" i="2"/>
  <c r="N20" i="2" s="1"/>
  <c r="H32" i="2" l="1"/>
  <c r="I29" i="2" s="1"/>
  <c r="I53" i="2" s="1"/>
  <c r="I44" i="2"/>
  <c r="I49" i="2" s="1"/>
  <c r="P5" i="2"/>
  <c r="Q5" i="2"/>
  <c r="P8" i="2"/>
  <c r="Q8" i="2"/>
  <c r="O15" i="2"/>
  <c r="Q15" i="2" s="1"/>
  <c r="O7" i="2"/>
  <c r="O16" i="2" l="1"/>
  <c r="Q16" i="2" s="1"/>
  <c r="I46" i="2"/>
  <c r="N25" i="2"/>
  <c r="I40" i="2"/>
  <c r="P15" i="2"/>
  <c r="I54" i="2"/>
  <c r="O13" i="2" s="1"/>
  <c r="N38" i="2"/>
  <c r="N35" i="2"/>
  <c r="P7" i="2"/>
  <c r="Q7" i="2"/>
  <c r="P9" i="2" s="1"/>
  <c r="N34" i="2"/>
  <c r="N39" i="2"/>
  <c r="N26" i="2" l="1"/>
  <c r="N46" i="2"/>
  <c r="N47" i="2"/>
  <c r="N42" i="2"/>
  <c r="N43" i="2"/>
  <c r="P16" i="2"/>
  <c r="N24" i="2"/>
  <c r="N33" i="2"/>
  <c r="N37" i="2"/>
  <c r="P13" i="2"/>
  <c r="Q13" i="2"/>
  <c r="N45" i="2" l="1"/>
  <c r="N41" i="2"/>
  <c r="O12" i="2"/>
  <c r="O6" i="2"/>
  <c r="N23" i="2" l="1"/>
  <c r="Q6" i="2"/>
  <c r="Q12" i="2"/>
  <c r="N31" i="2"/>
  <c r="P12" i="2"/>
  <c r="P6" i="2"/>
  <c r="N30" i="2"/>
  <c r="I55" i="2"/>
  <c r="I65" i="2" l="1"/>
  <c r="I68" i="2" s="1"/>
  <c r="B17" i="2" s="1"/>
  <c r="N29" i="2"/>
  <c r="O14" i="2"/>
  <c r="O20" i="2" s="1"/>
  <c r="O19" i="2"/>
  <c r="Q14" i="2" l="1"/>
  <c r="P14" i="2"/>
  <c r="Q19" i="2"/>
  <c r="P19" i="2"/>
  <c r="P20" i="2" l="1"/>
  <c r="N27" i="2" s="1"/>
  <c r="Q20" i="2"/>
</calcChain>
</file>

<file path=xl/sharedStrings.xml><?xml version="1.0" encoding="utf-8"?>
<sst xmlns="http://schemas.openxmlformats.org/spreadsheetml/2006/main" count="363" uniqueCount="269">
  <si>
    <t>A</t>
  </si>
  <si>
    <t>Пшеница</t>
  </si>
  <si>
    <t>PW_A_const</t>
  </si>
  <si>
    <t>e_SI_A</t>
  </si>
  <si>
    <t>PW_A_shift</t>
  </si>
  <si>
    <t>e_DI_C1</t>
  </si>
  <si>
    <t>PW_A</t>
  </si>
  <si>
    <t>e_DI_C2</t>
  </si>
  <si>
    <t>C_1</t>
  </si>
  <si>
    <t>Хлеб</t>
  </si>
  <si>
    <t>ER</t>
  </si>
  <si>
    <t>С_2</t>
  </si>
  <si>
    <t>Мясо</t>
  </si>
  <si>
    <t>CT</t>
  </si>
  <si>
    <t>TD</t>
  </si>
  <si>
    <t>Pb</t>
  </si>
  <si>
    <t>Pb2</t>
  </si>
  <si>
    <t>Pb3</t>
  </si>
  <si>
    <t>t1</t>
  </si>
  <si>
    <t>PI_A_cons</t>
  </si>
  <si>
    <t>t2</t>
  </si>
  <si>
    <t>PI_A_prod</t>
  </si>
  <si>
    <t>t3</t>
  </si>
  <si>
    <t>tax_1</t>
  </si>
  <si>
    <t>tax_2</t>
  </si>
  <si>
    <t>tax_3</t>
  </si>
  <si>
    <t>tax</t>
  </si>
  <si>
    <t>demp</t>
  </si>
  <si>
    <t>i_cost</t>
  </si>
  <si>
    <t>QSI_A</t>
  </si>
  <si>
    <t>shift_QSI_A</t>
  </si>
  <si>
    <t>Z_QSI_A</t>
  </si>
  <si>
    <t>QDI_С1</t>
  </si>
  <si>
    <t>Z_QDI_C1</t>
  </si>
  <si>
    <t>QDI_A_C1</t>
  </si>
  <si>
    <t>d_A_C1</t>
  </si>
  <si>
    <t>QSW_A</t>
  </si>
  <si>
    <t>CI_C1_other</t>
  </si>
  <si>
    <t>QSW_exRUS_A</t>
  </si>
  <si>
    <t>PI_C1</t>
  </si>
  <si>
    <t>QSW_RUS_A</t>
  </si>
  <si>
    <t>SpI_C1</t>
  </si>
  <si>
    <t>QDI_A</t>
  </si>
  <si>
    <t>shift_QSW_A</t>
  </si>
  <si>
    <t>i_cost_world</t>
  </si>
  <si>
    <t>Список товаров</t>
  </si>
  <si>
    <t>Мировая цена товара А до сдвига</t>
  </si>
  <si>
    <t>Инфляционный сдвиг мировой цены товара А</t>
  </si>
  <si>
    <t>Мировая цена товара А после сдвига</t>
  </si>
  <si>
    <t>Обменный курс</t>
  </si>
  <si>
    <t>долл США</t>
  </si>
  <si>
    <t>руб/долл США</t>
  </si>
  <si>
    <t>Стоимость услуг трейдеров</t>
  </si>
  <si>
    <t>Дисконт к эквивалентной цене</t>
  </si>
  <si>
    <t>до</t>
  </si>
  <si>
    <t>после</t>
  </si>
  <si>
    <t>Цены на мировом рынке</t>
  </si>
  <si>
    <t>Расчет суммы вывозной таможенной пошлины</t>
  </si>
  <si>
    <t>Первая базовая цена</t>
  </si>
  <si>
    <t>Вторая базовая цена</t>
  </si>
  <si>
    <t>Третья базовая цена</t>
  </si>
  <si>
    <t>Ставка к первой базовой цене</t>
  </si>
  <si>
    <t>Ставка ко второй базовой цене</t>
  </si>
  <si>
    <t>Ставка к третьей базовой цене</t>
  </si>
  <si>
    <t>Вспомогательные расчеты</t>
  </si>
  <si>
    <t>руб/т</t>
  </si>
  <si>
    <t>долл/т</t>
  </si>
  <si>
    <t>Внутренние цены с учетом демпфера</t>
  </si>
  <si>
    <t>Ставка зернового демпфера</t>
  </si>
  <si>
    <t>Вывозная таможенная пошлина на товар А</t>
  </si>
  <si>
    <t>Внутренняя цена товара А для потребителей</t>
  </si>
  <si>
    <t>Внутренняя цена товара А для производителей</t>
  </si>
  <si>
    <t>Внутреннее производство товара А</t>
  </si>
  <si>
    <t>Индекс превышения затрат на производство над ценами</t>
  </si>
  <si>
    <t>Объем внутреннего производства товара А</t>
  </si>
  <si>
    <t>Экзогенный сдвиг во внутреннем предложении товара А</t>
  </si>
  <si>
    <t>Калибруемый вспомогательный параметр</t>
  </si>
  <si>
    <t>Внутренний спрос на товар С1</t>
  </si>
  <si>
    <t>Внутреннее производство товара С1</t>
  </si>
  <si>
    <t>Объем товара А на производство товара С1</t>
  </si>
  <si>
    <t>Использование единиц А на единицу С1 (калибруемый параметр)</t>
  </si>
  <si>
    <t>Затраты на производство единицы С1 кроме А (калибруемый параметр)</t>
  </si>
  <si>
    <t>Цена товара С1</t>
  </si>
  <si>
    <t>Внутренние затраты потребителей на С1</t>
  </si>
  <si>
    <t>Внутреннее производство товара С2</t>
  </si>
  <si>
    <t>Внутренний спрос на товар С2</t>
  </si>
  <si>
    <t>Объем товара А на производство товара С2</t>
  </si>
  <si>
    <t>Использование единиц А на единицу С2 (калибруемый параметр)</t>
  </si>
  <si>
    <t>Затраты на производство единицы С2 кроме А (калибруемый параметр)</t>
  </si>
  <si>
    <t>Внутренние затраты потребителей на С2</t>
  </si>
  <si>
    <t>Цена товара С2</t>
  </si>
  <si>
    <t>млн тонн</t>
  </si>
  <si>
    <t>Объем прочего использования товара А</t>
  </si>
  <si>
    <t>Other_use_A</t>
  </si>
  <si>
    <t>Прочее использование и баланс товара А</t>
  </si>
  <si>
    <t>Внутренний спрос на товар А</t>
  </si>
  <si>
    <t>Экспортное предложение товара А со стороны России</t>
  </si>
  <si>
    <t>Мировой рынок товара А</t>
  </si>
  <si>
    <t>Экспортное предложение товара А со стороны прочих стран</t>
  </si>
  <si>
    <t>Экзогенный сдвиг во внешнем предложении товара А</t>
  </si>
  <si>
    <t>Индекс превышения затрат на производство над ценами в остальном мире</t>
  </si>
  <si>
    <t>Совокупное предложение товара А на мировом рынке</t>
  </si>
  <si>
    <t>Баланс</t>
  </si>
  <si>
    <t>S</t>
  </si>
  <si>
    <t>предложение</t>
  </si>
  <si>
    <t>D</t>
  </si>
  <si>
    <t>I</t>
  </si>
  <si>
    <t>W</t>
  </si>
  <si>
    <t>спрос</t>
  </si>
  <si>
    <t>внутренний рынок</t>
  </si>
  <si>
    <t>мировой рынок</t>
  </si>
  <si>
    <t>Эластичности по собственной цене</t>
  </si>
  <si>
    <t>Результаты</t>
  </si>
  <si>
    <t>Цены:</t>
  </si>
  <si>
    <t>Мировая цена товара А</t>
  </si>
  <si>
    <t>Прирост</t>
  </si>
  <si>
    <t xml:space="preserve"> +/-</t>
  </si>
  <si>
    <t>%</t>
  </si>
  <si>
    <t>Производство и потребление:</t>
  </si>
  <si>
    <t>Внутреннее потребление товара А</t>
  </si>
  <si>
    <t>Экспорт товара А</t>
  </si>
  <si>
    <t>Производство/потребление товара С1</t>
  </si>
  <si>
    <t>Производство/потребление товара С2</t>
  </si>
  <si>
    <t>Стоимостные эффекты:</t>
  </si>
  <si>
    <t>Эффект платежного баланса</t>
  </si>
  <si>
    <t>Эффект таможенных сборов</t>
  </si>
  <si>
    <t xml:space="preserve"> - излишек производителя товара А</t>
  </si>
  <si>
    <t xml:space="preserve"> - изменение оборота из-за изменения цен</t>
  </si>
  <si>
    <t xml:space="preserve"> - изменение объема производства</t>
  </si>
  <si>
    <t>Изменение оборота производителей товара А:</t>
  </si>
  <si>
    <t>Изменение оборота производителей товара С1:</t>
  </si>
  <si>
    <t>Изменение оборота производителей товара С2:</t>
  </si>
  <si>
    <t xml:space="preserve"> - излишек косвенных потребителей товара А</t>
  </si>
  <si>
    <t>Адвалорная ставка пошлины на товар А</t>
  </si>
  <si>
    <t>t</t>
  </si>
  <si>
    <t>Вклад в ИПЦ</t>
  </si>
  <si>
    <t xml:space="preserve">   - в т.ч. потребителей товара С1</t>
  </si>
  <si>
    <t xml:space="preserve">   - в т.ч. потребителей товара С2</t>
  </si>
  <si>
    <t xml:space="preserve"> - переплата потребителей из-за изменения цен</t>
  </si>
  <si>
    <t xml:space="preserve"> - изменение объема потребления</t>
  </si>
  <si>
    <t>Изменение суммы покупок потребителей товара С1:</t>
  </si>
  <si>
    <t>Изменение суммы покупок потребителей товара С2:</t>
  </si>
  <si>
    <t>Эффект перераспределения:</t>
  </si>
  <si>
    <t>Эффект экономических потерь</t>
  </si>
  <si>
    <t>Изменение ИПЦ</t>
  </si>
  <si>
    <t>QD_A</t>
  </si>
  <si>
    <t>Z_QD_A</t>
  </si>
  <si>
    <t>Производство товара А (остальной мир)</t>
  </si>
  <si>
    <t>Внутренний спрос экспортеров (остальной мир)</t>
  </si>
  <si>
    <t>Глобальный спрос со стороны импортеров</t>
  </si>
  <si>
    <t>QD_exRUS_A</t>
  </si>
  <si>
    <t>QS_exRUS_A</t>
  </si>
  <si>
    <t>Z_QS_exRUS_A</t>
  </si>
  <si>
    <t>Z_QD_exRUS_A</t>
  </si>
  <si>
    <t>e_S_A</t>
  </si>
  <si>
    <t>e_D_A</t>
  </si>
  <si>
    <t>Date</t>
  </si>
  <si>
    <t>INTERNATIONAL PRICES, EXPORT, Russian Federation, Wheat (milling, offer, f.o.b., deep-sea ports), USD/tonne</t>
  </si>
  <si>
    <t>01/01/2020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</si>
  <si>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</si>
  <si>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</si>
  <si>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</si>
  <si>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</si>
  <si>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</si>
  <si>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</si>
  <si>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</si>
  <si>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</si>
  <si>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</si>
  <si>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</si>
  <si>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</si>
  <si>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/>
  </si>
  <si>
    <t>Российская Федерация</t>
  </si>
  <si>
    <t>Тонна;^метрическая тонна (1000 кг)</t>
  </si>
  <si>
    <t>2020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</si>
  <si>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</si>
  <si>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</si>
  <si>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</si>
  <si>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</si>
  <si>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</si>
  <si>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</si>
  <si>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</si>
  <si>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</si>
  <si>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</si>
  <si>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</si>
  <si>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</si>
  <si>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</si>
  <si>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СТ</t>
  </si>
  <si>
    <t>Commodity</t>
  </si>
  <si>
    <t>Attribute</t>
  </si>
  <si>
    <t>Country</t>
  </si>
  <si>
    <t>2018/2019</t>
  </si>
  <si>
    <t>2019/2020</t>
  </si>
  <si>
    <t>2020/2021</t>
  </si>
  <si>
    <t>Unit Description</t>
  </si>
  <si>
    <t>Wheat</t>
  </si>
  <si>
    <t>Production</t>
  </si>
  <si>
    <t>Russia</t>
  </si>
  <si>
    <t>(1000 MT)</t>
  </si>
  <si>
    <t>Exports</t>
  </si>
  <si>
    <t>Feed Dom. Consumption</t>
  </si>
  <si>
    <t>FSI Consumption</t>
  </si>
  <si>
    <t>Domestic Consumption</t>
  </si>
  <si>
    <t>Обновлено 08.07.2021</t>
  </si>
  <si>
    <t>Потребление продуктов питания в домашних хозяйствах</t>
  </si>
  <si>
    <t>ПОТРЕБЛЕНИЕ, ПИЩЕВАЯ И ЭНЕРГЕТИЧЕСКАЯ ЦЕННОСТЬ ПРОДУКТОВ</t>
  </si>
  <si>
    <t>ПИТАНИЯ В ДОМАШНИХ ХОЗЯЙСТВАХ</t>
  </si>
  <si>
    <t>(в среднем на члена домашнего хозяйcтва)</t>
  </si>
  <si>
    <t>Все домашние хозяйства</t>
  </si>
  <si>
    <t>Потребление основных продуктов питания, кг в год:</t>
  </si>
  <si>
    <t xml:space="preserve">   хлебные продукты </t>
  </si>
  <si>
    <t xml:space="preserve">   картофель </t>
  </si>
  <si>
    <t xml:space="preserve">   овощи и бахчевые </t>
  </si>
  <si>
    <t xml:space="preserve">   фрукты, ягоды </t>
  </si>
  <si>
    <t xml:space="preserve">   мясо и мясопродукты </t>
  </si>
  <si>
    <t xml:space="preserve">   молоко и молочные продукты </t>
  </si>
  <si>
    <t>   яйца, шт.</t>
  </si>
  <si>
    <t xml:space="preserve">   рыба и рыбопродукты </t>
  </si>
  <si>
    <t xml:space="preserve">   сахар и кондитерские изделия </t>
  </si>
  <si>
    <t xml:space="preserve">   масло растительное и другие жиры </t>
  </si>
  <si>
    <t>Пищевая ценность, г в сутки:</t>
  </si>
  <si>
    <t>   белки</t>
  </si>
  <si>
    <t>   жиры</t>
  </si>
  <si>
    <t>   углеводы</t>
  </si>
  <si>
    <t>Энергетическая ценность, ккал в сутки</t>
  </si>
  <si>
    <t>Ресурсы и использование зерна (без продуктов переработки)</t>
  </si>
  <si>
    <t xml:space="preserve"> по Российской Федерации</t>
  </si>
  <si>
    <t>(млн. тонн)</t>
  </si>
  <si>
    <t xml:space="preserve">             I. РЕСУРСЫ </t>
  </si>
  <si>
    <t xml:space="preserve">Запасы на начало года     </t>
  </si>
  <si>
    <t xml:space="preserve">Производство (валовой сбор в весе
после доработки)                          </t>
  </si>
  <si>
    <t>Импорт</t>
  </si>
  <si>
    <t xml:space="preserve">Итого ресурсов                        </t>
  </si>
  <si>
    <t xml:space="preserve">          II. ИСПОЛЬЗОВАНИЕ</t>
  </si>
  <si>
    <t xml:space="preserve">Производственное потребление      </t>
  </si>
  <si>
    <t>в том числе:</t>
  </si>
  <si>
    <t xml:space="preserve">                     
   на семена</t>
  </si>
  <si>
    <t xml:space="preserve">   на корм скоту и птице</t>
  </si>
  <si>
    <t>Переработано на муку, крупу, комбикорма и другие цели</t>
  </si>
  <si>
    <t xml:space="preserve">Потери                                 </t>
  </si>
  <si>
    <t xml:space="preserve">Экспорт                 </t>
  </si>
  <si>
    <t xml:space="preserve">Личное потребление (фонд потребления) 
</t>
  </si>
  <si>
    <t>Запасы на конец отчетного периода</t>
  </si>
  <si>
    <t>СТОИМОСТЬ ОСНОВНЫХ ПРОДУКТОВ ПИТАНИЯ,</t>
  </si>
  <si>
    <t>ПОТРЕБЛЕННЫХ В ДОМАШНИХ ХОЗЯЙСТВАХ в 2020 г.</t>
  </si>
  <si>
    <t>(в среднем на одного члена домашнего хозяйства в месяц; рублей)</t>
  </si>
  <si>
    <t>Хлеб-ные продук-ты</t>
  </si>
  <si>
    <t>Карто-фель</t>
  </si>
  <si>
    <t>Овощи и бахчевые</t>
  </si>
  <si>
    <t>Фрукты и ягоды</t>
  </si>
  <si>
    <t>Мясо и мясо-про-дукты</t>
  </si>
  <si>
    <t>Молоко и молоч-ные продук-ты</t>
  </si>
  <si>
    <t>Яйца</t>
  </si>
  <si>
    <t>Рыба и рыбо-продук-ты</t>
  </si>
  <si>
    <t>Сахар и конди-терские изделия</t>
  </si>
  <si>
    <t>Масло расти-тельное и другие жиры</t>
  </si>
  <si>
    <t>      в том числе проживающие:</t>
  </si>
  <si>
    <t>   в городской местности</t>
  </si>
  <si>
    <t>   в сельской местности</t>
  </si>
  <si>
    <t>Домашние хозяйства, имеющие детей в возрасте до 16 лет:</t>
  </si>
  <si>
    <t>   1 ребенка</t>
  </si>
  <si>
    <t>   2 детей</t>
  </si>
  <si>
    <t>   3 и более детей</t>
  </si>
  <si>
    <t>World</t>
  </si>
  <si>
    <t>World_exRUS</t>
  </si>
  <si>
    <t>Константы (у пользователя нет доступа)</t>
  </si>
  <si>
    <t>Изменяемые пользователем поля (есть значения по умолчанию)</t>
  </si>
  <si>
    <t>Расчетные поля (содержат формулы)</t>
  </si>
  <si>
    <t>Таблицы вывода результатов</t>
  </si>
  <si>
    <t>Таблицы ввода исходных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</si>
</sst>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%"/>
    <numFmt numFmtId="166" formatCode="_-* #,##0.0_-;\-* #,##0.0_-;_-* &quot;-&quot;??_-;_-@_-"/>
    <numFmt numFmtId="167" formatCode="_-* #,##0.0\ _₽_-;\-* #,##0.0\ _₽_-;_-* &quot;-&quot;?\ _₽_-;_-@_-"/>
    <numFmt numFmtId="168" formatCode="0.0000"/>
    <numFmt numFmtId="169" formatCode="0.000"/>
    <numFmt numFmtId="170" formatCode="_-* #,##0.00\ _₽_-;\-* #,##0.00\ _₽_-;_-* &quot;-&quot;??\ _₽_-;_-@_-"/>
    <numFmt numFmtId="171" formatCode="_-* #,##0.000\ _₽_-;\-* #,##0.000\ _₽_-;_-* &quot;-&quot;???\ _₽_-;_-@_-"/>
    <numFmt numFmtId="182" formatCode="_-* #,##0.000_-;\-* #,##0.000_-;_-* &quot;-&quot;??_-;_-@_-"/>
  </numFmts>
  <fonts count="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i/>
      <sz val="10"/>
      <color rgb="FF000000"/>
      <name val="Verdana"/>
      <family val="2"/>
      <charset val="204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i/>
      <sz val="8"/>
      <name val="Arial Cyr"/>
      <charset val="204"/>
    </font>
    <font>
      <b/>
      <i/>
      <u/>
      <sz val="10"/>
      <name val="Arial Cyr"/>
      <charset val="204"/>
    </font>
    <font>
      <sz val="10"/>
      <name val="Arial Cyr"/>
      <charset val="204"/>
    </font>
    <font>
      <b/>
      <sz val="7.5"/>
      <name val="Arial"/>
      <family val="2"/>
      <charset val="204"/>
    </font>
    <font>
      <sz val="7.5"/>
      <name val="Arial"/>
      <family val="2"/>
      <charset val="204"/>
    </font>
    <font>
      <sz val="7"/>
      <name val="Arial"/>
      <family val="2"/>
      <charset val="204"/>
    </font>
    <font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0"/>
      <color rgb="FFFF0000"/>
      <name val="Arial Cyr"/>
      <charset val="204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2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10" applyNumberFormat="0" applyAlignment="0" applyProtection="0"/>
    <xf numFmtId="0" fontId="17" fillId="7" borderId="11" applyNumberFormat="0" applyAlignment="0" applyProtection="0"/>
    <xf numFmtId="0" fontId="18" fillId="7" borderId="10" applyNumberFormat="0" applyAlignment="0" applyProtection="0"/>
    <xf numFmtId="0" fontId="19" fillId="0" borderId="12" applyNumberFormat="0" applyFill="0" applyAlignment="0" applyProtection="0"/>
    <xf numFmtId="0" fontId="20" fillId="8" borderId="13" applyNumberFormat="0" applyAlignment="0" applyProtection="0"/>
    <xf numFmtId="0" fontId="7" fillId="0" borderId="0" applyNumberFormat="0" applyFill="0" applyBorder="0" applyAlignment="0" applyProtection="0"/>
    <xf numFmtId="0" fontId="1" fillId="9" borderId="14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5" applyNumberFormat="0" applyFill="0" applyAlignment="0" applyProtection="0"/>
    <xf numFmtId="0" fontId="22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2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7" fillId="0" borderId="0"/>
  </cellStyleXfs>
  <cellXfs count="130">
    <xf numFmtId="0" fontId="0" fillId="0" borderId="0" xfId="0"/>
    <xf numFmtId="0" fontId="0" fillId="0" borderId="1" xfId="0" applyBorder="1"/>
    <xf numFmtId="164" fontId="0" fillId="2" borderId="1" xfId="0" applyNumberFormat="1" applyFill="1" applyBorder="1"/>
    <xf numFmtId="0" fontId="0" fillId="2" borderId="1" xfId="0" applyFill="1" applyBorder="1"/>
    <xf numFmtId="166" fontId="0" fillId="2" borderId="1" xfId="1" applyNumberFormat="1" applyFont="1" applyFill="1" applyBorder="1"/>
    <xf numFmtId="0" fontId="0" fillId="0" borderId="0" xfId="0" applyBorder="1"/>
    <xf numFmtId="0" fontId="0" fillId="0" borderId="1" xfId="0" applyBorder="1" applyAlignment="1">
      <alignment horizontal="center"/>
    </xf>
    <xf numFmtId="167" fontId="0" fillId="2" borderId="1" xfId="0" applyNumberFormat="1" applyFill="1" applyBorder="1"/>
    <xf numFmtId="0" fontId="0" fillId="0" borderId="1" xfId="0" applyFill="1" applyBorder="1"/>
    <xf numFmtId="164" fontId="0" fillId="0" borderId="0" xfId="0" applyNumberFormat="1"/>
    <xf numFmtId="167" fontId="0" fillId="0" borderId="0" xfId="0" applyNumberFormat="1"/>
    <xf numFmtId="167" fontId="0" fillId="0" borderId="1" xfId="0" applyNumberFormat="1" applyBorder="1"/>
    <xf numFmtId="164" fontId="0" fillId="0" borderId="1" xfId="0" applyNumberFormat="1" applyBorder="1"/>
    <xf numFmtId="165" fontId="0" fillId="0" borderId="1" xfId="2" applyNumberFormat="1" applyFont="1" applyBorder="1"/>
    <xf numFmtId="168" fontId="0" fillId="0" borderId="0" xfId="0" applyNumberFormat="1"/>
    <xf numFmtId="169" fontId="0" fillId="0" borderId="0" xfId="0" applyNumberFormat="1"/>
    <xf numFmtId="2" fontId="0" fillId="0" borderId="0" xfId="0" applyNumberFormat="1"/>
    <xf numFmtId="0" fontId="4" fillId="0" borderId="1" xfId="0" applyFont="1" applyBorder="1"/>
    <xf numFmtId="164" fontId="0" fillId="2" borderId="1" xfId="1" applyNumberFormat="1" applyFont="1" applyFill="1" applyBorder="1"/>
    <xf numFmtId="170" fontId="0" fillId="0" borderId="0" xfId="0" applyNumberFormat="1"/>
    <xf numFmtId="171" fontId="0" fillId="0" borderId="0" xfId="0" applyNumberFormat="1"/>
    <xf numFmtId="2" fontId="0" fillId="2" borderId="1" xfId="0" applyNumberFormat="1" applyFill="1" applyBorder="1"/>
    <xf numFmtId="0" fontId="0" fillId="0" borderId="0" xfId="0" applyBorder="1" applyAlignment="1">
      <alignment horizontal="center"/>
    </xf>
    <xf numFmtId="164" fontId="5" fillId="2" borderId="1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3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36" borderId="16" xfId="0" applyFill="1" applyBorder="1" applyAlignment="1">
      <alignment vertical="top" wrapText="1"/>
    </xf>
    <xf numFmtId="0" fontId="29" fillId="36" borderId="18" xfId="0" applyFont="1" applyFill="1" applyBorder="1" applyAlignment="1">
      <alignment horizontal="center" vertical="top" wrapText="1"/>
    </xf>
    <xf numFmtId="0" fontId="0" fillId="0" borderId="1" xfId="0" applyBorder="1" applyAlignment="1">
      <alignment wrapText="1"/>
    </xf>
    <xf numFmtId="0" fontId="29" fillId="0" borderId="1" xfId="0" applyFont="1" applyBorder="1" applyAlignment="1">
      <alignment wrapText="1"/>
    </xf>
    <xf numFmtId="0" fontId="28" fillId="37" borderId="20" xfId="0" applyFont="1" applyFill="1" applyBorder="1" applyAlignment="1">
      <alignment horizontal="center" vertical="center" wrapText="1" shrinkToFit="1"/>
    </xf>
    <xf numFmtId="0" fontId="28" fillId="37" borderId="0" xfId="0" applyFont="1" applyFill="1" applyAlignment="1">
      <alignment horizontal="center" vertical="center" wrapText="1" shrinkToFit="1"/>
    </xf>
    <xf numFmtId="0" fontId="25" fillId="35" borderId="0" xfId="0" applyFont="1" applyFill="1" applyAlignment="1">
      <alignment horizontal="left"/>
    </xf>
    <xf numFmtId="0" fontId="29" fillId="0" borderId="0" xfId="0" applyFont="1" applyAlignment="1">
      <alignment horizontal="center" wrapText="1"/>
    </xf>
    <xf numFmtId="0" fontId="29" fillId="36" borderId="17" xfId="0" applyFont="1" applyFill="1" applyBorder="1" applyAlignment="1">
      <alignment horizontal="center" vertical="top" wrapText="1"/>
    </xf>
    <xf numFmtId="1" fontId="30" fillId="0" borderId="1" xfId="0" applyNumberFormat="1" applyFont="1" applyBorder="1" applyAlignment="1">
      <alignment horizontal="right" wrapText="1"/>
    </xf>
    <xf numFmtId="0" fontId="30" fillId="0" borderId="1" xfId="0" applyFont="1" applyBorder="1" applyAlignment="1">
      <alignment horizontal="right" wrapText="1"/>
    </xf>
    <xf numFmtId="0" fontId="27" fillId="0" borderId="0" xfId="0" applyFont="1" applyAlignment="1">
      <alignment vertical="center"/>
    </xf>
    <xf numFmtId="0" fontId="29" fillId="36" borderId="5" xfId="0" applyFont="1" applyFill="1" applyBorder="1" applyAlignment="1">
      <alignment horizontal="center" vertical="top" wrapText="1"/>
    </xf>
    <xf numFmtId="0" fontId="26" fillId="0" borderId="0" xfId="0" applyFont="1" applyAlignment="1">
      <alignment horizontal="center" vertical="center"/>
    </xf>
    <xf numFmtId="0" fontId="27" fillId="0" borderId="0" xfId="0" applyFont="1"/>
    <xf numFmtId="0" fontId="28" fillId="0" borderId="0" xfId="0" applyFont="1" applyAlignment="1">
      <alignment horizontal="center" wrapText="1"/>
    </xf>
    <xf numFmtId="0" fontId="28" fillId="37" borderId="19" xfId="0" applyFont="1" applyFill="1" applyBorder="1" applyAlignment="1">
      <alignment horizontal="center" vertical="center" wrapText="1" shrinkToFit="1"/>
    </xf>
    <xf numFmtId="0" fontId="34" fillId="0" borderId="0" xfId="0" applyFont="1" applyAlignment="1" applyProtection="1">
      <alignment horizontal="center" vertical="center" wrapText="1"/>
      <protection locked="0"/>
    </xf>
    <xf numFmtId="0" fontId="31" fillId="0" borderId="0" xfId="0" applyFont="1"/>
    <xf numFmtId="0" fontId="33" fillId="38" borderId="0" xfId="0" applyFont="1" applyFill="1" applyAlignment="1">
      <alignment horizontal="center"/>
    </xf>
    <xf numFmtId="0" fontId="32" fillId="0" borderId="0" xfId="0" applyFont="1" applyAlignment="1" applyProtection="1">
      <alignment horizontal="center" wrapText="1"/>
      <protection locked="0"/>
    </xf>
    <xf numFmtId="0" fontId="35" fillId="36" borderId="1" xfId="0" applyFont="1" applyFill="1" applyBorder="1" applyAlignment="1">
      <alignment horizontal="center" vertical="center"/>
    </xf>
    <xf numFmtId="0" fontId="32" fillId="0" borderId="0" xfId="0" applyFont="1" applyAlignment="1" applyProtection="1">
      <alignment horizontal="center" wrapText="1"/>
      <protection locked="0"/>
    </xf>
    <xf numFmtId="0" fontId="31" fillId="0" borderId="0" xfId="0" applyFont="1" applyAlignment="1">
      <alignment horizontal="right"/>
    </xf>
    <xf numFmtId="0" fontId="31" fillId="0" borderId="21" xfId="0" applyFont="1" applyBorder="1"/>
    <xf numFmtId="0" fontId="32" fillId="0" borderId="0" xfId="0" applyFont="1" applyAlignment="1" applyProtection="1">
      <alignment horizontal="center" vertical="center" wrapText="1"/>
      <protection locked="0"/>
    </xf>
    <xf numFmtId="0" fontId="0" fillId="0" borderId="0" xfId="0"/>
    <xf numFmtId="0" fontId="24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23" fillId="0" borderId="0" xfId="0" applyFont="1" applyAlignment="1">
      <alignment wrapText="1"/>
    </xf>
    <xf numFmtId="0" fontId="31" fillId="36" borderId="1" xfId="0" applyFont="1" applyFill="1" applyBorder="1" applyAlignment="1">
      <alignment horizontal="center" vertical="center" wrapText="1"/>
    </xf>
    <xf numFmtId="0" fontId="35" fillId="37" borderId="0" xfId="0" quotePrefix="1" applyFont="1" applyFill="1" applyAlignment="1">
      <alignment horizontal="left" vertical="center"/>
    </xf>
    <xf numFmtId="0" fontId="36" fillId="37" borderId="0" xfId="0" applyFont="1" applyFill="1" applyAlignment="1">
      <alignment horizontal="center"/>
    </xf>
    <xf numFmtId="0" fontId="35" fillId="0" borderId="0" xfId="0" applyFont="1" applyAlignment="1" applyProtection="1">
      <alignment wrapText="1"/>
      <protection locked="0"/>
    </xf>
    <xf numFmtId="164" fontId="36" fillId="0" borderId="0" xfId="0" applyNumberFormat="1" applyFont="1"/>
    <xf numFmtId="0" fontId="36" fillId="0" borderId="0" xfId="0" applyFont="1"/>
    <xf numFmtId="164" fontId="36" fillId="0" borderId="0" xfId="0" applyNumberFormat="1" applyFont="1" applyAlignment="1">
      <alignment horizontal="right"/>
    </xf>
    <xf numFmtId="0" fontId="36" fillId="0" borderId="0" xfId="0" applyFont="1" applyAlignment="1">
      <alignment horizontal="right"/>
    </xf>
    <xf numFmtId="0" fontId="35" fillId="0" borderId="0" xfId="0" applyFont="1" applyProtection="1">
      <protection locked="0"/>
    </xf>
    <xf numFmtId="0" fontId="35" fillId="37" borderId="0" xfId="0" quotePrefix="1" applyFont="1" applyFill="1" applyAlignment="1" applyProtection="1">
      <alignment horizontal="left"/>
      <protection locked="0"/>
    </xf>
    <xf numFmtId="164" fontId="36" fillId="37" borderId="0" xfId="0" applyNumberFormat="1" applyFont="1" applyFill="1" applyAlignment="1">
      <alignment horizontal="center"/>
    </xf>
    <xf numFmtId="164" fontId="36" fillId="37" borderId="0" xfId="0" applyNumberFormat="1" applyFont="1" applyFill="1" applyAlignment="1">
      <alignment horizontal="right"/>
    </xf>
    <xf numFmtId="0" fontId="35" fillId="0" borderId="0" xfId="0" quotePrefix="1" applyFont="1" applyAlignment="1" applyProtection="1">
      <alignment horizontal="left" wrapText="1"/>
      <protection locked="0"/>
    </xf>
    <xf numFmtId="0" fontId="35" fillId="0" borderId="0" xfId="0" applyFont="1" applyAlignment="1" applyProtection="1">
      <alignment horizontal="center" wrapText="1"/>
      <protection locked="0"/>
    </xf>
    <xf numFmtId="0" fontId="32" fillId="0" borderId="0" xfId="0" applyFont="1" applyAlignment="1" applyProtection="1">
      <alignment vertical="center" wrapText="1"/>
      <protection locked="0"/>
    </xf>
    <xf numFmtId="0" fontId="27" fillId="0" borderId="0" xfId="45"/>
    <xf numFmtId="0" fontId="27" fillId="0" borderId="0" xfId="45" applyBorder="1"/>
    <xf numFmtId="0" fontId="29" fillId="0" borderId="22" xfId="45" applyFont="1" applyBorder="1" applyAlignment="1">
      <alignment wrapText="1"/>
    </xf>
    <xf numFmtId="0" fontId="29" fillId="0" borderId="23" xfId="45" applyFont="1" applyBorder="1" applyAlignment="1">
      <alignment wrapText="1"/>
    </xf>
    <xf numFmtId="0" fontId="27" fillId="0" borderId="0" xfId="45" applyAlignment="1">
      <alignment horizontal="center"/>
    </xf>
    <xf numFmtId="0" fontId="27" fillId="0" borderId="0" xfId="45" applyFont="1" applyFill="1" applyBorder="1"/>
    <xf numFmtId="0" fontId="29" fillId="38" borderId="25" xfId="45" applyFont="1" applyFill="1" applyBorder="1" applyAlignment="1">
      <alignment wrapText="1"/>
    </xf>
    <xf numFmtId="0" fontId="27" fillId="0" borderId="0" xfId="45" applyFont="1" applyFill="1"/>
    <xf numFmtId="0" fontId="29" fillId="0" borderId="0" xfId="45" applyFont="1" applyAlignment="1">
      <alignment horizontal="center" wrapText="1"/>
    </xf>
    <xf numFmtId="164" fontId="29" fillId="0" borderId="22" xfId="45" applyNumberFormat="1" applyFont="1" applyBorder="1" applyAlignment="1">
      <alignment horizontal="right" wrapText="1"/>
    </xf>
    <xf numFmtId="164" fontId="29" fillId="0" borderId="23" xfId="45" applyNumberFormat="1" applyFont="1" applyBorder="1" applyAlignment="1">
      <alignment horizontal="right" wrapText="1"/>
    </xf>
    <xf numFmtId="164" fontId="29" fillId="0" borderId="26" xfId="45" applyNumberFormat="1" applyFont="1" applyBorder="1" applyAlignment="1">
      <alignment horizontal="right" wrapText="1"/>
    </xf>
    <xf numFmtId="164" fontId="37" fillId="0" borderId="23" xfId="45" applyNumberFormat="1" applyFont="1" applyFill="1" applyBorder="1" applyAlignment="1">
      <alignment wrapText="1"/>
    </xf>
    <xf numFmtId="0" fontId="29" fillId="0" borderId="25" xfId="45" applyFont="1" applyBorder="1" applyAlignment="1">
      <alignment wrapText="1"/>
    </xf>
    <xf numFmtId="164" fontId="29" fillId="0" borderId="1" xfId="45" applyNumberFormat="1" applyFont="1" applyBorder="1" applyAlignment="1">
      <alignment horizontal="right" wrapText="1"/>
    </xf>
    <xf numFmtId="164" fontId="29" fillId="0" borderId="26" xfId="45" applyNumberFormat="1" applyFont="1" applyFill="1" applyBorder="1" applyAlignment="1">
      <alignment horizontal="right" wrapText="1"/>
    </xf>
    <xf numFmtId="0" fontId="29" fillId="0" borderId="26" xfId="45" applyFont="1" applyBorder="1" applyAlignment="1">
      <alignment wrapText="1"/>
    </xf>
    <xf numFmtId="0" fontId="25" fillId="35" borderId="0" xfId="45" applyFont="1" applyFill="1" applyBorder="1" applyAlignment="1">
      <alignment horizontal="left"/>
    </xf>
    <xf numFmtId="0" fontId="26" fillId="0" borderId="0" xfId="45" applyFont="1" applyFill="1" applyAlignment="1">
      <alignment horizontal="center" vertical="center"/>
    </xf>
    <xf numFmtId="0" fontId="29" fillId="36" borderId="23" xfId="45" applyFont="1" applyFill="1" applyBorder="1" applyAlignment="1">
      <alignment horizontal="center" vertical="top" wrapText="1"/>
    </xf>
    <xf numFmtId="0" fontId="29" fillId="36" borderId="26" xfId="45" applyFont="1" applyFill="1" applyBorder="1" applyAlignment="1">
      <alignment horizontal="center" vertical="top" wrapText="1"/>
    </xf>
    <xf numFmtId="0" fontId="29" fillId="36" borderId="24" xfId="45" applyFont="1" applyFill="1" applyBorder="1" applyAlignment="1">
      <alignment horizontal="center" vertical="top" wrapText="1"/>
    </xf>
    <xf numFmtId="0" fontId="28" fillId="0" borderId="0" xfId="45" applyFont="1" applyAlignment="1">
      <alignment horizontal="center" vertical="center" wrapText="1"/>
    </xf>
    <xf numFmtId="0" fontId="27" fillId="36" borderId="23" xfId="45" applyFill="1" applyBorder="1" applyAlignment="1">
      <alignment vertical="top" wrapText="1"/>
    </xf>
    <xf numFmtId="0" fontId="27" fillId="36" borderId="26" xfId="45" applyFill="1" applyBorder="1" applyAlignment="1">
      <alignment vertical="top" wrapText="1"/>
    </xf>
    <xf numFmtId="0" fontId="28" fillId="0" borderId="0" xfId="45" applyFont="1" applyAlignment="1">
      <alignment horizontal="center" wrapText="1"/>
    </xf>
    <xf numFmtId="0" fontId="29" fillId="0" borderId="0" xfId="45" applyFont="1" applyAlignment="1">
      <alignment horizontal="center" wrapText="1"/>
    </xf>
    <xf numFmtId="182" fontId="0" fillId="0" borderId="0" xfId="1" applyNumberFormat="1" applyFont="1"/>
    <xf numFmtId="164" fontId="7" fillId="2" borderId="1" xfId="0" applyNumberFormat="1" applyFont="1" applyFill="1" applyBorder="1"/>
    <xf numFmtId="164" fontId="0" fillId="2" borderId="1" xfId="0" applyNumberFormat="1" applyFill="1" applyBorder="1" applyAlignment="1">
      <alignment horizontal="center"/>
    </xf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34" borderId="1" xfId="0" applyFill="1" applyBorder="1"/>
    <xf numFmtId="0" fontId="0" fillId="0" borderId="0" xfId="0" applyFill="1" applyBorder="1"/>
    <xf numFmtId="164" fontId="0" fillId="0" borderId="1" xfId="0" applyNumberFormat="1" applyFill="1" applyBorder="1" applyAlignment="1">
      <alignment horizontal="center"/>
    </xf>
    <xf numFmtId="164" fontId="0" fillId="42" borderId="1" xfId="0" applyNumberFormat="1" applyFill="1" applyBorder="1"/>
    <xf numFmtId="0" fontId="0" fillId="42" borderId="1" xfId="0" applyFill="1" applyBorder="1"/>
    <xf numFmtId="166" fontId="0" fillId="42" borderId="1" xfId="1" applyNumberFormat="1" applyFont="1" applyFill="1" applyBorder="1"/>
    <xf numFmtId="164" fontId="0" fillId="42" borderId="1" xfId="1" applyNumberFormat="1" applyFont="1" applyFill="1" applyBorder="1"/>
    <xf numFmtId="164" fontId="0" fillId="42" borderId="1" xfId="0" applyNumberFormat="1" applyFill="1" applyBorder="1" applyAlignment="1">
      <alignment horizontal="center"/>
    </xf>
    <xf numFmtId="0" fontId="2" fillId="41" borderId="1" xfId="0" applyFont="1" applyFill="1" applyBorder="1" applyAlignment="1">
      <alignment horizontal="center"/>
    </xf>
    <xf numFmtId="0" fontId="0" fillId="43" borderId="5" xfId="0" applyFill="1" applyBorder="1" applyAlignment="1">
      <alignment horizontal="center"/>
    </xf>
    <xf numFmtId="0" fontId="0" fillId="43" borderId="5" xfId="0" applyFon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3" borderId="6" xfId="0" applyFill="1" applyBorder="1" applyAlignment="1">
      <alignment horizontal="center"/>
    </xf>
    <xf numFmtId="0" fontId="0" fillId="43" borderId="6" xfId="0" applyFont="1" applyFill="1" applyBorder="1" applyAlignment="1">
      <alignment horizontal="center"/>
    </xf>
    <xf numFmtId="0" fontId="0" fillId="43" borderId="1" xfId="0" applyFont="1" applyFill="1" applyBorder="1" applyAlignment="1">
      <alignment horizontal="center"/>
    </xf>
    <xf numFmtId="0" fontId="0" fillId="43" borderId="3" xfId="0" applyFill="1" applyBorder="1" applyAlignment="1">
      <alignment horizontal="center"/>
    </xf>
    <xf numFmtId="0" fontId="0" fillId="43" borderId="0" xfId="0" applyFill="1" applyAlignment="1">
      <alignment horizontal="center"/>
    </xf>
    <xf numFmtId="0" fontId="4" fillId="43" borderId="1" xfId="0" applyFont="1" applyFill="1" applyBorder="1"/>
    <xf numFmtId="0" fontId="0" fillId="43" borderId="1" xfId="0" applyFill="1" applyBorder="1"/>
  </cellXfs>
  <cellStyles count="46">
    <cellStyle name="20% — акцент1" xfId="22" builtinId="30" customBuiltin="1"/>
    <cellStyle name="20% — акцент2" xfId="26" builtinId="34" customBuiltin="1"/>
    <cellStyle name="20% — акцент3" xfId="30" builtinId="38" customBuiltin="1"/>
    <cellStyle name="20% — акцент4" xfId="34" builtinId="42" customBuiltin="1"/>
    <cellStyle name="20% — акцент5" xfId="38" builtinId="46" customBuiltin="1"/>
    <cellStyle name="20% — акцент6" xfId="42" builtinId="50" customBuiltin="1"/>
    <cellStyle name="40% — акцент1" xfId="23" builtinId="31" customBuiltin="1"/>
    <cellStyle name="40% — акцент2" xfId="27" builtinId="35" customBuiltin="1"/>
    <cellStyle name="40% — акцент3" xfId="31" builtinId="39" customBuiltin="1"/>
    <cellStyle name="40% — акцент4" xfId="35" builtinId="43" customBuiltin="1"/>
    <cellStyle name="40% — акцент5" xfId="39" builtinId="47" customBuiltin="1"/>
    <cellStyle name="40% — акцент6" xfId="43" builtinId="51" customBuiltin="1"/>
    <cellStyle name="60% — акцент1" xfId="24" builtinId="32" customBuiltin="1"/>
    <cellStyle name="60% — акцент2" xfId="28" builtinId="36" customBuiltin="1"/>
    <cellStyle name="60% — акцент3" xfId="32" builtinId="40" customBuiltin="1"/>
    <cellStyle name="60% — акцент4" xfId="36" builtinId="44" customBuiltin="1"/>
    <cellStyle name="60% — акцент5" xfId="40" builtinId="48" customBuiltin="1"/>
    <cellStyle name="60% — акцент6" xfId="44" builtinId="52" customBuiltin="1"/>
    <cellStyle name="Акцент1" xfId="21" builtinId="29" customBuiltin="1"/>
    <cellStyle name="Акцент2" xfId="25" builtinId="33" customBuiltin="1"/>
    <cellStyle name="Акцент3" xfId="29" builtinId="37" customBuiltin="1"/>
    <cellStyle name="Акцент4" xfId="33" builtinId="41" customBuiltin="1"/>
    <cellStyle name="Акцент5" xfId="37" builtinId="45" customBuiltin="1"/>
    <cellStyle name="Акцент6" xfId="41" builtinId="49" customBuiltin="1"/>
    <cellStyle name="Ввод " xfId="12" builtinId="20" customBuiltin="1"/>
    <cellStyle name="Вывод" xfId="13" builtinId="21" customBuiltin="1"/>
    <cellStyle name="Вычисление" xfId="14" builtinId="22" customBuiltin="1"/>
    <cellStyle name="Заголовок 1" xfId="5" builtinId="16" customBuiltin="1"/>
    <cellStyle name="Заголовок 2" xfId="6" builtinId="17" customBuiltin="1"/>
    <cellStyle name="Заголовок 3" xfId="7" builtinId="18" customBuiltin="1"/>
    <cellStyle name="Заголовок 4" xfId="8" builtinId="19" customBuiltin="1"/>
    <cellStyle name="Итог" xfId="20" builtinId="25" customBuiltin="1"/>
    <cellStyle name="Контрольная ячейка" xfId="16" builtinId="23" customBuiltin="1"/>
    <cellStyle name="Название" xfId="4" builtinId="15" customBuiltin="1"/>
    <cellStyle name="Нейтральный" xfId="11" builtinId="28" customBuiltin="1"/>
    <cellStyle name="Обычный" xfId="0" builtinId="0"/>
    <cellStyle name="Обычный 2" xfId="3" xr:uid="{B3824377-295B-4DE8-8F0A-6241F862C2F7}"/>
    <cellStyle name="Обычный 3" xfId="45" xr:uid="{E3DEE1CA-1D6F-4C9B-9032-8FDDAA561C96}"/>
    <cellStyle name="Плохой" xfId="10" builtinId="27" customBuiltin="1"/>
    <cellStyle name="Пояснение" xfId="19" builtinId="53" customBuiltin="1"/>
    <cellStyle name="Примечание" xfId="18" builtinId="10" customBuiltin="1"/>
    <cellStyle name="Процентный" xfId="2" builtinId="5"/>
    <cellStyle name="Связанная ячейка" xfId="15" builtinId="24" customBuiltin="1"/>
    <cellStyle name="Текст предупреждения" xfId="17" builtinId="11" customBuiltin="1"/>
    <cellStyle name="Финансовый" xfId="1" builtinId="3"/>
    <cellStyle name="Хороший" xfId="9" builtinId="26" customBuiltin="1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895350</xdr:colOff>
          <xdr:row>18</xdr:row>
          <xdr:rowOff>0</xdr:rowOff>
        </xdr:from>
        <xdr:to>
          <xdr:col>2</xdr:col>
          <xdr:colOff>0</xdr:colOff>
          <xdr:row>20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решения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8236A-482C-409E-AFCC-15BD510DDDAF}">
  <sheetPr codeName="Лист2"/>
  <dimension ref="A1:T68"/>
  <sheetViews>
    <sheetView tabSelected="1" zoomScale="85" zoomScaleNormal="85" workbookViewId="0">
      <selection activeCell="B40" sqref="B40"/>
    </sheetView>
  </sheetViews>
  <sheetFormatPr defaultRowHeight="15" x14ac:dyDescent="0.25"/>
  <cols>
    <col min="1" max="1" width="13.7109375" customWidth="1"/>
    <col min="2" max="2" width="23.5703125" customWidth="1"/>
    <col min="3" max="3" width="16" customWidth="1"/>
    <col min="5" max="5" width="70.140625" customWidth="1"/>
    <col min="6" max="6" width="21.28515625" customWidth="1"/>
    <col min="7" max="7" width="14.85546875" style="5" customWidth="1"/>
    <col min="8" max="8" width="12.85546875" style="111" customWidth="1"/>
    <col min="9" max="9" width="12.28515625" style="111" customWidth="1"/>
    <col min="10" max="10" width="24.42578125" customWidth="1"/>
    <col min="12" max="12" width="50.7109375" customWidth="1"/>
    <col min="13" max="13" width="37" customWidth="1"/>
    <col min="14" max="14" width="13.42578125" customWidth="1"/>
    <col min="15" max="15" width="13.85546875" customWidth="1"/>
    <col min="16" max="16" width="11.140625" customWidth="1"/>
    <col min="17" max="18" width="12" bestFit="1" customWidth="1"/>
    <col min="20" max="20" width="11" bestFit="1" customWidth="1"/>
  </cols>
  <sheetData>
    <row r="1" spans="1:20" x14ac:dyDescent="0.25">
      <c r="A1" s="28" t="s">
        <v>45</v>
      </c>
      <c r="B1" s="29"/>
      <c r="C1" s="6" t="s">
        <v>135</v>
      </c>
      <c r="E1" s="118"/>
      <c r="F1" s="118"/>
      <c r="G1" s="118"/>
      <c r="H1" s="118" t="s">
        <v>54</v>
      </c>
      <c r="I1" s="118" t="s">
        <v>55</v>
      </c>
      <c r="L1" s="119" t="s">
        <v>112</v>
      </c>
      <c r="M1" s="119"/>
      <c r="N1" s="120" t="s">
        <v>54</v>
      </c>
      <c r="O1" s="120" t="s">
        <v>55</v>
      </c>
      <c r="P1" s="121" t="s">
        <v>115</v>
      </c>
      <c r="Q1" s="122"/>
    </row>
    <row r="2" spans="1:20" x14ac:dyDescent="0.25">
      <c r="A2" s="107" t="s">
        <v>0</v>
      </c>
      <c r="B2" s="107" t="s">
        <v>1</v>
      </c>
      <c r="C2" s="107"/>
      <c r="E2" s="28" t="s">
        <v>56</v>
      </c>
      <c r="F2" s="31"/>
      <c r="G2" s="31"/>
      <c r="H2" s="31"/>
      <c r="I2" s="29"/>
      <c r="L2" s="123"/>
      <c r="M2" s="123"/>
      <c r="N2" s="124"/>
      <c r="O2" s="124"/>
      <c r="P2" s="125" t="s">
        <v>116</v>
      </c>
      <c r="Q2" s="125" t="s">
        <v>117</v>
      </c>
    </row>
    <row r="3" spans="1:20" x14ac:dyDescent="0.25">
      <c r="A3" s="107" t="s">
        <v>8</v>
      </c>
      <c r="B3" s="107" t="s">
        <v>9</v>
      </c>
      <c r="C3" s="107">
        <v>2.8</v>
      </c>
      <c r="E3" s="1" t="s">
        <v>46</v>
      </c>
      <c r="F3" s="1" t="s">
        <v>50</v>
      </c>
      <c r="G3" s="1" t="s">
        <v>2</v>
      </c>
      <c r="H3" s="113">
        <v>228</v>
      </c>
      <c r="I3" s="113">
        <v>228.79869150023526</v>
      </c>
      <c r="L3" s="28" t="s">
        <v>113</v>
      </c>
      <c r="M3" s="31"/>
      <c r="N3" s="31"/>
      <c r="O3" s="31"/>
      <c r="P3" s="31"/>
      <c r="Q3" s="29"/>
    </row>
    <row r="4" spans="1:20" x14ac:dyDescent="0.25">
      <c r="A4" s="107" t="s">
        <v>11</v>
      </c>
      <c r="B4" s="107" t="s">
        <v>12</v>
      </c>
      <c r="C4" s="107">
        <v>8.6</v>
      </c>
      <c r="E4" s="1" t="s">
        <v>47</v>
      </c>
      <c r="F4" s="1" t="s">
        <v>50</v>
      </c>
      <c r="G4" s="1" t="s">
        <v>4</v>
      </c>
      <c r="H4" s="114"/>
      <c r="I4" s="113">
        <v>0</v>
      </c>
      <c r="J4" t="str">
        <f>IF(H4&lt;&gt;I4,"Параметр изменен","Параметр не изменен")</f>
        <v>Параметр не изменен</v>
      </c>
      <c r="L4" s="1" t="s">
        <v>114</v>
      </c>
      <c r="M4" s="1" t="str">
        <f>F3</f>
        <v>долл США</v>
      </c>
      <c r="N4" s="11">
        <f>H5</f>
        <v>228</v>
      </c>
      <c r="O4" s="11">
        <f>I5</f>
        <v>228.79869150023526</v>
      </c>
      <c r="P4" s="12">
        <f>O4-N4</f>
        <v>0.79869150023526458</v>
      </c>
      <c r="Q4" s="13">
        <f>O4/N4-1</f>
        <v>3.5030328957688095E-3</v>
      </c>
    </row>
    <row r="5" spans="1:20" x14ac:dyDescent="0.25">
      <c r="E5" s="1" t="s">
        <v>48</v>
      </c>
      <c r="F5" s="1" t="s">
        <v>50</v>
      </c>
      <c r="G5" s="1" t="s">
        <v>6</v>
      </c>
      <c r="H5" s="3">
        <f>H4+H3</f>
        <v>228</v>
      </c>
      <c r="I5" s="2">
        <f>I4+I3</f>
        <v>228.79869150023526</v>
      </c>
      <c r="L5" s="1" t="s">
        <v>70</v>
      </c>
      <c r="M5" s="1" t="str">
        <f>F24</f>
        <v>руб/т</v>
      </c>
      <c r="N5" s="11">
        <f>H24</f>
        <v>12222.079999999998</v>
      </c>
      <c r="O5" s="11">
        <f>I24</f>
        <v>11197.136410789104</v>
      </c>
      <c r="P5" s="12">
        <f t="shared" ref="P5:P8" si="0">O5-N5</f>
        <v>-1024.9435892108941</v>
      </c>
      <c r="Q5" s="13">
        <f t="shared" ref="Q5:Q8" si="1">O5/N5-1</f>
        <v>-8.385999676085365E-2</v>
      </c>
    </row>
    <row r="6" spans="1:20" x14ac:dyDescent="0.25">
      <c r="A6" s="28" t="s">
        <v>111</v>
      </c>
      <c r="B6" s="29"/>
      <c r="C6" s="22"/>
      <c r="E6" s="1" t="s">
        <v>49</v>
      </c>
      <c r="F6" s="1" t="s">
        <v>51</v>
      </c>
      <c r="G6" s="1" t="s">
        <v>10</v>
      </c>
      <c r="H6" s="113">
        <v>72.319999999999993</v>
      </c>
      <c r="I6" s="113">
        <v>72.319999999999993</v>
      </c>
      <c r="J6" t="str">
        <f>IF(H6&lt;&gt;I6,"Параметр изменен","Параметр не изменен")</f>
        <v>Параметр не изменен</v>
      </c>
      <c r="L6" s="1" t="s">
        <v>71</v>
      </c>
      <c r="M6" s="1" t="str">
        <f>F26</f>
        <v>руб/т</v>
      </c>
      <c r="N6" s="11">
        <f>H26</f>
        <v>12222.079999999998</v>
      </c>
      <c r="O6" s="11">
        <f>I26</f>
        <v>11248.513655061992</v>
      </c>
      <c r="P6" s="12">
        <f t="shared" si="0"/>
        <v>-973.5663449380063</v>
      </c>
      <c r="Q6" s="13">
        <f t="shared" si="1"/>
        <v>-7.9656355132514789E-2</v>
      </c>
      <c r="T6" s="10"/>
    </row>
    <row r="7" spans="1:20" x14ac:dyDescent="0.25">
      <c r="A7" s="1" t="s">
        <v>3</v>
      </c>
      <c r="B7" s="107">
        <v>0.24</v>
      </c>
      <c r="C7" s="5"/>
      <c r="E7" s="1" t="s">
        <v>52</v>
      </c>
      <c r="F7" s="1" t="s">
        <v>50</v>
      </c>
      <c r="G7" s="1" t="s">
        <v>13</v>
      </c>
      <c r="H7" s="113">
        <v>59</v>
      </c>
      <c r="I7" s="105">
        <f>H7</f>
        <v>59</v>
      </c>
      <c r="J7" t="str">
        <f t="shared" ref="J7:J8" si="2">IF(H7&lt;&gt;I7,"Параметр изменен","Параметр не изменен")</f>
        <v>Параметр не изменен</v>
      </c>
      <c r="L7" s="1" t="s">
        <v>82</v>
      </c>
      <c r="M7" s="1" t="str">
        <f>F41</f>
        <v>руб/т</v>
      </c>
      <c r="N7" s="11">
        <f>H41</f>
        <v>134249.53670705631</v>
      </c>
      <c r="O7" s="11">
        <f>I41</f>
        <v>133144.30708758577</v>
      </c>
      <c r="P7" s="12">
        <f t="shared" si="0"/>
        <v>-1105.2296194705414</v>
      </c>
      <c r="Q7" s="13">
        <f t="shared" si="1"/>
        <v>-8.2326512744862468E-3</v>
      </c>
    </row>
    <row r="8" spans="1:20" x14ac:dyDescent="0.25">
      <c r="A8" s="1" t="s">
        <v>5</v>
      </c>
      <c r="B8" s="107">
        <v>-0.73599999999999999</v>
      </c>
      <c r="C8" s="5"/>
      <c r="E8" s="1" t="s">
        <v>53</v>
      </c>
      <c r="F8" s="1"/>
      <c r="G8" s="1" t="s">
        <v>14</v>
      </c>
      <c r="H8" s="113">
        <v>0</v>
      </c>
      <c r="I8" s="113">
        <v>0</v>
      </c>
      <c r="J8" t="str">
        <f t="shared" si="2"/>
        <v>Параметр не изменен</v>
      </c>
      <c r="L8" s="1" t="s">
        <v>90</v>
      </c>
      <c r="M8" s="1" t="str">
        <f>F50</f>
        <v>руб/т</v>
      </c>
      <c r="N8" s="11">
        <f>H50</f>
        <v>263640.52041813941</v>
      </c>
      <c r="O8" s="11">
        <f>I50</f>
        <v>262273.41509376216</v>
      </c>
      <c r="P8" s="12">
        <f t="shared" si="0"/>
        <v>-1367.1053243772476</v>
      </c>
      <c r="Q8" s="13">
        <f t="shared" si="1"/>
        <v>-5.1854901598926695E-3</v>
      </c>
    </row>
    <row r="9" spans="1:20" x14ac:dyDescent="0.25">
      <c r="A9" s="1" t="s">
        <v>7</v>
      </c>
      <c r="B9" s="107">
        <v>-0.5</v>
      </c>
      <c r="C9" s="5"/>
      <c r="L9" s="8" t="s">
        <v>144</v>
      </c>
      <c r="M9" s="1"/>
      <c r="N9" s="11"/>
      <c r="O9" s="11"/>
      <c r="P9" s="13">
        <f>Q7*C3/100+Q8*C4/100</f>
        <v>-6.7646638943638442E-4</v>
      </c>
      <c r="Q9" s="13"/>
    </row>
    <row r="10" spans="1:20" x14ac:dyDescent="0.25">
      <c r="A10" s="1" t="s">
        <v>154</v>
      </c>
      <c r="B10" s="107">
        <v>0.245</v>
      </c>
      <c r="C10" s="5"/>
      <c r="E10" s="27" t="s">
        <v>57</v>
      </c>
      <c r="F10" s="27"/>
      <c r="G10" s="27"/>
      <c r="H10" s="27"/>
      <c r="I10" s="27"/>
    </row>
    <row r="11" spans="1:20" x14ac:dyDescent="0.25">
      <c r="A11" s="1" t="s">
        <v>155</v>
      </c>
      <c r="B11" s="107">
        <v>-0.30499999999999999</v>
      </c>
      <c r="C11" s="5"/>
      <c r="E11" s="1" t="s">
        <v>58</v>
      </c>
      <c r="F11" s="1" t="s">
        <v>65</v>
      </c>
      <c r="G11" s="1" t="s">
        <v>15</v>
      </c>
      <c r="H11" s="114">
        <v>15000</v>
      </c>
      <c r="I11" s="114">
        <v>15000</v>
      </c>
      <c r="J11" t="str">
        <f>IF(H11&lt;&gt;I11,"Параметр изменен","Параметр не изменен")</f>
        <v>Параметр не изменен</v>
      </c>
      <c r="L11" s="121" t="s">
        <v>118</v>
      </c>
      <c r="M11" s="126"/>
      <c r="N11" s="126"/>
      <c r="O11" s="126"/>
      <c r="P11" s="126"/>
      <c r="Q11" s="122"/>
    </row>
    <row r="12" spans="1:20" x14ac:dyDescent="0.25">
      <c r="A12" s="1" t="s">
        <v>103</v>
      </c>
      <c r="B12" s="1" t="s">
        <v>104</v>
      </c>
      <c r="C12" s="5"/>
      <c r="E12" s="1" t="s">
        <v>59</v>
      </c>
      <c r="F12" s="1" t="s">
        <v>66</v>
      </c>
      <c r="G12" s="1" t="s">
        <v>16</v>
      </c>
      <c r="H12" s="114">
        <v>375</v>
      </c>
      <c r="I12" s="114">
        <v>375</v>
      </c>
      <c r="J12" t="str">
        <f>IF(H12&lt;&gt;I12,"Параметр изменен","Параметр не изменен")</f>
        <v>Параметр не изменен</v>
      </c>
      <c r="L12" s="1" t="s">
        <v>72</v>
      </c>
      <c r="M12" s="1" t="str">
        <f>F29</f>
        <v>млн тонн</v>
      </c>
      <c r="N12" s="12">
        <f>H29</f>
        <v>76.882000000000005</v>
      </c>
      <c r="O12" s="12">
        <f>I29</f>
        <v>75.365515968086299</v>
      </c>
      <c r="P12" s="12">
        <f t="shared" ref="P12" si="3">O12-N12</f>
        <v>-1.5164840319137056</v>
      </c>
      <c r="Q12" s="13">
        <f t="shared" ref="Q12" si="4">O12/N12-1</f>
        <v>-1.9724825471680085E-2</v>
      </c>
    </row>
    <row r="13" spans="1:20" x14ac:dyDescent="0.25">
      <c r="A13" s="1" t="s">
        <v>105</v>
      </c>
      <c r="B13" s="1" t="s">
        <v>108</v>
      </c>
      <c r="C13" s="5"/>
      <c r="E13" s="1" t="s">
        <v>60</v>
      </c>
      <c r="F13" s="1" t="s">
        <v>66</v>
      </c>
      <c r="G13" s="1" t="s">
        <v>17</v>
      </c>
      <c r="H13" s="114">
        <v>400</v>
      </c>
      <c r="I13" s="114">
        <v>400</v>
      </c>
      <c r="J13" t="str">
        <f>IF(H13&lt;&gt;I13,"Параметр изменен","Параметр не изменен")</f>
        <v>Параметр не изменен</v>
      </c>
      <c r="L13" s="1" t="s">
        <v>119</v>
      </c>
      <c r="M13" s="1" t="str">
        <f>F54</f>
        <v>млн тонн</v>
      </c>
      <c r="N13" s="12">
        <f>H54</f>
        <v>40.399436000000001</v>
      </c>
      <c r="O13" s="12">
        <f>I54</f>
        <v>40.389315245373972</v>
      </c>
      <c r="P13" s="12">
        <f t="shared" ref="P13:P16" si="5">O13-N13</f>
        <v>-1.0120754626029793E-2</v>
      </c>
      <c r="Q13" s="13">
        <f t="shared" ref="Q13:Q16" si="6">O13/N13-1</f>
        <v>-2.5051722568680823E-4</v>
      </c>
    </row>
    <row r="14" spans="1:20" x14ac:dyDescent="0.25">
      <c r="A14" s="1" t="s">
        <v>106</v>
      </c>
      <c r="B14" s="1" t="s">
        <v>109</v>
      </c>
      <c r="C14" s="5"/>
      <c r="E14" s="1" t="s">
        <v>61</v>
      </c>
      <c r="F14" s="1"/>
      <c r="G14" s="1" t="s">
        <v>18</v>
      </c>
      <c r="H14" s="114">
        <v>0</v>
      </c>
      <c r="I14" s="114">
        <v>0.7</v>
      </c>
      <c r="J14" t="str">
        <f t="shared" ref="J14:J16" si="7">IF(H14&lt;&gt;I14,"Параметр изменен","Параметр не изменен")</f>
        <v>Параметр изменен</v>
      </c>
      <c r="L14" s="1" t="s">
        <v>120</v>
      </c>
      <c r="M14" s="1" t="str">
        <f>F55</f>
        <v>млн тонн</v>
      </c>
      <c r="N14" s="12">
        <f>H55</f>
        <v>36.482564000000004</v>
      </c>
      <c r="O14" s="12">
        <f>I55</f>
        <v>34.976200722712328</v>
      </c>
      <c r="P14" s="12">
        <f t="shared" si="5"/>
        <v>-1.5063632772876758</v>
      </c>
      <c r="Q14" s="13">
        <f t="shared" si="6"/>
        <v>-4.1289950928001584E-2</v>
      </c>
    </row>
    <row r="15" spans="1:20" x14ac:dyDescent="0.25">
      <c r="A15" s="1" t="s">
        <v>107</v>
      </c>
      <c r="B15" s="1" t="s">
        <v>110</v>
      </c>
      <c r="C15" s="5"/>
      <c r="E15" s="1" t="s">
        <v>62</v>
      </c>
      <c r="F15" s="1"/>
      <c r="G15" s="1" t="s">
        <v>20</v>
      </c>
      <c r="H15" s="114">
        <v>0.8</v>
      </c>
      <c r="I15" s="114">
        <v>0.8</v>
      </c>
      <c r="J15" t="str">
        <f t="shared" si="7"/>
        <v>Параметр не изменен</v>
      </c>
      <c r="L15" s="1" t="s">
        <v>121</v>
      </c>
      <c r="M15" s="1" t="str">
        <f>F35</f>
        <v>млн тонн</v>
      </c>
      <c r="N15" s="12">
        <f>H35</f>
        <v>14.03</v>
      </c>
      <c r="O15" s="12">
        <f>I35</f>
        <v>14.115623095844047</v>
      </c>
      <c r="P15" s="12">
        <f t="shared" si="5"/>
        <v>8.562309584404737E-2</v>
      </c>
      <c r="Q15" s="13">
        <f t="shared" si="6"/>
        <v>6.1028578648643084E-3</v>
      </c>
    </row>
    <row r="16" spans="1:20" x14ac:dyDescent="0.25">
      <c r="E16" s="1" t="s">
        <v>63</v>
      </c>
      <c r="F16" s="1"/>
      <c r="G16" s="1" t="s">
        <v>22</v>
      </c>
      <c r="H16" s="114">
        <v>0.9</v>
      </c>
      <c r="I16" s="114">
        <v>0.9</v>
      </c>
      <c r="J16" t="str">
        <f t="shared" si="7"/>
        <v>Параметр не изменен</v>
      </c>
      <c r="L16" s="1" t="s">
        <v>122</v>
      </c>
      <c r="M16" s="1" t="str">
        <f>F44</f>
        <v>млн тонн</v>
      </c>
      <c r="N16" s="12">
        <f>H44</f>
        <v>13.297000000000001</v>
      </c>
      <c r="O16" s="12">
        <f>I44</f>
        <v>13.331610393536275</v>
      </c>
      <c r="P16" s="12">
        <f t="shared" si="5"/>
        <v>3.4610393536274486E-2</v>
      </c>
      <c r="Q16" s="13">
        <f t="shared" si="6"/>
        <v>2.6028723423534572E-3</v>
      </c>
    </row>
    <row r="17" spans="1:20" x14ac:dyDescent="0.25">
      <c r="B17" t="str">
        <f>IF(SUMSQ(I68)&lt;0.000001,"Сошлось","Не сошлось")</f>
        <v>Сошлось</v>
      </c>
      <c r="E17" s="30" t="s">
        <v>64</v>
      </c>
      <c r="F17" s="1"/>
      <c r="G17" s="1" t="s">
        <v>23</v>
      </c>
      <c r="H17" s="3">
        <f>(H5*H6-H11)*H14</f>
        <v>0</v>
      </c>
      <c r="I17" s="2">
        <f>(I5*I6-I11)*I14</f>
        <v>1082.7049585079101</v>
      </c>
    </row>
    <row r="18" spans="1:20" x14ac:dyDescent="0.25">
      <c r="E18" s="30"/>
      <c r="F18" s="1"/>
      <c r="G18" s="1" t="s">
        <v>24</v>
      </c>
      <c r="H18" s="3">
        <f>(H5-H12)*H6*H15+(H12*H6-H11)*H14</f>
        <v>-8504.8320000000003</v>
      </c>
      <c r="I18" s="2">
        <f>(I5-I12)*I6*I15+(I12*I6-I11)*I14</f>
        <v>25.37709543760684</v>
      </c>
      <c r="L18" s="127" t="s">
        <v>123</v>
      </c>
      <c r="M18" s="127"/>
      <c r="N18" s="127"/>
      <c r="O18" s="127"/>
      <c r="P18" s="127"/>
      <c r="Q18" s="127"/>
    </row>
    <row r="19" spans="1:20" x14ac:dyDescent="0.25">
      <c r="E19" s="30"/>
      <c r="F19" s="1"/>
      <c r="G19" s="1" t="s">
        <v>25</v>
      </c>
      <c r="H19" s="3">
        <f>(H5-H13)*H6*H16+(H13-H12)*H6*H15+(H12*H6-H11)*H14</f>
        <v>-9748.735999999999</v>
      </c>
      <c r="I19" s="2">
        <f>(I5-I13)*I6*I16+(I13-I12)*I6*I15+(I12*I6-I11)*I14</f>
        <v>-1212.7507676326895</v>
      </c>
      <c r="L19" s="1" t="s">
        <v>124</v>
      </c>
      <c r="M19" s="1" t="str">
        <f>_xlfn.CONCAT(F5,"*",F6,"*",F55)</f>
        <v>долл США*руб/долл США*млн тонн</v>
      </c>
      <c r="N19" s="1">
        <f>H5*H6*H55</f>
        <v>601559.53849344002</v>
      </c>
      <c r="O19" s="12">
        <f>I5*I6*I55</f>
        <v>578741.44791532576</v>
      </c>
      <c r="P19" s="12">
        <f t="shared" ref="P19" si="8">O19-N19</f>
        <v>-22818.090578114265</v>
      </c>
      <c r="Q19" s="13">
        <f t="shared" ref="Q19" si="9">O19/N19-1</f>
        <v>-3.7931558088598272E-2</v>
      </c>
    </row>
    <row r="20" spans="1:20" x14ac:dyDescent="0.25">
      <c r="E20" s="1" t="s">
        <v>69</v>
      </c>
      <c r="F20" s="1" t="s">
        <v>65</v>
      </c>
      <c r="G20" s="1" t="s">
        <v>26</v>
      </c>
      <c r="H20" s="3">
        <f>IF(H5&lt;H12,H17,IF(H5&lt;H13,H18,H19))</f>
        <v>0</v>
      </c>
      <c r="I20" s="2">
        <f>IF(I3&lt;I12,I17,IF(I3&lt;I13,I18,I19))</f>
        <v>1082.7049585079101</v>
      </c>
      <c r="L20" s="17" t="s">
        <v>125</v>
      </c>
      <c r="M20" s="1" t="str">
        <f>_xlfn.CONCAT(F20,"*",F55)</f>
        <v>руб/т*млн тонн</v>
      </c>
      <c r="N20" s="12">
        <f>H20*N14*(1-H25)</f>
        <v>0</v>
      </c>
      <c r="O20" s="12">
        <f>I20*O14*(1-I25)</f>
        <v>34082.015357023723</v>
      </c>
      <c r="P20" s="12">
        <f>O20-N20</f>
        <v>34082.015357023723</v>
      </c>
      <c r="Q20" s="13" t="e">
        <f t="shared" ref="Q20" si="10">O20/N20-1</f>
        <v>#DIV/0!</v>
      </c>
    </row>
    <row r="21" spans="1:20" x14ac:dyDescent="0.25">
      <c r="E21" s="1" t="s">
        <v>133</v>
      </c>
      <c r="F21" s="1"/>
      <c r="G21" s="8" t="s">
        <v>134</v>
      </c>
      <c r="H21" s="21">
        <f>H20/(H5*H6)</f>
        <v>0</v>
      </c>
      <c r="I21" s="21">
        <f>I20/(I5*I6)</f>
        <v>6.5433201801349289E-2</v>
      </c>
    </row>
    <row r="22" spans="1:20" x14ac:dyDescent="0.25">
      <c r="L22" s="128" t="s">
        <v>142</v>
      </c>
      <c r="M22" s="1"/>
      <c r="N22" s="1"/>
    </row>
    <row r="23" spans="1:20" x14ac:dyDescent="0.25">
      <c r="E23" s="27" t="s">
        <v>67</v>
      </c>
      <c r="F23" s="27"/>
      <c r="G23" s="27"/>
      <c r="H23" s="27"/>
      <c r="I23" s="27"/>
      <c r="L23" s="1" t="s">
        <v>126</v>
      </c>
      <c r="M23" s="1" t="str">
        <f>_xlfn.CONCAT($M$5,"*",$M$12)</f>
        <v>руб/т*млн тонн</v>
      </c>
      <c r="N23" s="12">
        <f>-(N12*(N6-O6)-0.5*(N6-O6)*(N12-O12))</f>
        <v>-74111.52882347026</v>
      </c>
      <c r="Q23" s="10"/>
      <c r="R23" s="10"/>
    </row>
    <row r="24" spans="1:20" x14ac:dyDescent="0.25">
      <c r="A24" s="107"/>
      <c r="B24" s="58" t="s">
        <v>264</v>
      </c>
      <c r="E24" s="1" t="s">
        <v>70</v>
      </c>
      <c r="F24" s="1" t="s">
        <v>65</v>
      </c>
      <c r="G24" s="1" t="s">
        <v>19</v>
      </c>
      <c r="H24" s="2">
        <f>((H5-H7)*H6-H20)*(1-H8)</f>
        <v>12222.079999999998</v>
      </c>
      <c r="I24" s="2">
        <f>((I5-I7)*I6-I20)*(1-I8)</f>
        <v>11197.136410789104</v>
      </c>
      <c r="K24" s="9"/>
      <c r="L24" s="1" t="s">
        <v>132</v>
      </c>
      <c r="M24" s="1" t="str">
        <f t="shared" ref="M24:M47" si="11">_xlfn.CONCAT($M$5,"*",$M$12)</f>
        <v>руб/т*млн тонн</v>
      </c>
      <c r="N24" s="12">
        <f>(N5-O5)*N13+0.5*(N5-O5)*(O13-N13)</f>
        <v>41401.956334649847</v>
      </c>
      <c r="Q24" s="10"/>
      <c r="T24" s="10"/>
    </row>
    <row r="25" spans="1:20" x14ac:dyDescent="0.25">
      <c r="A25" s="108"/>
      <c r="B25" s="58" t="s">
        <v>265</v>
      </c>
      <c r="E25" s="1" t="s">
        <v>68</v>
      </c>
      <c r="F25" s="1"/>
      <c r="G25" s="1" t="s">
        <v>27</v>
      </c>
      <c r="H25" s="114">
        <v>0.1</v>
      </c>
      <c r="I25" s="114">
        <v>0.1</v>
      </c>
      <c r="J25" t="str">
        <f>IF(H25&lt;&gt;I25,"Параметр изменен","Параметр не изменен")</f>
        <v>Параметр не изменен</v>
      </c>
      <c r="L25" s="1" t="s">
        <v>136</v>
      </c>
      <c r="M25" s="1" t="str">
        <f t="shared" si="11"/>
        <v>руб/т*млн тонн</v>
      </c>
      <c r="N25" s="12">
        <f>(N7-O7)*N15+0.5*(N7-O7)*(O15-N15)</f>
        <v>15553.688151990498</v>
      </c>
      <c r="Q25" s="10"/>
      <c r="T25" s="10"/>
    </row>
    <row r="26" spans="1:20" x14ac:dyDescent="0.25">
      <c r="A26" s="2"/>
      <c r="B26" s="58" t="s">
        <v>266</v>
      </c>
      <c r="E26" s="1" t="s">
        <v>71</v>
      </c>
      <c r="F26" s="1" t="s">
        <v>65</v>
      </c>
      <c r="G26" s="1" t="s">
        <v>21</v>
      </c>
      <c r="H26" s="23">
        <f>H24+H20*H55/H29*H25</f>
        <v>12222.079999999998</v>
      </c>
      <c r="I26" s="23">
        <f>I24+I20*H55/H29*I25</f>
        <v>11248.513655061992</v>
      </c>
      <c r="L26" s="1" t="s">
        <v>137</v>
      </c>
      <c r="M26" s="1" t="str">
        <f t="shared" si="11"/>
        <v>руб/т*млн тонн</v>
      </c>
      <c r="N26" s="12">
        <f>(N8-O8)*N16+0.5*(N8-O8)*(O16-N16)</f>
        <v>18202.057524885378</v>
      </c>
      <c r="Q26" s="10"/>
    </row>
    <row r="27" spans="1:20" x14ac:dyDescent="0.25">
      <c r="A27" s="109"/>
      <c r="B27" s="58" t="s">
        <v>267</v>
      </c>
      <c r="L27" s="17" t="s">
        <v>143</v>
      </c>
      <c r="M27" s="1" t="str">
        <f t="shared" si="11"/>
        <v>руб/т*млн тонн</v>
      </c>
      <c r="N27" s="12">
        <f>N23+N24+P20</f>
        <v>1372.4428682033104</v>
      </c>
      <c r="Q27" s="10"/>
    </row>
    <row r="28" spans="1:20" x14ac:dyDescent="0.25">
      <c r="A28" s="110"/>
      <c r="B28" s="58" t="s">
        <v>268</v>
      </c>
      <c r="E28" s="27" t="s">
        <v>72</v>
      </c>
      <c r="F28" s="27"/>
      <c r="G28" s="27"/>
      <c r="H28" s="27"/>
      <c r="I28" s="27"/>
    </row>
    <row r="29" spans="1:20" x14ac:dyDescent="0.25">
      <c r="E29" s="1" t="s">
        <v>74</v>
      </c>
      <c r="F29" s="1" t="s">
        <v>91</v>
      </c>
      <c r="G29" s="1" t="s">
        <v>29</v>
      </c>
      <c r="H29" s="114">
        <v>76.882000000000005</v>
      </c>
      <c r="I29" s="2">
        <f>H32*(1+I31)*(I26/I30)^$B$7</f>
        <v>75.365515968086299</v>
      </c>
      <c r="J29" t="str">
        <f t="shared" ref="J29" si="12">IF(H30&lt;&gt;I30,"Параметр изменен","Параметр не изменен")</f>
        <v>Параметр не изменен</v>
      </c>
      <c r="L29" s="129" t="s">
        <v>129</v>
      </c>
      <c r="M29" s="1" t="str">
        <f t="shared" si="11"/>
        <v>руб/т*млн тонн</v>
      </c>
      <c r="N29" s="12">
        <f>N30+N31</f>
        <v>-91907.919072188583</v>
      </c>
      <c r="Q29" s="10"/>
      <c r="R29" s="10"/>
    </row>
    <row r="30" spans="1:20" x14ac:dyDescent="0.25">
      <c r="E30" s="1" t="s">
        <v>73</v>
      </c>
      <c r="F30" s="1"/>
      <c r="G30" s="1" t="s">
        <v>28</v>
      </c>
      <c r="H30" s="114">
        <v>1</v>
      </c>
      <c r="I30" s="114">
        <v>1</v>
      </c>
      <c r="J30" t="str">
        <f t="shared" ref="J30" si="13">IF(H31&lt;&gt;I31,"Параметр изменен","Параметр не изменен")</f>
        <v>Параметр не изменен</v>
      </c>
      <c r="L30" s="1" t="s">
        <v>127</v>
      </c>
      <c r="M30" s="1" t="str">
        <f t="shared" si="11"/>
        <v>руб/т*млн тонн</v>
      </c>
      <c r="N30" s="12">
        <f>N12*(O6-N6)+0.5*(O6-N6)*(O12-N12)</f>
        <v>-74111.52882347026</v>
      </c>
      <c r="Q30" s="10"/>
      <c r="R30" s="10"/>
    </row>
    <row r="31" spans="1:20" x14ac:dyDescent="0.25">
      <c r="E31" s="1" t="s">
        <v>75</v>
      </c>
      <c r="F31" s="1"/>
      <c r="G31" s="1" t="s">
        <v>30</v>
      </c>
      <c r="H31" s="114">
        <v>0</v>
      </c>
      <c r="I31" s="114">
        <v>0</v>
      </c>
      <c r="L31" s="1" t="s">
        <v>128</v>
      </c>
      <c r="M31" s="1" t="str">
        <f t="shared" si="11"/>
        <v>руб/т*млн тонн</v>
      </c>
      <c r="N31" s="12">
        <f>N6*(O12-N12)+0.5*(O6-N6)*(O12-N12)</f>
        <v>-17796.390248718322</v>
      </c>
    </row>
    <row r="32" spans="1:20" x14ac:dyDescent="0.25">
      <c r="E32" s="1" t="s">
        <v>76</v>
      </c>
      <c r="F32" s="1"/>
      <c r="G32" s="1" t="s">
        <v>31</v>
      </c>
      <c r="H32" s="2">
        <f>H29/(1+H31)/(H26/H30)^$B$7</f>
        <v>8.0335933253009912</v>
      </c>
      <c r="I32" s="8"/>
      <c r="O32" s="10"/>
      <c r="Q32" s="9"/>
      <c r="R32" s="10"/>
    </row>
    <row r="33" spans="5:17" x14ac:dyDescent="0.25">
      <c r="L33" s="129" t="s">
        <v>130</v>
      </c>
      <c r="M33" s="1" t="str">
        <f t="shared" si="11"/>
        <v>руб/т*млн тонн</v>
      </c>
      <c r="N33" s="12">
        <f>N34+N35</f>
        <v>-4106.1437943220644</v>
      </c>
      <c r="Q33" s="10"/>
    </row>
    <row r="34" spans="5:17" x14ac:dyDescent="0.25">
      <c r="E34" s="27" t="s">
        <v>78</v>
      </c>
      <c r="F34" s="27"/>
      <c r="G34" s="27"/>
      <c r="H34" s="27"/>
      <c r="I34" s="27"/>
      <c r="L34" s="1" t="s">
        <v>127</v>
      </c>
      <c r="M34" s="1" t="str">
        <f t="shared" si="11"/>
        <v>руб/т*млн тонн</v>
      </c>
      <c r="N34" s="12">
        <f>N15*(O7-N7)+0.5*(O7-N7)*(O15-N15)</f>
        <v>-15553.688151990498</v>
      </c>
      <c r="Q34" s="10"/>
    </row>
    <row r="35" spans="5:17" x14ac:dyDescent="0.25">
      <c r="E35" s="1" t="s">
        <v>77</v>
      </c>
      <c r="F35" s="1" t="s">
        <v>91</v>
      </c>
      <c r="G35" s="1" t="s">
        <v>32</v>
      </c>
      <c r="H35" s="113">
        <v>14.03</v>
      </c>
      <c r="I35" s="2">
        <f>H36*(I41)^B8</f>
        <v>14.115623095844047</v>
      </c>
      <c r="L35" s="1" t="s">
        <v>128</v>
      </c>
      <c r="M35" s="1" t="str">
        <f t="shared" si="11"/>
        <v>руб/т*млн тонн</v>
      </c>
      <c r="N35" s="12">
        <f>N7*(O15-N15)+0.5*(O7-N7)*(O15-N15)</f>
        <v>11447.544357668434</v>
      </c>
    </row>
    <row r="36" spans="5:17" x14ac:dyDescent="0.25">
      <c r="E36" s="1" t="s">
        <v>76</v>
      </c>
      <c r="F36" s="1"/>
      <c r="G36" s="1" t="s">
        <v>33</v>
      </c>
      <c r="H36" s="2">
        <f>H35/(H41^B8)</f>
        <v>83406.805630355462</v>
      </c>
      <c r="I36" s="8"/>
      <c r="Q36" s="9"/>
    </row>
    <row r="37" spans="5:17" x14ac:dyDescent="0.25">
      <c r="E37" s="1" t="s">
        <v>79</v>
      </c>
      <c r="F37" s="1" t="s">
        <v>91</v>
      </c>
      <c r="G37" s="1" t="s">
        <v>34</v>
      </c>
      <c r="H37" s="114">
        <v>15.129</v>
      </c>
      <c r="I37" s="2">
        <f>I35*I38</f>
        <v>15.221330136637535</v>
      </c>
      <c r="L37" s="129" t="s">
        <v>140</v>
      </c>
      <c r="M37" s="1" t="str">
        <f t="shared" si="11"/>
        <v>руб/т*млн тонн</v>
      </c>
      <c r="N37" s="12">
        <f>N38+N39</f>
        <v>-4106.1437943220644</v>
      </c>
      <c r="Q37" s="9"/>
    </row>
    <row r="38" spans="5:17" x14ac:dyDescent="0.25">
      <c r="E38" s="1" t="s">
        <v>80</v>
      </c>
      <c r="F38" s="1" t="str">
        <f>_xlfn.CONCAT(F35,"/",F37)</f>
        <v>млн тонн/млн тонн</v>
      </c>
      <c r="G38" s="1" t="s">
        <v>35</v>
      </c>
      <c r="H38" s="3">
        <f>H37/H35</f>
        <v>1.0783321454027086</v>
      </c>
      <c r="I38" s="3">
        <f>H38</f>
        <v>1.0783321454027086</v>
      </c>
      <c r="L38" s="1" t="s">
        <v>138</v>
      </c>
      <c r="M38" s="1" t="str">
        <f t="shared" si="11"/>
        <v>руб/т*млн тонн</v>
      </c>
      <c r="N38" s="12">
        <f>N15*(O7-N7)+0.5*(O7-N7)*(O15-N15)</f>
        <v>-15553.688151990498</v>
      </c>
    </row>
    <row r="39" spans="5:17" x14ac:dyDescent="0.25">
      <c r="E39" s="1" t="s">
        <v>81</v>
      </c>
      <c r="F39" s="1" t="s">
        <v>65</v>
      </c>
      <c r="G39" s="1" t="s">
        <v>37</v>
      </c>
      <c r="H39" s="7">
        <f>H41-H38*H24</f>
        <v>121070.07495937277</v>
      </c>
      <c r="I39" s="7">
        <f>H39</f>
        <v>121070.07495937277</v>
      </c>
      <c r="J39" s="10"/>
      <c r="L39" s="1" t="s">
        <v>139</v>
      </c>
      <c r="M39" s="1" t="str">
        <f t="shared" si="11"/>
        <v>руб/т*млн тонн</v>
      </c>
      <c r="N39" s="12">
        <f>N7*(O15-N15)+0.5*(O15-N15)*(O7-N7)</f>
        <v>11447.544357668434</v>
      </c>
      <c r="Q39" s="9"/>
    </row>
    <row r="40" spans="5:17" x14ac:dyDescent="0.25">
      <c r="E40" s="1" t="s">
        <v>83</v>
      </c>
      <c r="F40" s="1" t="str">
        <f>_xlfn.CONCAT(F35,"*",F41)</f>
        <v>млн тонн*руб/т</v>
      </c>
      <c r="G40" s="1" t="s">
        <v>41</v>
      </c>
      <c r="H40" s="115">
        <v>1883521</v>
      </c>
      <c r="I40" s="4">
        <f>I35*I41</f>
        <v>1879414.8562056778</v>
      </c>
      <c r="O40" s="9"/>
      <c r="Q40" s="9"/>
    </row>
    <row r="41" spans="5:17" x14ac:dyDescent="0.25">
      <c r="E41" s="1" t="s">
        <v>82</v>
      </c>
      <c r="F41" s="1" t="s">
        <v>65</v>
      </c>
      <c r="G41" s="1" t="s">
        <v>39</v>
      </c>
      <c r="H41" s="7">
        <f>H40/H35</f>
        <v>134249.53670705631</v>
      </c>
      <c r="I41" s="7">
        <f>I38*I24+I39</f>
        <v>133144.30708758577</v>
      </c>
      <c r="L41" s="129" t="s">
        <v>131</v>
      </c>
      <c r="M41" s="1" t="str">
        <f t="shared" si="11"/>
        <v>руб/т*млн тонн</v>
      </c>
      <c r="N41" s="12">
        <f>N42+N43</f>
        <v>-9101.0133877464814</v>
      </c>
    </row>
    <row r="42" spans="5:17" x14ac:dyDescent="0.25">
      <c r="L42" s="1" t="s">
        <v>127</v>
      </c>
      <c r="M42" s="1" t="str">
        <f t="shared" si="11"/>
        <v>руб/т*млн тонн</v>
      </c>
      <c r="N42" s="12">
        <f>N16*(O8-N8)+0.5*(O8-N8)*(O16-N16)</f>
        <v>-18202.057524885378</v>
      </c>
      <c r="Q42" s="9"/>
    </row>
    <row r="43" spans="5:17" x14ac:dyDescent="0.25">
      <c r="E43" s="27" t="s">
        <v>84</v>
      </c>
      <c r="F43" s="27"/>
      <c r="G43" s="27"/>
      <c r="H43" s="27"/>
      <c r="I43" s="27"/>
      <c r="L43" s="1" t="s">
        <v>128</v>
      </c>
      <c r="M43" s="1" t="str">
        <f t="shared" si="11"/>
        <v>руб/т*млн тонн</v>
      </c>
      <c r="N43" s="12">
        <f>N8*(O16-N16)+0.5*(O8-N8)*(O16-N16)</f>
        <v>9101.044137138897</v>
      </c>
      <c r="Q43" s="9"/>
    </row>
    <row r="44" spans="5:17" x14ac:dyDescent="0.25">
      <c r="E44" s="1" t="s">
        <v>85</v>
      </c>
      <c r="F44" s="1" t="s">
        <v>91</v>
      </c>
      <c r="G44" s="1" t="s">
        <v>32</v>
      </c>
      <c r="H44" s="114">
        <v>13.297000000000001</v>
      </c>
      <c r="I44" s="2">
        <f>H45*(I50)^B9</f>
        <v>13.331610393536275</v>
      </c>
    </row>
    <row r="45" spans="5:17" x14ac:dyDescent="0.25">
      <c r="E45" s="1" t="s">
        <v>76</v>
      </c>
      <c r="F45" s="1"/>
      <c r="G45" s="1" t="s">
        <v>33</v>
      </c>
      <c r="H45" s="2">
        <f>H44/(H50^B9)</f>
        <v>6827.4691882131547</v>
      </c>
      <c r="I45" s="8"/>
      <c r="L45" s="129" t="s">
        <v>141</v>
      </c>
      <c r="M45" s="1" t="str">
        <f t="shared" si="11"/>
        <v>руб/т*млн тонн</v>
      </c>
      <c r="N45" s="12">
        <f>N46+N47</f>
        <v>-9101.0133877464814</v>
      </c>
      <c r="Q45" s="10"/>
    </row>
    <row r="46" spans="5:17" x14ac:dyDescent="0.25">
      <c r="E46" s="1" t="s">
        <v>86</v>
      </c>
      <c r="F46" s="1" t="s">
        <v>91</v>
      </c>
      <c r="G46" s="1" t="s">
        <v>34</v>
      </c>
      <c r="H46" s="114">
        <v>17.736000000000001</v>
      </c>
      <c r="I46" s="2">
        <f>I44*I47</f>
        <v>17.782164543863981</v>
      </c>
      <c r="L46" s="1" t="s">
        <v>138</v>
      </c>
      <c r="M46" s="1" t="str">
        <f t="shared" si="11"/>
        <v>руб/т*млн тонн</v>
      </c>
      <c r="N46" s="12">
        <f>N16*(O8-N8)+0.5*(O8-N8)*(O16-N16)</f>
        <v>-18202.057524885378</v>
      </c>
      <c r="Q46" s="10"/>
    </row>
    <row r="47" spans="5:17" x14ac:dyDescent="0.25">
      <c r="E47" s="1" t="s">
        <v>87</v>
      </c>
      <c r="F47" s="1" t="str">
        <f>_xlfn.CONCAT(F44,"/",F46)</f>
        <v>млн тонн/млн тонн</v>
      </c>
      <c r="G47" s="1" t="s">
        <v>35</v>
      </c>
      <c r="H47" s="2">
        <f>H46/H44</f>
        <v>1.3338346995562909</v>
      </c>
      <c r="I47" s="2">
        <f>H47</f>
        <v>1.3338346995562909</v>
      </c>
      <c r="L47" s="1" t="s">
        <v>139</v>
      </c>
      <c r="M47" s="1" t="str">
        <f t="shared" si="11"/>
        <v>руб/т*млн тонн</v>
      </c>
      <c r="N47" s="12">
        <f>N8*(O16-N16)+0.5*(O16-N16)*(O8-N8)</f>
        <v>9101.044137138897</v>
      </c>
      <c r="Q47" s="10"/>
    </row>
    <row r="48" spans="5:17" x14ac:dyDescent="0.25">
      <c r="E48" s="1" t="s">
        <v>88</v>
      </c>
      <c r="F48" s="1" t="s">
        <v>65</v>
      </c>
      <c r="G48" s="1" t="s">
        <v>37</v>
      </c>
      <c r="H48" s="2">
        <f>H50-H47*H24</f>
        <v>247338.28601338645</v>
      </c>
      <c r="I48" s="2">
        <f>H48</f>
        <v>247338.28601338645</v>
      </c>
      <c r="Q48" s="10"/>
    </row>
    <row r="49" spans="5:15" x14ac:dyDescent="0.25">
      <c r="E49" s="1" t="s">
        <v>89</v>
      </c>
      <c r="F49" s="1" t="str">
        <f>_xlfn.CONCAT(F44,"*",F50)</f>
        <v>млн тонн*руб/т</v>
      </c>
      <c r="G49" s="1" t="s">
        <v>41</v>
      </c>
      <c r="H49" s="116">
        <v>3505628</v>
      </c>
      <c r="I49" s="18">
        <f>I44*I50</f>
        <v>3496526.9866122534</v>
      </c>
    </row>
    <row r="50" spans="5:15" x14ac:dyDescent="0.25">
      <c r="E50" s="1" t="s">
        <v>90</v>
      </c>
      <c r="F50" s="1" t="s">
        <v>65</v>
      </c>
      <c r="G50" s="1" t="s">
        <v>39</v>
      </c>
      <c r="H50" s="2">
        <f>H49/H44</f>
        <v>263640.52041813941</v>
      </c>
      <c r="I50" s="2">
        <f>I47*I24+I48</f>
        <v>262273.41509376216</v>
      </c>
      <c r="O50" s="10"/>
    </row>
    <row r="51" spans="5:15" x14ac:dyDescent="0.25">
      <c r="M51" s="9"/>
      <c r="N51" s="9"/>
    </row>
    <row r="52" spans="5:15" x14ac:dyDescent="0.25">
      <c r="E52" s="27" t="s">
        <v>94</v>
      </c>
      <c r="F52" s="27"/>
      <c r="G52" s="27"/>
      <c r="H52" s="27"/>
      <c r="I52" s="27"/>
      <c r="M52" s="9"/>
      <c r="N52" s="9"/>
    </row>
    <row r="53" spans="5:15" x14ac:dyDescent="0.25">
      <c r="E53" s="1" t="s">
        <v>92</v>
      </c>
      <c r="F53" s="1" t="s">
        <v>91</v>
      </c>
      <c r="G53" s="8" t="s">
        <v>93</v>
      </c>
      <c r="H53" s="105">
        <f>H29*0.098</f>
        <v>7.5344360000000004</v>
      </c>
      <c r="I53" s="105">
        <f>I29*0.098</f>
        <v>7.385820564872458</v>
      </c>
      <c r="M53" s="19"/>
      <c r="N53" s="19"/>
    </row>
    <row r="54" spans="5:15" x14ac:dyDescent="0.25">
      <c r="E54" s="1" t="s">
        <v>95</v>
      </c>
      <c r="F54" s="1" t="s">
        <v>91</v>
      </c>
      <c r="G54" s="1" t="s">
        <v>42</v>
      </c>
      <c r="H54" s="2">
        <f>H53+H44*H47+H35*H38</f>
        <v>40.399436000000001</v>
      </c>
      <c r="I54" s="2">
        <f>I53+I44*I47+I35*I38</f>
        <v>40.389315245373972</v>
      </c>
      <c r="M54" s="15"/>
      <c r="N54" s="15"/>
    </row>
    <row r="55" spans="5:15" x14ac:dyDescent="0.25">
      <c r="E55" s="1" t="s">
        <v>96</v>
      </c>
      <c r="F55" s="1" t="s">
        <v>91</v>
      </c>
      <c r="G55" s="1" t="s">
        <v>40</v>
      </c>
      <c r="H55" s="2">
        <f>H29-H54</f>
        <v>36.482564000000004</v>
      </c>
      <c r="I55" s="2">
        <f>I29-I54</f>
        <v>34.976200722712328</v>
      </c>
      <c r="M55" s="9"/>
      <c r="N55" s="9"/>
    </row>
    <row r="56" spans="5:15" x14ac:dyDescent="0.25">
      <c r="M56" s="15"/>
      <c r="N56" s="15"/>
    </row>
    <row r="57" spans="5:15" x14ac:dyDescent="0.25">
      <c r="E57" s="27" t="s">
        <v>97</v>
      </c>
      <c r="F57" s="27"/>
      <c r="G57" s="27"/>
      <c r="H57" s="27"/>
      <c r="I57" s="27"/>
    </row>
    <row r="58" spans="5:15" x14ac:dyDescent="0.25">
      <c r="E58" s="1" t="s">
        <v>147</v>
      </c>
      <c r="F58" s="1" t="s">
        <v>91</v>
      </c>
      <c r="G58" s="24" t="s">
        <v>151</v>
      </c>
      <c r="H58" s="117">
        <v>678.67</v>
      </c>
      <c r="I58" s="106">
        <f>H62*(1+I66)*((I5-I7)/I67)^B10</f>
        <v>679.4544111065461</v>
      </c>
      <c r="M58" s="16"/>
      <c r="N58" s="16"/>
    </row>
    <row r="59" spans="5:15" x14ac:dyDescent="0.25">
      <c r="E59" s="1" t="s">
        <v>149</v>
      </c>
      <c r="F59" s="1" t="s">
        <v>91</v>
      </c>
      <c r="G59" s="24" t="s">
        <v>145</v>
      </c>
      <c r="H59" s="117">
        <v>191.191</v>
      </c>
      <c r="I59" s="106">
        <f>H63*I3^B11</f>
        <v>190.9871924096918</v>
      </c>
      <c r="M59" s="10"/>
      <c r="N59" s="10"/>
    </row>
    <row r="60" spans="5:15" x14ac:dyDescent="0.25">
      <c r="E60" s="1" t="s">
        <v>148</v>
      </c>
      <c r="F60" s="1" t="s">
        <v>91</v>
      </c>
      <c r="G60" s="24" t="s">
        <v>150</v>
      </c>
      <c r="H60" s="117">
        <v>524.00199999999995</v>
      </c>
      <c r="I60" s="106">
        <f>H64*I3^B11</f>
        <v>523.44341939245737</v>
      </c>
      <c r="M60" s="9"/>
      <c r="N60" s="9"/>
    </row>
    <row r="61" spans="5:15" x14ac:dyDescent="0.25">
      <c r="E61" s="1" t="s">
        <v>98</v>
      </c>
      <c r="F61" s="1" t="s">
        <v>91</v>
      </c>
      <c r="G61" s="1" t="s">
        <v>38</v>
      </c>
      <c r="H61" s="106">
        <f>H58-H60</f>
        <v>154.66800000000001</v>
      </c>
      <c r="I61" s="106">
        <f>I58-I60</f>
        <v>156.01099171408873</v>
      </c>
      <c r="O61" s="9"/>
    </row>
    <row r="62" spans="5:15" x14ac:dyDescent="0.25">
      <c r="E62" s="1" t="s">
        <v>76</v>
      </c>
      <c r="F62" s="24"/>
      <c r="G62" s="24" t="s">
        <v>152</v>
      </c>
      <c r="H62" s="106">
        <f>H58/(1+H66)/((H5-H7)/H67)^B10</f>
        <v>193.11962497604432</v>
      </c>
      <c r="I62" s="112"/>
      <c r="M62" s="20"/>
      <c r="N62" s="20"/>
      <c r="O62" s="9"/>
    </row>
    <row r="63" spans="5:15" x14ac:dyDescent="0.25">
      <c r="E63" s="1" t="s">
        <v>76</v>
      </c>
      <c r="F63" s="24"/>
      <c r="G63" s="24" t="s">
        <v>146</v>
      </c>
      <c r="H63" s="106">
        <f>H59/H5^B11</f>
        <v>1001.4691443654343</v>
      </c>
      <c r="I63" s="112"/>
    </row>
    <row r="64" spans="5:15" x14ac:dyDescent="0.25">
      <c r="E64" s="1" t="s">
        <v>76</v>
      </c>
      <c r="F64" s="1"/>
      <c r="G64" s="24" t="s">
        <v>153</v>
      </c>
      <c r="H64" s="106">
        <f>H60/H5^B11</f>
        <v>2744.7517643915053</v>
      </c>
      <c r="I64" s="112"/>
    </row>
    <row r="65" spans="5:13" x14ac:dyDescent="0.25">
      <c r="E65" s="8" t="s">
        <v>101</v>
      </c>
      <c r="F65" s="1"/>
      <c r="G65" s="1" t="s">
        <v>36</v>
      </c>
      <c r="H65" s="2">
        <f>H55+H61</f>
        <v>191.150564</v>
      </c>
      <c r="I65" s="2">
        <f>I55+I61</f>
        <v>190.98719243680105</v>
      </c>
      <c r="M65" s="14"/>
    </row>
    <row r="66" spans="5:13" x14ac:dyDescent="0.25">
      <c r="E66" s="1" t="s">
        <v>99</v>
      </c>
      <c r="F66" s="1"/>
      <c r="G66" s="1" t="s">
        <v>43</v>
      </c>
      <c r="H66" s="114">
        <v>0</v>
      </c>
      <c r="I66" s="114">
        <v>0</v>
      </c>
      <c r="J66" t="str">
        <f>IF(H66&lt;&gt;I66,"Параметр изменен","Параметр не изменен")</f>
        <v>Параметр не изменен</v>
      </c>
    </row>
    <row r="67" spans="5:13" x14ac:dyDescent="0.25">
      <c r="E67" s="1" t="s">
        <v>100</v>
      </c>
      <c r="F67" s="1"/>
      <c r="G67" s="1" t="s">
        <v>44</v>
      </c>
      <c r="H67" s="114">
        <v>1</v>
      </c>
      <c r="I67" s="114">
        <v>1</v>
      </c>
      <c r="J67" t="str">
        <f>IF(H67&lt;&gt;I67,"Параметр изменен","Параметр не изменен")</f>
        <v>Параметр не изменен</v>
      </c>
    </row>
    <row r="68" spans="5:13" x14ac:dyDescent="0.25">
      <c r="E68" s="8" t="s">
        <v>102</v>
      </c>
      <c r="F68" s="1"/>
      <c r="G68" s="1"/>
      <c r="H68" s="2">
        <f>H59-H65</f>
        <v>4.0435999999999694E-2</v>
      </c>
      <c r="I68" s="2">
        <f>I59-I65</f>
        <v>-2.7109251732326811E-8</v>
      </c>
    </row>
  </sheetData>
  <mergeCells count="19">
    <mergeCell ref="A1:B1"/>
    <mergeCell ref="P1:Q1"/>
    <mergeCell ref="L11:Q11"/>
    <mergeCell ref="L3:Q3"/>
    <mergeCell ref="L1:L2"/>
    <mergeCell ref="M1:M2"/>
    <mergeCell ref="E2:I2"/>
    <mergeCell ref="E10:I10"/>
    <mergeCell ref="N1:N2"/>
    <mergeCell ref="O1:O2"/>
    <mergeCell ref="L18:Q18"/>
    <mergeCell ref="E43:I43"/>
    <mergeCell ref="E52:I52"/>
    <mergeCell ref="E57:I57"/>
    <mergeCell ref="A6:B6"/>
    <mergeCell ref="E17:E19"/>
    <mergeCell ref="E23:I23"/>
    <mergeCell ref="E28:I28"/>
    <mergeCell ref="E34:I34"/>
  </mergeCells>
  <phoneticPr fontId="3" type="noConversion"/>
  <conditionalFormatting sqref="K17:K18 J3:J23 J25:J69">
    <cfRule type="cellIs" dxfId="3" priority="4" operator="equal">
      <formula>"Параметр не изменен"</formula>
    </cfRule>
  </conditionalFormatting>
  <conditionalFormatting sqref="K17:K18 J3:J23 J25:J69">
    <cfRule type="cellIs" dxfId="2" priority="3" operator="equal">
      <formula>"Параметр изменен"</formula>
    </cfRule>
  </conditionalFormatting>
  <conditionalFormatting sqref="B17">
    <cfRule type="cellIs" dxfId="1" priority="1" operator="equal">
      <formula>"Не сошлось"</formula>
    </cfRule>
    <cfRule type="cellIs" dxfId="0" priority="2" operator="equal">
      <formula>"Сошлось"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895350</xdr:colOff>
                    <xdr:row>18</xdr:row>
                    <xdr:rowOff>0</xdr:rowOff>
                  </from>
                  <to>
                    <xdr:col>2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E3D79-71F6-4C23-AABA-C59D1059E9C0}">
  <dimension ref="A1:F18"/>
  <sheetViews>
    <sheetView workbookViewId="0">
      <selection activeCell="L24" sqref="L24"/>
    </sheetView>
  </sheetViews>
  <sheetFormatPr defaultRowHeight="15" x14ac:dyDescent="0.25"/>
  <cols>
    <col min="1" max="1" width="16.28515625" customWidth="1"/>
  </cols>
  <sheetData>
    <row r="1" spans="1:6" ht="15.75" x14ac:dyDescent="0.25">
      <c r="A1" s="26" t="s">
        <v>156</v>
      </c>
      <c r="B1" s="26" t="s">
        <v>157</v>
      </c>
      <c r="D1" s="26" t="s">
        <v>170</v>
      </c>
      <c r="E1" s="26" t="s">
        <v>170</v>
      </c>
      <c r="F1" s="26" t="s">
        <v>171</v>
      </c>
    </row>
    <row r="2" spans="1:6" ht="15.75" x14ac:dyDescent="0.25">
      <c r="A2" s="26" t="s">
        <v>158</v>
      </c>
      <c r="B2" s="26">
        <v>228</v>
      </c>
      <c r="D2" s="26" t="s">
        <v>170</v>
      </c>
      <c r="E2" s="26" t="s">
        <v>170</v>
      </c>
      <c r="F2" s="26" t="s">
        <v>172</v>
      </c>
    </row>
    <row r="3" spans="1:6" ht="15.75" x14ac:dyDescent="0.25">
      <c r="A3" s="26" t="s">
        <v>159</v>
      </c>
      <c r="B3" s="26">
        <v>220.75</v>
      </c>
      <c r="D3" s="26" t="s">
        <v>170</v>
      </c>
      <c r="E3" s="26" t="s">
        <v>170</v>
      </c>
      <c r="F3" s="26" t="s">
        <v>1</v>
      </c>
    </row>
    <row r="4" spans="1:6" ht="15.75" x14ac:dyDescent="0.25">
      <c r="A4" s="26" t="s">
        <v>160</v>
      </c>
      <c r="B4" s="26">
        <v>213.6</v>
      </c>
      <c r="D4" s="26" t="s">
        <v>173</v>
      </c>
      <c r="E4" s="26" t="s">
        <v>174</v>
      </c>
      <c r="F4" s="26">
        <v>10373.06</v>
      </c>
    </row>
    <row r="5" spans="1:6" ht="15.75" x14ac:dyDescent="0.25">
      <c r="A5" s="26" t="s">
        <v>161</v>
      </c>
      <c r="B5" s="26">
        <v>228.25</v>
      </c>
      <c r="D5" s="26" t="s">
        <v>170</v>
      </c>
      <c r="E5" s="26" t="s">
        <v>175</v>
      </c>
      <c r="F5" s="26">
        <v>10994.98</v>
      </c>
    </row>
    <row r="6" spans="1:6" ht="15.75" x14ac:dyDescent="0.25">
      <c r="A6" s="26" t="s">
        <v>162</v>
      </c>
      <c r="B6" s="26">
        <v>225</v>
      </c>
      <c r="D6" s="26" t="s">
        <v>170</v>
      </c>
      <c r="E6" s="26" t="s">
        <v>176</v>
      </c>
      <c r="F6" s="26">
        <v>11298.64</v>
      </c>
    </row>
    <row r="7" spans="1:6" ht="15.75" x14ac:dyDescent="0.25">
      <c r="A7" s="26" t="s">
        <v>163</v>
      </c>
      <c r="B7" s="26">
        <v>206</v>
      </c>
      <c r="D7" s="26" t="s">
        <v>170</v>
      </c>
      <c r="E7" s="26" t="s">
        <v>177</v>
      </c>
      <c r="F7" s="26">
        <v>12077.35</v>
      </c>
    </row>
    <row r="8" spans="1:6" ht="15.75" x14ac:dyDescent="0.25">
      <c r="A8" s="26" t="s">
        <v>164</v>
      </c>
      <c r="B8" s="26">
        <v>210</v>
      </c>
      <c r="D8" s="26" t="s">
        <v>170</v>
      </c>
      <c r="E8" s="26" t="s">
        <v>178</v>
      </c>
      <c r="F8" s="26">
        <v>12805.87</v>
      </c>
    </row>
    <row r="9" spans="1:6" ht="15.75" x14ac:dyDescent="0.25">
      <c r="A9" s="26" t="s">
        <v>165</v>
      </c>
      <c r="B9" s="26">
        <v>204.5</v>
      </c>
      <c r="D9" s="26" t="s">
        <v>170</v>
      </c>
      <c r="E9" s="26" t="s">
        <v>179</v>
      </c>
      <c r="F9" s="26">
        <v>12857.87</v>
      </c>
    </row>
    <row r="10" spans="1:6" ht="15.75" x14ac:dyDescent="0.25">
      <c r="A10" s="26" t="s">
        <v>166</v>
      </c>
      <c r="B10" s="26">
        <v>230.6</v>
      </c>
      <c r="D10" s="26" t="s">
        <v>170</v>
      </c>
      <c r="E10" s="26" t="s">
        <v>180</v>
      </c>
      <c r="F10" s="26">
        <v>12240.97</v>
      </c>
    </row>
    <row r="11" spans="1:6" ht="15.75" x14ac:dyDescent="0.25">
      <c r="A11" s="26" t="s">
        <v>167</v>
      </c>
      <c r="B11" s="26">
        <v>253.25</v>
      </c>
      <c r="D11" s="26" t="s">
        <v>170</v>
      </c>
      <c r="E11" s="26" t="s">
        <v>181</v>
      </c>
      <c r="F11" s="26">
        <v>11474.87</v>
      </c>
    </row>
    <row r="12" spans="1:6" ht="15.75" x14ac:dyDescent="0.25">
      <c r="A12" s="26" t="s">
        <v>168</v>
      </c>
      <c r="B12" s="26">
        <v>256</v>
      </c>
      <c r="D12" s="26" t="s">
        <v>170</v>
      </c>
      <c r="E12" s="26" t="s">
        <v>182</v>
      </c>
      <c r="F12" s="26">
        <v>11571.13</v>
      </c>
    </row>
    <row r="13" spans="1:6" ht="15.75" x14ac:dyDescent="0.25">
      <c r="A13" s="26" t="s">
        <v>169</v>
      </c>
      <c r="B13" s="26">
        <v>260.39999999999998</v>
      </c>
      <c r="D13" s="26" t="s">
        <v>170</v>
      </c>
      <c r="E13" s="26" t="s">
        <v>183</v>
      </c>
      <c r="F13" s="26">
        <v>12294.68</v>
      </c>
    </row>
    <row r="14" spans="1:6" ht="15.75" x14ac:dyDescent="0.25">
      <c r="B14">
        <f>AVERAGE(B2:B13)</f>
        <v>228.02916666666667</v>
      </c>
      <c r="D14" s="26" t="s">
        <v>170</v>
      </c>
      <c r="E14" s="26" t="s">
        <v>184</v>
      </c>
      <c r="F14" s="26">
        <v>13827.43</v>
      </c>
    </row>
    <row r="15" spans="1:6" ht="15.75" x14ac:dyDescent="0.25">
      <c r="D15" s="26" t="s">
        <v>170</v>
      </c>
      <c r="E15" s="26" t="s">
        <v>185</v>
      </c>
      <c r="F15" s="26">
        <v>14830.49</v>
      </c>
    </row>
    <row r="16" spans="1:6" x14ac:dyDescent="0.25">
      <c r="F16">
        <f>AVERAGE(F4:F15)</f>
        <v>12220.611666666666</v>
      </c>
    </row>
    <row r="18" spans="1:2" x14ac:dyDescent="0.25">
      <c r="A18" t="s">
        <v>186</v>
      </c>
      <c r="B18">
        <f>B14-F16/72.32</f>
        <v>59.049469948377578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D6E1-6B08-4AB1-9E7A-FE8EC8A3E616}">
  <dimension ref="A1:AG39"/>
  <sheetViews>
    <sheetView workbookViewId="0">
      <selection activeCell="I6" sqref="I6"/>
    </sheetView>
  </sheetViews>
  <sheetFormatPr defaultRowHeight="15" x14ac:dyDescent="0.25"/>
  <cols>
    <col min="1" max="1" width="47.28515625" customWidth="1"/>
    <col min="2" max="2" width="17.85546875" customWidth="1"/>
    <col min="3" max="3" width="11.85546875" customWidth="1"/>
    <col min="6" max="6" width="14.28515625" customWidth="1"/>
  </cols>
  <sheetData>
    <row r="1" spans="1:33" x14ac:dyDescent="0.25">
      <c r="A1" s="59" t="s">
        <v>187</v>
      </c>
      <c r="B1" s="59" t="s">
        <v>188</v>
      </c>
      <c r="C1" s="59" t="s">
        <v>189</v>
      </c>
      <c r="D1" s="59" t="s">
        <v>190</v>
      </c>
      <c r="E1" s="59" t="s">
        <v>191</v>
      </c>
      <c r="F1" s="59" t="s">
        <v>192</v>
      </c>
      <c r="G1" s="59" t="s">
        <v>193</v>
      </c>
    </row>
    <row r="2" spans="1:33" x14ac:dyDescent="0.25">
      <c r="A2" s="61" t="s">
        <v>194</v>
      </c>
      <c r="B2" s="61" t="s">
        <v>195</v>
      </c>
      <c r="C2" s="61" t="s">
        <v>196</v>
      </c>
      <c r="D2" s="61">
        <v>71.685000000000002</v>
      </c>
      <c r="E2" s="61">
        <v>73.61</v>
      </c>
      <c r="F2" s="61">
        <v>85.352000000000004</v>
      </c>
      <c r="G2" s="61" t="s">
        <v>197</v>
      </c>
      <c r="H2" s="15">
        <f>AVERAGE(D2:F2)</f>
        <v>76.882333333333335</v>
      </c>
      <c r="I2" s="15">
        <f>H2</f>
        <v>76.882333333333335</v>
      </c>
      <c r="J2" s="15"/>
    </row>
    <row r="3" spans="1:33" x14ac:dyDescent="0.25">
      <c r="A3" s="60"/>
      <c r="B3" s="61" t="s">
        <v>198</v>
      </c>
      <c r="C3" s="61" t="s">
        <v>196</v>
      </c>
      <c r="D3" s="61">
        <v>35.863</v>
      </c>
      <c r="E3" s="61">
        <v>34.484999999999999</v>
      </c>
      <c r="F3" s="61">
        <v>39.1</v>
      </c>
      <c r="G3" s="61" t="s">
        <v>197</v>
      </c>
      <c r="H3" s="15">
        <f t="shared" ref="H3:H5" si="0">AVERAGE(D3:F3)</f>
        <v>36.482666666666667</v>
      </c>
      <c r="I3" s="15">
        <f>I2-I5-I4</f>
        <v>36.482666666666667</v>
      </c>
    </row>
    <row r="4" spans="1:33" ht="26.25" x14ac:dyDescent="0.25">
      <c r="A4" s="60"/>
      <c r="B4" s="61" t="s">
        <v>199</v>
      </c>
      <c r="C4" s="61" t="s">
        <v>196</v>
      </c>
      <c r="D4" s="61">
        <v>18</v>
      </c>
      <c r="E4" s="61">
        <v>17</v>
      </c>
      <c r="F4" s="61">
        <v>19</v>
      </c>
      <c r="G4" s="61" t="s">
        <v>197</v>
      </c>
      <c r="H4" s="15">
        <f>AVERAGE(D4:F4)</f>
        <v>18</v>
      </c>
      <c r="I4">
        <f>H4+H4/(H4+H5)*H7</f>
        <v>17.736439024390243</v>
      </c>
    </row>
    <row r="5" spans="1:33" x14ac:dyDescent="0.25">
      <c r="A5" s="60"/>
      <c r="B5" s="61" t="s">
        <v>200</v>
      </c>
      <c r="C5" s="61" t="s">
        <v>196</v>
      </c>
      <c r="D5" s="61">
        <v>22.5</v>
      </c>
      <c r="E5" s="61">
        <v>23</v>
      </c>
      <c r="F5" s="61">
        <v>23.5</v>
      </c>
      <c r="G5" s="61" t="s">
        <v>197</v>
      </c>
      <c r="H5" s="15">
        <f t="shared" si="0"/>
        <v>23</v>
      </c>
      <c r="I5" s="15">
        <f>H5+H5/(H4+H5)*H7</f>
        <v>22.663227642276425</v>
      </c>
    </row>
    <row r="6" spans="1:33" ht="26.25" x14ac:dyDescent="0.25">
      <c r="A6" s="60"/>
      <c r="B6" s="61" t="s">
        <v>201</v>
      </c>
      <c r="C6" s="61" t="s">
        <v>196</v>
      </c>
      <c r="D6" s="61">
        <v>40.5</v>
      </c>
      <c r="E6" s="61">
        <v>40</v>
      </c>
      <c r="F6" s="61">
        <v>42.5</v>
      </c>
      <c r="G6" s="61" t="s">
        <v>197</v>
      </c>
    </row>
    <row r="7" spans="1:33" x14ac:dyDescent="0.25">
      <c r="H7" s="15">
        <f>H2-H3-H4-H5</f>
        <v>-0.60033333333333161</v>
      </c>
      <c r="I7" s="15">
        <f>I2-I3-I4-I5</f>
        <v>0</v>
      </c>
    </row>
    <row r="9" spans="1:33" ht="27.75" customHeight="1" x14ac:dyDescent="0.25">
      <c r="A9" s="76" t="s">
        <v>224</v>
      </c>
      <c r="B9" s="57"/>
      <c r="C9" s="57"/>
      <c r="D9" s="57"/>
      <c r="E9" s="57"/>
      <c r="F9" s="57"/>
      <c r="G9" s="57"/>
      <c r="H9" s="57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25">
      <c r="A10" s="50"/>
      <c r="B10" s="54"/>
      <c r="C10" s="54"/>
      <c r="D10" s="54"/>
      <c r="E10" s="54"/>
      <c r="F10" s="54"/>
      <c r="G10" s="54"/>
      <c r="H10" s="54"/>
      <c r="I10" s="52" t="s">
        <v>225</v>
      </c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15.75" x14ac:dyDescent="0.25">
      <c r="A11" s="51"/>
      <c r="B11" s="50"/>
      <c r="C11" s="50"/>
      <c r="D11" s="50"/>
      <c r="E11" s="49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6"/>
      <c r="Y11" s="56"/>
      <c r="Z11" s="55" t="s">
        <v>226</v>
      </c>
      <c r="AA11" s="55"/>
      <c r="AB11" s="55"/>
      <c r="AC11" s="55"/>
      <c r="AD11" s="55"/>
      <c r="AE11" s="55"/>
      <c r="AF11" s="55"/>
      <c r="AG11" s="55"/>
    </row>
    <row r="12" spans="1:33" ht="15.75" x14ac:dyDescent="0.25">
      <c r="A12" s="53"/>
      <c r="B12" s="62">
        <v>2018</v>
      </c>
      <c r="C12" s="62">
        <v>2019</v>
      </c>
      <c r="D12" s="62">
        <v>2020</v>
      </c>
      <c r="E12" s="62">
        <v>2021</v>
      </c>
    </row>
    <row r="13" spans="1:33" ht="15.75" x14ac:dyDescent="0.25">
      <c r="A13" s="63" t="s">
        <v>227</v>
      </c>
      <c r="B13" s="64"/>
      <c r="C13" s="64"/>
      <c r="D13" s="64"/>
      <c r="E13" s="64"/>
    </row>
    <row r="14" spans="1:33" ht="15.75" x14ac:dyDescent="0.25">
      <c r="A14" s="65" t="s">
        <v>228</v>
      </c>
      <c r="B14" s="68">
        <v>90.7</v>
      </c>
      <c r="C14" s="68">
        <v>72.599999999999994</v>
      </c>
      <c r="D14" s="69">
        <v>76.900000000000006</v>
      </c>
      <c r="E14" s="69">
        <v>81.599999999999994</v>
      </c>
    </row>
    <row r="15" spans="1:33" ht="31.5" x14ac:dyDescent="0.25">
      <c r="A15" s="65" t="s">
        <v>229</v>
      </c>
      <c r="B15" s="68">
        <v>113.3</v>
      </c>
      <c r="C15" s="67">
        <v>121.2</v>
      </c>
      <c r="D15" s="68">
        <v>133.4</v>
      </c>
      <c r="E15" s="68">
        <v>121.4</v>
      </c>
    </row>
    <row r="16" spans="1:33" ht="15.75" x14ac:dyDescent="0.25">
      <c r="A16" s="65" t="s">
        <v>230</v>
      </c>
      <c r="B16" s="68">
        <v>0.4</v>
      </c>
      <c r="C16" s="67">
        <v>0.3</v>
      </c>
      <c r="D16" s="69">
        <v>0.4</v>
      </c>
      <c r="E16" s="69">
        <v>0.2</v>
      </c>
    </row>
    <row r="17" spans="1:5" ht="15.75" x14ac:dyDescent="0.25">
      <c r="A17" s="70" t="s">
        <v>231</v>
      </c>
      <c r="B17" s="68">
        <v>204.4</v>
      </c>
      <c r="C17" s="67">
        <v>194.1</v>
      </c>
      <c r="D17" s="68">
        <v>210.7</v>
      </c>
      <c r="E17" s="68">
        <v>203.2</v>
      </c>
    </row>
    <row r="18" spans="1:5" ht="15.75" x14ac:dyDescent="0.25">
      <c r="A18" s="71" t="s">
        <v>232</v>
      </c>
      <c r="B18" s="73"/>
      <c r="C18" s="72"/>
      <c r="D18" s="73"/>
      <c r="E18" s="73"/>
    </row>
    <row r="19" spans="1:5" ht="15.75" x14ac:dyDescent="0.25">
      <c r="A19" s="74" t="s">
        <v>233</v>
      </c>
      <c r="B19" s="68">
        <v>23.2</v>
      </c>
      <c r="C19" s="67">
        <v>23.3</v>
      </c>
      <c r="D19" s="69">
        <v>23.9</v>
      </c>
      <c r="E19" s="69">
        <v>23.6</v>
      </c>
    </row>
    <row r="20" spans="1:5" ht="13.5" customHeight="1" x14ac:dyDescent="0.25">
      <c r="A20" s="75" t="s">
        <v>234</v>
      </c>
      <c r="B20" s="68"/>
      <c r="C20" s="67"/>
      <c r="D20" s="69"/>
      <c r="E20" s="68"/>
    </row>
    <row r="21" spans="1:5" ht="22.5" customHeight="1" x14ac:dyDescent="0.25">
      <c r="A21" s="65" t="s">
        <v>235</v>
      </c>
      <c r="B21" s="68">
        <v>10.7</v>
      </c>
      <c r="C21" s="67">
        <v>10.6</v>
      </c>
      <c r="D21" s="68">
        <v>11</v>
      </c>
      <c r="E21" s="68">
        <v>10.9</v>
      </c>
    </row>
    <row r="22" spans="1:5" ht="15.75" x14ac:dyDescent="0.25">
      <c r="A22" s="70" t="s">
        <v>236</v>
      </c>
      <c r="B22" s="68">
        <v>12.5</v>
      </c>
      <c r="C22" s="66">
        <v>12.7</v>
      </c>
      <c r="D22" s="68">
        <v>12.9</v>
      </c>
      <c r="E22" s="68">
        <v>12.7</v>
      </c>
    </row>
    <row r="23" spans="1:5" ht="31.5" x14ac:dyDescent="0.25">
      <c r="A23" s="65" t="s">
        <v>237</v>
      </c>
      <c r="B23" s="68">
        <v>52.5</v>
      </c>
      <c r="C23" s="66">
        <v>53.3</v>
      </c>
      <c r="D23" s="68">
        <v>55.4</v>
      </c>
      <c r="E23" s="68">
        <v>57.1</v>
      </c>
    </row>
    <row r="24" spans="1:5" ht="15.75" x14ac:dyDescent="0.25">
      <c r="A24" s="70" t="s">
        <v>238</v>
      </c>
      <c r="B24" s="68">
        <v>1.2</v>
      </c>
      <c r="C24" s="67">
        <v>1.2</v>
      </c>
      <c r="D24" s="69">
        <v>1.2</v>
      </c>
      <c r="E24" s="68">
        <v>1.1000000000000001</v>
      </c>
    </row>
    <row r="25" spans="1:5" ht="15.75" x14ac:dyDescent="0.25">
      <c r="A25" s="70" t="s">
        <v>239</v>
      </c>
      <c r="B25" s="68">
        <v>54.83</v>
      </c>
      <c r="C25" s="66">
        <v>39.299999999999997</v>
      </c>
      <c r="D25" s="69">
        <v>48.5</v>
      </c>
      <c r="E25" s="69">
        <v>42.8</v>
      </c>
    </row>
    <row r="26" spans="1:5" ht="15.75" customHeight="1" x14ac:dyDescent="0.25">
      <c r="A26" s="65" t="s">
        <v>240</v>
      </c>
      <c r="B26" s="68">
        <v>0.1</v>
      </c>
      <c r="C26" s="66">
        <v>0.1</v>
      </c>
      <c r="D26" s="68">
        <v>0.1</v>
      </c>
      <c r="E26" s="68">
        <v>0.1</v>
      </c>
    </row>
    <row r="27" spans="1:5" ht="15.75" x14ac:dyDescent="0.25">
      <c r="A27" s="70" t="s">
        <v>241</v>
      </c>
      <c r="B27" s="68">
        <v>72.599999999999994</v>
      </c>
      <c r="C27" s="67">
        <v>76.900000000000006</v>
      </c>
      <c r="D27" s="68">
        <v>81.599999999999994</v>
      </c>
      <c r="E27" s="68">
        <v>78.5</v>
      </c>
    </row>
    <row r="29" spans="1:5" x14ac:dyDescent="0.25">
      <c r="B29" s="9">
        <f>B21+B24</f>
        <v>11.899999999999999</v>
      </c>
      <c r="C29" s="9">
        <f t="shared" ref="C29:E29" si="1">C21+C24</f>
        <v>11.799999999999999</v>
      </c>
      <c r="D29" s="9">
        <f t="shared" si="1"/>
        <v>12.2</v>
      </c>
      <c r="E29" s="9"/>
    </row>
    <row r="30" spans="1:5" x14ac:dyDescent="0.25">
      <c r="B30">
        <f>B29/B15</f>
        <v>0.10503089143865842</v>
      </c>
      <c r="C30" s="58">
        <f t="shared" ref="C30:D30" si="2">C29/C15</f>
        <v>9.7359735973597344E-2</v>
      </c>
      <c r="D30" s="58">
        <f t="shared" si="2"/>
        <v>9.1454272863568206E-2</v>
      </c>
      <c r="E30">
        <f>AVERAGE(B30:D30)</f>
        <v>9.7948300091941332E-2</v>
      </c>
    </row>
    <row r="31" spans="1:5" x14ac:dyDescent="0.25">
      <c r="E31" s="15">
        <f>I5-I2*0.098</f>
        <v>15.128758975609758</v>
      </c>
    </row>
    <row r="34" spans="1:9" x14ac:dyDescent="0.25">
      <c r="A34" s="59" t="s">
        <v>187</v>
      </c>
      <c r="B34" s="59" t="s">
        <v>188</v>
      </c>
      <c r="C34" s="59" t="s">
        <v>189</v>
      </c>
      <c r="D34" s="59" t="s">
        <v>190</v>
      </c>
      <c r="E34" s="59" t="s">
        <v>191</v>
      </c>
      <c r="F34" s="59" t="s">
        <v>192</v>
      </c>
      <c r="G34" s="59" t="s">
        <v>193</v>
      </c>
    </row>
    <row r="35" spans="1:9" x14ac:dyDescent="0.25">
      <c r="A35" s="61" t="s">
        <v>194</v>
      </c>
      <c r="B35" s="61" t="s">
        <v>195</v>
      </c>
      <c r="C35" s="61" t="s">
        <v>262</v>
      </c>
      <c r="D35" s="61">
        <v>730.92</v>
      </c>
      <c r="E35" s="61">
        <v>761.50699999999995</v>
      </c>
      <c r="F35" s="61">
        <v>774.53</v>
      </c>
      <c r="G35" s="61" t="s">
        <v>197</v>
      </c>
      <c r="H35" s="15">
        <f>AVERAGE(D35:F35)</f>
        <v>755.65233333333333</v>
      </c>
    </row>
    <row r="36" spans="1:9" x14ac:dyDescent="0.25">
      <c r="A36" s="60"/>
      <c r="B36" s="61" t="s">
        <v>198</v>
      </c>
      <c r="C36" s="61" t="s">
        <v>262</v>
      </c>
      <c r="D36" s="61">
        <v>176.2</v>
      </c>
      <c r="E36" s="61">
        <v>193.96899999999999</v>
      </c>
      <c r="F36" s="61">
        <v>203.40299999999999</v>
      </c>
      <c r="G36" s="61" t="s">
        <v>197</v>
      </c>
      <c r="H36" s="15">
        <f>AVERAGE(D36:F36)</f>
        <v>191.19066666666666</v>
      </c>
    </row>
    <row r="38" spans="1:9" ht="26.25" x14ac:dyDescent="0.25">
      <c r="A38" s="61" t="s">
        <v>194</v>
      </c>
      <c r="B38" s="61" t="s">
        <v>195</v>
      </c>
      <c r="C38" s="61" t="s">
        <v>263</v>
      </c>
      <c r="D38" s="61">
        <v>730.92</v>
      </c>
      <c r="E38" s="61">
        <v>761.50699999999995</v>
      </c>
      <c r="F38" s="61">
        <v>774.53</v>
      </c>
      <c r="G38" s="61" t="s">
        <v>197</v>
      </c>
      <c r="H38" s="15">
        <f>H35-H2</f>
        <v>678.77</v>
      </c>
    </row>
    <row r="39" spans="1:9" x14ac:dyDescent="0.25">
      <c r="A39" s="60"/>
      <c r="B39" s="61" t="s">
        <v>198</v>
      </c>
      <c r="C39" s="61" t="s">
        <v>263</v>
      </c>
      <c r="D39" s="61">
        <v>176.2</v>
      </c>
      <c r="E39" s="61">
        <v>193.96899999999999</v>
      </c>
      <c r="F39" s="61">
        <v>203.40299999999999</v>
      </c>
      <c r="G39" s="61" t="s">
        <v>197</v>
      </c>
      <c r="H39" s="15">
        <f>H36-H3</f>
        <v>154.708</v>
      </c>
      <c r="I39" s="15">
        <f>H38-H39</f>
        <v>524.06200000000001</v>
      </c>
    </row>
  </sheetData>
  <mergeCells count="2">
    <mergeCell ref="I10:W10"/>
    <mergeCell ref="Z11:AG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FC47-529C-464E-99AF-A7638A6C3F3C}">
  <dimension ref="A1:T2311"/>
  <sheetViews>
    <sheetView topLeftCell="A3" workbookViewId="0">
      <selection activeCell="D49" sqref="D49"/>
    </sheetView>
  </sheetViews>
  <sheetFormatPr defaultRowHeight="15" x14ac:dyDescent="0.25"/>
  <cols>
    <col min="1" max="1" width="24.28515625" style="58" customWidth="1"/>
    <col min="2" max="2" width="17.42578125" style="58" customWidth="1"/>
    <col min="3" max="5" width="7.28515625" style="58" customWidth="1"/>
    <col min="6" max="6" width="11.28515625" style="58" customWidth="1"/>
    <col min="7" max="7" width="8.42578125" style="58" customWidth="1"/>
    <col min="8" max="10" width="7.28515625" style="58" customWidth="1"/>
    <col min="11" max="11" width="7.28515625" style="1" customWidth="1"/>
    <col min="12" max="12" width="7.28515625" style="58" customWidth="1"/>
    <col min="13" max="221" width="9.140625" style="58"/>
    <col min="222" max="222" width="24.28515625" style="58" customWidth="1"/>
    <col min="223" max="233" width="7.28515625" style="58" customWidth="1"/>
    <col min="234" max="235" width="9.140625" style="58"/>
    <col min="236" max="243" width="0" style="58" hidden="1" customWidth="1"/>
    <col min="244" max="477" width="9.140625" style="58"/>
    <col min="478" max="478" width="24.28515625" style="58" customWidth="1"/>
    <col min="479" max="489" width="7.28515625" style="58" customWidth="1"/>
    <col min="490" max="491" width="9.140625" style="58"/>
    <col min="492" max="499" width="0" style="58" hidden="1" customWidth="1"/>
    <col min="500" max="733" width="9.140625" style="58"/>
    <col min="734" max="734" width="24.28515625" style="58" customWidth="1"/>
    <col min="735" max="745" width="7.28515625" style="58" customWidth="1"/>
    <col min="746" max="747" width="9.140625" style="58"/>
    <col min="748" max="755" width="0" style="58" hidden="1" customWidth="1"/>
    <col min="756" max="989" width="9.140625" style="58"/>
    <col min="990" max="990" width="24.28515625" style="58" customWidth="1"/>
    <col min="991" max="1001" width="7.28515625" style="58" customWidth="1"/>
    <col min="1002" max="1003" width="9.140625" style="58"/>
    <col min="1004" max="1011" width="0" style="58" hidden="1" customWidth="1"/>
    <col min="1012" max="1245" width="9.140625" style="58"/>
    <col min="1246" max="1246" width="24.28515625" style="58" customWidth="1"/>
    <col min="1247" max="1257" width="7.28515625" style="58" customWidth="1"/>
    <col min="1258" max="1259" width="9.140625" style="58"/>
    <col min="1260" max="1267" width="0" style="58" hidden="1" customWidth="1"/>
    <col min="1268" max="1501" width="9.140625" style="58"/>
    <col min="1502" max="1502" width="24.28515625" style="58" customWidth="1"/>
    <col min="1503" max="1513" width="7.28515625" style="58" customWidth="1"/>
    <col min="1514" max="1515" width="9.140625" style="58"/>
    <col min="1516" max="1523" width="0" style="58" hidden="1" customWidth="1"/>
    <col min="1524" max="1757" width="9.140625" style="58"/>
    <col min="1758" max="1758" width="24.28515625" style="58" customWidth="1"/>
    <col min="1759" max="1769" width="7.28515625" style="58" customWidth="1"/>
    <col min="1770" max="1771" width="9.140625" style="58"/>
    <col min="1772" max="1779" width="0" style="58" hidden="1" customWidth="1"/>
    <col min="1780" max="2013" width="9.140625" style="58"/>
    <col min="2014" max="2014" width="24.28515625" style="58" customWidth="1"/>
    <col min="2015" max="2025" width="7.28515625" style="58" customWidth="1"/>
    <col min="2026" max="2027" width="9.140625" style="58"/>
    <col min="2028" max="2035" width="0" style="58" hidden="1" customWidth="1"/>
    <col min="2036" max="2269" width="9.140625" style="58"/>
    <col min="2270" max="2270" width="24.28515625" style="58" customWidth="1"/>
    <col min="2271" max="2281" width="7.28515625" style="58" customWidth="1"/>
    <col min="2282" max="2283" width="9.140625" style="58"/>
    <col min="2284" max="2291" width="0" style="58" hidden="1" customWidth="1"/>
    <col min="2292" max="2525" width="9.140625" style="58"/>
    <col min="2526" max="2526" width="24.28515625" style="58" customWidth="1"/>
    <col min="2527" max="2537" width="7.28515625" style="58" customWidth="1"/>
    <col min="2538" max="2539" width="9.140625" style="58"/>
    <col min="2540" max="2547" width="0" style="58" hidden="1" customWidth="1"/>
    <col min="2548" max="2781" width="9.140625" style="58"/>
    <col min="2782" max="2782" width="24.28515625" style="58" customWidth="1"/>
    <col min="2783" max="2793" width="7.28515625" style="58" customWidth="1"/>
    <col min="2794" max="2795" width="9.140625" style="58"/>
    <col min="2796" max="2803" width="0" style="58" hidden="1" customWidth="1"/>
    <col min="2804" max="3037" width="9.140625" style="58"/>
    <col min="3038" max="3038" width="24.28515625" style="58" customWidth="1"/>
    <col min="3039" max="3049" width="7.28515625" style="58" customWidth="1"/>
    <col min="3050" max="3051" width="9.140625" style="58"/>
    <col min="3052" max="3059" width="0" style="58" hidden="1" customWidth="1"/>
    <col min="3060" max="3293" width="9.140625" style="58"/>
    <col min="3294" max="3294" width="24.28515625" style="58" customWidth="1"/>
    <col min="3295" max="3305" width="7.28515625" style="58" customWidth="1"/>
    <col min="3306" max="3307" width="9.140625" style="58"/>
    <col min="3308" max="3315" width="0" style="58" hidden="1" customWidth="1"/>
    <col min="3316" max="3549" width="9.140625" style="58"/>
    <col min="3550" max="3550" width="24.28515625" style="58" customWidth="1"/>
    <col min="3551" max="3561" width="7.28515625" style="58" customWidth="1"/>
    <col min="3562" max="3563" width="9.140625" style="58"/>
    <col min="3564" max="3571" width="0" style="58" hidden="1" customWidth="1"/>
    <col min="3572" max="3805" width="9.140625" style="58"/>
    <col min="3806" max="3806" width="24.28515625" style="58" customWidth="1"/>
    <col min="3807" max="3817" width="7.28515625" style="58" customWidth="1"/>
    <col min="3818" max="3819" width="9.140625" style="58"/>
    <col min="3820" max="3827" width="0" style="58" hidden="1" customWidth="1"/>
    <col min="3828" max="4061" width="9.140625" style="58"/>
    <col min="4062" max="4062" width="24.28515625" style="58" customWidth="1"/>
    <col min="4063" max="4073" width="7.28515625" style="58" customWidth="1"/>
    <col min="4074" max="4075" width="9.140625" style="58"/>
    <col min="4076" max="4083" width="0" style="58" hidden="1" customWidth="1"/>
    <col min="4084" max="4317" width="9.140625" style="58"/>
    <col min="4318" max="4318" width="24.28515625" style="58" customWidth="1"/>
    <col min="4319" max="4329" width="7.28515625" style="58" customWidth="1"/>
    <col min="4330" max="4331" width="9.140625" style="58"/>
    <col min="4332" max="4339" width="0" style="58" hidden="1" customWidth="1"/>
    <col min="4340" max="4573" width="9.140625" style="58"/>
    <col min="4574" max="4574" width="24.28515625" style="58" customWidth="1"/>
    <col min="4575" max="4585" width="7.28515625" style="58" customWidth="1"/>
    <col min="4586" max="4587" width="9.140625" style="58"/>
    <col min="4588" max="4595" width="0" style="58" hidden="1" customWidth="1"/>
    <col min="4596" max="4829" width="9.140625" style="58"/>
    <col min="4830" max="4830" width="24.28515625" style="58" customWidth="1"/>
    <col min="4831" max="4841" width="7.28515625" style="58" customWidth="1"/>
    <col min="4842" max="4843" width="9.140625" style="58"/>
    <col min="4844" max="4851" width="0" style="58" hidden="1" customWidth="1"/>
    <col min="4852" max="5085" width="9.140625" style="58"/>
    <col min="5086" max="5086" width="24.28515625" style="58" customWidth="1"/>
    <col min="5087" max="5097" width="7.28515625" style="58" customWidth="1"/>
    <col min="5098" max="5099" width="9.140625" style="58"/>
    <col min="5100" max="5107" width="0" style="58" hidden="1" customWidth="1"/>
    <col min="5108" max="5341" width="9.140625" style="58"/>
    <col min="5342" max="5342" width="24.28515625" style="58" customWidth="1"/>
    <col min="5343" max="5353" width="7.28515625" style="58" customWidth="1"/>
    <col min="5354" max="5355" width="9.140625" style="58"/>
    <col min="5356" max="5363" width="0" style="58" hidden="1" customWidth="1"/>
    <col min="5364" max="5597" width="9.140625" style="58"/>
    <col min="5598" max="5598" width="24.28515625" style="58" customWidth="1"/>
    <col min="5599" max="5609" width="7.28515625" style="58" customWidth="1"/>
    <col min="5610" max="5611" width="9.140625" style="58"/>
    <col min="5612" max="5619" width="0" style="58" hidden="1" customWidth="1"/>
    <col min="5620" max="5853" width="9.140625" style="58"/>
    <col min="5854" max="5854" width="24.28515625" style="58" customWidth="1"/>
    <col min="5855" max="5865" width="7.28515625" style="58" customWidth="1"/>
    <col min="5866" max="5867" width="9.140625" style="58"/>
    <col min="5868" max="5875" width="0" style="58" hidden="1" customWidth="1"/>
    <col min="5876" max="6109" width="9.140625" style="58"/>
    <col min="6110" max="6110" width="24.28515625" style="58" customWidth="1"/>
    <col min="6111" max="6121" width="7.28515625" style="58" customWidth="1"/>
    <col min="6122" max="6123" width="9.140625" style="58"/>
    <col min="6124" max="6131" width="0" style="58" hidden="1" customWidth="1"/>
    <col min="6132" max="6365" width="9.140625" style="58"/>
    <col min="6366" max="6366" width="24.28515625" style="58" customWidth="1"/>
    <col min="6367" max="6377" width="7.28515625" style="58" customWidth="1"/>
    <col min="6378" max="6379" width="9.140625" style="58"/>
    <col min="6380" max="6387" width="0" style="58" hidden="1" customWidth="1"/>
    <col min="6388" max="6621" width="9.140625" style="58"/>
    <col min="6622" max="6622" width="24.28515625" style="58" customWidth="1"/>
    <col min="6623" max="6633" width="7.28515625" style="58" customWidth="1"/>
    <col min="6634" max="6635" width="9.140625" style="58"/>
    <col min="6636" max="6643" width="0" style="58" hidden="1" customWidth="1"/>
    <col min="6644" max="6877" width="9.140625" style="58"/>
    <col min="6878" max="6878" width="24.28515625" style="58" customWidth="1"/>
    <col min="6879" max="6889" width="7.28515625" style="58" customWidth="1"/>
    <col min="6890" max="6891" width="9.140625" style="58"/>
    <col min="6892" max="6899" width="0" style="58" hidden="1" customWidth="1"/>
    <col min="6900" max="7133" width="9.140625" style="58"/>
    <col min="7134" max="7134" width="24.28515625" style="58" customWidth="1"/>
    <col min="7135" max="7145" width="7.28515625" style="58" customWidth="1"/>
    <col min="7146" max="7147" width="9.140625" style="58"/>
    <col min="7148" max="7155" width="0" style="58" hidden="1" customWidth="1"/>
    <col min="7156" max="7389" width="9.140625" style="58"/>
    <col min="7390" max="7390" width="24.28515625" style="58" customWidth="1"/>
    <col min="7391" max="7401" width="7.28515625" style="58" customWidth="1"/>
    <col min="7402" max="7403" width="9.140625" style="58"/>
    <col min="7404" max="7411" width="0" style="58" hidden="1" customWidth="1"/>
    <col min="7412" max="7645" width="9.140625" style="58"/>
    <col min="7646" max="7646" width="24.28515625" style="58" customWidth="1"/>
    <col min="7647" max="7657" width="7.28515625" style="58" customWidth="1"/>
    <col min="7658" max="7659" width="9.140625" style="58"/>
    <col min="7660" max="7667" width="0" style="58" hidden="1" customWidth="1"/>
    <col min="7668" max="7901" width="9.140625" style="58"/>
    <col min="7902" max="7902" width="24.28515625" style="58" customWidth="1"/>
    <col min="7903" max="7913" width="7.28515625" style="58" customWidth="1"/>
    <col min="7914" max="7915" width="9.140625" style="58"/>
    <col min="7916" max="7923" width="0" style="58" hidden="1" customWidth="1"/>
    <col min="7924" max="8157" width="9.140625" style="58"/>
    <col min="8158" max="8158" width="24.28515625" style="58" customWidth="1"/>
    <col min="8159" max="8169" width="7.28515625" style="58" customWidth="1"/>
    <col min="8170" max="8171" width="9.140625" style="58"/>
    <col min="8172" max="8179" width="0" style="58" hidden="1" customWidth="1"/>
    <col min="8180" max="8413" width="9.140625" style="58"/>
    <col min="8414" max="8414" width="24.28515625" style="58" customWidth="1"/>
    <col min="8415" max="8425" width="7.28515625" style="58" customWidth="1"/>
    <col min="8426" max="8427" width="9.140625" style="58"/>
    <col min="8428" max="8435" width="0" style="58" hidden="1" customWidth="1"/>
    <col min="8436" max="8669" width="9.140625" style="58"/>
    <col min="8670" max="8670" width="24.28515625" style="58" customWidth="1"/>
    <col min="8671" max="8681" width="7.28515625" style="58" customWidth="1"/>
    <col min="8682" max="8683" width="9.140625" style="58"/>
    <col min="8684" max="8691" width="0" style="58" hidden="1" customWidth="1"/>
    <col min="8692" max="8925" width="9.140625" style="58"/>
    <col min="8926" max="8926" width="24.28515625" style="58" customWidth="1"/>
    <col min="8927" max="8937" width="7.28515625" style="58" customWidth="1"/>
    <col min="8938" max="8939" width="9.140625" style="58"/>
    <col min="8940" max="8947" width="0" style="58" hidden="1" customWidth="1"/>
    <col min="8948" max="9181" width="9.140625" style="58"/>
    <col min="9182" max="9182" width="24.28515625" style="58" customWidth="1"/>
    <col min="9183" max="9193" width="7.28515625" style="58" customWidth="1"/>
    <col min="9194" max="9195" width="9.140625" style="58"/>
    <col min="9196" max="9203" width="0" style="58" hidden="1" customWidth="1"/>
    <col min="9204" max="9437" width="9.140625" style="58"/>
    <col min="9438" max="9438" width="24.28515625" style="58" customWidth="1"/>
    <col min="9439" max="9449" width="7.28515625" style="58" customWidth="1"/>
    <col min="9450" max="9451" width="9.140625" style="58"/>
    <col min="9452" max="9459" width="0" style="58" hidden="1" customWidth="1"/>
    <col min="9460" max="9693" width="9.140625" style="58"/>
    <col min="9694" max="9694" width="24.28515625" style="58" customWidth="1"/>
    <col min="9695" max="9705" width="7.28515625" style="58" customWidth="1"/>
    <col min="9706" max="9707" width="9.140625" style="58"/>
    <col min="9708" max="9715" width="0" style="58" hidden="1" customWidth="1"/>
    <col min="9716" max="9949" width="9.140625" style="58"/>
    <col min="9950" max="9950" width="24.28515625" style="58" customWidth="1"/>
    <col min="9951" max="9961" width="7.28515625" style="58" customWidth="1"/>
    <col min="9962" max="9963" width="9.140625" style="58"/>
    <col min="9964" max="9971" width="0" style="58" hidden="1" customWidth="1"/>
    <col min="9972" max="10205" width="9.140625" style="58"/>
    <col min="10206" max="10206" width="24.28515625" style="58" customWidth="1"/>
    <col min="10207" max="10217" width="7.28515625" style="58" customWidth="1"/>
    <col min="10218" max="10219" width="9.140625" style="58"/>
    <col min="10220" max="10227" width="0" style="58" hidden="1" customWidth="1"/>
    <col min="10228" max="10461" width="9.140625" style="58"/>
    <col min="10462" max="10462" width="24.28515625" style="58" customWidth="1"/>
    <col min="10463" max="10473" width="7.28515625" style="58" customWidth="1"/>
    <col min="10474" max="10475" width="9.140625" style="58"/>
    <col min="10476" max="10483" width="0" style="58" hidden="1" customWidth="1"/>
    <col min="10484" max="10717" width="9.140625" style="58"/>
    <col min="10718" max="10718" width="24.28515625" style="58" customWidth="1"/>
    <col min="10719" max="10729" width="7.28515625" style="58" customWidth="1"/>
    <col min="10730" max="10731" width="9.140625" style="58"/>
    <col min="10732" max="10739" width="0" style="58" hidden="1" customWidth="1"/>
    <col min="10740" max="10973" width="9.140625" style="58"/>
    <col min="10974" max="10974" width="24.28515625" style="58" customWidth="1"/>
    <col min="10975" max="10985" width="7.28515625" style="58" customWidth="1"/>
    <col min="10986" max="10987" width="9.140625" style="58"/>
    <col min="10988" max="10995" width="0" style="58" hidden="1" customWidth="1"/>
    <col min="10996" max="11229" width="9.140625" style="58"/>
    <col min="11230" max="11230" width="24.28515625" style="58" customWidth="1"/>
    <col min="11231" max="11241" width="7.28515625" style="58" customWidth="1"/>
    <col min="11242" max="11243" width="9.140625" style="58"/>
    <col min="11244" max="11251" width="0" style="58" hidden="1" customWidth="1"/>
    <col min="11252" max="11485" width="9.140625" style="58"/>
    <col min="11486" max="11486" width="24.28515625" style="58" customWidth="1"/>
    <col min="11487" max="11497" width="7.28515625" style="58" customWidth="1"/>
    <col min="11498" max="11499" width="9.140625" style="58"/>
    <col min="11500" max="11507" width="0" style="58" hidden="1" customWidth="1"/>
    <col min="11508" max="11741" width="9.140625" style="58"/>
    <col min="11742" max="11742" width="24.28515625" style="58" customWidth="1"/>
    <col min="11743" max="11753" width="7.28515625" style="58" customWidth="1"/>
    <col min="11754" max="11755" width="9.140625" style="58"/>
    <col min="11756" max="11763" width="0" style="58" hidden="1" customWidth="1"/>
    <col min="11764" max="11997" width="9.140625" style="58"/>
    <col min="11998" max="11998" width="24.28515625" style="58" customWidth="1"/>
    <col min="11999" max="12009" width="7.28515625" style="58" customWidth="1"/>
    <col min="12010" max="12011" width="9.140625" style="58"/>
    <col min="12012" max="12019" width="0" style="58" hidden="1" customWidth="1"/>
    <col min="12020" max="12253" width="9.140625" style="58"/>
    <col min="12254" max="12254" width="24.28515625" style="58" customWidth="1"/>
    <col min="12255" max="12265" width="7.28515625" style="58" customWidth="1"/>
    <col min="12266" max="12267" width="9.140625" style="58"/>
    <col min="12268" max="12275" width="0" style="58" hidden="1" customWidth="1"/>
    <col min="12276" max="12509" width="9.140625" style="58"/>
    <col min="12510" max="12510" width="24.28515625" style="58" customWidth="1"/>
    <col min="12511" max="12521" width="7.28515625" style="58" customWidth="1"/>
    <col min="12522" max="12523" width="9.140625" style="58"/>
    <col min="12524" max="12531" width="0" style="58" hidden="1" customWidth="1"/>
    <col min="12532" max="12765" width="9.140625" style="58"/>
    <col min="12766" max="12766" width="24.28515625" style="58" customWidth="1"/>
    <col min="12767" max="12777" width="7.28515625" style="58" customWidth="1"/>
    <col min="12778" max="12779" width="9.140625" style="58"/>
    <col min="12780" max="12787" width="0" style="58" hidden="1" customWidth="1"/>
    <col min="12788" max="13021" width="9.140625" style="58"/>
    <col min="13022" max="13022" width="24.28515625" style="58" customWidth="1"/>
    <col min="13023" max="13033" width="7.28515625" style="58" customWidth="1"/>
    <col min="13034" max="13035" width="9.140625" style="58"/>
    <col min="13036" max="13043" width="0" style="58" hidden="1" customWidth="1"/>
    <col min="13044" max="13277" width="9.140625" style="58"/>
    <col min="13278" max="13278" width="24.28515625" style="58" customWidth="1"/>
    <col min="13279" max="13289" width="7.28515625" style="58" customWidth="1"/>
    <col min="13290" max="13291" width="9.140625" style="58"/>
    <col min="13292" max="13299" width="0" style="58" hidden="1" customWidth="1"/>
    <col min="13300" max="13533" width="9.140625" style="58"/>
    <col min="13534" max="13534" width="24.28515625" style="58" customWidth="1"/>
    <col min="13535" max="13545" width="7.28515625" style="58" customWidth="1"/>
    <col min="13546" max="13547" width="9.140625" style="58"/>
    <col min="13548" max="13555" width="0" style="58" hidden="1" customWidth="1"/>
    <col min="13556" max="13789" width="9.140625" style="58"/>
    <col min="13790" max="13790" width="24.28515625" style="58" customWidth="1"/>
    <col min="13791" max="13801" width="7.28515625" style="58" customWidth="1"/>
    <col min="13802" max="13803" width="9.140625" style="58"/>
    <col min="13804" max="13811" width="0" style="58" hidden="1" customWidth="1"/>
    <col min="13812" max="14045" width="9.140625" style="58"/>
    <col min="14046" max="14046" width="24.28515625" style="58" customWidth="1"/>
    <col min="14047" max="14057" width="7.28515625" style="58" customWidth="1"/>
    <col min="14058" max="14059" width="9.140625" style="58"/>
    <col min="14060" max="14067" width="0" style="58" hidden="1" customWidth="1"/>
    <col min="14068" max="14301" width="9.140625" style="58"/>
    <col min="14302" max="14302" width="24.28515625" style="58" customWidth="1"/>
    <col min="14303" max="14313" width="7.28515625" style="58" customWidth="1"/>
    <col min="14314" max="14315" width="9.140625" style="58"/>
    <col min="14316" max="14323" width="0" style="58" hidden="1" customWidth="1"/>
    <col min="14324" max="14557" width="9.140625" style="58"/>
    <col min="14558" max="14558" width="24.28515625" style="58" customWidth="1"/>
    <col min="14559" max="14569" width="7.28515625" style="58" customWidth="1"/>
    <col min="14570" max="14571" width="9.140625" style="58"/>
    <col min="14572" max="14579" width="0" style="58" hidden="1" customWidth="1"/>
    <col min="14580" max="14813" width="9.140625" style="58"/>
    <col min="14814" max="14814" width="24.28515625" style="58" customWidth="1"/>
    <col min="14815" max="14825" width="7.28515625" style="58" customWidth="1"/>
    <col min="14826" max="14827" width="9.140625" style="58"/>
    <col min="14828" max="14835" width="0" style="58" hidden="1" customWidth="1"/>
    <col min="14836" max="15069" width="9.140625" style="58"/>
    <col min="15070" max="15070" width="24.28515625" style="58" customWidth="1"/>
    <col min="15071" max="15081" width="7.28515625" style="58" customWidth="1"/>
    <col min="15082" max="15083" width="9.140625" style="58"/>
    <col min="15084" max="15091" width="0" style="58" hidden="1" customWidth="1"/>
    <col min="15092" max="15325" width="9.140625" style="58"/>
    <col min="15326" max="15326" width="24.28515625" style="58" customWidth="1"/>
    <col min="15327" max="15337" width="7.28515625" style="58" customWidth="1"/>
    <col min="15338" max="15339" width="9.140625" style="58"/>
    <col min="15340" max="15347" width="0" style="58" hidden="1" customWidth="1"/>
    <col min="15348" max="15581" width="9.140625" style="58"/>
    <col min="15582" max="15582" width="24.28515625" style="58" customWidth="1"/>
    <col min="15583" max="15593" width="7.28515625" style="58" customWidth="1"/>
    <col min="15594" max="15595" width="9.140625" style="58"/>
    <col min="15596" max="15603" width="0" style="58" hidden="1" customWidth="1"/>
    <col min="15604" max="15837" width="9.140625" style="58"/>
    <col min="15838" max="15838" width="24.28515625" style="58" customWidth="1"/>
    <col min="15839" max="15849" width="7.28515625" style="58" customWidth="1"/>
    <col min="15850" max="15851" width="9.140625" style="58"/>
    <col min="15852" max="15859" width="0" style="58" hidden="1" customWidth="1"/>
    <col min="15860" max="16093" width="9.140625" style="58"/>
    <col min="16094" max="16094" width="24.28515625" style="58" customWidth="1"/>
    <col min="16095" max="16105" width="7.28515625" style="58" customWidth="1"/>
    <col min="16106" max="16107" width="9.140625" style="58"/>
    <col min="16108" max="16115" width="0" style="58" hidden="1" customWidth="1"/>
    <col min="16116" max="16384" width="9.140625" style="58"/>
  </cols>
  <sheetData>
    <row r="1" spans="1:20" x14ac:dyDescent="0.25">
      <c r="A1" s="38" t="s">
        <v>202</v>
      </c>
      <c r="K1" s="58"/>
    </row>
    <row r="2" spans="1:20" s="43" customFormat="1" ht="23.25" customHeight="1" x14ac:dyDescent="0.25">
      <c r="A2" s="45" t="s">
        <v>203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</row>
    <row r="3" spans="1:20" s="46" customFormat="1" ht="12.75" x14ac:dyDescent="0.2"/>
    <row r="4" spans="1:20" ht="12.75" customHeight="1" x14ac:dyDescent="0.25">
      <c r="A4" s="47" t="s">
        <v>204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</row>
    <row r="5" spans="1:20" ht="12.75" customHeight="1" x14ac:dyDescent="0.25">
      <c r="A5" s="47" t="s">
        <v>205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</row>
    <row r="6" spans="1:20" ht="12.75" customHeight="1" x14ac:dyDescent="0.25">
      <c r="A6" s="39" t="s">
        <v>206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</row>
    <row r="7" spans="1:20" x14ac:dyDescent="0.25">
      <c r="A7" s="25"/>
      <c r="K7" s="58"/>
    </row>
    <row r="8" spans="1:20" x14ac:dyDescent="0.25">
      <c r="A8" s="32"/>
      <c r="B8" s="40">
        <v>2003</v>
      </c>
      <c r="C8" s="40">
        <v>2004</v>
      </c>
      <c r="D8" s="40">
        <v>2005</v>
      </c>
      <c r="E8" s="40">
        <v>2006</v>
      </c>
      <c r="F8" s="40">
        <v>2007</v>
      </c>
      <c r="G8" s="33">
        <v>2008</v>
      </c>
      <c r="H8" s="33">
        <v>2009</v>
      </c>
      <c r="I8" s="33">
        <v>2010</v>
      </c>
      <c r="J8" s="44">
        <v>2011</v>
      </c>
      <c r="K8" s="44">
        <v>2012</v>
      </c>
      <c r="L8" s="44">
        <v>2013</v>
      </c>
      <c r="M8" s="44">
        <v>2014</v>
      </c>
      <c r="N8" s="44">
        <v>2015</v>
      </c>
      <c r="O8" s="44">
        <v>2016</v>
      </c>
      <c r="P8" s="44">
        <v>2017</v>
      </c>
      <c r="Q8" s="44">
        <v>2018</v>
      </c>
      <c r="R8" s="44">
        <v>2019</v>
      </c>
      <c r="S8" s="44">
        <v>2020</v>
      </c>
    </row>
    <row r="9" spans="1:20" ht="12.75" customHeight="1" x14ac:dyDescent="0.25">
      <c r="A9" s="48" t="s">
        <v>207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6"/>
    </row>
    <row r="10" spans="1:20" ht="21.75" x14ac:dyDescent="0.25">
      <c r="A10" s="35" t="s">
        <v>208</v>
      </c>
      <c r="B10" s="34"/>
      <c r="C10" s="34"/>
      <c r="D10" s="34"/>
      <c r="E10" s="34"/>
      <c r="F10" s="34"/>
      <c r="G10" s="34"/>
      <c r="H10" s="1"/>
      <c r="I10" s="1"/>
      <c r="J10" s="1"/>
      <c r="L10" s="1"/>
      <c r="M10" s="1"/>
      <c r="N10" s="1"/>
      <c r="O10" s="1"/>
      <c r="P10" s="1"/>
      <c r="Q10" s="42"/>
      <c r="R10" s="42"/>
      <c r="S10" s="42"/>
    </row>
    <row r="11" spans="1:20" x14ac:dyDescent="0.25">
      <c r="A11" s="35" t="s">
        <v>209</v>
      </c>
      <c r="B11" s="41">
        <v>109</v>
      </c>
      <c r="C11" s="41">
        <v>106</v>
      </c>
      <c r="D11" s="41">
        <v>113</v>
      </c>
      <c r="E11" s="41">
        <v>107</v>
      </c>
      <c r="F11" s="41">
        <v>104</v>
      </c>
      <c r="G11" s="41">
        <v>101</v>
      </c>
      <c r="H11" s="41">
        <v>99</v>
      </c>
      <c r="I11" s="41">
        <v>101</v>
      </c>
      <c r="J11" s="41">
        <v>99</v>
      </c>
      <c r="K11" s="41">
        <v>98</v>
      </c>
      <c r="L11" s="41">
        <v>96</v>
      </c>
      <c r="M11" s="41">
        <v>95</v>
      </c>
      <c r="N11" s="41">
        <v>95</v>
      </c>
      <c r="O11" s="41">
        <v>99</v>
      </c>
      <c r="P11" s="41">
        <v>97</v>
      </c>
      <c r="Q11" s="41">
        <v>96</v>
      </c>
      <c r="R11" s="41">
        <v>95</v>
      </c>
      <c r="S11" s="41">
        <v>96</v>
      </c>
      <c r="T11" s="9">
        <f>AVERAGE(Q11:S11)</f>
        <v>95.666666666666671</v>
      </c>
    </row>
    <row r="12" spans="1:20" x14ac:dyDescent="0.25">
      <c r="A12" s="35" t="s">
        <v>210</v>
      </c>
      <c r="B12" s="41">
        <v>86</v>
      </c>
      <c r="C12" s="41">
        <v>86</v>
      </c>
      <c r="D12" s="41">
        <v>78</v>
      </c>
      <c r="E12" s="41">
        <v>73</v>
      </c>
      <c r="F12" s="41">
        <v>72</v>
      </c>
      <c r="G12" s="41">
        <v>67</v>
      </c>
      <c r="H12" s="41">
        <v>67</v>
      </c>
      <c r="I12" s="41">
        <v>66</v>
      </c>
      <c r="J12" s="41">
        <v>63</v>
      </c>
      <c r="K12" s="41">
        <v>64</v>
      </c>
      <c r="L12" s="41">
        <v>61</v>
      </c>
      <c r="M12" s="41">
        <v>59</v>
      </c>
      <c r="N12" s="41">
        <v>58</v>
      </c>
      <c r="O12" s="41">
        <v>60</v>
      </c>
      <c r="P12" s="41">
        <v>59</v>
      </c>
      <c r="Q12" s="41">
        <v>59</v>
      </c>
      <c r="R12" s="41">
        <v>58</v>
      </c>
      <c r="S12" s="41">
        <v>56</v>
      </c>
      <c r="T12" s="9">
        <f t="shared" ref="T12:T25" si="0">AVERAGE(Q12:S12)</f>
        <v>57.666666666666664</v>
      </c>
    </row>
    <row r="13" spans="1:20" x14ac:dyDescent="0.25">
      <c r="A13" s="35" t="s">
        <v>211</v>
      </c>
      <c r="B13" s="41">
        <v>84</v>
      </c>
      <c r="C13" s="41">
        <v>86</v>
      </c>
      <c r="D13" s="41">
        <v>90</v>
      </c>
      <c r="E13" s="41">
        <v>88</v>
      </c>
      <c r="F13" s="41">
        <v>89</v>
      </c>
      <c r="G13" s="41">
        <v>89</v>
      </c>
      <c r="H13" s="41">
        <v>95</v>
      </c>
      <c r="I13" s="41">
        <v>96</v>
      </c>
      <c r="J13" s="41">
        <v>98</v>
      </c>
      <c r="K13" s="41">
        <v>100</v>
      </c>
      <c r="L13" s="41">
        <v>97</v>
      </c>
      <c r="M13" s="41">
        <v>98</v>
      </c>
      <c r="N13" s="41">
        <v>99</v>
      </c>
      <c r="O13" s="41">
        <v>105</v>
      </c>
      <c r="P13" s="41">
        <v>102</v>
      </c>
      <c r="Q13" s="41">
        <v>104</v>
      </c>
      <c r="R13" s="41">
        <v>104</v>
      </c>
      <c r="S13" s="41">
        <v>104</v>
      </c>
      <c r="T13" s="9">
        <f t="shared" si="0"/>
        <v>104</v>
      </c>
    </row>
    <row r="14" spans="1:20" x14ac:dyDescent="0.25">
      <c r="A14" s="35" t="s">
        <v>212</v>
      </c>
      <c r="B14" s="41">
        <v>36</v>
      </c>
      <c r="C14" s="41">
        <v>39</v>
      </c>
      <c r="D14" s="41">
        <v>51</v>
      </c>
      <c r="E14" s="41">
        <v>53</v>
      </c>
      <c r="F14" s="41">
        <v>58</v>
      </c>
      <c r="G14" s="41">
        <v>62</v>
      </c>
      <c r="H14" s="41">
        <v>64</v>
      </c>
      <c r="I14" s="41">
        <v>70</v>
      </c>
      <c r="J14" s="41">
        <v>71</v>
      </c>
      <c r="K14" s="41">
        <v>74</v>
      </c>
      <c r="L14" s="41">
        <v>77</v>
      </c>
      <c r="M14" s="41">
        <v>76</v>
      </c>
      <c r="N14" s="41">
        <v>71</v>
      </c>
      <c r="O14" s="41">
        <v>73</v>
      </c>
      <c r="P14" s="41">
        <v>73</v>
      </c>
      <c r="Q14" s="41">
        <v>74</v>
      </c>
      <c r="R14" s="41">
        <v>76</v>
      </c>
      <c r="S14" s="41">
        <v>77</v>
      </c>
      <c r="T14" s="9">
        <f t="shared" si="0"/>
        <v>75.666666666666671</v>
      </c>
    </row>
    <row r="15" spans="1:20" x14ac:dyDescent="0.25">
      <c r="A15" s="35" t="s">
        <v>213</v>
      </c>
      <c r="B15" s="41">
        <v>61</v>
      </c>
      <c r="C15" s="41">
        <v>61</v>
      </c>
      <c r="D15" s="41">
        <v>64</v>
      </c>
      <c r="E15" s="41">
        <v>67</v>
      </c>
      <c r="F15" s="41">
        <v>71</v>
      </c>
      <c r="G15" s="41">
        <v>75</v>
      </c>
      <c r="H15" s="41">
        <v>73</v>
      </c>
      <c r="I15" s="41">
        <v>79</v>
      </c>
      <c r="J15" s="41">
        <v>81</v>
      </c>
      <c r="K15" s="41">
        <v>83</v>
      </c>
      <c r="L15" s="41">
        <v>85</v>
      </c>
      <c r="M15" s="41">
        <v>85</v>
      </c>
      <c r="N15" s="41">
        <v>85</v>
      </c>
      <c r="O15" s="41">
        <v>88</v>
      </c>
      <c r="P15" s="41">
        <v>88</v>
      </c>
      <c r="Q15" s="41">
        <v>89</v>
      </c>
      <c r="R15" s="41">
        <v>91</v>
      </c>
      <c r="S15" s="41">
        <v>92</v>
      </c>
      <c r="T15" s="9">
        <f t="shared" si="0"/>
        <v>90.666666666666671</v>
      </c>
    </row>
    <row r="16" spans="1:20" x14ac:dyDescent="0.25">
      <c r="A16" s="35" t="s">
        <v>214</v>
      </c>
      <c r="B16" s="41">
        <v>225</v>
      </c>
      <c r="C16" s="41">
        <v>227</v>
      </c>
      <c r="D16" s="41">
        <v>244</v>
      </c>
      <c r="E16" s="41">
        <v>244</v>
      </c>
      <c r="F16" s="41">
        <v>246</v>
      </c>
      <c r="G16" s="41">
        <v>247</v>
      </c>
      <c r="H16" s="41">
        <v>256</v>
      </c>
      <c r="I16" s="41">
        <v>262</v>
      </c>
      <c r="J16" s="41">
        <v>263</v>
      </c>
      <c r="K16" s="41">
        <v>267</v>
      </c>
      <c r="L16" s="41">
        <v>270</v>
      </c>
      <c r="M16" s="41">
        <v>266</v>
      </c>
      <c r="N16" s="41">
        <v>266</v>
      </c>
      <c r="O16" s="41">
        <v>273</v>
      </c>
      <c r="P16" s="41">
        <v>266</v>
      </c>
      <c r="Q16" s="41">
        <v>266</v>
      </c>
      <c r="R16" s="41">
        <v>267</v>
      </c>
      <c r="S16" s="41">
        <v>271</v>
      </c>
      <c r="T16" s="9">
        <f t="shared" si="0"/>
        <v>268</v>
      </c>
    </row>
    <row r="17" spans="1:20" x14ac:dyDescent="0.25">
      <c r="A17" s="35" t="s">
        <v>215</v>
      </c>
      <c r="B17" s="41">
        <v>208</v>
      </c>
      <c r="C17" s="41">
        <v>202</v>
      </c>
      <c r="D17" s="41">
        <v>209</v>
      </c>
      <c r="E17" s="41">
        <v>206</v>
      </c>
      <c r="F17" s="41">
        <v>204</v>
      </c>
      <c r="G17" s="41">
        <v>203</v>
      </c>
      <c r="H17" s="41">
        <v>211</v>
      </c>
      <c r="I17" s="41">
        <v>221</v>
      </c>
      <c r="J17" s="41">
        <v>217</v>
      </c>
      <c r="K17" s="41">
        <v>220</v>
      </c>
      <c r="L17" s="41">
        <v>217</v>
      </c>
      <c r="M17" s="41">
        <v>216</v>
      </c>
      <c r="N17" s="41">
        <v>218</v>
      </c>
      <c r="O17" s="41">
        <v>229</v>
      </c>
      <c r="P17" s="41">
        <v>230</v>
      </c>
      <c r="Q17" s="41">
        <v>232</v>
      </c>
      <c r="R17" s="41">
        <v>234</v>
      </c>
      <c r="S17" s="41">
        <v>239</v>
      </c>
      <c r="T17" s="9">
        <f t="shared" si="0"/>
        <v>235</v>
      </c>
    </row>
    <row r="18" spans="1:20" x14ac:dyDescent="0.25">
      <c r="A18" s="35" t="s">
        <v>216</v>
      </c>
      <c r="B18" s="41">
        <v>14</v>
      </c>
      <c r="C18" s="41">
        <v>15</v>
      </c>
      <c r="D18" s="41">
        <v>17</v>
      </c>
      <c r="E18" s="41">
        <v>17</v>
      </c>
      <c r="F18" s="41">
        <v>18</v>
      </c>
      <c r="G18" s="41">
        <v>20</v>
      </c>
      <c r="H18" s="41">
        <v>20</v>
      </c>
      <c r="I18" s="41">
        <v>21</v>
      </c>
      <c r="J18" s="41">
        <v>21</v>
      </c>
      <c r="K18" s="41">
        <v>22</v>
      </c>
      <c r="L18" s="41">
        <v>22</v>
      </c>
      <c r="M18" s="41">
        <v>22</v>
      </c>
      <c r="N18" s="41">
        <v>21</v>
      </c>
      <c r="O18" s="41">
        <v>22</v>
      </c>
      <c r="P18" s="41">
        <v>22</v>
      </c>
      <c r="Q18" s="41">
        <v>22</v>
      </c>
      <c r="R18" s="41">
        <v>22</v>
      </c>
      <c r="S18" s="41">
        <v>22</v>
      </c>
      <c r="T18" s="9">
        <f t="shared" si="0"/>
        <v>22</v>
      </c>
    </row>
    <row r="19" spans="1:20" ht="21.75" x14ac:dyDescent="0.25">
      <c r="A19" s="35" t="s">
        <v>217</v>
      </c>
      <c r="B19" s="41">
        <v>26</v>
      </c>
      <c r="C19" s="41">
        <v>26</v>
      </c>
      <c r="D19" s="41">
        <v>34</v>
      </c>
      <c r="E19" s="41">
        <v>32</v>
      </c>
      <c r="F19" s="41">
        <v>32</v>
      </c>
      <c r="G19" s="41">
        <v>32</v>
      </c>
      <c r="H19" s="41">
        <v>31</v>
      </c>
      <c r="I19" s="41">
        <v>33</v>
      </c>
      <c r="J19" s="41">
        <v>32</v>
      </c>
      <c r="K19" s="41">
        <v>32</v>
      </c>
      <c r="L19" s="41">
        <v>32</v>
      </c>
      <c r="M19" s="41">
        <v>31</v>
      </c>
      <c r="N19" s="41">
        <v>31</v>
      </c>
      <c r="O19" s="41">
        <v>32</v>
      </c>
      <c r="P19" s="41">
        <v>31</v>
      </c>
      <c r="Q19" s="41">
        <v>31</v>
      </c>
      <c r="R19" s="41">
        <v>31</v>
      </c>
      <c r="S19" s="41">
        <v>31</v>
      </c>
      <c r="T19" s="9">
        <f t="shared" si="0"/>
        <v>31</v>
      </c>
    </row>
    <row r="20" spans="1:20" ht="21.75" x14ac:dyDescent="0.25">
      <c r="A20" s="35" t="s">
        <v>218</v>
      </c>
      <c r="B20" s="41">
        <v>10</v>
      </c>
      <c r="C20" s="41">
        <v>10</v>
      </c>
      <c r="D20" s="41">
        <v>11</v>
      </c>
      <c r="E20" s="41">
        <v>11</v>
      </c>
      <c r="F20" s="41">
        <v>11</v>
      </c>
      <c r="G20" s="41">
        <v>11</v>
      </c>
      <c r="H20" s="41">
        <v>11</v>
      </c>
      <c r="I20" s="41">
        <v>11</v>
      </c>
      <c r="J20" s="41">
        <v>11</v>
      </c>
      <c r="K20" s="41">
        <v>11</v>
      </c>
      <c r="L20" s="41">
        <v>11</v>
      </c>
      <c r="M20" s="41">
        <v>11</v>
      </c>
      <c r="N20" s="41">
        <v>11</v>
      </c>
      <c r="O20" s="41">
        <v>11</v>
      </c>
      <c r="P20" s="41">
        <v>11</v>
      </c>
      <c r="Q20" s="41">
        <v>11</v>
      </c>
      <c r="R20" s="41">
        <v>11</v>
      </c>
      <c r="S20" s="41">
        <v>10</v>
      </c>
      <c r="T20" s="9">
        <f t="shared" si="0"/>
        <v>10.666666666666666</v>
      </c>
    </row>
    <row r="21" spans="1:20" x14ac:dyDescent="0.25">
      <c r="A21" s="35" t="s">
        <v>219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2"/>
      <c r="R21" s="42"/>
      <c r="S21" s="42"/>
      <c r="T21" s="9" t="e">
        <f t="shared" si="0"/>
        <v>#DIV/0!</v>
      </c>
    </row>
    <row r="22" spans="1:20" x14ac:dyDescent="0.25">
      <c r="A22" s="35" t="s">
        <v>220</v>
      </c>
      <c r="B22" s="41">
        <v>67</v>
      </c>
      <c r="C22" s="41">
        <v>67</v>
      </c>
      <c r="D22" s="41">
        <v>71</v>
      </c>
      <c r="E22" s="41">
        <v>71</v>
      </c>
      <c r="F22" s="41">
        <v>72</v>
      </c>
      <c r="G22" s="41">
        <v>73</v>
      </c>
      <c r="H22" s="41">
        <v>73</v>
      </c>
      <c r="I22" s="41">
        <v>77</v>
      </c>
      <c r="J22" s="41">
        <v>77</v>
      </c>
      <c r="K22" s="41">
        <v>78</v>
      </c>
      <c r="L22" s="41">
        <v>78</v>
      </c>
      <c r="M22" s="41">
        <v>78</v>
      </c>
      <c r="N22" s="41">
        <v>77</v>
      </c>
      <c r="O22" s="41">
        <v>80</v>
      </c>
      <c r="P22" s="41">
        <v>80</v>
      </c>
      <c r="Q22" s="42">
        <v>80</v>
      </c>
      <c r="R22" s="42">
        <v>81</v>
      </c>
      <c r="S22" s="42">
        <v>81</v>
      </c>
      <c r="T22" s="9">
        <f t="shared" si="0"/>
        <v>80.666666666666671</v>
      </c>
    </row>
    <row r="23" spans="1:20" x14ac:dyDescent="0.25">
      <c r="A23" s="35" t="s">
        <v>221</v>
      </c>
      <c r="B23" s="41">
        <v>89</v>
      </c>
      <c r="C23" s="41">
        <v>89</v>
      </c>
      <c r="D23" s="41">
        <v>96</v>
      </c>
      <c r="E23" s="41">
        <v>95</v>
      </c>
      <c r="F23" s="41">
        <v>97</v>
      </c>
      <c r="G23" s="41">
        <v>98</v>
      </c>
      <c r="H23" s="41">
        <v>99</v>
      </c>
      <c r="I23" s="41">
        <v>105</v>
      </c>
      <c r="J23" s="41">
        <v>105</v>
      </c>
      <c r="K23" s="41">
        <v>105</v>
      </c>
      <c r="L23" s="41">
        <v>106</v>
      </c>
      <c r="M23" s="41">
        <v>105</v>
      </c>
      <c r="N23" s="41">
        <v>105</v>
      </c>
      <c r="O23" s="41">
        <v>109</v>
      </c>
      <c r="P23" s="41">
        <v>108</v>
      </c>
      <c r="Q23" s="42">
        <v>108</v>
      </c>
      <c r="R23" s="42">
        <v>109</v>
      </c>
      <c r="S23" s="42">
        <v>110</v>
      </c>
      <c r="T23" s="9">
        <f t="shared" si="0"/>
        <v>109</v>
      </c>
    </row>
    <row r="24" spans="1:20" x14ac:dyDescent="0.25">
      <c r="A24" s="35" t="s">
        <v>222</v>
      </c>
      <c r="B24" s="41">
        <v>353</v>
      </c>
      <c r="C24" s="41">
        <v>346</v>
      </c>
      <c r="D24" s="41">
        <v>368</v>
      </c>
      <c r="E24" s="41">
        <v>351</v>
      </c>
      <c r="F24" s="41">
        <v>347</v>
      </c>
      <c r="G24" s="41">
        <v>340</v>
      </c>
      <c r="H24" s="41">
        <v>338</v>
      </c>
      <c r="I24" s="41">
        <v>348</v>
      </c>
      <c r="J24" s="41">
        <v>341</v>
      </c>
      <c r="K24" s="41">
        <v>341</v>
      </c>
      <c r="L24" s="41">
        <v>337</v>
      </c>
      <c r="M24" s="41">
        <v>333</v>
      </c>
      <c r="N24" s="41">
        <v>328</v>
      </c>
      <c r="O24" s="41">
        <v>341</v>
      </c>
      <c r="P24" s="41">
        <v>338</v>
      </c>
      <c r="Q24" s="42">
        <v>334</v>
      </c>
      <c r="R24" s="42">
        <v>333</v>
      </c>
      <c r="S24" s="42">
        <v>333</v>
      </c>
      <c r="T24" s="9">
        <f t="shared" si="0"/>
        <v>333.33333333333331</v>
      </c>
    </row>
    <row r="25" spans="1:20" ht="21.75" x14ac:dyDescent="0.25">
      <c r="A25" s="35" t="s">
        <v>223</v>
      </c>
      <c r="B25" s="41">
        <v>2488</v>
      </c>
      <c r="C25" s="41">
        <v>2458</v>
      </c>
      <c r="D25" s="41">
        <v>2630</v>
      </c>
      <c r="E25" s="41">
        <v>2554</v>
      </c>
      <c r="F25" s="41">
        <v>2564</v>
      </c>
      <c r="G25" s="41">
        <v>2550</v>
      </c>
      <c r="H25" s="41">
        <v>2551</v>
      </c>
      <c r="I25" s="41">
        <v>2652</v>
      </c>
      <c r="J25" s="41">
        <v>2624</v>
      </c>
      <c r="K25" s="41">
        <v>2633</v>
      </c>
      <c r="L25" s="41">
        <v>2626</v>
      </c>
      <c r="M25" s="41">
        <v>2603</v>
      </c>
      <c r="N25" s="41">
        <v>2575</v>
      </c>
      <c r="O25" s="41">
        <v>2676</v>
      </c>
      <c r="P25" s="41">
        <v>2655</v>
      </c>
      <c r="Q25" s="42">
        <v>2640</v>
      </c>
      <c r="R25" s="42">
        <v>2644</v>
      </c>
      <c r="S25" s="42">
        <v>2657</v>
      </c>
      <c r="T25" s="9">
        <f t="shared" si="0"/>
        <v>2647</v>
      </c>
    </row>
    <row r="26" spans="1:20" x14ac:dyDescent="0.25">
      <c r="K26" s="58"/>
    </row>
    <row r="27" spans="1:20" x14ac:dyDescent="0.25">
      <c r="K27" s="58"/>
    </row>
    <row r="28" spans="1:20" x14ac:dyDescent="0.25">
      <c r="A28" s="94" t="s">
        <v>202</v>
      </c>
      <c r="B28" s="77"/>
      <c r="C28" s="77"/>
      <c r="D28" s="77"/>
      <c r="E28" s="77"/>
      <c r="F28" s="77"/>
      <c r="G28" s="77"/>
      <c r="H28" s="77"/>
      <c r="I28" s="77"/>
      <c r="J28" s="77"/>
      <c r="K28" s="78"/>
    </row>
    <row r="29" spans="1:20" x14ac:dyDescent="0.25">
      <c r="A29" s="95" t="s">
        <v>203</v>
      </c>
      <c r="B29" s="95"/>
      <c r="C29" s="95"/>
      <c r="D29" s="95"/>
      <c r="E29" s="95"/>
      <c r="F29" s="95"/>
      <c r="G29" s="95"/>
      <c r="H29" s="95"/>
      <c r="I29" s="95"/>
      <c r="J29" s="95"/>
      <c r="K29" s="95"/>
    </row>
    <row r="30" spans="1:20" x14ac:dyDescent="0.2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2"/>
    </row>
    <row r="31" spans="1:20" x14ac:dyDescent="0.25">
      <c r="A31" s="99" t="s">
        <v>242</v>
      </c>
      <c r="B31" s="99"/>
      <c r="C31" s="99"/>
      <c r="D31" s="99"/>
      <c r="E31" s="99"/>
      <c r="F31" s="99"/>
      <c r="G31" s="99"/>
      <c r="H31" s="99"/>
      <c r="I31" s="99"/>
      <c r="J31" s="99"/>
      <c r="K31" s="78"/>
    </row>
    <row r="32" spans="1:20" x14ac:dyDescent="0.25">
      <c r="A32" s="102" t="s">
        <v>243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</row>
    <row r="33" spans="1:11" x14ac:dyDescent="0.25">
      <c r="A33" s="103" t="s">
        <v>244</v>
      </c>
      <c r="B33" s="103"/>
      <c r="C33" s="103"/>
      <c r="D33" s="103"/>
      <c r="E33" s="103"/>
      <c r="F33" s="103"/>
      <c r="G33" s="103"/>
      <c r="H33" s="103"/>
      <c r="I33" s="103"/>
      <c r="J33" s="103"/>
      <c r="K33" s="103"/>
    </row>
    <row r="34" spans="1:11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78"/>
    </row>
    <row r="35" spans="1:11" x14ac:dyDescent="0.25">
      <c r="A35" s="81"/>
      <c r="B35" s="77"/>
      <c r="C35" s="77"/>
      <c r="D35" s="77"/>
      <c r="E35" s="77"/>
      <c r="F35" s="77"/>
      <c r="G35" s="77"/>
      <c r="H35" s="77"/>
      <c r="I35" s="77"/>
      <c r="J35" s="77"/>
      <c r="K35" s="77"/>
    </row>
    <row r="36" spans="1:11" x14ac:dyDescent="0.25">
      <c r="A36" s="100"/>
      <c r="B36" s="96" t="s">
        <v>245</v>
      </c>
      <c r="C36" s="96" t="s">
        <v>246</v>
      </c>
      <c r="D36" s="96" t="s">
        <v>247</v>
      </c>
      <c r="E36" s="96" t="s">
        <v>248</v>
      </c>
      <c r="F36" s="96" t="s">
        <v>249</v>
      </c>
      <c r="G36" s="96" t="s">
        <v>250</v>
      </c>
      <c r="H36" s="96" t="s">
        <v>251</v>
      </c>
      <c r="I36" s="96" t="s">
        <v>252</v>
      </c>
      <c r="J36" s="96" t="s">
        <v>253</v>
      </c>
      <c r="K36" s="96" t="s">
        <v>254</v>
      </c>
    </row>
    <row r="37" spans="1:11" x14ac:dyDescent="0.25">
      <c r="A37" s="101"/>
      <c r="B37" s="98"/>
      <c r="C37" s="98"/>
      <c r="D37" s="97"/>
      <c r="E37" s="98"/>
      <c r="F37" s="98"/>
      <c r="G37" s="98"/>
      <c r="H37" s="98"/>
      <c r="I37" s="98"/>
      <c r="J37" s="98"/>
      <c r="K37" s="98"/>
    </row>
    <row r="38" spans="1:11" x14ac:dyDescent="0.25">
      <c r="A38" s="83" t="s">
        <v>207</v>
      </c>
      <c r="B38" s="86">
        <v>1071.4000000000001</v>
      </c>
      <c r="C38" s="86">
        <v>127.6</v>
      </c>
      <c r="D38" s="86">
        <v>753.5</v>
      </c>
      <c r="E38" s="86">
        <v>685.1</v>
      </c>
      <c r="F38" s="86">
        <v>1994.1</v>
      </c>
      <c r="G38" s="86">
        <v>1209</v>
      </c>
      <c r="H38" s="86">
        <v>122.8</v>
      </c>
      <c r="I38" s="86">
        <v>511.4</v>
      </c>
      <c r="J38" s="86">
        <v>417.9</v>
      </c>
      <c r="K38" s="86">
        <v>96.8</v>
      </c>
    </row>
    <row r="39" spans="1:11" x14ac:dyDescent="0.25">
      <c r="A39" s="80" t="s">
        <v>255</v>
      </c>
      <c r="B39" s="89"/>
      <c r="C39" s="89"/>
      <c r="D39" s="89"/>
      <c r="E39" s="89"/>
      <c r="F39" s="89"/>
      <c r="G39" s="89"/>
      <c r="H39" s="89"/>
      <c r="I39" s="89"/>
      <c r="J39" s="89"/>
      <c r="K39" s="89"/>
    </row>
    <row r="40" spans="1:11" x14ac:dyDescent="0.25">
      <c r="A40" s="93" t="s">
        <v>256</v>
      </c>
      <c r="B40" s="92">
        <v>1114.0999999999999</v>
      </c>
      <c r="C40" s="92">
        <v>122.9</v>
      </c>
      <c r="D40" s="92">
        <v>771.2</v>
      </c>
      <c r="E40" s="92">
        <v>700.4</v>
      </c>
      <c r="F40" s="92">
        <v>2091.3000000000002</v>
      </c>
      <c r="G40" s="92">
        <v>1281.5</v>
      </c>
      <c r="H40" s="92">
        <v>124.8</v>
      </c>
      <c r="I40" s="92">
        <v>545.9</v>
      </c>
      <c r="J40" s="92">
        <v>420.2</v>
      </c>
      <c r="K40" s="92">
        <v>96.3</v>
      </c>
    </row>
    <row r="41" spans="1:11" x14ac:dyDescent="0.25">
      <c r="A41" s="79" t="s">
        <v>257</v>
      </c>
      <c r="B41" s="87">
        <v>946.8</v>
      </c>
      <c r="C41" s="87">
        <v>141.4</v>
      </c>
      <c r="D41" s="87">
        <v>701.7</v>
      </c>
      <c r="E41" s="87">
        <v>640.6</v>
      </c>
      <c r="F41" s="87">
        <v>1710.3</v>
      </c>
      <c r="G41" s="87">
        <v>997.4</v>
      </c>
      <c r="H41" s="87">
        <v>117</v>
      </c>
      <c r="I41" s="87">
        <v>410.5</v>
      </c>
      <c r="J41" s="87">
        <v>411.3</v>
      </c>
      <c r="K41" s="87">
        <v>98.2</v>
      </c>
    </row>
    <row r="42" spans="1:11" ht="21.75" x14ac:dyDescent="0.25">
      <c r="A42" s="83" t="s">
        <v>258</v>
      </c>
      <c r="B42" s="91">
        <v>922</v>
      </c>
      <c r="C42" s="91">
        <v>111</v>
      </c>
      <c r="D42" s="91">
        <v>610</v>
      </c>
      <c r="E42" s="91">
        <v>600.9</v>
      </c>
      <c r="F42" s="91">
        <v>1661.9</v>
      </c>
      <c r="G42" s="91">
        <v>1014.8</v>
      </c>
      <c r="H42" s="91">
        <v>100</v>
      </c>
      <c r="I42" s="91">
        <v>398.2</v>
      </c>
      <c r="J42" s="91">
        <v>355.5</v>
      </c>
      <c r="K42" s="91">
        <v>78.900000000000006</v>
      </c>
    </row>
    <row r="43" spans="1:11" x14ac:dyDescent="0.25">
      <c r="A43" s="90" t="s">
        <v>259</v>
      </c>
      <c r="B43" s="91">
        <v>996.5</v>
      </c>
      <c r="C43" s="91">
        <v>116.9</v>
      </c>
      <c r="D43" s="91">
        <v>669.6</v>
      </c>
      <c r="E43" s="91">
        <v>637.1</v>
      </c>
      <c r="F43" s="91">
        <v>1805.5</v>
      </c>
      <c r="G43" s="91">
        <v>1118.5999999999999</v>
      </c>
      <c r="H43" s="91">
        <v>107.5</v>
      </c>
      <c r="I43" s="91">
        <v>443.6</v>
      </c>
      <c r="J43" s="91">
        <v>373</v>
      </c>
      <c r="K43" s="91">
        <v>84.6</v>
      </c>
    </row>
    <row r="44" spans="1:11" x14ac:dyDescent="0.25">
      <c r="A44" s="79" t="s">
        <v>260</v>
      </c>
      <c r="B44" s="88">
        <v>864.2</v>
      </c>
      <c r="C44" s="88">
        <v>102</v>
      </c>
      <c r="D44" s="88">
        <v>566.29999999999995</v>
      </c>
      <c r="E44" s="88">
        <v>576.5</v>
      </c>
      <c r="F44" s="88">
        <v>1551.7</v>
      </c>
      <c r="G44" s="88">
        <v>935.9</v>
      </c>
      <c r="H44" s="88">
        <v>92.5</v>
      </c>
      <c r="I44" s="88">
        <v>378.4</v>
      </c>
      <c r="J44" s="88">
        <v>347.4</v>
      </c>
      <c r="K44" s="88">
        <v>73.099999999999994</v>
      </c>
    </row>
    <row r="45" spans="1:11" x14ac:dyDescent="0.25">
      <c r="A45" s="79" t="s">
        <v>261</v>
      </c>
      <c r="B45" s="86">
        <v>768.3</v>
      </c>
      <c r="C45" s="86">
        <v>113.1</v>
      </c>
      <c r="D45" s="86">
        <v>478.3</v>
      </c>
      <c r="E45" s="86">
        <v>514.29999999999995</v>
      </c>
      <c r="F45" s="86">
        <v>1360.8</v>
      </c>
      <c r="G45" s="86">
        <v>795.1</v>
      </c>
      <c r="H45" s="86">
        <v>90.2</v>
      </c>
      <c r="I45" s="86">
        <v>255</v>
      </c>
      <c r="J45" s="86">
        <v>301.2</v>
      </c>
      <c r="K45" s="86">
        <v>71</v>
      </c>
    </row>
    <row r="46" spans="1:11" x14ac:dyDescent="0.25">
      <c r="B46" s="9">
        <f>B38*12</f>
        <v>12856.800000000001</v>
      </c>
      <c r="F46" s="9">
        <f>F38*12</f>
        <v>23929.199999999997</v>
      </c>
      <c r="K46" s="58"/>
    </row>
    <row r="47" spans="1:11" x14ac:dyDescent="0.25">
      <c r="B47" s="104">
        <f>B46*146500000/1000000000</f>
        <v>1883.5212000000001</v>
      </c>
      <c r="F47" s="104">
        <f>F46*146500000/1000000000</f>
        <v>3505.6277999999993</v>
      </c>
      <c r="K47" s="58"/>
    </row>
    <row r="48" spans="1:11" x14ac:dyDescent="0.25">
      <c r="K48" s="58"/>
    </row>
    <row r="49" spans="11:11" x14ac:dyDescent="0.25">
      <c r="K49" s="58"/>
    </row>
    <row r="50" spans="11:11" x14ac:dyDescent="0.25">
      <c r="K50" s="58"/>
    </row>
    <row r="51" spans="11:11" x14ac:dyDescent="0.25">
      <c r="K51" s="58"/>
    </row>
    <row r="52" spans="11:11" x14ac:dyDescent="0.25">
      <c r="K52" s="58"/>
    </row>
    <row r="53" spans="11:11" x14ac:dyDescent="0.25">
      <c r="K53" s="58"/>
    </row>
    <row r="54" spans="11:11" x14ac:dyDescent="0.25">
      <c r="K54" s="58"/>
    </row>
    <row r="55" spans="11:11" x14ac:dyDescent="0.25">
      <c r="K55" s="58"/>
    </row>
    <row r="56" spans="11:11" x14ac:dyDescent="0.25">
      <c r="K56" s="58"/>
    </row>
    <row r="57" spans="11:11" x14ac:dyDescent="0.25">
      <c r="K57" s="58"/>
    </row>
    <row r="58" spans="11:11" x14ac:dyDescent="0.25">
      <c r="K58" s="58"/>
    </row>
    <row r="59" spans="11:11" x14ac:dyDescent="0.25">
      <c r="K59" s="58"/>
    </row>
    <row r="60" spans="11:11" x14ac:dyDescent="0.25">
      <c r="K60" s="58"/>
    </row>
    <row r="61" spans="11:11" x14ac:dyDescent="0.25">
      <c r="K61" s="58"/>
    </row>
    <row r="62" spans="11:11" x14ac:dyDescent="0.25">
      <c r="K62" s="58"/>
    </row>
    <row r="63" spans="11:11" x14ac:dyDescent="0.25">
      <c r="K63" s="58"/>
    </row>
    <row r="64" spans="11:11" x14ac:dyDescent="0.25">
      <c r="K64" s="58"/>
    </row>
    <row r="65" spans="11:11" x14ac:dyDescent="0.25">
      <c r="K65" s="58"/>
    </row>
    <row r="66" spans="11:11" x14ac:dyDescent="0.25">
      <c r="K66" s="58"/>
    </row>
    <row r="67" spans="11:11" x14ac:dyDescent="0.25">
      <c r="K67" s="58"/>
    </row>
    <row r="68" spans="11:11" x14ac:dyDescent="0.25">
      <c r="K68" s="58"/>
    </row>
    <row r="69" spans="11:11" x14ac:dyDescent="0.25">
      <c r="K69" s="58"/>
    </row>
    <row r="70" spans="11:11" x14ac:dyDescent="0.25">
      <c r="K70" s="58"/>
    </row>
    <row r="71" spans="11:11" x14ac:dyDescent="0.25">
      <c r="K71" s="58"/>
    </row>
    <row r="72" spans="11:11" x14ac:dyDescent="0.25">
      <c r="K72" s="58"/>
    </row>
    <row r="73" spans="11:11" x14ac:dyDescent="0.25">
      <c r="K73" s="58"/>
    </row>
    <row r="74" spans="11:11" x14ac:dyDescent="0.25">
      <c r="K74" s="58"/>
    </row>
    <row r="75" spans="11:11" x14ac:dyDescent="0.25">
      <c r="K75" s="58"/>
    </row>
    <row r="76" spans="11:11" x14ac:dyDescent="0.25">
      <c r="K76" s="58"/>
    </row>
    <row r="77" spans="11:11" x14ac:dyDescent="0.25">
      <c r="K77" s="58"/>
    </row>
    <row r="78" spans="11:11" x14ac:dyDescent="0.25">
      <c r="K78" s="58"/>
    </row>
    <row r="79" spans="11:11" x14ac:dyDescent="0.25">
      <c r="K79" s="58"/>
    </row>
    <row r="80" spans="11:11" x14ac:dyDescent="0.25">
      <c r="K80" s="58"/>
    </row>
    <row r="81" spans="11:11" x14ac:dyDescent="0.25">
      <c r="K81" s="58"/>
    </row>
    <row r="82" spans="11:11" x14ac:dyDescent="0.25">
      <c r="K82" s="58"/>
    </row>
    <row r="83" spans="11:11" x14ac:dyDescent="0.25">
      <c r="K83" s="58"/>
    </row>
    <row r="84" spans="11:11" x14ac:dyDescent="0.25">
      <c r="K84" s="58"/>
    </row>
    <row r="85" spans="11:11" x14ac:dyDescent="0.25">
      <c r="K85" s="58"/>
    </row>
    <row r="86" spans="11:11" x14ac:dyDescent="0.25">
      <c r="K86" s="58"/>
    </row>
    <row r="87" spans="11:11" x14ac:dyDescent="0.25">
      <c r="K87" s="58"/>
    </row>
    <row r="88" spans="11:11" x14ac:dyDescent="0.25">
      <c r="K88" s="58"/>
    </row>
    <row r="89" spans="11:11" x14ac:dyDescent="0.25">
      <c r="K89" s="58"/>
    </row>
    <row r="90" spans="11:11" x14ac:dyDescent="0.25">
      <c r="K90" s="58"/>
    </row>
    <row r="91" spans="11:11" x14ac:dyDescent="0.25">
      <c r="K91" s="58"/>
    </row>
    <row r="92" spans="11:11" x14ac:dyDescent="0.25">
      <c r="K92" s="58"/>
    </row>
    <row r="93" spans="11:11" x14ac:dyDescent="0.25">
      <c r="K93" s="58"/>
    </row>
    <row r="94" spans="11:11" x14ac:dyDescent="0.25">
      <c r="K94" s="58"/>
    </row>
    <row r="95" spans="11:11" x14ac:dyDescent="0.25">
      <c r="K95" s="58"/>
    </row>
    <row r="96" spans="11:11" x14ac:dyDescent="0.25">
      <c r="K96" s="58"/>
    </row>
    <row r="97" spans="11:11" x14ac:dyDescent="0.25">
      <c r="K97" s="58"/>
    </row>
    <row r="98" spans="11:11" x14ac:dyDescent="0.25">
      <c r="K98" s="58"/>
    </row>
    <row r="99" spans="11:11" x14ac:dyDescent="0.25">
      <c r="K99" s="58"/>
    </row>
    <row r="100" spans="11:11" x14ac:dyDescent="0.25">
      <c r="K100" s="58"/>
    </row>
    <row r="101" spans="11:11" x14ac:dyDescent="0.25">
      <c r="K101" s="58"/>
    </row>
    <row r="102" spans="11:11" x14ac:dyDescent="0.25">
      <c r="K102" s="58"/>
    </row>
    <row r="103" spans="11:11" x14ac:dyDescent="0.25">
      <c r="K103" s="58"/>
    </row>
    <row r="104" spans="11:11" x14ac:dyDescent="0.25">
      <c r="K104" s="58"/>
    </row>
    <row r="105" spans="11:11" x14ac:dyDescent="0.25">
      <c r="K105" s="58"/>
    </row>
    <row r="106" spans="11:11" x14ac:dyDescent="0.25">
      <c r="K106" s="58"/>
    </row>
    <row r="107" spans="11:11" x14ac:dyDescent="0.25">
      <c r="K107" s="58"/>
    </row>
    <row r="108" spans="11:11" x14ac:dyDescent="0.25">
      <c r="K108" s="58"/>
    </row>
    <row r="109" spans="11:11" x14ac:dyDescent="0.25">
      <c r="K109" s="58"/>
    </row>
    <row r="110" spans="11:11" x14ac:dyDescent="0.25">
      <c r="K110" s="58"/>
    </row>
    <row r="111" spans="11:11" x14ac:dyDescent="0.25">
      <c r="K111" s="58"/>
    </row>
    <row r="112" spans="11:11" x14ac:dyDescent="0.25">
      <c r="K112" s="58"/>
    </row>
    <row r="113" spans="11:11" x14ac:dyDescent="0.25">
      <c r="K113" s="58"/>
    </row>
    <row r="114" spans="11:11" x14ac:dyDescent="0.25">
      <c r="K114" s="58"/>
    </row>
    <row r="115" spans="11:11" x14ac:dyDescent="0.25">
      <c r="K115" s="58"/>
    </row>
    <row r="116" spans="11:11" x14ac:dyDescent="0.25">
      <c r="K116" s="58"/>
    </row>
    <row r="117" spans="11:11" x14ac:dyDescent="0.25">
      <c r="K117" s="58"/>
    </row>
    <row r="118" spans="11:11" x14ac:dyDescent="0.25">
      <c r="K118" s="58"/>
    </row>
    <row r="119" spans="11:11" x14ac:dyDescent="0.25">
      <c r="K119" s="58"/>
    </row>
    <row r="120" spans="11:11" x14ac:dyDescent="0.25">
      <c r="K120" s="58"/>
    </row>
    <row r="121" spans="11:11" x14ac:dyDescent="0.25">
      <c r="K121" s="58"/>
    </row>
    <row r="122" spans="11:11" x14ac:dyDescent="0.25">
      <c r="K122" s="58"/>
    </row>
    <row r="123" spans="11:11" x14ac:dyDescent="0.25">
      <c r="K123" s="58"/>
    </row>
    <row r="124" spans="11:11" x14ac:dyDescent="0.25">
      <c r="K124" s="58"/>
    </row>
    <row r="125" spans="11:11" x14ac:dyDescent="0.25">
      <c r="K125" s="58"/>
    </row>
    <row r="126" spans="11:11" x14ac:dyDescent="0.25">
      <c r="K126" s="58"/>
    </row>
    <row r="127" spans="11:11" x14ac:dyDescent="0.25">
      <c r="K127" s="58"/>
    </row>
    <row r="128" spans="11:11" x14ac:dyDescent="0.25">
      <c r="K128" s="58"/>
    </row>
    <row r="129" spans="11:11" x14ac:dyDescent="0.25">
      <c r="K129" s="58"/>
    </row>
    <row r="130" spans="11:11" x14ac:dyDescent="0.25">
      <c r="K130" s="58"/>
    </row>
    <row r="131" spans="11:11" x14ac:dyDescent="0.25">
      <c r="K131" s="58"/>
    </row>
    <row r="132" spans="11:11" x14ac:dyDescent="0.25">
      <c r="K132" s="58"/>
    </row>
    <row r="133" spans="11:11" x14ac:dyDescent="0.25">
      <c r="K133" s="58"/>
    </row>
    <row r="134" spans="11:11" x14ac:dyDescent="0.25">
      <c r="K134" s="58"/>
    </row>
    <row r="135" spans="11:11" x14ac:dyDescent="0.25">
      <c r="K135" s="58"/>
    </row>
    <row r="136" spans="11:11" x14ac:dyDescent="0.25">
      <c r="K136" s="58"/>
    </row>
    <row r="137" spans="11:11" x14ac:dyDescent="0.25">
      <c r="K137" s="58"/>
    </row>
    <row r="138" spans="11:11" x14ac:dyDescent="0.25">
      <c r="K138" s="58"/>
    </row>
    <row r="139" spans="11:11" x14ac:dyDescent="0.25">
      <c r="K139" s="58"/>
    </row>
    <row r="140" spans="11:11" x14ac:dyDescent="0.25">
      <c r="K140" s="58"/>
    </row>
    <row r="141" spans="11:11" x14ac:dyDescent="0.25">
      <c r="K141" s="58"/>
    </row>
    <row r="142" spans="11:11" x14ac:dyDescent="0.25">
      <c r="K142" s="58"/>
    </row>
    <row r="143" spans="11:11" x14ac:dyDescent="0.25">
      <c r="K143" s="58"/>
    </row>
    <row r="144" spans="11:11" x14ac:dyDescent="0.25">
      <c r="K144" s="58"/>
    </row>
    <row r="145" spans="11:11" x14ac:dyDescent="0.25">
      <c r="K145" s="58"/>
    </row>
    <row r="146" spans="11:11" x14ac:dyDescent="0.25">
      <c r="K146" s="58"/>
    </row>
    <row r="147" spans="11:11" x14ac:dyDescent="0.25">
      <c r="K147" s="58"/>
    </row>
    <row r="148" spans="11:11" x14ac:dyDescent="0.25">
      <c r="K148" s="58"/>
    </row>
    <row r="149" spans="11:11" x14ac:dyDescent="0.25">
      <c r="K149" s="58"/>
    </row>
    <row r="150" spans="11:11" x14ac:dyDescent="0.25">
      <c r="K150" s="58"/>
    </row>
    <row r="151" spans="11:11" x14ac:dyDescent="0.25">
      <c r="K151" s="58"/>
    </row>
    <row r="152" spans="11:11" x14ac:dyDescent="0.25">
      <c r="K152" s="58"/>
    </row>
    <row r="153" spans="11:11" x14ac:dyDescent="0.25">
      <c r="K153" s="58"/>
    </row>
    <row r="154" spans="11:11" x14ac:dyDescent="0.25">
      <c r="K154" s="58"/>
    </row>
    <row r="155" spans="11:11" x14ac:dyDescent="0.25">
      <c r="K155" s="58"/>
    </row>
    <row r="156" spans="11:11" x14ac:dyDescent="0.25">
      <c r="K156" s="58"/>
    </row>
    <row r="157" spans="11:11" x14ac:dyDescent="0.25">
      <c r="K157" s="58"/>
    </row>
    <row r="158" spans="11:11" x14ac:dyDescent="0.25">
      <c r="K158" s="58"/>
    </row>
    <row r="159" spans="11:11" x14ac:dyDescent="0.25">
      <c r="K159" s="58"/>
    </row>
    <row r="160" spans="11:11" x14ac:dyDescent="0.25">
      <c r="K160" s="58"/>
    </row>
    <row r="161" spans="11:11" x14ac:dyDescent="0.25">
      <c r="K161" s="58"/>
    </row>
    <row r="162" spans="11:11" x14ac:dyDescent="0.25">
      <c r="K162" s="58"/>
    </row>
    <row r="163" spans="11:11" x14ac:dyDescent="0.25">
      <c r="K163" s="58"/>
    </row>
    <row r="164" spans="11:11" x14ac:dyDescent="0.25">
      <c r="K164" s="58"/>
    </row>
    <row r="165" spans="11:11" x14ac:dyDescent="0.25">
      <c r="K165" s="58"/>
    </row>
    <row r="166" spans="11:11" x14ac:dyDescent="0.25">
      <c r="K166" s="58"/>
    </row>
    <row r="167" spans="11:11" x14ac:dyDescent="0.25">
      <c r="K167" s="58"/>
    </row>
    <row r="168" spans="11:11" x14ac:dyDescent="0.25">
      <c r="K168" s="58"/>
    </row>
    <row r="169" spans="11:11" x14ac:dyDescent="0.25">
      <c r="K169" s="58"/>
    </row>
    <row r="170" spans="11:11" x14ac:dyDescent="0.25">
      <c r="K170" s="58"/>
    </row>
    <row r="171" spans="11:11" x14ac:dyDescent="0.25">
      <c r="K171" s="58"/>
    </row>
    <row r="172" spans="11:11" x14ac:dyDescent="0.25">
      <c r="K172" s="58"/>
    </row>
    <row r="173" spans="11:11" x14ac:dyDescent="0.25">
      <c r="K173" s="58"/>
    </row>
    <row r="174" spans="11:11" x14ac:dyDescent="0.25">
      <c r="K174" s="58"/>
    </row>
    <row r="175" spans="11:11" x14ac:dyDescent="0.25">
      <c r="K175" s="58"/>
    </row>
    <row r="176" spans="11:11" x14ac:dyDescent="0.25">
      <c r="K176" s="58"/>
    </row>
    <row r="177" spans="11:11" x14ac:dyDescent="0.25">
      <c r="K177" s="58"/>
    </row>
    <row r="178" spans="11:11" x14ac:dyDescent="0.25">
      <c r="K178" s="58"/>
    </row>
    <row r="179" spans="11:11" x14ac:dyDescent="0.25">
      <c r="K179" s="58"/>
    </row>
    <row r="180" spans="11:11" x14ac:dyDescent="0.25">
      <c r="K180" s="58"/>
    </row>
    <row r="181" spans="11:11" x14ac:dyDescent="0.25">
      <c r="K181" s="58"/>
    </row>
    <row r="182" spans="11:11" x14ac:dyDescent="0.25">
      <c r="K182" s="58"/>
    </row>
    <row r="183" spans="11:11" x14ac:dyDescent="0.25">
      <c r="K183" s="58"/>
    </row>
    <row r="184" spans="11:11" x14ac:dyDescent="0.25">
      <c r="K184" s="58"/>
    </row>
    <row r="185" spans="11:11" x14ac:dyDescent="0.25">
      <c r="K185" s="58"/>
    </row>
    <row r="186" spans="11:11" x14ac:dyDescent="0.25">
      <c r="K186" s="58"/>
    </row>
    <row r="187" spans="11:11" x14ac:dyDescent="0.25">
      <c r="K187" s="58"/>
    </row>
    <row r="188" spans="11:11" x14ac:dyDescent="0.25">
      <c r="K188" s="58"/>
    </row>
    <row r="189" spans="11:11" x14ac:dyDescent="0.25">
      <c r="K189" s="58"/>
    </row>
    <row r="190" spans="11:11" x14ac:dyDescent="0.25">
      <c r="K190" s="58"/>
    </row>
    <row r="191" spans="11:11" x14ac:dyDescent="0.25">
      <c r="K191" s="58"/>
    </row>
    <row r="192" spans="11:11" x14ac:dyDescent="0.25">
      <c r="K192" s="58"/>
    </row>
    <row r="193" spans="11:11" x14ac:dyDescent="0.25">
      <c r="K193" s="58"/>
    </row>
    <row r="194" spans="11:11" x14ac:dyDescent="0.25">
      <c r="K194" s="58"/>
    </row>
    <row r="195" spans="11:11" x14ac:dyDescent="0.25">
      <c r="K195" s="58"/>
    </row>
    <row r="196" spans="11:11" x14ac:dyDescent="0.25">
      <c r="K196" s="58"/>
    </row>
    <row r="197" spans="11:11" x14ac:dyDescent="0.25">
      <c r="K197" s="58"/>
    </row>
    <row r="198" spans="11:11" x14ac:dyDescent="0.25">
      <c r="K198" s="58"/>
    </row>
    <row r="199" spans="11:11" x14ac:dyDescent="0.25">
      <c r="K199" s="58"/>
    </row>
    <row r="200" spans="11:11" x14ac:dyDescent="0.25">
      <c r="K200" s="58"/>
    </row>
    <row r="201" spans="11:11" x14ac:dyDescent="0.25">
      <c r="K201" s="58"/>
    </row>
    <row r="202" spans="11:11" x14ac:dyDescent="0.25">
      <c r="K202" s="58"/>
    </row>
    <row r="203" spans="11:11" x14ac:dyDescent="0.25">
      <c r="K203" s="58"/>
    </row>
    <row r="204" spans="11:11" x14ac:dyDescent="0.25">
      <c r="K204" s="58"/>
    </row>
    <row r="205" spans="11:11" x14ac:dyDescent="0.25">
      <c r="K205" s="58"/>
    </row>
    <row r="206" spans="11:11" x14ac:dyDescent="0.25">
      <c r="K206" s="58"/>
    </row>
    <row r="207" spans="11:11" x14ac:dyDescent="0.25">
      <c r="K207" s="58"/>
    </row>
    <row r="208" spans="11:11" x14ac:dyDescent="0.25">
      <c r="K208" s="58"/>
    </row>
    <row r="209" spans="11:11" x14ac:dyDescent="0.25">
      <c r="K209" s="58"/>
    </row>
    <row r="210" spans="11:11" x14ac:dyDescent="0.25">
      <c r="K210" s="58"/>
    </row>
    <row r="211" spans="11:11" x14ac:dyDescent="0.25">
      <c r="K211" s="58"/>
    </row>
    <row r="212" spans="11:11" x14ac:dyDescent="0.25">
      <c r="K212" s="58"/>
    </row>
    <row r="213" spans="11:11" x14ac:dyDescent="0.25">
      <c r="K213" s="58"/>
    </row>
    <row r="214" spans="11:11" x14ac:dyDescent="0.25">
      <c r="K214" s="58"/>
    </row>
    <row r="215" spans="11:11" x14ac:dyDescent="0.25">
      <c r="K215" s="58"/>
    </row>
    <row r="216" spans="11:11" x14ac:dyDescent="0.25">
      <c r="K216" s="58"/>
    </row>
    <row r="217" spans="11:11" x14ac:dyDescent="0.25">
      <c r="K217" s="58"/>
    </row>
    <row r="218" spans="11:11" x14ac:dyDescent="0.25">
      <c r="K218" s="58"/>
    </row>
    <row r="219" spans="11:11" x14ac:dyDescent="0.25">
      <c r="K219" s="58"/>
    </row>
    <row r="220" spans="11:11" x14ac:dyDescent="0.25">
      <c r="K220" s="58"/>
    </row>
    <row r="221" spans="11:11" x14ac:dyDescent="0.25">
      <c r="K221" s="58"/>
    </row>
    <row r="222" spans="11:11" x14ac:dyDescent="0.25">
      <c r="K222" s="58"/>
    </row>
    <row r="223" spans="11:11" x14ac:dyDescent="0.25">
      <c r="K223" s="58"/>
    </row>
    <row r="224" spans="11:11" x14ac:dyDescent="0.25">
      <c r="K224" s="58"/>
    </row>
    <row r="225" spans="11:11" x14ac:dyDescent="0.25">
      <c r="K225" s="58"/>
    </row>
    <row r="226" spans="11:11" x14ac:dyDescent="0.25">
      <c r="K226" s="58"/>
    </row>
    <row r="227" spans="11:11" x14ac:dyDescent="0.25">
      <c r="K227" s="58"/>
    </row>
    <row r="228" spans="11:11" x14ac:dyDescent="0.25">
      <c r="K228" s="58"/>
    </row>
    <row r="229" spans="11:11" x14ac:dyDescent="0.25">
      <c r="K229" s="58"/>
    </row>
    <row r="230" spans="11:11" x14ac:dyDescent="0.25">
      <c r="K230" s="58"/>
    </row>
    <row r="231" spans="11:11" x14ac:dyDescent="0.25">
      <c r="K231" s="58"/>
    </row>
    <row r="232" spans="11:11" x14ac:dyDescent="0.25">
      <c r="K232" s="58"/>
    </row>
    <row r="233" spans="11:11" x14ac:dyDescent="0.25">
      <c r="K233" s="58"/>
    </row>
    <row r="234" spans="11:11" x14ac:dyDescent="0.25">
      <c r="K234" s="58"/>
    </row>
    <row r="235" spans="11:11" x14ac:dyDescent="0.25">
      <c r="K235" s="58"/>
    </row>
    <row r="236" spans="11:11" x14ac:dyDescent="0.25">
      <c r="K236" s="58"/>
    </row>
    <row r="237" spans="11:11" x14ac:dyDescent="0.25">
      <c r="K237" s="58"/>
    </row>
    <row r="238" spans="11:11" x14ac:dyDescent="0.25">
      <c r="K238" s="58"/>
    </row>
    <row r="239" spans="11:11" x14ac:dyDescent="0.25">
      <c r="K239" s="58"/>
    </row>
    <row r="240" spans="11:11" x14ac:dyDescent="0.25">
      <c r="K240" s="58"/>
    </row>
    <row r="241" spans="11:11" x14ac:dyDescent="0.25">
      <c r="K241" s="58"/>
    </row>
    <row r="242" spans="11:11" x14ac:dyDescent="0.25">
      <c r="K242" s="58"/>
    </row>
    <row r="243" spans="11:11" x14ac:dyDescent="0.25">
      <c r="K243" s="58"/>
    </row>
    <row r="244" spans="11:11" x14ac:dyDescent="0.25">
      <c r="K244" s="58"/>
    </row>
    <row r="245" spans="11:11" x14ac:dyDescent="0.25">
      <c r="K245" s="58"/>
    </row>
    <row r="246" spans="11:11" x14ac:dyDescent="0.25">
      <c r="K246" s="58"/>
    </row>
    <row r="247" spans="11:11" x14ac:dyDescent="0.25">
      <c r="K247" s="58"/>
    </row>
    <row r="248" spans="11:11" x14ac:dyDescent="0.25">
      <c r="K248" s="58"/>
    </row>
    <row r="249" spans="11:11" x14ac:dyDescent="0.25">
      <c r="K249" s="58"/>
    </row>
    <row r="250" spans="11:11" x14ac:dyDescent="0.25">
      <c r="K250" s="58"/>
    </row>
    <row r="251" spans="11:11" x14ac:dyDescent="0.25">
      <c r="K251" s="58"/>
    </row>
    <row r="252" spans="11:11" x14ac:dyDescent="0.25">
      <c r="K252" s="58"/>
    </row>
    <row r="253" spans="11:11" x14ac:dyDescent="0.25">
      <c r="K253" s="58"/>
    </row>
    <row r="254" spans="11:11" x14ac:dyDescent="0.25">
      <c r="K254" s="58"/>
    </row>
    <row r="255" spans="11:11" x14ac:dyDescent="0.25">
      <c r="K255" s="58"/>
    </row>
    <row r="256" spans="11:11" x14ac:dyDescent="0.25">
      <c r="K256" s="58"/>
    </row>
    <row r="257" spans="11:11" x14ac:dyDescent="0.25">
      <c r="K257" s="58"/>
    </row>
    <row r="258" spans="11:11" x14ac:dyDescent="0.25">
      <c r="K258" s="58"/>
    </row>
    <row r="259" spans="11:11" x14ac:dyDescent="0.25">
      <c r="K259" s="58"/>
    </row>
    <row r="260" spans="11:11" x14ac:dyDescent="0.25">
      <c r="K260" s="58"/>
    </row>
    <row r="261" spans="11:11" x14ac:dyDescent="0.25">
      <c r="K261" s="58"/>
    </row>
    <row r="262" spans="11:11" x14ac:dyDescent="0.25">
      <c r="K262" s="58"/>
    </row>
    <row r="263" spans="11:11" x14ac:dyDescent="0.25">
      <c r="K263" s="58"/>
    </row>
    <row r="264" spans="11:11" x14ac:dyDescent="0.25">
      <c r="K264" s="58"/>
    </row>
    <row r="265" spans="11:11" x14ac:dyDescent="0.25">
      <c r="K265" s="58"/>
    </row>
    <row r="266" spans="11:11" x14ac:dyDescent="0.25">
      <c r="K266" s="58"/>
    </row>
    <row r="267" spans="11:11" x14ac:dyDescent="0.25">
      <c r="K267" s="58"/>
    </row>
    <row r="268" spans="11:11" x14ac:dyDescent="0.25">
      <c r="K268" s="58"/>
    </row>
    <row r="269" spans="11:11" x14ac:dyDescent="0.25">
      <c r="K269" s="58"/>
    </row>
    <row r="270" spans="11:11" x14ac:dyDescent="0.25">
      <c r="K270" s="58"/>
    </row>
    <row r="271" spans="11:11" x14ac:dyDescent="0.25">
      <c r="K271" s="58"/>
    </row>
    <row r="272" spans="11:11" x14ac:dyDescent="0.25">
      <c r="K272" s="58"/>
    </row>
    <row r="273" spans="11:11" x14ac:dyDescent="0.25">
      <c r="K273" s="58"/>
    </row>
    <row r="274" spans="11:11" x14ac:dyDescent="0.25">
      <c r="K274" s="58"/>
    </row>
    <row r="275" spans="11:11" x14ac:dyDescent="0.25">
      <c r="K275" s="58"/>
    </row>
    <row r="276" spans="11:11" x14ac:dyDescent="0.25">
      <c r="K276" s="58"/>
    </row>
    <row r="277" spans="11:11" x14ac:dyDescent="0.25">
      <c r="K277" s="58"/>
    </row>
    <row r="278" spans="11:11" x14ac:dyDescent="0.25">
      <c r="K278" s="58"/>
    </row>
    <row r="279" spans="11:11" x14ac:dyDescent="0.25">
      <c r="K279" s="58"/>
    </row>
    <row r="280" spans="11:11" x14ac:dyDescent="0.25">
      <c r="K280" s="58"/>
    </row>
    <row r="281" spans="11:11" x14ac:dyDescent="0.25">
      <c r="K281" s="58"/>
    </row>
    <row r="282" spans="11:11" x14ac:dyDescent="0.25">
      <c r="K282" s="58"/>
    </row>
    <row r="283" spans="11:11" x14ac:dyDescent="0.25">
      <c r="K283" s="58"/>
    </row>
    <row r="284" spans="11:11" x14ac:dyDescent="0.25">
      <c r="K284" s="58"/>
    </row>
    <row r="285" spans="11:11" x14ac:dyDescent="0.25">
      <c r="K285" s="58"/>
    </row>
    <row r="286" spans="11:11" x14ac:dyDescent="0.25">
      <c r="K286" s="58"/>
    </row>
    <row r="287" spans="11:11" x14ac:dyDescent="0.25">
      <c r="K287" s="58"/>
    </row>
    <row r="288" spans="11:11" x14ac:dyDescent="0.25">
      <c r="K288" s="58"/>
    </row>
    <row r="289" spans="11:11" x14ac:dyDescent="0.25">
      <c r="K289" s="58"/>
    </row>
    <row r="290" spans="11:11" x14ac:dyDescent="0.25">
      <c r="K290" s="58"/>
    </row>
    <row r="291" spans="11:11" x14ac:dyDescent="0.25">
      <c r="K291" s="58"/>
    </row>
    <row r="292" spans="11:11" x14ac:dyDescent="0.25">
      <c r="K292" s="58"/>
    </row>
    <row r="293" spans="11:11" x14ac:dyDescent="0.25">
      <c r="K293" s="58"/>
    </row>
    <row r="294" spans="11:11" x14ac:dyDescent="0.25">
      <c r="K294" s="58"/>
    </row>
    <row r="295" spans="11:11" x14ac:dyDescent="0.25">
      <c r="K295" s="58"/>
    </row>
    <row r="296" spans="11:11" x14ac:dyDescent="0.25">
      <c r="K296" s="58"/>
    </row>
    <row r="297" spans="11:11" x14ac:dyDescent="0.25">
      <c r="K297" s="58"/>
    </row>
    <row r="298" spans="11:11" x14ac:dyDescent="0.25">
      <c r="K298" s="58"/>
    </row>
    <row r="299" spans="11:11" x14ac:dyDescent="0.25">
      <c r="K299" s="58"/>
    </row>
    <row r="300" spans="11:11" x14ac:dyDescent="0.25">
      <c r="K300" s="58"/>
    </row>
    <row r="301" spans="11:11" x14ac:dyDescent="0.25">
      <c r="K301" s="58"/>
    </row>
    <row r="302" spans="11:11" x14ac:dyDescent="0.25">
      <c r="K302" s="58"/>
    </row>
    <row r="303" spans="11:11" x14ac:dyDescent="0.25">
      <c r="K303" s="58"/>
    </row>
    <row r="304" spans="11:11" x14ac:dyDescent="0.25">
      <c r="K304" s="58"/>
    </row>
    <row r="305" spans="11:11" x14ac:dyDescent="0.25">
      <c r="K305" s="58"/>
    </row>
    <row r="306" spans="11:11" x14ac:dyDescent="0.25">
      <c r="K306" s="58"/>
    </row>
    <row r="307" spans="11:11" x14ac:dyDescent="0.25">
      <c r="K307" s="58"/>
    </row>
    <row r="308" spans="11:11" x14ac:dyDescent="0.25">
      <c r="K308" s="58"/>
    </row>
    <row r="309" spans="11:11" x14ac:dyDescent="0.25">
      <c r="K309" s="58"/>
    </row>
    <row r="310" spans="11:11" x14ac:dyDescent="0.25">
      <c r="K310" s="58"/>
    </row>
    <row r="311" spans="11:11" x14ac:dyDescent="0.25">
      <c r="K311" s="58"/>
    </row>
    <row r="312" spans="11:11" x14ac:dyDescent="0.25">
      <c r="K312" s="58"/>
    </row>
    <row r="313" spans="11:11" x14ac:dyDescent="0.25">
      <c r="K313" s="58"/>
    </row>
    <row r="314" spans="11:11" x14ac:dyDescent="0.25">
      <c r="K314" s="58"/>
    </row>
    <row r="315" spans="11:11" x14ac:dyDescent="0.25">
      <c r="K315" s="58"/>
    </row>
    <row r="316" spans="11:11" x14ac:dyDescent="0.25">
      <c r="K316" s="58"/>
    </row>
    <row r="317" spans="11:11" x14ac:dyDescent="0.25">
      <c r="K317" s="58"/>
    </row>
    <row r="318" spans="11:11" x14ac:dyDescent="0.25">
      <c r="K318" s="58"/>
    </row>
    <row r="319" spans="11:11" x14ac:dyDescent="0.25">
      <c r="K319" s="58"/>
    </row>
    <row r="320" spans="11:11" x14ac:dyDescent="0.25">
      <c r="K320" s="58"/>
    </row>
    <row r="321" spans="11:11" x14ac:dyDescent="0.25">
      <c r="K321" s="58"/>
    </row>
    <row r="322" spans="11:11" x14ac:dyDescent="0.25">
      <c r="K322" s="58"/>
    </row>
    <row r="323" spans="11:11" x14ac:dyDescent="0.25">
      <c r="K323" s="58"/>
    </row>
    <row r="324" spans="11:11" x14ac:dyDescent="0.25">
      <c r="K324" s="58"/>
    </row>
    <row r="325" spans="11:11" x14ac:dyDescent="0.25">
      <c r="K325" s="58"/>
    </row>
    <row r="326" spans="11:11" x14ac:dyDescent="0.25">
      <c r="K326" s="58"/>
    </row>
    <row r="327" spans="11:11" x14ac:dyDescent="0.25">
      <c r="K327" s="58"/>
    </row>
    <row r="328" spans="11:11" x14ac:dyDescent="0.25">
      <c r="K328" s="58"/>
    </row>
    <row r="329" spans="11:11" x14ac:dyDescent="0.25">
      <c r="K329" s="58"/>
    </row>
    <row r="330" spans="11:11" x14ac:dyDescent="0.25">
      <c r="K330" s="58"/>
    </row>
    <row r="331" spans="11:11" x14ac:dyDescent="0.25">
      <c r="K331" s="58"/>
    </row>
    <row r="332" spans="11:11" x14ac:dyDescent="0.25">
      <c r="K332" s="58"/>
    </row>
    <row r="333" spans="11:11" x14ac:dyDescent="0.25">
      <c r="K333" s="58"/>
    </row>
    <row r="334" spans="11:11" x14ac:dyDescent="0.25">
      <c r="K334" s="58"/>
    </row>
    <row r="335" spans="11:11" x14ac:dyDescent="0.25">
      <c r="K335" s="58"/>
    </row>
    <row r="336" spans="11:11" x14ac:dyDescent="0.25">
      <c r="K336" s="58"/>
    </row>
    <row r="337" spans="11:11" x14ac:dyDescent="0.25">
      <c r="K337" s="58"/>
    </row>
    <row r="338" spans="11:11" x14ac:dyDescent="0.25">
      <c r="K338" s="58"/>
    </row>
    <row r="339" spans="11:11" x14ac:dyDescent="0.25">
      <c r="K339" s="58"/>
    </row>
    <row r="340" spans="11:11" x14ac:dyDescent="0.25">
      <c r="K340" s="58"/>
    </row>
    <row r="341" spans="11:11" x14ac:dyDescent="0.25">
      <c r="K341" s="58"/>
    </row>
    <row r="342" spans="11:11" x14ac:dyDescent="0.25">
      <c r="K342" s="58"/>
    </row>
    <row r="343" spans="11:11" x14ac:dyDescent="0.25">
      <c r="K343" s="58"/>
    </row>
    <row r="344" spans="11:11" x14ac:dyDescent="0.25">
      <c r="K344" s="58"/>
    </row>
    <row r="345" spans="11:11" x14ac:dyDescent="0.25">
      <c r="K345" s="58"/>
    </row>
    <row r="346" spans="11:11" x14ac:dyDescent="0.25">
      <c r="K346" s="58"/>
    </row>
    <row r="347" spans="11:11" x14ac:dyDescent="0.25">
      <c r="K347" s="58"/>
    </row>
    <row r="348" spans="11:11" x14ac:dyDescent="0.25">
      <c r="K348" s="58"/>
    </row>
    <row r="349" spans="11:11" x14ac:dyDescent="0.25">
      <c r="K349" s="58"/>
    </row>
    <row r="350" spans="11:11" x14ac:dyDescent="0.25">
      <c r="K350" s="58"/>
    </row>
    <row r="351" spans="11:11" x14ac:dyDescent="0.25">
      <c r="K351" s="58"/>
    </row>
    <row r="352" spans="11:11" x14ac:dyDescent="0.25">
      <c r="K352" s="58"/>
    </row>
    <row r="353" spans="11:11" x14ac:dyDescent="0.25">
      <c r="K353" s="58"/>
    </row>
    <row r="354" spans="11:11" x14ac:dyDescent="0.25">
      <c r="K354" s="58"/>
    </row>
    <row r="355" spans="11:11" x14ac:dyDescent="0.25">
      <c r="K355" s="58"/>
    </row>
    <row r="356" spans="11:11" x14ac:dyDescent="0.25">
      <c r="K356" s="58"/>
    </row>
    <row r="357" spans="11:11" x14ac:dyDescent="0.25">
      <c r="K357" s="58"/>
    </row>
    <row r="358" spans="11:11" x14ac:dyDescent="0.25">
      <c r="K358" s="58"/>
    </row>
    <row r="359" spans="11:11" x14ac:dyDescent="0.25">
      <c r="K359" s="58"/>
    </row>
    <row r="360" spans="11:11" x14ac:dyDescent="0.25">
      <c r="K360" s="58"/>
    </row>
    <row r="361" spans="11:11" x14ac:dyDescent="0.25">
      <c r="K361" s="58"/>
    </row>
    <row r="362" spans="11:11" x14ac:dyDescent="0.25">
      <c r="K362" s="58"/>
    </row>
    <row r="363" spans="11:11" x14ac:dyDescent="0.25">
      <c r="K363" s="58"/>
    </row>
    <row r="364" spans="11:11" x14ac:dyDescent="0.25">
      <c r="K364" s="58"/>
    </row>
    <row r="365" spans="11:11" x14ac:dyDescent="0.25">
      <c r="K365" s="58"/>
    </row>
    <row r="366" spans="11:11" x14ac:dyDescent="0.25">
      <c r="K366" s="58"/>
    </row>
    <row r="367" spans="11:11" x14ac:dyDescent="0.25">
      <c r="K367" s="58"/>
    </row>
    <row r="368" spans="11:11" x14ac:dyDescent="0.25">
      <c r="K368" s="58"/>
    </row>
    <row r="369" spans="11:11" x14ac:dyDescent="0.25">
      <c r="K369" s="58"/>
    </row>
    <row r="370" spans="11:11" x14ac:dyDescent="0.25">
      <c r="K370" s="58"/>
    </row>
    <row r="371" spans="11:11" x14ac:dyDescent="0.25">
      <c r="K371" s="58"/>
    </row>
    <row r="372" spans="11:11" x14ac:dyDescent="0.25">
      <c r="K372" s="58"/>
    </row>
    <row r="373" spans="11:11" x14ac:dyDescent="0.25">
      <c r="K373" s="58"/>
    </row>
    <row r="374" spans="11:11" x14ac:dyDescent="0.25">
      <c r="K374" s="58"/>
    </row>
    <row r="375" spans="11:11" x14ac:dyDescent="0.25">
      <c r="K375" s="58"/>
    </row>
    <row r="376" spans="11:11" x14ac:dyDescent="0.25">
      <c r="K376" s="58"/>
    </row>
    <row r="377" spans="11:11" x14ac:dyDescent="0.25">
      <c r="K377" s="58"/>
    </row>
    <row r="378" spans="11:11" x14ac:dyDescent="0.25">
      <c r="K378" s="58"/>
    </row>
    <row r="379" spans="11:11" x14ac:dyDescent="0.25">
      <c r="K379" s="58"/>
    </row>
    <row r="380" spans="11:11" x14ac:dyDescent="0.25">
      <c r="K380" s="58"/>
    </row>
    <row r="381" spans="11:11" x14ac:dyDescent="0.25">
      <c r="K381" s="58"/>
    </row>
    <row r="382" spans="11:11" x14ac:dyDescent="0.25">
      <c r="K382" s="58"/>
    </row>
    <row r="383" spans="11:11" x14ac:dyDescent="0.25">
      <c r="K383" s="58"/>
    </row>
    <row r="384" spans="11:11" x14ac:dyDescent="0.25">
      <c r="K384" s="58"/>
    </row>
    <row r="385" spans="11:11" x14ac:dyDescent="0.25">
      <c r="K385" s="58"/>
    </row>
    <row r="386" spans="11:11" x14ac:dyDescent="0.25">
      <c r="K386" s="58"/>
    </row>
    <row r="387" spans="11:11" x14ac:dyDescent="0.25">
      <c r="K387" s="58"/>
    </row>
    <row r="388" spans="11:11" x14ac:dyDescent="0.25">
      <c r="K388" s="58"/>
    </row>
    <row r="389" spans="11:11" x14ac:dyDescent="0.25">
      <c r="K389" s="58"/>
    </row>
    <row r="390" spans="11:11" x14ac:dyDescent="0.25">
      <c r="K390" s="58"/>
    </row>
    <row r="391" spans="11:11" x14ac:dyDescent="0.25">
      <c r="K391" s="58"/>
    </row>
    <row r="392" spans="11:11" x14ac:dyDescent="0.25">
      <c r="K392" s="58"/>
    </row>
    <row r="393" spans="11:11" x14ac:dyDescent="0.25">
      <c r="K393" s="58"/>
    </row>
    <row r="394" spans="11:11" x14ac:dyDescent="0.25">
      <c r="K394" s="58"/>
    </row>
    <row r="395" spans="11:11" x14ac:dyDescent="0.25">
      <c r="K395" s="58"/>
    </row>
    <row r="396" spans="11:11" x14ac:dyDescent="0.25">
      <c r="K396" s="58"/>
    </row>
    <row r="397" spans="11:11" x14ac:dyDescent="0.25">
      <c r="K397" s="58"/>
    </row>
    <row r="398" spans="11:11" x14ac:dyDescent="0.25">
      <c r="K398" s="58"/>
    </row>
    <row r="399" spans="11:11" x14ac:dyDescent="0.25">
      <c r="K399" s="58"/>
    </row>
    <row r="400" spans="11:11" x14ac:dyDescent="0.25">
      <c r="K400" s="58"/>
    </row>
    <row r="401" spans="11:11" x14ac:dyDescent="0.25">
      <c r="K401" s="58"/>
    </row>
    <row r="402" spans="11:11" x14ac:dyDescent="0.25">
      <c r="K402" s="58"/>
    </row>
    <row r="403" spans="11:11" x14ac:dyDescent="0.25">
      <c r="K403" s="58"/>
    </row>
    <row r="404" spans="11:11" x14ac:dyDescent="0.25">
      <c r="K404" s="58"/>
    </row>
    <row r="405" spans="11:11" x14ac:dyDescent="0.25">
      <c r="K405" s="58"/>
    </row>
    <row r="406" spans="11:11" x14ac:dyDescent="0.25">
      <c r="K406" s="58"/>
    </row>
    <row r="407" spans="11:11" x14ac:dyDescent="0.25">
      <c r="K407" s="58"/>
    </row>
    <row r="408" spans="11:11" x14ac:dyDescent="0.25">
      <c r="K408" s="58"/>
    </row>
    <row r="409" spans="11:11" x14ac:dyDescent="0.25">
      <c r="K409" s="58"/>
    </row>
    <row r="410" spans="11:11" x14ac:dyDescent="0.25">
      <c r="K410" s="58"/>
    </row>
    <row r="411" spans="11:11" x14ac:dyDescent="0.25">
      <c r="K411" s="58"/>
    </row>
    <row r="412" spans="11:11" x14ac:dyDescent="0.25">
      <c r="K412" s="58"/>
    </row>
    <row r="413" spans="11:11" x14ac:dyDescent="0.25">
      <c r="K413" s="58"/>
    </row>
    <row r="414" spans="11:11" x14ac:dyDescent="0.25">
      <c r="K414" s="58"/>
    </row>
    <row r="415" spans="11:11" x14ac:dyDescent="0.25">
      <c r="K415" s="58"/>
    </row>
    <row r="416" spans="11:11" x14ac:dyDescent="0.25">
      <c r="K416" s="58"/>
    </row>
    <row r="417" spans="11:11" x14ac:dyDescent="0.25">
      <c r="K417" s="58"/>
    </row>
    <row r="418" spans="11:11" x14ac:dyDescent="0.25">
      <c r="K418" s="58"/>
    </row>
    <row r="419" spans="11:11" x14ac:dyDescent="0.25">
      <c r="K419" s="58"/>
    </row>
    <row r="420" spans="11:11" x14ac:dyDescent="0.25">
      <c r="K420" s="58"/>
    </row>
    <row r="421" spans="11:11" x14ac:dyDescent="0.25">
      <c r="K421" s="58"/>
    </row>
    <row r="422" spans="11:11" x14ac:dyDescent="0.25">
      <c r="K422" s="58"/>
    </row>
    <row r="423" spans="11:11" x14ac:dyDescent="0.25">
      <c r="K423" s="58"/>
    </row>
    <row r="424" spans="11:11" x14ac:dyDescent="0.25">
      <c r="K424" s="58"/>
    </row>
    <row r="425" spans="11:11" x14ac:dyDescent="0.25">
      <c r="K425" s="58"/>
    </row>
    <row r="426" spans="11:11" x14ac:dyDescent="0.25">
      <c r="K426" s="58"/>
    </row>
    <row r="427" spans="11:11" x14ac:dyDescent="0.25">
      <c r="K427" s="58"/>
    </row>
    <row r="428" spans="11:11" x14ac:dyDescent="0.25">
      <c r="K428" s="58"/>
    </row>
    <row r="429" spans="11:11" x14ac:dyDescent="0.25">
      <c r="K429" s="58"/>
    </row>
    <row r="430" spans="11:11" x14ac:dyDescent="0.25">
      <c r="K430" s="58"/>
    </row>
    <row r="431" spans="11:11" x14ac:dyDescent="0.25">
      <c r="K431" s="58"/>
    </row>
    <row r="432" spans="11:11" x14ac:dyDescent="0.25">
      <c r="K432" s="58"/>
    </row>
    <row r="433" spans="11:11" x14ac:dyDescent="0.25">
      <c r="K433" s="58"/>
    </row>
    <row r="434" spans="11:11" x14ac:dyDescent="0.25">
      <c r="K434" s="58"/>
    </row>
    <row r="435" spans="11:11" x14ac:dyDescent="0.25">
      <c r="K435" s="58"/>
    </row>
    <row r="436" spans="11:11" x14ac:dyDescent="0.25">
      <c r="K436" s="58"/>
    </row>
    <row r="437" spans="11:11" x14ac:dyDescent="0.25">
      <c r="K437" s="58"/>
    </row>
    <row r="438" spans="11:11" x14ac:dyDescent="0.25">
      <c r="K438" s="58"/>
    </row>
    <row r="439" spans="11:11" x14ac:dyDescent="0.25">
      <c r="K439" s="58"/>
    </row>
    <row r="440" spans="11:11" x14ac:dyDescent="0.25">
      <c r="K440" s="58"/>
    </row>
    <row r="441" spans="11:11" x14ac:dyDescent="0.25">
      <c r="K441" s="58"/>
    </row>
    <row r="442" spans="11:11" x14ac:dyDescent="0.25">
      <c r="K442" s="58"/>
    </row>
    <row r="443" spans="11:11" x14ac:dyDescent="0.25">
      <c r="K443" s="58"/>
    </row>
    <row r="444" spans="11:11" x14ac:dyDescent="0.25">
      <c r="K444" s="58"/>
    </row>
    <row r="445" spans="11:11" x14ac:dyDescent="0.25">
      <c r="K445" s="58"/>
    </row>
    <row r="446" spans="11:11" x14ac:dyDescent="0.25">
      <c r="K446" s="58"/>
    </row>
    <row r="447" spans="11:11" x14ac:dyDescent="0.25">
      <c r="K447" s="58"/>
    </row>
    <row r="448" spans="11:11" x14ac:dyDescent="0.25">
      <c r="K448" s="58"/>
    </row>
    <row r="449" spans="11:11" x14ac:dyDescent="0.25">
      <c r="K449" s="58"/>
    </row>
    <row r="450" spans="11:11" x14ac:dyDescent="0.25">
      <c r="K450" s="58"/>
    </row>
    <row r="451" spans="11:11" x14ac:dyDescent="0.25">
      <c r="K451" s="58"/>
    </row>
    <row r="452" spans="11:11" x14ac:dyDescent="0.25">
      <c r="K452" s="58"/>
    </row>
    <row r="453" spans="11:11" x14ac:dyDescent="0.25">
      <c r="K453" s="58"/>
    </row>
    <row r="454" spans="11:11" x14ac:dyDescent="0.25">
      <c r="K454" s="58"/>
    </row>
    <row r="455" spans="11:11" x14ac:dyDescent="0.25">
      <c r="K455" s="58"/>
    </row>
    <row r="456" spans="11:11" x14ac:dyDescent="0.25">
      <c r="K456" s="58"/>
    </row>
    <row r="457" spans="11:11" x14ac:dyDescent="0.25">
      <c r="K457" s="58"/>
    </row>
    <row r="458" spans="11:11" x14ac:dyDescent="0.25">
      <c r="K458" s="58"/>
    </row>
    <row r="459" spans="11:11" x14ac:dyDescent="0.25">
      <c r="K459" s="58"/>
    </row>
    <row r="460" spans="11:11" x14ac:dyDescent="0.25">
      <c r="K460" s="58"/>
    </row>
    <row r="461" spans="11:11" x14ac:dyDescent="0.25">
      <c r="K461" s="58"/>
    </row>
    <row r="462" spans="11:11" x14ac:dyDescent="0.25">
      <c r="K462" s="58"/>
    </row>
    <row r="463" spans="11:11" x14ac:dyDescent="0.25">
      <c r="K463" s="58"/>
    </row>
    <row r="464" spans="11:11" x14ac:dyDescent="0.25">
      <c r="K464" s="58"/>
    </row>
    <row r="465" spans="11:11" x14ac:dyDescent="0.25">
      <c r="K465" s="58"/>
    </row>
    <row r="466" spans="11:11" x14ac:dyDescent="0.25">
      <c r="K466" s="58"/>
    </row>
    <row r="467" spans="11:11" x14ac:dyDescent="0.25">
      <c r="K467" s="58"/>
    </row>
    <row r="468" spans="11:11" x14ac:dyDescent="0.25">
      <c r="K468" s="58"/>
    </row>
    <row r="469" spans="11:11" x14ac:dyDescent="0.25">
      <c r="K469" s="58"/>
    </row>
    <row r="470" spans="11:11" x14ac:dyDescent="0.25">
      <c r="K470" s="58"/>
    </row>
    <row r="471" spans="11:11" x14ac:dyDescent="0.25">
      <c r="K471" s="58"/>
    </row>
    <row r="472" spans="11:11" x14ac:dyDescent="0.25">
      <c r="K472" s="58"/>
    </row>
    <row r="473" spans="11:11" x14ac:dyDescent="0.25">
      <c r="K473" s="58"/>
    </row>
    <row r="474" spans="11:11" x14ac:dyDescent="0.25">
      <c r="K474" s="58"/>
    </row>
    <row r="475" spans="11:11" x14ac:dyDescent="0.25">
      <c r="K475" s="58"/>
    </row>
    <row r="476" spans="11:11" x14ac:dyDescent="0.25">
      <c r="K476" s="58"/>
    </row>
    <row r="477" spans="11:11" x14ac:dyDescent="0.25">
      <c r="K477" s="58"/>
    </row>
    <row r="478" spans="11:11" x14ac:dyDescent="0.25">
      <c r="K478" s="58"/>
    </row>
    <row r="479" spans="11:11" x14ac:dyDescent="0.25">
      <c r="K479" s="58"/>
    </row>
    <row r="480" spans="11:11" x14ac:dyDescent="0.25">
      <c r="K480" s="58"/>
    </row>
    <row r="481" spans="11:11" x14ac:dyDescent="0.25">
      <c r="K481" s="58"/>
    </row>
    <row r="482" spans="11:11" x14ac:dyDescent="0.25">
      <c r="K482" s="58"/>
    </row>
    <row r="483" spans="11:11" x14ac:dyDescent="0.25">
      <c r="K483" s="58"/>
    </row>
    <row r="484" spans="11:11" x14ac:dyDescent="0.25">
      <c r="K484" s="58"/>
    </row>
    <row r="485" spans="11:11" x14ac:dyDescent="0.25">
      <c r="K485" s="58"/>
    </row>
    <row r="486" spans="11:11" x14ac:dyDescent="0.25">
      <c r="K486" s="58"/>
    </row>
    <row r="487" spans="11:11" x14ac:dyDescent="0.25">
      <c r="K487" s="58"/>
    </row>
    <row r="488" spans="11:11" x14ac:dyDescent="0.25">
      <c r="K488" s="58"/>
    </row>
    <row r="489" spans="11:11" x14ac:dyDescent="0.25">
      <c r="K489" s="58"/>
    </row>
    <row r="490" spans="11:11" x14ac:dyDescent="0.25">
      <c r="K490" s="58"/>
    </row>
    <row r="491" spans="11:11" x14ac:dyDescent="0.25">
      <c r="K491" s="58"/>
    </row>
    <row r="492" spans="11:11" x14ac:dyDescent="0.25">
      <c r="K492" s="58"/>
    </row>
    <row r="493" spans="11:11" x14ac:dyDescent="0.25">
      <c r="K493" s="58"/>
    </row>
    <row r="494" spans="11:11" x14ac:dyDescent="0.25">
      <c r="K494" s="58"/>
    </row>
    <row r="495" spans="11:11" x14ac:dyDescent="0.25">
      <c r="K495" s="58"/>
    </row>
    <row r="496" spans="11:11" x14ac:dyDescent="0.25">
      <c r="K496" s="58"/>
    </row>
    <row r="497" spans="11:11" x14ac:dyDescent="0.25">
      <c r="K497" s="58"/>
    </row>
    <row r="498" spans="11:11" x14ac:dyDescent="0.25">
      <c r="K498" s="58"/>
    </row>
    <row r="499" spans="11:11" x14ac:dyDescent="0.25">
      <c r="K499" s="58"/>
    </row>
    <row r="500" spans="11:11" x14ac:dyDescent="0.25">
      <c r="K500" s="58"/>
    </row>
    <row r="501" spans="11:11" x14ac:dyDescent="0.25">
      <c r="K501" s="58"/>
    </row>
    <row r="502" spans="11:11" x14ac:dyDescent="0.25">
      <c r="K502" s="58"/>
    </row>
    <row r="503" spans="11:11" x14ac:dyDescent="0.25">
      <c r="K503" s="58"/>
    </row>
    <row r="504" spans="11:11" x14ac:dyDescent="0.25">
      <c r="K504" s="58"/>
    </row>
    <row r="505" spans="11:11" x14ac:dyDescent="0.25">
      <c r="K505" s="58"/>
    </row>
    <row r="506" spans="11:11" x14ac:dyDescent="0.25">
      <c r="K506" s="58"/>
    </row>
    <row r="507" spans="11:11" x14ac:dyDescent="0.25">
      <c r="K507" s="58"/>
    </row>
    <row r="508" spans="11:11" x14ac:dyDescent="0.25">
      <c r="K508" s="58"/>
    </row>
    <row r="509" spans="11:11" x14ac:dyDescent="0.25">
      <c r="K509" s="58"/>
    </row>
    <row r="510" spans="11:11" x14ac:dyDescent="0.25">
      <c r="K510" s="58"/>
    </row>
    <row r="511" spans="11:11" x14ac:dyDescent="0.25">
      <c r="K511" s="58"/>
    </row>
    <row r="512" spans="11:11" x14ac:dyDescent="0.25">
      <c r="K512" s="58"/>
    </row>
    <row r="513" spans="11:11" x14ac:dyDescent="0.25">
      <c r="K513" s="58"/>
    </row>
    <row r="514" spans="11:11" x14ac:dyDescent="0.25">
      <c r="K514" s="58"/>
    </row>
    <row r="515" spans="11:11" x14ac:dyDescent="0.25">
      <c r="K515" s="58"/>
    </row>
    <row r="516" spans="11:11" x14ac:dyDescent="0.25">
      <c r="K516" s="58"/>
    </row>
    <row r="517" spans="11:11" x14ac:dyDescent="0.25">
      <c r="K517" s="58"/>
    </row>
    <row r="518" spans="11:11" x14ac:dyDescent="0.25">
      <c r="K518" s="58"/>
    </row>
    <row r="519" spans="11:11" x14ac:dyDescent="0.25">
      <c r="K519" s="58"/>
    </row>
    <row r="520" spans="11:11" x14ac:dyDescent="0.25">
      <c r="K520" s="58"/>
    </row>
    <row r="521" spans="11:11" x14ac:dyDescent="0.25">
      <c r="K521" s="58"/>
    </row>
    <row r="522" spans="11:11" x14ac:dyDescent="0.25">
      <c r="K522" s="58"/>
    </row>
    <row r="523" spans="11:11" x14ac:dyDescent="0.25">
      <c r="K523" s="58"/>
    </row>
    <row r="524" spans="11:11" x14ac:dyDescent="0.25">
      <c r="K524" s="58"/>
    </row>
    <row r="525" spans="11:11" x14ac:dyDescent="0.25">
      <c r="K525" s="58"/>
    </row>
    <row r="526" spans="11:11" x14ac:dyDescent="0.25">
      <c r="K526" s="58"/>
    </row>
    <row r="527" spans="11:11" x14ac:dyDescent="0.25">
      <c r="K527" s="58"/>
    </row>
    <row r="528" spans="11:11" x14ac:dyDescent="0.25">
      <c r="K528" s="58"/>
    </row>
    <row r="529" spans="11:11" x14ac:dyDescent="0.25">
      <c r="K529" s="58"/>
    </row>
    <row r="530" spans="11:11" x14ac:dyDescent="0.25">
      <c r="K530" s="58"/>
    </row>
    <row r="531" spans="11:11" x14ac:dyDescent="0.25">
      <c r="K531" s="58"/>
    </row>
    <row r="532" spans="11:11" x14ac:dyDescent="0.25">
      <c r="K532" s="58"/>
    </row>
    <row r="533" spans="11:11" x14ac:dyDescent="0.25">
      <c r="K533" s="58"/>
    </row>
    <row r="534" spans="11:11" x14ac:dyDescent="0.25">
      <c r="K534" s="58"/>
    </row>
    <row r="535" spans="11:11" x14ac:dyDescent="0.25">
      <c r="K535" s="58"/>
    </row>
    <row r="536" spans="11:11" x14ac:dyDescent="0.25">
      <c r="K536" s="58"/>
    </row>
    <row r="537" spans="11:11" x14ac:dyDescent="0.25">
      <c r="K537" s="58"/>
    </row>
    <row r="538" spans="11:11" x14ac:dyDescent="0.25">
      <c r="K538" s="58"/>
    </row>
    <row r="539" spans="11:11" x14ac:dyDescent="0.25">
      <c r="K539" s="58"/>
    </row>
    <row r="540" spans="11:11" x14ac:dyDescent="0.25">
      <c r="K540" s="58"/>
    </row>
    <row r="541" spans="11:11" x14ac:dyDescent="0.25">
      <c r="K541" s="58"/>
    </row>
    <row r="542" spans="11:11" x14ac:dyDescent="0.25">
      <c r="K542" s="58"/>
    </row>
    <row r="543" spans="11:11" x14ac:dyDescent="0.25">
      <c r="K543" s="58"/>
    </row>
    <row r="544" spans="11:11" x14ac:dyDescent="0.25">
      <c r="K544" s="58"/>
    </row>
    <row r="545" spans="11:11" x14ac:dyDescent="0.25">
      <c r="K545" s="58"/>
    </row>
    <row r="546" spans="11:11" x14ac:dyDescent="0.25">
      <c r="K546" s="58"/>
    </row>
    <row r="547" spans="11:11" x14ac:dyDescent="0.25">
      <c r="K547" s="58"/>
    </row>
    <row r="548" spans="11:11" x14ac:dyDescent="0.25">
      <c r="K548" s="58"/>
    </row>
    <row r="549" spans="11:11" x14ac:dyDescent="0.25">
      <c r="K549" s="58"/>
    </row>
    <row r="550" spans="11:11" x14ac:dyDescent="0.25">
      <c r="K550" s="58"/>
    </row>
    <row r="551" spans="11:11" x14ac:dyDescent="0.25">
      <c r="K551" s="58"/>
    </row>
    <row r="552" spans="11:11" x14ac:dyDescent="0.25">
      <c r="K552" s="58"/>
    </row>
    <row r="553" spans="11:11" x14ac:dyDescent="0.25">
      <c r="K553" s="58"/>
    </row>
    <row r="554" spans="11:11" x14ac:dyDescent="0.25">
      <c r="K554" s="58"/>
    </row>
    <row r="555" spans="11:11" x14ac:dyDescent="0.25">
      <c r="K555" s="58"/>
    </row>
    <row r="556" spans="11:11" x14ac:dyDescent="0.25">
      <c r="K556" s="58"/>
    </row>
    <row r="557" spans="11:11" x14ac:dyDescent="0.25">
      <c r="K557" s="58"/>
    </row>
    <row r="558" spans="11:11" x14ac:dyDescent="0.25">
      <c r="K558" s="58"/>
    </row>
    <row r="559" spans="11:11" x14ac:dyDescent="0.25">
      <c r="K559" s="58"/>
    </row>
    <row r="560" spans="11:11" x14ac:dyDescent="0.25">
      <c r="K560" s="58"/>
    </row>
    <row r="561" spans="11:11" x14ac:dyDescent="0.25">
      <c r="K561" s="58"/>
    </row>
    <row r="562" spans="11:11" x14ac:dyDescent="0.25">
      <c r="K562" s="58"/>
    </row>
    <row r="563" spans="11:11" x14ac:dyDescent="0.25">
      <c r="K563" s="58"/>
    </row>
    <row r="564" spans="11:11" x14ac:dyDescent="0.25">
      <c r="K564" s="58"/>
    </row>
    <row r="565" spans="11:11" x14ac:dyDescent="0.25">
      <c r="K565" s="58"/>
    </row>
    <row r="566" spans="11:11" x14ac:dyDescent="0.25">
      <c r="K566" s="58"/>
    </row>
    <row r="567" spans="11:11" x14ac:dyDescent="0.25">
      <c r="K567" s="58"/>
    </row>
    <row r="568" spans="11:11" x14ac:dyDescent="0.25">
      <c r="K568" s="58"/>
    </row>
    <row r="569" spans="11:11" x14ac:dyDescent="0.25">
      <c r="K569" s="58"/>
    </row>
    <row r="570" spans="11:11" x14ac:dyDescent="0.25">
      <c r="K570" s="58"/>
    </row>
    <row r="571" spans="11:11" x14ac:dyDescent="0.25">
      <c r="K571" s="58"/>
    </row>
    <row r="572" spans="11:11" x14ac:dyDescent="0.25">
      <c r="K572" s="58"/>
    </row>
    <row r="573" spans="11:11" x14ac:dyDescent="0.25">
      <c r="K573" s="58"/>
    </row>
    <row r="574" spans="11:11" x14ac:dyDescent="0.25">
      <c r="K574" s="58"/>
    </row>
    <row r="575" spans="11:11" x14ac:dyDescent="0.25">
      <c r="K575" s="58"/>
    </row>
    <row r="576" spans="11:11" x14ac:dyDescent="0.25">
      <c r="K576" s="58"/>
    </row>
    <row r="577" spans="11:11" x14ac:dyDescent="0.25">
      <c r="K577" s="58"/>
    </row>
    <row r="578" spans="11:11" x14ac:dyDescent="0.25">
      <c r="K578" s="58"/>
    </row>
    <row r="579" spans="11:11" x14ac:dyDescent="0.25">
      <c r="K579" s="58"/>
    </row>
    <row r="580" spans="11:11" x14ac:dyDescent="0.25">
      <c r="K580" s="58"/>
    </row>
    <row r="581" spans="11:11" x14ac:dyDescent="0.25">
      <c r="K581" s="58"/>
    </row>
    <row r="582" spans="11:11" x14ac:dyDescent="0.25">
      <c r="K582" s="58"/>
    </row>
    <row r="583" spans="11:11" x14ac:dyDescent="0.25">
      <c r="K583" s="58"/>
    </row>
    <row r="584" spans="11:11" x14ac:dyDescent="0.25">
      <c r="K584" s="58"/>
    </row>
    <row r="585" spans="11:11" x14ac:dyDescent="0.25">
      <c r="K585" s="58"/>
    </row>
    <row r="586" spans="11:11" x14ac:dyDescent="0.25">
      <c r="K586" s="58"/>
    </row>
    <row r="587" spans="11:11" x14ac:dyDescent="0.25">
      <c r="K587" s="58"/>
    </row>
    <row r="588" spans="11:11" x14ac:dyDescent="0.25">
      <c r="K588" s="58"/>
    </row>
    <row r="589" spans="11:11" x14ac:dyDescent="0.25">
      <c r="K589" s="58"/>
    </row>
    <row r="590" spans="11:11" x14ac:dyDescent="0.25">
      <c r="K590" s="58"/>
    </row>
    <row r="591" spans="11:11" x14ac:dyDescent="0.25">
      <c r="K591" s="58"/>
    </row>
    <row r="592" spans="11:11" x14ac:dyDescent="0.25">
      <c r="K592" s="58"/>
    </row>
    <row r="593" spans="11:11" x14ac:dyDescent="0.25">
      <c r="K593" s="58"/>
    </row>
    <row r="594" spans="11:11" x14ac:dyDescent="0.25">
      <c r="K594" s="58"/>
    </row>
    <row r="595" spans="11:11" x14ac:dyDescent="0.25">
      <c r="K595" s="58"/>
    </row>
    <row r="596" spans="11:11" x14ac:dyDescent="0.25">
      <c r="K596" s="58"/>
    </row>
    <row r="597" spans="11:11" x14ac:dyDescent="0.25">
      <c r="K597" s="58"/>
    </row>
    <row r="598" spans="11:11" x14ac:dyDescent="0.25">
      <c r="K598" s="58"/>
    </row>
    <row r="599" spans="11:11" x14ac:dyDescent="0.25">
      <c r="K599" s="58"/>
    </row>
    <row r="600" spans="11:11" x14ac:dyDescent="0.25">
      <c r="K600" s="58"/>
    </row>
    <row r="601" spans="11:11" x14ac:dyDescent="0.25">
      <c r="K601" s="58"/>
    </row>
    <row r="602" spans="11:11" x14ac:dyDescent="0.25">
      <c r="K602" s="58"/>
    </row>
    <row r="603" spans="11:11" x14ac:dyDescent="0.25">
      <c r="K603" s="58"/>
    </row>
    <row r="604" spans="11:11" x14ac:dyDescent="0.25">
      <c r="K604" s="58"/>
    </row>
    <row r="605" spans="11:11" x14ac:dyDescent="0.25">
      <c r="K605" s="58"/>
    </row>
    <row r="606" spans="11:11" x14ac:dyDescent="0.25">
      <c r="K606" s="58"/>
    </row>
    <row r="607" spans="11:11" x14ac:dyDescent="0.25">
      <c r="K607" s="58"/>
    </row>
    <row r="608" spans="11:11" x14ac:dyDescent="0.25">
      <c r="K608" s="58"/>
    </row>
    <row r="609" spans="11:11" x14ac:dyDescent="0.25">
      <c r="K609" s="58"/>
    </row>
    <row r="610" spans="11:11" x14ac:dyDescent="0.25">
      <c r="K610" s="58"/>
    </row>
    <row r="611" spans="11:11" x14ac:dyDescent="0.25">
      <c r="K611" s="58"/>
    </row>
    <row r="612" spans="11:11" x14ac:dyDescent="0.25">
      <c r="K612" s="58"/>
    </row>
    <row r="613" spans="11:11" x14ac:dyDescent="0.25">
      <c r="K613" s="58"/>
    </row>
    <row r="614" spans="11:11" x14ac:dyDescent="0.25">
      <c r="K614" s="58"/>
    </row>
    <row r="615" spans="11:11" x14ac:dyDescent="0.25">
      <c r="K615" s="58"/>
    </row>
    <row r="616" spans="11:11" x14ac:dyDescent="0.25">
      <c r="K616" s="58"/>
    </row>
    <row r="617" spans="11:11" x14ac:dyDescent="0.25">
      <c r="K617" s="58"/>
    </row>
    <row r="618" spans="11:11" x14ac:dyDescent="0.25">
      <c r="K618" s="58"/>
    </row>
    <row r="619" spans="11:11" x14ac:dyDescent="0.25">
      <c r="K619" s="58"/>
    </row>
    <row r="620" spans="11:11" x14ac:dyDescent="0.25">
      <c r="K620" s="58"/>
    </row>
    <row r="621" spans="11:11" x14ac:dyDescent="0.25">
      <c r="K621" s="58"/>
    </row>
    <row r="622" spans="11:11" x14ac:dyDescent="0.25">
      <c r="K622" s="58"/>
    </row>
    <row r="623" spans="11:11" x14ac:dyDescent="0.25">
      <c r="K623" s="58"/>
    </row>
    <row r="624" spans="11:11" x14ac:dyDescent="0.25">
      <c r="K624" s="58"/>
    </row>
    <row r="625" spans="11:11" x14ac:dyDescent="0.25">
      <c r="K625" s="58"/>
    </row>
    <row r="626" spans="11:11" x14ac:dyDescent="0.25">
      <c r="K626" s="58"/>
    </row>
    <row r="627" spans="11:11" x14ac:dyDescent="0.25">
      <c r="K627" s="58"/>
    </row>
    <row r="628" spans="11:11" x14ac:dyDescent="0.25">
      <c r="K628" s="58"/>
    </row>
    <row r="629" spans="11:11" x14ac:dyDescent="0.25">
      <c r="K629" s="58"/>
    </row>
    <row r="630" spans="11:11" x14ac:dyDescent="0.25">
      <c r="K630" s="58"/>
    </row>
    <row r="631" spans="11:11" x14ac:dyDescent="0.25">
      <c r="K631" s="58"/>
    </row>
    <row r="632" spans="11:11" x14ac:dyDescent="0.25">
      <c r="K632" s="58"/>
    </row>
    <row r="633" spans="11:11" x14ac:dyDescent="0.25">
      <c r="K633" s="58"/>
    </row>
    <row r="634" spans="11:11" x14ac:dyDescent="0.25">
      <c r="K634" s="58"/>
    </row>
    <row r="635" spans="11:11" x14ac:dyDescent="0.25">
      <c r="K635" s="58"/>
    </row>
    <row r="636" spans="11:11" x14ac:dyDescent="0.25">
      <c r="K636" s="58"/>
    </row>
    <row r="637" spans="11:11" x14ac:dyDescent="0.25">
      <c r="K637" s="58"/>
    </row>
    <row r="638" spans="11:11" x14ac:dyDescent="0.25">
      <c r="K638" s="58"/>
    </row>
    <row r="639" spans="11:11" x14ac:dyDescent="0.25">
      <c r="K639" s="58"/>
    </row>
    <row r="640" spans="11:11" x14ac:dyDescent="0.25">
      <c r="K640" s="58"/>
    </row>
    <row r="641" spans="11:11" x14ac:dyDescent="0.25">
      <c r="K641" s="58"/>
    </row>
    <row r="642" spans="11:11" x14ac:dyDescent="0.25">
      <c r="K642" s="58"/>
    </row>
    <row r="643" spans="11:11" x14ac:dyDescent="0.25">
      <c r="K643" s="58"/>
    </row>
    <row r="644" spans="11:11" x14ac:dyDescent="0.25">
      <c r="K644" s="58"/>
    </row>
    <row r="645" spans="11:11" x14ac:dyDescent="0.25">
      <c r="K645" s="58"/>
    </row>
    <row r="646" spans="11:11" x14ac:dyDescent="0.25">
      <c r="K646" s="58"/>
    </row>
    <row r="647" spans="11:11" x14ac:dyDescent="0.25">
      <c r="K647" s="58"/>
    </row>
    <row r="648" spans="11:11" x14ac:dyDescent="0.25">
      <c r="K648" s="58"/>
    </row>
    <row r="649" spans="11:11" x14ac:dyDescent="0.25">
      <c r="K649" s="58"/>
    </row>
    <row r="650" spans="11:11" x14ac:dyDescent="0.25">
      <c r="K650" s="58"/>
    </row>
    <row r="651" spans="11:11" x14ac:dyDescent="0.25">
      <c r="K651" s="58"/>
    </row>
    <row r="652" spans="11:11" x14ac:dyDescent="0.25">
      <c r="K652" s="58"/>
    </row>
    <row r="653" spans="11:11" x14ac:dyDescent="0.25">
      <c r="K653" s="58"/>
    </row>
    <row r="654" spans="11:11" x14ac:dyDescent="0.25">
      <c r="K654" s="58"/>
    </row>
    <row r="655" spans="11:11" x14ac:dyDescent="0.25">
      <c r="K655" s="58"/>
    </row>
    <row r="656" spans="11:11" x14ac:dyDescent="0.25">
      <c r="K656" s="58"/>
    </row>
    <row r="657" spans="11:11" x14ac:dyDescent="0.25">
      <c r="K657" s="58"/>
    </row>
    <row r="658" spans="11:11" x14ac:dyDescent="0.25">
      <c r="K658" s="58"/>
    </row>
    <row r="659" spans="11:11" x14ac:dyDescent="0.25">
      <c r="K659" s="58"/>
    </row>
    <row r="660" spans="11:11" x14ac:dyDescent="0.25">
      <c r="K660" s="58"/>
    </row>
    <row r="661" spans="11:11" x14ac:dyDescent="0.25">
      <c r="K661" s="58"/>
    </row>
    <row r="662" spans="11:11" x14ac:dyDescent="0.25">
      <c r="K662" s="58"/>
    </row>
    <row r="663" spans="11:11" x14ac:dyDescent="0.25">
      <c r="K663" s="58"/>
    </row>
    <row r="664" spans="11:11" x14ac:dyDescent="0.25">
      <c r="K664" s="58"/>
    </row>
    <row r="665" spans="11:11" x14ac:dyDescent="0.25">
      <c r="K665" s="58"/>
    </row>
    <row r="666" spans="11:11" x14ac:dyDescent="0.25">
      <c r="K666" s="58"/>
    </row>
    <row r="667" spans="11:11" x14ac:dyDescent="0.25">
      <c r="K667" s="58"/>
    </row>
    <row r="668" spans="11:11" x14ac:dyDescent="0.25">
      <c r="K668" s="58"/>
    </row>
    <row r="669" spans="11:11" x14ac:dyDescent="0.25">
      <c r="K669" s="58"/>
    </row>
    <row r="670" spans="11:11" x14ac:dyDescent="0.25">
      <c r="K670" s="58"/>
    </row>
    <row r="671" spans="11:11" x14ac:dyDescent="0.25">
      <c r="K671" s="58"/>
    </row>
    <row r="672" spans="11:11" x14ac:dyDescent="0.25">
      <c r="K672" s="58"/>
    </row>
    <row r="673" spans="11:11" x14ac:dyDescent="0.25">
      <c r="K673" s="58"/>
    </row>
    <row r="674" spans="11:11" x14ac:dyDescent="0.25">
      <c r="K674" s="58"/>
    </row>
    <row r="675" spans="11:11" x14ac:dyDescent="0.25">
      <c r="K675" s="58"/>
    </row>
    <row r="676" spans="11:11" x14ac:dyDescent="0.25">
      <c r="K676" s="58"/>
    </row>
    <row r="677" spans="11:11" x14ac:dyDescent="0.25">
      <c r="K677" s="58"/>
    </row>
    <row r="678" spans="11:11" x14ac:dyDescent="0.25">
      <c r="K678" s="58"/>
    </row>
    <row r="679" spans="11:11" x14ac:dyDescent="0.25">
      <c r="K679" s="58"/>
    </row>
    <row r="680" spans="11:11" x14ac:dyDescent="0.25">
      <c r="K680" s="58"/>
    </row>
    <row r="681" spans="11:11" x14ac:dyDescent="0.25">
      <c r="K681" s="58"/>
    </row>
    <row r="682" spans="11:11" x14ac:dyDescent="0.25">
      <c r="K682" s="58"/>
    </row>
    <row r="683" spans="11:11" x14ac:dyDescent="0.25">
      <c r="K683" s="58"/>
    </row>
    <row r="684" spans="11:11" x14ac:dyDescent="0.25">
      <c r="K684" s="58"/>
    </row>
    <row r="685" spans="11:11" x14ac:dyDescent="0.25">
      <c r="K685" s="58"/>
    </row>
    <row r="686" spans="11:11" x14ac:dyDescent="0.25">
      <c r="K686" s="58"/>
    </row>
    <row r="687" spans="11:11" x14ac:dyDescent="0.25">
      <c r="K687" s="58"/>
    </row>
    <row r="688" spans="11:11" x14ac:dyDescent="0.25">
      <c r="K688" s="58"/>
    </row>
    <row r="689" spans="11:11" x14ac:dyDescent="0.25">
      <c r="K689" s="58"/>
    </row>
    <row r="690" spans="11:11" x14ac:dyDescent="0.25">
      <c r="K690" s="58"/>
    </row>
    <row r="691" spans="11:11" x14ac:dyDescent="0.25">
      <c r="K691" s="58"/>
    </row>
    <row r="692" spans="11:11" x14ac:dyDescent="0.25">
      <c r="K692" s="58"/>
    </row>
    <row r="693" spans="11:11" x14ac:dyDescent="0.25">
      <c r="K693" s="58"/>
    </row>
    <row r="694" spans="11:11" x14ac:dyDescent="0.25">
      <c r="K694" s="58"/>
    </row>
    <row r="695" spans="11:11" x14ac:dyDescent="0.25">
      <c r="K695" s="58"/>
    </row>
    <row r="696" spans="11:11" x14ac:dyDescent="0.25">
      <c r="K696" s="58"/>
    </row>
    <row r="697" spans="11:11" x14ac:dyDescent="0.25">
      <c r="K697" s="58"/>
    </row>
    <row r="698" spans="11:11" x14ac:dyDescent="0.25">
      <c r="K698" s="58"/>
    </row>
    <row r="699" spans="11:11" x14ac:dyDescent="0.25">
      <c r="K699" s="58"/>
    </row>
    <row r="700" spans="11:11" x14ac:dyDescent="0.25">
      <c r="K700" s="58"/>
    </row>
    <row r="701" spans="11:11" x14ac:dyDescent="0.25">
      <c r="K701" s="58"/>
    </row>
    <row r="702" spans="11:11" x14ac:dyDescent="0.25">
      <c r="K702" s="58"/>
    </row>
    <row r="703" spans="11:11" x14ac:dyDescent="0.25">
      <c r="K703" s="58"/>
    </row>
    <row r="704" spans="11:11" x14ac:dyDescent="0.25">
      <c r="K704" s="58"/>
    </row>
    <row r="705" spans="11:11" x14ac:dyDescent="0.25">
      <c r="K705" s="58"/>
    </row>
    <row r="706" spans="11:11" x14ac:dyDescent="0.25">
      <c r="K706" s="58"/>
    </row>
    <row r="707" spans="11:11" x14ac:dyDescent="0.25">
      <c r="K707" s="58"/>
    </row>
    <row r="708" spans="11:11" x14ac:dyDescent="0.25">
      <c r="K708" s="58"/>
    </row>
    <row r="709" spans="11:11" x14ac:dyDescent="0.25">
      <c r="K709" s="58"/>
    </row>
    <row r="710" spans="11:11" x14ac:dyDescent="0.25">
      <c r="K710" s="58"/>
    </row>
    <row r="711" spans="11:11" x14ac:dyDescent="0.25">
      <c r="K711" s="58"/>
    </row>
    <row r="712" spans="11:11" x14ac:dyDescent="0.25">
      <c r="K712" s="58"/>
    </row>
    <row r="713" spans="11:11" x14ac:dyDescent="0.25">
      <c r="K713" s="58"/>
    </row>
    <row r="714" spans="11:11" x14ac:dyDescent="0.25">
      <c r="K714" s="58"/>
    </row>
    <row r="715" spans="11:11" x14ac:dyDescent="0.25">
      <c r="K715" s="58"/>
    </row>
    <row r="716" spans="11:11" x14ac:dyDescent="0.25">
      <c r="K716" s="58"/>
    </row>
    <row r="717" spans="11:11" x14ac:dyDescent="0.25">
      <c r="K717" s="58"/>
    </row>
    <row r="718" spans="11:11" x14ac:dyDescent="0.25">
      <c r="K718" s="58"/>
    </row>
    <row r="719" spans="11:11" x14ac:dyDescent="0.25">
      <c r="K719" s="58"/>
    </row>
    <row r="720" spans="11:11" x14ac:dyDescent="0.25">
      <c r="K720" s="58"/>
    </row>
    <row r="721" spans="11:11" x14ac:dyDescent="0.25">
      <c r="K721" s="58"/>
    </row>
    <row r="722" spans="11:11" x14ac:dyDescent="0.25">
      <c r="K722" s="58"/>
    </row>
    <row r="723" spans="11:11" x14ac:dyDescent="0.25">
      <c r="K723" s="58"/>
    </row>
    <row r="724" spans="11:11" x14ac:dyDescent="0.25">
      <c r="K724" s="58"/>
    </row>
    <row r="725" spans="11:11" x14ac:dyDescent="0.25">
      <c r="K725" s="58"/>
    </row>
    <row r="726" spans="11:11" x14ac:dyDescent="0.25">
      <c r="K726" s="58"/>
    </row>
    <row r="727" spans="11:11" x14ac:dyDescent="0.25">
      <c r="K727" s="58"/>
    </row>
    <row r="728" spans="11:11" x14ac:dyDescent="0.25">
      <c r="K728" s="58"/>
    </row>
    <row r="729" spans="11:11" x14ac:dyDescent="0.25">
      <c r="K729" s="58"/>
    </row>
    <row r="730" spans="11:11" x14ac:dyDescent="0.25">
      <c r="K730" s="58"/>
    </row>
    <row r="731" spans="11:11" x14ac:dyDescent="0.25">
      <c r="K731" s="58"/>
    </row>
    <row r="732" spans="11:11" x14ac:dyDescent="0.25">
      <c r="K732" s="58"/>
    </row>
    <row r="733" spans="11:11" x14ac:dyDescent="0.25">
      <c r="K733" s="58"/>
    </row>
    <row r="734" spans="11:11" x14ac:dyDescent="0.25">
      <c r="K734" s="58"/>
    </row>
    <row r="735" spans="11:11" x14ac:dyDescent="0.25">
      <c r="K735" s="58"/>
    </row>
    <row r="736" spans="11:11" x14ac:dyDescent="0.25">
      <c r="K736" s="58"/>
    </row>
    <row r="737" spans="11:11" x14ac:dyDescent="0.25">
      <c r="K737" s="58"/>
    </row>
    <row r="738" spans="11:11" x14ac:dyDescent="0.25">
      <c r="K738" s="58"/>
    </row>
    <row r="739" spans="11:11" x14ac:dyDescent="0.25">
      <c r="K739" s="58"/>
    </row>
    <row r="740" spans="11:11" x14ac:dyDescent="0.25">
      <c r="K740" s="58"/>
    </row>
    <row r="741" spans="11:11" x14ac:dyDescent="0.25">
      <c r="K741" s="58"/>
    </row>
    <row r="742" spans="11:11" x14ac:dyDescent="0.25">
      <c r="K742" s="58"/>
    </row>
    <row r="743" spans="11:11" x14ac:dyDescent="0.25">
      <c r="K743" s="58"/>
    </row>
    <row r="744" spans="11:11" x14ac:dyDescent="0.25">
      <c r="K744" s="58"/>
    </row>
    <row r="745" spans="11:11" x14ac:dyDescent="0.25">
      <c r="K745" s="58"/>
    </row>
    <row r="746" spans="11:11" x14ac:dyDescent="0.25">
      <c r="K746" s="58"/>
    </row>
    <row r="747" spans="11:11" x14ac:dyDescent="0.25">
      <c r="K747" s="58"/>
    </row>
    <row r="748" spans="11:11" x14ac:dyDescent="0.25">
      <c r="K748" s="58"/>
    </row>
    <row r="749" spans="11:11" x14ac:dyDescent="0.25">
      <c r="K749" s="58"/>
    </row>
    <row r="750" spans="11:11" x14ac:dyDescent="0.25">
      <c r="K750" s="58"/>
    </row>
    <row r="751" spans="11:11" x14ac:dyDescent="0.25">
      <c r="K751" s="58"/>
    </row>
    <row r="752" spans="11:11" x14ac:dyDescent="0.25">
      <c r="K752" s="58"/>
    </row>
    <row r="753" spans="11:11" x14ac:dyDescent="0.25">
      <c r="K753" s="58"/>
    </row>
    <row r="754" spans="11:11" x14ac:dyDescent="0.25">
      <c r="K754" s="58"/>
    </row>
    <row r="755" spans="11:11" x14ac:dyDescent="0.25">
      <c r="K755" s="58"/>
    </row>
    <row r="756" spans="11:11" x14ac:dyDescent="0.25">
      <c r="K756" s="58"/>
    </row>
    <row r="757" spans="11:11" x14ac:dyDescent="0.25">
      <c r="K757" s="58"/>
    </row>
    <row r="758" spans="11:11" x14ac:dyDescent="0.25">
      <c r="K758" s="58"/>
    </row>
    <row r="759" spans="11:11" x14ac:dyDescent="0.25">
      <c r="K759" s="58"/>
    </row>
    <row r="760" spans="11:11" x14ac:dyDescent="0.25">
      <c r="K760" s="58"/>
    </row>
    <row r="761" spans="11:11" x14ac:dyDescent="0.25">
      <c r="K761" s="58"/>
    </row>
    <row r="762" spans="11:11" x14ac:dyDescent="0.25">
      <c r="K762" s="58"/>
    </row>
    <row r="763" spans="11:11" x14ac:dyDescent="0.25">
      <c r="K763" s="58"/>
    </row>
    <row r="764" spans="11:11" x14ac:dyDescent="0.25">
      <c r="K764" s="58"/>
    </row>
    <row r="765" spans="11:11" x14ac:dyDescent="0.25">
      <c r="K765" s="58"/>
    </row>
    <row r="766" spans="11:11" x14ac:dyDescent="0.25">
      <c r="K766" s="58"/>
    </row>
    <row r="767" spans="11:11" x14ac:dyDescent="0.25">
      <c r="K767" s="58"/>
    </row>
    <row r="768" spans="11:11" x14ac:dyDescent="0.25">
      <c r="K768" s="58"/>
    </row>
    <row r="769" spans="11:11" x14ac:dyDescent="0.25">
      <c r="K769" s="58"/>
    </row>
    <row r="770" spans="11:11" x14ac:dyDescent="0.25">
      <c r="K770" s="58"/>
    </row>
    <row r="771" spans="11:11" x14ac:dyDescent="0.25">
      <c r="K771" s="58"/>
    </row>
    <row r="772" spans="11:11" x14ac:dyDescent="0.25">
      <c r="K772" s="58"/>
    </row>
    <row r="773" spans="11:11" x14ac:dyDescent="0.25">
      <c r="K773" s="58"/>
    </row>
    <row r="774" spans="11:11" x14ac:dyDescent="0.25">
      <c r="K774" s="58"/>
    </row>
    <row r="775" spans="11:11" x14ac:dyDescent="0.25">
      <c r="K775" s="58"/>
    </row>
    <row r="776" spans="11:11" x14ac:dyDescent="0.25">
      <c r="K776" s="58"/>
    </row>
    <row r="777" spans="11:11" x14ac:dyDescent="0.25">
      <c r="K777" s="58"/>
    </row>
    <row r="778" spans="11:11" x14ac:dyDescent="0.25">
      <c r="K778" s="58"/>
    </row>
    <row r="779" spans="11:11" x14ac:dyDescent="0.25">
      <c r="K779" s="58"/>
    </row>
    <row r="780" spans="11:11" x14ac:dyDescent="0.25">
      <c r="K780" s="58"/>
    </row>
    <row r="781" spans="11:11" x14ac:dyDescent="0.25">
      <c r="K781" s="58"/>
    </row>
    <row r="782" spans="11:11" x14ac:dyDescent="0.25">
      <c r="K782" s="58"/>
    </row>
    <row r="783" spans="11:11" x14ac:dyDescent="0.25">
      <c r="K783" s="58"/>
    </row>
    <row r="784" spans="11:11" x14ac:dyDescent="0.25">
      <c r="K784" s="58"/>
    </row>
    <row r="785" spans="11:11" x14ac:dyDescent="0.25">
      <c r="K785" s="58"/>
    </row>
    <row r="786" spans="11:11" x14ac:dyDescent="0.25">
      <c r="K786" s="58"/>
    </row>
    <row r="787" spans="11:11" x14ac:dyDescent="0.25">
      <c r="K787" s="58"/>
    </row>
    <row r="788" spans="11:11" x14ac:dyDescent="0.25">
      <c r="K788" s="58"/>
    </row>
    <row r="789" spans="11:11" x14ac:dyDescent="0.25">
      <c r="K789" s="58"/>
    </row>
    <row r="790" spans="11:11" x14ac:dyDescent="0.25">
      <c r="K790" s="58"/>
    </row>
    <row r="791" spans="11:11" x14ac:dyDescent="0.25">
      <c r="K791" s="58"/>
    </row>
    <row r="792" spans="11:11" x14ac:dyDescent="0.25">
      <c r="K792" s="58"/>
    </row>
    <row r="793" spans="11:11" x14ac:dyDescent="0.25">
      <c r="K793" s="58"/>
    </row>
    <row r="794" spans="11:11" x14ac:dyDescent="0.25">
      <c r="K794" s="58"/>
    </row>
    <row r="795" spans="11:11" x14ac:dyDescent="0.25">
      <c r="K795" s="58"/>
    </row>
    <row r="796" spans="11:11" x14ac:dyDescent="0.25">
      <c r="K796" s="58"/>
    </row>
    <row r="797" spans="11:11" x14ac:dyDescent="0.25">
      <c r="K797" s="58"/>
    </row>
    <row r="798" spans="11:11" x14ac:dyDescent="0.25">
      <c r="K798" s="58"/>
    </row>
    <row r="799" spans="11:11" x14ac:dyDescent="0.25">
      <c r="K799" s="58"/>
    </row>
    <row r="800" spans="11:11" x14ac:dyDescent="0.25">
      <c r="K800" s="58"/>
    </row>
    <row r="801" spans="11:11" x14ac:dyDescent="0.25">
      <c r="K801" s="58"/>
    </row>
    <row r="802" spans="11:11" x14ac:dyDescent="0.25">
      <c r="K802" s="58"/>
    </row>
    <row r="803" spans="11:11" x14ac:dyDescent="0.25">
      <c r="K803" s="58"/>
    </row>
    <row r="804" spans="11:11" x14ac:dyDescent="0.25">
      <c r="K804" s="58"/>
    </row>
    <row r="805" spans="11:11" x14ac:dyDescent="0.25">
      <c r="K805" s="58"/>
    </row>
    <row r="806" spans="11:11" x14ac:dyDescent="0.25">
      <c r="K806" s="58"/>
    </row>
    <row r="807" spans="11:11" x14ac:dyDescent="0.25">
      <c r="K807" s="58"/>
    </row>
    <row r="808" spans="11:11" x14ac:dyDescent="0.25">
      <c r="K808" s="58"/>
    </row>
    <row r="809" spans="11:11" x14ac:dyDescent="0.25">
      <c r="K809" s="58"/>
    </row>
    <row r="810" spans="11:11" x14ac:dyDescent="0.25">
      <c r="K810" s="58"/>
    </row>
    <row r="811" spans="11:11" x14ac:dyDescent="0.25">
      <c r="K811" s="58"/>
    </row>
    <row r="812" spans="11:11" x14ac:dyDescent="0.25">
      <c r="K812" s="58"/>
    </row>
    <row r="813" spans="11:11" x14ac:dyDescent="0.25">
      <c r="K813" s="58"/>
    </row>
    <row r="814" spans="11:11" x14ac:dyDescent="0.25">
      <c r="K814" s="58"/>
    </row>
    <row r="815" spans="11:11" x14ac:dyDescent="0.25">
      <c r="K815" s="58"/>
    </row>
    <row r="816" spans="11:11" x14ac:dyDescent="0.25">
      <c r="K816" s="58"/>
    </row>
    <row r="817" spans="11:11" x14ac:dyDescent="0.25">
      <c r="K817" s="58"/>
    </row>
    <row r="818" spans="11:11" x14ac:dyDescent="0.25">
      <c r="K818" s="58"/>
    </row>
    <row r="819" spans="11:11" x14ac:dyDescent="0.25">
      <c r="K819" s="58"/>
    </row>
    <row r="820" spans="11:11" x14ac:dyDescent="0.25">
      <c r="K820" s="58"/>
    </row>
    <row r="821" spans="11:11" x14ac:dyDescent="0.25">
      <c r="K821" s="58"/>
    </row>
    <row r="822" spans="11:11" x14ac:dyDescent="0.25">
      <c r="K822" s="58"/>
    </row>
    <row r="823" spans="11:11" x14ac:dyDescent="0.25">
      <c r="K823" s="58"/>
    </row>
    <row r="824" spans="11:11" x14ac:dyDescent="0.25">
      <c r="K824" s="58"/>
    </row>
    <row r="825" spans="11:11" x14ac:dyDescent="0.25">
      <c r="K825" s="58"/>
    </row>
    <row r="826" spans="11:11" x14ac:dyDescent="0.25">
      <c r="K826" s="58"/>
    </row>
    <row r="827" spans="11:11" x14ac:dyDescent="0.25">
      <c r="K827" s="58"/>
    </row>
    <row r="828" spans="11:11" x14ac:dyDescent="0.25">
      <c r="K828" s="58"/>
    </row>
    <row r="829" spans="11:11" x14ac:dyDescent="0.25">
      <c r="K829" s="58"/>
    </row>
    <row r="830" spans="11:11" x14ac:dyDescent="0.25">
      <c r="K830" s="58"/>
    </row>
    <row r="831" spans="11:11" x14ac:dyDescent="0.25">
      <c r="K831" s="58"/>
    </row>
    <row r="832" spans="11:11" x14ac:dyDescent="0.25">
      <c r="K832" s="58"/>
    </row>
    <row r="833" spans="11:11" x14ac:dyDescent="0.25">
      <c r="K833" s="58"/>
    </row>
    <row r="834" spans="11:11" x14ac:dyDescent="0.25">
      <c r="K834" s="58"/>
    </row>
    <row r="835" spans="11:11" x14ac:dyDescent="0.25">
      <c r="K835" s="58"/>
    </row>
    <row r="836" spans="11:11" x14ac:dyDescent="0.25">
      <c r="K836" s="58"/>
    </row>
    <row r="837" spans="11:11" x14ac:dyDescent="0.25">
      <c r="K837" s="58"/>
    </row>
    <row r="838" spans="11:11" x14ac:dyDescent="0.25">
      <c r="K838" s="58"/>
    </row>
    <row r="839" spans="11:11" x14ac:dyDescent="0.25">
      <c r="K839" s="58"/>
    </row>
    <row r="840" spans="11:11" x14ac:dyDescent="0.25">
      <c r="K840" s="58"/>
    </row>
    <row r="841" spans="11:11" x14ac:dyDescent="0.25">
      <c r="K841" s="58"/>
    </row>
    <row r="842" spans="11:11" x14ac:dyDescent="0.25">
      <c r="K842" s="58"/>
    </row>
    <row r="843" spans="11:11" x14ac:dyDescent="0.25">
      <c r="K843" s="58"/>
    </row>
    <row r="844" spans="11:11" x14ac:dyDescent="0.25">
      <c r="K844" s="58"/>
    </row>
    <row r="845" spans="11:11" x14ac:dyDescent="0.25">
      <c r="K845" s="58"/>
    </row>
    <row r="846" spans="11:11" x14ac:dyDescent="0.25">
      <c r="K846" s="58"/>
    </row>
    <row r="847" spans="11:11" x14ac:dyDescent="0.25">
      <c r="K847" s="58"/>
    </row>
    <row r="848" spans="11:11" x14ac:dyDescent="0.25">
      <c r="K848" s="58"/>
    </row>
    <row r="849" spans="11:11" x14ac:dyDescent="0.25">
      <c r="K849" s="58"/>
    </row>
    <row r="850" spans="11:11" x14ac:dyDescent="0.25">
      <c r="K850" s="58"/>
    </row>
    <row r="851" spans="11:11" x14ac:dyDescent="0.25">
      <c r="K851" s="58"/>
    </row>
    <row r="852" spans="11:11" x14ac:dyDescent="0.25">
      <c r="K852" s="58"/>
    </row>
    <row r="853" spans="11:11" x14ac:dyDescent="0.25">
      <c r="K853" s="58"/>
    </row>
    <row r="854" spans="11:11" x14ac:dyDescent="0.25">
      <c r="K854" s="58"/>
    </row>
    <row r="855" spans="11:11" x14ac:dyDescent="0.25">
      <c r="K855" s="58"/>
    </row>
    <row r="856" spans="11:11" x14ac:dyDescent="0.25">
      <c r="K856" s="58"/>
    </row>
    <row r="857" spans="11:11" x14ac:dyDescent="0.25">
      <c r="K857" s="58"/>
    </row>
    <row r="858" spans="11:11" x14ac:dyDescent="0.25">
      <c r="K858" s="58"/>
    </row>
    <row r="859" spans="11:11" x14ac:dyDescent="0.25">
      <c r="K859" s="58"/>
    </row>
    <row r="860" spans="11:11" x14ac:dyDescent="0.25">
      <c r="K860" s="58"/>
    </row>
    <row r="861" spans="11:11" x14ac:dyDescent="0.25">
      <c r="K861" s="58"/>
    </row>
    <row r="862" spans="11:11" x14ac:dyDescent="0.25">
      <c r="K862" s="58"/>
    </row>
    <row r="863" spans="11:11" x14ac:dyDescent="0.25">
      <c r="K863" s="58"/>
    </row>
    <row r="864" spans="11:11" x14ac:dyDescent="0.25">
      <c r="K864" s="58"/>
    </row>
    <row r="865" spans="11:11" x14ac:dyDescent="0.25">
      <c r="K865" s="58"/>
    </row>
    <row r="866" spans="11:11" x14ac:dyDescent="0.25">
      <c r="K866" s="58"/>
    </row>
    <row r="867" spans="11:11" x14ac:dyDescent="0.25">
      <c r="K867" s="58"/>
    </row>
    <row r="868" spans="11:11" x14ac:dyDescent="0.25">
      <c r="K868" s="58"/>
    </row>
    <row r="869" spans="11:11" x14ac:dyDescent="0.25">
      <c r="K869" s="58"/>
    </row>
    <row r="870" spans="11:11" x14ac:dyDescent="0.25">
      <c r="K870" s="58"/>
    </row>
    <row r="871" spans="11:11" x14ac:dyDescent="0.25">
      <c r="K871" s="58"/>
    </row>
    <row r="872" spans="11:11" x14ac:dyDescent="0.25">
      <c r="K872" s="58"/>
    </row>
    <row r="873" spans="11:11" x14ac:dyDescent="0.25">
      <c r="K873" s="58"/>
    </row>
    <row r="874" spans="11:11" x14ac:dyDescent="0.25">
      <c r="K874" s="58"/>
    </row>
    <row r="875" spans="11:11" x14ac:dyDescent="0.25">
      <c r="K875" s="58"/>
    </row>
    <row r="876" spans="11:11" x14ac:dyDescent="0.25">
      <c r="K876" s="58"/>
    </row>
    <row r="877" spans="11:11" x14ac:dyDescent="0.25">
      <c r="K877" s="58"/>
    </row>
    <row r="878" spans="11:11" x14ac:dyDescent="0.25">
      <c r="K878" s="58"/>
    </row>
    <row r="879" spans="11:11" x14ac:dyDescent="0.25">
      <c r="K879" s="58"/>
    </row>
    <row r="880" spans="11:11" x14ac:dyDescent="0.25">
      <c r="K880" s="58"/>
    </row>
    <row r="881" spans="11:11" x14ac:dyDescent="0.25">
      <c r="K881" s="58"/>
    </row>
    <row r="882" spans="11:11" x14ac:dyDescent="0.25">
      <c r="K882" s="58"/>
    </row>
    <row r="883" spans="11:11" x14ac:dyDescent="0.25">
      <c r="K883" s="58"/>
    </row>
    <row r="884" spans="11:11" x14ac:dyDescent="0.25">
      <c r="K884" s="58"/>
    </row>
    <row r="885" spans="11:11" x14ac:dyDescent="0.25">
      <c r="K885" s="58"/>
    </row>
    <row r="886" spans="11:11" x14ac:dyDescent="0.25">
      <c r="K886" s="58"/>
    </row>
    <row r="887" spans="11:11" x14ac:dyDescent="0.25">
      <c r="K887" s="58"/>
    </row>
    <row r="888" spans="11:11" x14ac:dyDescent="0.25">
      <c r="K888" s="58"/>
    </row>
    <row r="889" spans="11:11" x14ac:dyDescent="0.25">
      <c r="K889" s="58"/>
    </row>
    <row r="890" spans="11:11" x14ac:dyDescent="0.25">
      <c r="K890" s="58"/>
    </row>
    <row r="891" spans="11:11" x14ac:dyDescent="0.25">
      <c r="K891" s="58"/>
    </row>
    <row r="892" spans="11:11" x14ac:dyDescent="0.25">
      <c r="K892" s="58"/>
    </row>
    <row r="893" spans="11:11" x14ac:dyDescent="0.25">
      <c r="K893" s="58"/>
    </row>
    <row r="894" spans="11:11" x14ac:dyDescent="0.25">
      <c r="K894" s="58"/>
    </row>
    <row r="895" spans="11:11" x14ac:dyDescent="0.25">
      <c r="K895" s="58"/>
    </row>
    <row r="896" spans="11:11" x14ac:dyDescent="0.25">
      <c r="K896" s="58"/>
    </row>
    <row r="897" spans="11:11" x14ac:dyDescent="0.25">
      <c r="K897" s="58"/>
    </row>
    <row r="898" spans="11:11" x14ac:dyDescent="0.25">
      <c r="K898" s="58"/>
    </row>
    <row r="899" spans="11:11" x14ac:dyDescent="0.25">
      <c r="K899" s="58"/>
    </row>
    <row r="900" spans="11:11" x14ac:dyDescent="0.25">
      <c r="K900" s="58"/>
    </row>
    <row r="901" spans="11:11" x14ac:dyDescent="0.25">
      <c r="K901" s="58"/>
    </row>
    <row r="902" spans="11:11" x14ac:dyDescent="0.25">
      <c r="K902" s="58"/>
    </row>
    <row r="903" spans="11:11" x14ac:dyDescent="0.25">
      <c r="K903" s="58"/>
    </row>
    <row r="904" spans="11:11" x14ac:dyDescent="0.25">
      <c r="K904" s="58"/>
    </row>
    <row r="905" spans="11:11" x14ac:dyDescent="0.25">
      <c r="K905" s="58"/>
    </row>
    <row r="906" spans="11:11" x14ac:dyDescent="0.25">
      <c r="K906" s="58"/>
    </row>
    <row r="907" spans="11:11" x14ac:dyDescent="0.25">
      <c r="K907" s="58"/>
    </row>
    <row r="908" spans="11:11" x14ac:dyDescent="0.25">
      <c r="K908" s="58"/>
    </row>
    <row r="909" spans="11:11" x14ac:dyDescent="0.25">
      <c r="K909" s="58"/>
    </row>
    <row r="910" spans="11:11" x14ac:dyDescent="0.25">
      <c r="K910" s="58"/>
    </row>
    <row r="911" spans="11:11" x14ac:dyDescent="0.25">
      <c r="K911" s="58"/>
    </row>
    <row r="912" spans="11:11" x14ac:dyDescent="0.25">
      <c r="K912" s="58"/>
    </row>
    <row r="913" spans="11:11" x14ac:dyDescent="0.25">
      <c r="K913" s="58"/>
    </row>
    <row r="914" spans="11:11" x14ac:dyDescent="0.25">
      <c r="K914" s="58"/>
    </row>
    <row r="915" spans="11:11" x14ac:dyDescent="0.25">
      <c r="K915" s="58"/>
    </row>
    <row r="916" spans="11:11" x14ac:dyDescent="0.25">
      <c r="K916" s="58"/>
    </row>
    <row r="917" spans="11:11" x14ac:dyDescent="0.25">
      <c r="K917" s="58"/>
    </row>
    <row r="918" spans="11:11" x14ac:dyDescent="0.25">
      <c r="K918" s="58"/>
    </row>
    <row r="919" spans="11:11" x14ac:dyDescent="0.25">
      <c r="K919" s="58"/>
    </row>
    <row r="920" spans="11:11" x14ac:dyDescent="0.25">
      <c r="K920" s="58"/>
    </row>
    <row r="921" spans="11:11" x14ac:dyDescent="0.25">
      <c r="K921" s="58"/>
    </row>
    <row r="922" spans="11:11" x14ac:dyDescent="0.25">
      <c r="K922" s="58"/>
    </row>
    <row r="923" spans="11:11" x14ac:dyDescent="0.25">
      <c r="K923" s="58"/>
    </row>
    <row r="924" spans="11:11" x14ac:dyDescent="0.25">
      <c r="K924" s="58"/>
    </row>
    <row r="925" spans="11:11" x14ac:dyDescent="0.25">
      <c r="K925" s="58"/>
    </row>
    <row r="926" spans="11:11" x14ac:dyDescent="0.25">
      <c r="K926" s="58"/>
    </row>
    <row r="927" spans="11:11" x14ac:dyDescent="0.25">
      <c r="K927" s="58"/>
    </row>
    <row r="928" spans="11:11" x14ac:dyDescent="0.25">
      <c r="K928" s="58"/>
    </row>
    <row r="929" spans="11:11" x14ac:dyDescent="0.25">
      <c r="K929" s="58"/>
    </row>
    <row r="930" spans="11:11" x14ac:dyDescent="0.25">
      <c r="K930" s="58"/>
    </row>
    <row r="931" spans="11:11" x14ac:dyDescent="0.25">
      <c r="K931" s="58"/>
    </row>
    <row r="932" spans="11:11" x14ac:dyDescent="0.25">
      <c r="K932" s="58"/>
    </row>
    <row r="933" spans="11:11" x14ac:dyDescent="0.25">
      <c r="K933" s="58"/>
    </row>
    <row r="934" spans="11:11" x14ac:dyDescent="0.25">
      <c r="K934" s="58"/>
    </row>
    <row r="935" spans="11:11" x14ac:dyDescent="0.25">
      <c r="K935" s="58"/>
    </row>
    <row r="936" spans="11:11" x14ac:dyDescent="0.25">
      <c r="K936" s="58"/>
    </row>
    <row r="937" spans="11:11" x14ac:dyDescent="0.25">
      <c r="K937" s="58"/>
    </row>
    <row r="938" spans="11:11" x14ac:dyDescent="0.25">
      <c r="K938" s="58"/>
    </row>
    <row r="939" spans="11:11" x14ac:dyDescent="0.25">
      <c r="K939" s="58"/>
    </row>
    <row r="940" spans="11:11" x14ac:dyDescent="0.25">
      <c r="K940" s="58"/>
    </row>
    <row r="941" spans="11:11" x14ac:dyDescent="0.25">
      <c r="K941" s="58"/>
    </row>
    <row r="942" spans="11:11" x14ac:dyDescent="0.25">
      <c r="K942" s="58"/>
    </row>
    <row r="943" spans="11:11" x14ac:dyDescent="0.25">
      <c r="K943" s="58"/>
    </row>
    <row r="944" spans="11:11" x14ac:dyDescent="0.25">
      <c r="K944" s="58"/>
    </row>
    <row r="945" spans="11:11" x14ac:dyDescent="0.25">
      <c r="K945" s="58"/>
    </row>
    <row r="946" spans="11:11" x14ac:dyDescent="0.25">
      <c r="K946" s="58"/>
    </row>
    <row r="947" spans="11:11" x14ac:dyDescent="0.25">
      <c r="K947" s="58"/>
    </row>
    <row r="948" spans="11:11" x14ac:dyDescent="0.25">
      <c r="K948" s="58"/>
    </row>
    <row r="949" spans="11:11" x14ac:dyDescent="0.25">
      <c r="K949" s="58"/>
    </row>
    <row r="950" spans="11:11" x14ac:dyDescent="0.25">
      <c r="K950" s="58"/>
    </row>
    <row r="951" spans="11:11" x14ac:dyDescent="0.25">
      <c r="K951" s="58"/>
    </row>
    <row r="952" spans="11:11" x14ac:dyDescent="0.25">
      <c r="K952" s="58"/>
    </row>
    <row r="953" spans="11:11" x14ac:dyDescent="0.25">
      <c r="K953" s="58"/>
    </row>
    <row r="954" spans="11:11" x14ac:dyDescent="0.25">
      <c r="K954" s="58"/>
    </row>
    <row r="955" spans="11:11" x14ac:dyDescent="0.25">
      <c r="K955" s="58"/>
    </row>
    <row r="956" spans="11:11" x14ac:dyDescent="0.25">
      <c r="K956" s="58"/>
    </row>
    <row r="957" spans="11:11" x14ac:dyDescent="0.25">
      <c r="K957" s="58"/>
    </row>
    <row r="958" spans="11:11" x14ac:dyDescent="0.25">
      <c r="K958" s="58"/>
    </row>
    <row r="959" spans="11:11" x14ac:dyDescent="0.25">
      <c r="K959" s="58"/>
    </row>
    <row r="960" spans="11:11" x14ac:dyDescent="0.25">
      <c r="K960" s="58"/>
    </row>
    <row r="961" spans="11:11" x14ac:dyDescent="0.25">
      <c r="K961" s="58"/>
    </row>
    <row r="962" spans="11:11" x14ac:dyDescent="0.25">
      <c r="K962" s="58"/>
    </row>
    <row r="963" spans="11:11" x14ac:dyDescent="0.25">
      <c r="K963" s="58"/>
    </row>
    <row r="964" spans="11:11" x14ac:dyDescent="0.25">
      <c r="K964" s="58"/>
    </row>
    <row r="965" spans="11:11" x14ac:dyDescent="0.25">
      <c r="K965" s="58"/>
    </row>
    <row r="966" spans="11:11" x14ac:dyDescent="0.25">
      <c r="K966" s="58"/>
    </row>
    <row r="967" spans="11:11" x14ac:dyDescent="0.25">
      <c r="K967" s="58"/>
    </row>
    <row r="968" spans="11:11" x14ac:dyDescent="0.25">
      <c r="K968" s="58"/>
    </row>
    <row r="969" spans="11:11" x14ac:dyDescent="0.25">
      <c r="K969" s="58"/>
    </row>
    <row r="970" spans="11:11" x14ac:dyDescent="0.25">
      <c r="K970" s="58"/>
    </row>
    <row r="971" spans="11:11" x14ac:dyDescent="0.25">
      <c r="K971" s="58"/>
    </row>
    <row r="972" spans="11:11" x14ac:dyDescent="0.25">
      <c r="K972" s="58"/>
    </row>
    <row r="973" spans="11:11" x14ac:dyDescent="0.25">
      <c r="K973" s="58"/>
    </row>
    <row r="974" spans="11:11" x14ac:dyDescent="0.25">
      <c r="K974" s="58"/>
    </row>
    <row r="975" spans="11:11" x14ac:dyDescent="0.25">
      <c r="K975" s="58"/>
    </row>
    <row r="976" spans="11:11" x14ac:dyDescent="0.25">
      <c r="K976" s="58"/>
    </row>
    <row r="977" spans="11:11" x14ac:dyDescent="0.25">
      <c r="K977" s="58"/>
    </row>
    <row r="978" spans="11:11" x14ac:dyDescent="0.25">
      <c r="K978" s="58"/>
    </row>
    <row r="979" spans="11:11" x14ac:dyDescent="0.25">
      <c r="K979" s="58"/>
    </row>
    <row r="980" spans="11:11" x14ac:dyDescent="0.25">
      <c r="K980" s="58"/>
    </row>
    <row r="981" spans="11:11" x14ac:dyDescent="0.25">
      <c r="K981" s="58"/>
    </row>
    <row r="982" spans="11:11" x14ac:dyDescent="0.25">
      <c r="K982" s="58"/>
    </row>
    <row r="983" spans="11:11" x14ac:dyDescent="0.25">
      <c r="K983" s="58"/>
    </row>
    <row r="984" spans="11:11" x14ac:dyDescent="0.25">
      <c r="K984" s="58"/>
    </row>
    <row r="985" spans="11:11" x14ac:dyDescent="0.25">
      <c r="K985" s="58"/>
    </row>
    <row r="986" spans="11:11" x14ac:dyDescent="0.25">
      <c r="K986" s="58"/>
    </row>
    <row r="987" spans="11:11" x14ac:dyDescent="0.25">
      <c r="K987" s="58"/>
    </row>
    <row r="988" spans="11:11" x14ac:dyDescent="0.25">
      <c r="K988" s="58"/>
    </row>
    <row r="989" spans="11:11" x14ac:dyDescent="0.25">
      <c r="K989" s="58"/>
    </row>
    <row r="990" spans="11:11" x14ac:dyDescent="0.25">
      <c r="K990" s="58"/>
    </row>
    <row r="991" spans="11:11" x14ac:dyDescent="0.25">
      <c r="K991" s="58"/>
    </row>
    <row r="992" spans="11:11" x14ac:dyDescent="0.25">
      <c r="K992" s="58"/>
    </row>
    <row r="993" spans="11:11" x14ac:dyDescent="0.25">
      <c r="K993" s="58"/>
    </row>
    <row r="994" spans="11:11" x14ac:dyDescent="0.25">
      <c r="K994" s="58"/>
    </row>
    <row r="995" spans="11:11" x14ac:dyDescent="0.25">
      <c r="K995" s="58"/>
    </row>
    <row r="996" spans="11:11" x14ac:dyDescent="0.25">
      <c r="K996" s="58"/>
    </row>
    <row r="997" spans="11:11" x14ac:dyDescent="0.25">
      <c r="K997" s="58"/>
    </row>
    <row r="998" spans="11:11" x14ac:dyDescent="0.25">
      <c r="K998" s="58"/>
    </row>
    <row r="999" spans="11:11" x14ac:dyDescent="0.25">
      <c r="K999" s="58"/>
    </row>
    <row r="1000" spans="11:11" x14ac:dyDescent="0.25">
      <c r="K1000" s="58"/>
    </row>
    <row r="1001" spans="11:11" x14ac:dyDescent="0.25">
      <c r="K1001" s="58"/>
    </row>
    <row r="1002" spans="11:11" x14ac:dyDescent="0.25">
      <c r="K1002" s="58"/>
    </row>
    <row r="1003" spans="11:11" x14ac:dyDescent="0.25">
      <c r="K1003" s="58"/>
    </row>
    <row r="1004" spans="11:11" x14ac:dyDescent="0.25">
      <c r="K1004" s="58"/>
    </row>
    <row r="1005" spans="11:11" x14ac:dyDescent="0.25">
      <c r="K1005" s="58"/>
    </row>
    <row r="1006" spans="11:11" x14ac:dyDescent="0.25">
      <c r="K1006" s="58"/>
    </row>
    <row r="1007" spans="11:11" x14ac:dyDescent="0.25">
      <c r="K1007" s="58"/>
    </row>
    <row r="1008" spans="11:11" x14ac:dyDescent="0.25">
      <c r="K1008" s="58"/>
    </row>
    <row r="1009" spans="11:11" x14ac:dyDescent="0.25">
      <c r="K1009" s="58"/>
    </row>
    <row r="1010" spans="11:11" x14ac:dyDescent="0.25">
      <c r="K1010" s="58"/>
    </row>
    <row r="1011" spans="11:11" x14ac:dyDescent="0.25">
      <c r="K1011" s="58"/>
    </row>
    <row r="1012" spans="11:11" x14ac:dyDescent="0.25">
      <c r="K1012" s="58"/>
    </row>
    <row r="1013" spans="11:11" x14ac:dyDescent="0.25">
      <c r="K1013" s="58"/>
    </row>
    <row r="1014" spans="11:11" x14ac:dyDescent="0.25">
      <c r="K1014" s="58"/>
    </row>
    <row r="1015" spans="11:11" x14ac:dyDescent="0.25">
      <c r="K1015" s="58"/>
    </row>
    <row r="1016" spans="11:11" x14ac:dyDescent="0.25">
      <c r="K1016" s="58"/>
    </row>
    <row r="1017" spans="11:11" x14ac:dyDescent="0.25">
      <c r="K1017" s="58"/>
    </row>
    <row r="1018" spans="11:11" x14ac:dyDescent="0.25">
      <c r="K1018" s="58"/>
    </row>
    <row r="1019" spans="11:11" x14ac:dyDescent="0.25">
      <c r="K1019" s="58"/>
    </row>
    <row r="1020" spans="11:11" x14ac:dyDescent="0.25">
      <c r="K1020" s="58"/>
    </row>
    <row r="1021" spans="11:11" x14ac:dyDescent="0.25">
      <c r="K1021" s="58"/>
    </row>
    <row r="1022" spans="11:11" x14ac:dyDescent="0.25">
      <c r="K1022" s="58"/>
    </row>
    <row r="1023" spans="11:11" x14ac:dyDescent="0.25">
      <c r="K1023" s="58"/>
    </row>
    <row r="1024" spans="11:11" x14ac:dyDescent="0.25">
      <c r="K1024" s="58"/>
    </row>
    <row r="1025" spans="11:11" x14ac:dyDescent="0.25">
      <c r="K1025" s="58"/>
    </row>
    <row r="1026" spans="11:11" x14ac:dyDescent="0.25">
      <c r="K1026" s="58"/>
    </row>
    <row r="1027" spans="11:11" x14ac:dyDescent="0.25">
      <c r="K1027" s="58"/>
    </row>
    <row r="1028" spans="11:11" x14ac:dyDescent="0.25">
      <c r="K1028" s="58"/>
    </row>
    <row r="1029" spans="11:11" x14ac:dyDescent="0.25">
      <c r="K1029" s="58"/>
    </row>
    <row r="1030" spans="11:11" x14ac:dyDescent="0.25">
      <c r="K1030" s="58"/>
    </row>
    <row r="1031" spans="11:11" x14ac:dyDescent="0.25">
      <c r="K1031" s="58"/>
    </row>
    <row r="1032" spans="11:11" x14ac:dyDescent="0.25">
      <c r="K1032" s="58"/>
    </row>
    <row r="1033" spans="11:11" x14ac:dyDescent="0.25">
      <c r="K1033" s="58"/>
    </row>
    <row r="1034" spans="11:11" x14ac:dyDescent="0.25">
      <c r="K1034" s="58"/>
    </row>
    <row r="1035" spans="11:11" x14ac:dyDescent="0.25">
      <c r="K1035" s="58"/>
    </row>
    <row r="1036" spans="11:11" x14ac:dyDescent="0.25">
      <c r="K1036" s="58"/>
    </row>
    <row r="1037" spans="11:11" x14ac:dyDescent="0.25">
      <c r="K1037" s="58"/>
    </row>
    <row r="1038" spans="11:11" x14ac:dyDescent="0.25">
      <c r="K1038" s="58"/>
    </row>
    <row r="1039" spans="11:11" x14ac:dyDescent="0.25">
      <c r="K1039" s="58"/>
    </row>
    <row r="1040" spans="11:11" x14ac:dyDescent="0.25">
      <c r="K1040" s="58"/>
    </row>
    <row r="1041" spans="11:11" x14ac:dyDescent="0.25">
      <c r="K1041" s="58"/>
    </row>
    <row r="1042" spans="11:11" x14ac:dyDescent="0.25">
      <c r="K1042" s="58"/>
    </row>
    <row r="1043" spans="11:11" x14ac:dyDescent="0.25">
      <c r="K1043" s="58"/>
    </row>
    <row r="1044" spans="11:11" x14ac:dyDescent="0.25">
      <c r="K1044" s="58"/>
    </row>
    <row r="1045" spans="11:11" x14ac:dyDescent="0.25">
      <c r="K1045" s="58"/>
    </row>
    <row r="1046" spans="11:11" x14ac:dyDescent="0.25">
      <c r="K1046" s="58"/>
    </row>
    <row r="1047" spans="11:11" x14ac:dyDescent="0.25">
      <c r="K1047" s="58"/>
    </row>
    <row r="1048" spans="11:11" x14ac:dyDescent="0.25">
      <c r="K1048" s="58"/>
    </row>
    <row r="1049" spans="11:11" x14ac:dyDescent="0.25">
      <c r="K1049" s="58"/>
    </row>
    <row r="1050" spans="11:11" x14ac:dyDescent="0.25">
      <c r="K1050" s="58"/>
    </row>
    <row r="1051" spans="11:11" x14ac:dyDescent="0.25">
      <c r="K1051" s="58"/>
    </row>
    <row r="1052" spans="11:11" x14ac:dyDescent="0.25">
      <c r="K1052" s="58"/>
    </row>
    <row r="1053" spans="11:11" x14ac:dyDescent="0.25">
      <c r="K1053" s="58"/>
    </row>
    <row r="1054" spans="11:11" x14ac:dyDescent="0.25">
      <c r="K1054" s="58"/>
    </row>
    <row r="1055" spans="11:11" x14ac:dyDescent="0.25">
      <c r="K1055" s="58"/>
    </row>
    <row r="1056" spans="11:11" x14ac:dyDescent="0.25">
      <c r="K1056" s="58"/>
    </row>
    <row r="1057" spans="11:11" x14ac:dyDescent="0.25">
      <c r="K1057" s="58"/>
    </row>
    <row r="1058" spans="11:11" x14ac:dyDescent="0.25">
      <c r="K1058" s="58"/>
    </row>
    <row r="1059" spans="11:11" x14ac:dyDescent="0.25">
      <c r="K1059" s="58"/>
    </row>
    <row r="1060" spans="11:11" x14ac:dyDescent="0.25">
      <c r="K1060" s="58"/>
    </row>
    <row r="1061" spans="11:11" x14ac:dyDescent="0.25">
      <c r="K1061" s="58"/>
    </row>
    <row r="1062" spans="11:11" x14ac:dyDescent="0.25">
      <c r="K1062" s="58"/>
    </row>
    <row r="1063" spans="11:11" x14ac:dyDescent="0.25">
      <c r="K1063" s="58"/>
    </row>
    <row r="1064" spans="11:11" x14ac:dyDescent="0.25">
      <c r="K1064" s="58"/>
    </row>
    <row r="1065" spans="11:11" x14ac:dyDescent="0.25">
      <c r="K1065" s="58"/>
    </row>
    <row r="1066" spans="11:11" x14ac:dyDescent="0.25">
      <c r="K1066" s="58"/>
    </row>
    <row r="1067" spans="11:11" x14ac:dyDescent="0.25">
      <c r="K1067" s="58"/>
    </row>
    <row r="1068" spans="11:11" x14ac:dyDescent="0.25">
      <c r="K1068" s="58"/>
    </row>
    <row r="1069" spans="11:11" x14ac:dyDescent="0.25">
      <c r="K1069" s="58"/>
    </row>
    <row r="1070" spans="11:11" x14ac:dyDescent="0.25">
      <c r="K1070" s="58"/>
    </row>
    <row r="1071" spans="11:11" x14ac:dyDescent="0.25">
      <c r="K1071" s="58"/>
    </row>
    <row r="1072" spans="11:11" x14ac:dyDescent="0.25">
      <c r="K1072" s="58"/>
    </row>
    <row r="1073" spans="11:11" x14ac:dyDescent="0.25">
      <c r="K1073" s="58"/>
    </row>
    <row r="1074" spans="11:11" x14ac:dyDescent="0.25">
      <c r="K1074" s="58"/>
    </row>
    <row r="1075" spans="11:11" x14ac:dyDescent="0.25">
      <c r="K1075" s="58"/>
    </row>
    <row r="1076" spans="11:11" x14ac:dyDescent="0.25">
      <c r="K1076" s="58"/>
    </row>
    <row r="1077" spans="11:11" x14ac:dyDescent="0.25">
      <c r="K1077" s="58"/>
    </row>
    <row r="1078" spans="11:11" x14ac:dyDescent="0.25">
      <c r="K1078" s="58"/>
    </row>
    <row r="1079" spans="11:11" x14ac:dyDescent="0.25">
      <c r="K1079" s="58"/>
    </row>
    <row r="1080" spans="11:11" x14ac:dyDescent="0.25">
      <c r="K1080" s="58"/>
    </row>
    <row r="1081" spans="11:11" x14ac:dyDescent="0.25">
      <c r="K1081" s="58"/>
    </row>
    <row r="1082" spans="11:11" x14ac:dyDescent="0.25">
      <c r="K1082" s="58"/>
    </row>
    <row r="1083" spans="11:11" x14ac:dyDescent="0.25">
      <c r="K1083" s="58"/>
    </row>
    <row r="1084" spans="11:11" x14ac:dyDescent="0.25">
      <c r="K1084" s="58"/>
    </row>
    <row r="1085" spans="11:11" x14ac:dyDescent="0.25">
      <c r="K1085" s="58"/>
    </row>
    <row r="1086" spans="11:11" x14ac:dyDescent="0.25">
      <c r="K1086" s="58"/>
    </row>
    <row r="1087" spans="11:11" x14ac:dyDescent="0.25">
      <c r="K1087" s="58"/>
    </row>
    <row r="1088" spans="11:11" x14ac:dyDescent="0.25">
      <c r="K1088" s="58"/>
    </row>
    <row r="1089" spans="11:11" x14ac:dyDescent="0.25">
      <c r="K1089" s="58"/>
    </row>
    <row r="1090" spans="11:11" x14ac:dyDescent="0.25">
      <c r="K1090" s="58"/>
    </row>
    <row r="1091" spans="11:11" x14ac:dyDescent="0.25">
      <c r="K1091" s="58"/>
    </row>
    <row r="1092" spans="11:11" x14ac:dyDescent="0.25">
      <c r="K1092" s="58"/>
    </row>
    <row r="1093" spans="11:11" x14ac:dyDescent="0.25">
      <c r="K1093" s="58"/>
    </row>
    <row r="1094" spans="11:11" x14ac:dyDescent="0.25">
      <c r="K1094" s="58"/>
    </row>
    <row r="1095" spans="11:11" x14ac:dyDescent="0.25">
      <c r="K1095" s="58"/>
    </row>
    <row r="1096" spans="11:11" x14ac:dyDescent="0.25">
      <c r="K1096" s="58"/>
    </row>
    <row r="1097" spans="11:11" x14ac:dyDescent="0.25">
      <c r="K1097" s="58"/>
    </row>
    <row r="1098" spans="11:11" x14ac:dyDescent="0.25">
      <c r="K1098" s="58"/>
    </row>
    <row r="1099" spans="11:11" x14ac:dyDescent="0.25">
      <c r="K1099" s="58"/>
    </row>
    <row r="1100" spans="11:11" x14ac:dyDescent="0.25">
      <c r="K1100" s="58"/>
    </row>
    <row r="1101" spans="11:11" x14ac:dyDescent="0.25">
      <c r="K1101" s="58"/>
    </row>
    <row r="1102" spans="11:11" x14ac:dyDescent="0.25">
      <c r="K1102" s="58"/>
    </row>
    <row r="1103" spans="11:11" x14ac:dyDescent="0.25">
      <c r="K1103" s="58"/>
    </row>
    <row r="1104" spans="11:11" x14ac:dyDescent="0.25">
      <c r="K1104" s="58"/>
    </row>
    <row r="1105" spans="11:11" x14ac:dyDescent="0.25">
      <c r="K1105" s="58"/>
    </row>
    <row r="1106" spans="11:11" x14ac:dyDescent="0.25">
      <c r="K1106" s="58"/>
    </row>
    <row r="1107" spans="11:11" x14ac:dyDescent="0.25">
      <c r="K1107" s="58"/>
    </row>
    <row r="1108" spans="11:11" x14ac:dyDescent="0.25">
      <c r="K1108" s="58"/>
    </row>
    <row r="1109" spans="11:11" x14ac:dyDescent="0.25">
      <c r="K1109" s="58"/>
    </row>
    <row r="1110" spans="11:11" x14ac:dyDescent="0.25">
      <c r="K1110" s="58"/>
    </row>
    <row r="1111" spans="11:11" x14ac:dyDescent="0.25">
      <c r="K1111" s="58"/>
    </row>
    <row r="1112" spans="11:11" x14ac:dyDescent="0.25">
      <c r="K1112" s="58"/>
    </row>
    <row r="1113" spans="11:11" x14ac:dyDescent="0.25">
      <c r="K1113" s="58"/>
    </row>
    <row r="1114" spans="11:11" x14ac:dyDescent="0.25">
      <c r="K1114" s="58"/>
    </row>
    <row r="1115" spans="11:11" x14ac:dyDescent="0.25">
      <c r="K1115" s="58"/>
    </row>
    <row r="1116" spans="11:11" x14ac:dyDescent="0.25">
      <c r="K1116" s="58"/>
    </row>
    <row r="1117" spans="11:11" x14ac:dyDescent="0.25">
      <c r="K1117" s="58"/>
    </row>
    <row r="1118" spans="11:11" x14ac:dyDescent="0.25">
      <c r="K1118" s="58"/>
    </row>
    <row r="1119" spans="11:11" x14ac:dyDescent="0.25">
      <c r="K1119" s="58"/>
    </row>
    <row r="1120" spans="11:11" x14ac:dyDescent="0.25">
      <c r="K1120" s="58"/>
    </row>
    <row r="1121" spans="11:11" x14ac:dyDescent="0.25">
      <c r="K1121" s="58"/>
    </row>
    <row r="1122" spans="11:11" x14ac:dyDescent="0.25">
      <c r="K1122" s="58"/>
    </row>
    <row r="1123" spans="11:11" x14ac:dyDescent="0.25">
      <c r="K1123" s="58"/>
    </row>
    <row r="1124" spans="11:11" x14ac:dyDescent="0.25">
      <c r="K1124" s="58"/>
    </row>
    <row r="1125" spans="11:11" x14ac:dyDescent="0.25">
      <c r="K1125" s="58"/>
    </row>
    <row r="1126" spans="11:11" x14ac:dyDescent="0.25">
      <c r="K1126" s="58"/>
    </row>
    <row r="1127" spans="11:11" x14ac:dyDescent="0.25">
      <c r="K1127" s="58"/>
    </row>
    <row r="1128" spans="11:11" x14ac:dyDescent="0.25">
      <c r="K1128" s="58"/>
    </row>
    <row r="1129" spans="11:11" x14ac:dyDescent="0.25">
      <c r="K1129" s="58"/>
    </row>
    <row r="1130" spans="11:11" x14ac:dyDescent="0.25">
      <c r="K1130" s="58"/>
    </row>
    <row r="1131" spans="11:11" x14ac:dyDescent="0.25">
      <c r="K1131" s="58"/>
    </row>
    <row r="1132" spans="11:11" x14ac:dyDescent="0.25">
      <c r="K1132" s="58"/>
    </row>
    <row r="1133" spans="11:11" x14ac:dyDescent="0.25">
      <c r="K1133" s="58"/>
    </row>
    <row r="1134" spans="11:11" x14ac:dyDescent="0.25">
      <c r="K1134" s="58"/>
    </row>
    <row r="1135" spans="11:11" x14ac:dyDescent="0.25">
      <c r="K1135" s="58"/>
    </row>
    <row r="1136" spans="11:11" x14ac:dyDescent="0.25">
      <c r="K1136" s="58"/>
    </row>
    <row r="1137" spans="11:11" x14ac:dyDescent="0.25">
      <c r="K1137" s="58"/>
    </row>
    <row r="1138" spans="11:11" x14ac:dyDescent="0.25">
      <c r="K1138" s="58"/>
    </row>
    <row r="1139" spans="11:11" x14ac:dyDescent="0.25">
      <c r="K1139" s="58"/>
    </row>
    <row r="1140" spans="11:11" x14ac:dyDescent="0.25">
      <c r="K1140" s="58"/>
    </row>
    <row r="1141" spans="11:11" x14ac:dyDescent="0.25">
      <c r="K1141" s="58"/>
    </row>
    <row r="1142" spans="11:11" x14ac:dyDescent="0.25">
      <c r="K1142" s="58"/>
    </row>
    <row r="1143" spans="11:11" x14ac:dyDescent="0.25">
      <c r="K1143" s="58"/>
    </row>
    <row r="1144" spans="11:11" x14ac:dyDescent="0.25">
      <c r="K1144" s="58"/>
    </row>
    <row r="1145" spans="11:11" x14ac:dyDescent="0.25">
      <c r="K1145" s="58"/>
    </row>
    <row r="1146" spans="11:11" x14ac:dyDescent="0.25">
      <c r="K1146" s="58"/>
    </row>
    <row r="1147" spans="11:11" x14ac:dyDescent="0.25">
      <c r="K1147" s="58"/>
    </row>
    <row r="1148" spans="11:11" x14ac:dyDescent="0.25">
      <c r="K1148" s="58"/>
    </row>
    <row r="1149" spans="11:11" x14ac:dyDescent="0.25">
      <c r="K1149" s="58"/>
    </row>
    <row r="1150" spans="11:11" x14ac:dyDescent="0.25">
      <c r="K1150" s="58"/>
    </row>
    <row r="1151" spans="11:11" x14ac:dyDescent="0.25">
      <c r="K1151" s="58"/>
    </row>
    <row r="1152" spans="11:11" x14ac:dyDescent="0.25">
      <c r="K1152" s="58"/>
    </row>
    <row r="1153" spans="11:11" x14ac:dyDescent="0.25">
      <c r="K1153" s="58"/>
    </row>
    <row r="1154" spans="11:11" x14ac:dyDescent="0.25">
      <c r="K1154" s="58"/>
    </row>
    <row r="1155" spans="11:11" x14ac:dyDescent="0.25">
      <c r="K1155" s="58"/>
    </row>
    <row r="1156" spans="11:11" x14ac:dyDescent="0.25">
      <c r="K1156" s="58"/>
    </row>
    <row r="1157" spans="11:11" x14ac:dyDescent="0.25">
      <c r="K1157" s="58"/>
    </row>
    <row r="1158" spans="11:11" x14ac:dyDescent="0.25">
      <c r="K1158" s="58"/>
    </row>
    <row r="1159" spans="11:11" x14ac:dyDescent="0.25">
      <c r="K1159" s="58"/>
    </row>
    <row r="1160" spans="11:11" x14ac:dyDescent="0.25">
      <c r="K1160" s="58"/>
    </row>
    <row r="1161" spans="11:11" x14ac:dyDescent="0.25">
      <c r="K1161" s="58"/>
    </row>
    <row r="1162" spans="11:11" x14ac:dyDescent="0.25">
      <c r="K1162" s="58"/>
    </row>
    <row r="1163" spans="11:11" x14ac:dyDescent="0.25">
      <c r="K1163" s="58"/>
    </row>
    <row r="1164" spans="11:11" x14ac:dyDescent="0.25">
      <c r="K1164" s="58"/>
    </row>
    <row r="1165" spans="11:11" x14ac:dyDescent="0.25">
      <c r="K1165" s="58"/>
    </row>
    <row r="1166" spans="11:11" x14ac:dyDescent="0.25">
      <c r="K1166" s="58"/>
    </row>
    <row r="1167" spans="11:11" x14ac:dyDescent="0.25">
      <c r="K1167" s="58"/>
    </row>
    <row r="1168" spans="11:11" x14ac:dyDescent="0.25">
      <c r="K1168" s="58"/>
    </row>
    <row r="1169" spans="11:11" x14ac:dyDescent="0.25">
      <c r="K1169" s="58"/>
    </row>
    <row r="1170" spans="11:11" x14ac:dyDescent="0.25">
      <c r="K1170" s="58"/>
    </row>
    <row r="1171" spans="11:11" x14ac:dyDescent="0.25">
      <c r="K1171" s="58"/>
    </row>
    <row r="1172" spans="11:11" x14ac:dyDescent="0.25">
      <c r="K1172" s="58"/>
    </row>
    <row r="1173" spans="11:11" x14ac:dyDescent="0.25">
      <c r="K1173" s="58"/>
    </row>
    <row r="1174" spans="11:11" x14ac:dyDescent="0.25">
      <c r="K1174" s="58"/>
    </row>
    <row r="1175" spans="11:11" x14ac:dyDescent="0.25">
      <c r="K1175" s="58"/>
    </row>
    <row r="1176" spans="11:11" x14ac:dyDescent="0.25">
      <c r="K1176" s="58"/>
    </row>
    <row r="1177" spans="11:11" x14ac:dyDescent="0.25">
      <c r="K1177" s="58"/>
    </row>
    <row r="1178" spans="11:11" x14ac:dyDescent="0.25">
      <c r="K1178" s="58"/>
    </row>
    <row r="1179" spans="11:11" x14ac:dyDescent="0.25">
      <c r="K1179" s="58"/>
    </row>
    <row r="1180" spans="11:11" x14ac:dyDescent="0.25">
      <c r="K1180" s="58"/>
    </row>
    <row r="1181" spans="11:11" x14ac:dyDescent="0.25">
      <c r="K1181" s="58"/>
    </row>
    <row r="1182" spans="11:11" x14ac:dyDescent="0.25">
      <c r="K1182" s="58"/>
    </row>
    <row r="1183" spans="11:11" x14ac:dyDescent="0.25">
      <c r="K1183" s="58"/>
    </row>
    <row r="1184" spans="11:11" x14ac:dyDescent="0.25">
      <c r="K1184" s="58"/>
    </row>
    <row r="1185" spans="11:11" x14ac:dyDescent="0.25">
      <c r="K1185" s="58"/>
    </row>
    <row r="1186" spans="11:11" x14ac:dyDescent="0.25">
      <c r="K1186" s="58"/>
    </row>
    <row r="1187" spans="11:11" x14ac:dyDescent="0.25">
      <c r="K1187" s="58"/>
    </row>
    <row r="1188" spans="11:11" x14ac:dyDescent="0.25">
      <c r="K1188" s="58"/>
    </row>
    <row r="1189" spans="11:11" x14ac:dyDescent="0.25">
      <c r="K1189" s="58"/>
    </row>
    <row r="1190" spans="11:11" x14ac:dyDescent="0.25">
      <c r="K1190" s="58"/>
    </row>
    <row r="1191" spans="11:11" x14ac:dyDescent="0.25">
      <c r="K1191" s="58"/>
    </row>
    <row r="1192" spans="11:11" x14ac:dyDescent="0.25">
      <c r="K1192" s="58"/>
    </row>
    <row r="1193" spans="11:11" x14ac:dyDescent="0.25">
      <c r="K1193" s="58"/>
    </row>
    <row r="1194" spans="11:11" x14ac:dyDescent="0.25">
      <c r="K1194" s="58"/>
    </row>
    <row r="1195" spans="11:11" x14ac:dyDescent="0.25">
      <c r="K1195" s="58"/>
    </row>
    <row r="1196" spans="11:11" x14ac:dyDescent="0.25">
      <c r="K1196" s="58"/>
    </row>
    <row r="1197" spans="11:11" x14ac:dyDescent="0.25">
      <c r="K1197" s="58"/>
    </row>
    <row r="1198" spans="11:11" x14ac:dyDescent="0.25">
      <c r="K1198" s="58"/>
    </row>
    <row r="1199" spans="11:11" x14ac:dyDescent="0.25">
      <c r="K1199" s="58"/>
    </row>
    <row r="1200" spans="11:11" x14ac:dyDescent="0.25">
      <c r="K1200" s="58"/>
    </row>
    <row r="1201" spans="11:11" x14ac:dyDescent="0.25">
      <c r="K1201" s="58"/>
    </row>
    <row r="1202" spans="11:11" x14ac:dyDescent="0.25">
      <c r="K1202" s="58"/>
    </row>
    <row r="1203" spans="11:11" x14ac:dyDescent="0.25">
      <c r="K1203" s="58"/>
    </row>
    <row r="1204" spans="11:11" x14ac:dyDescent="0.25">
      <c r="K1204" s="58"/>
    </row>
    <row r="1205" spans="11:11" x14ac:dyDescent="0.25">
      <c r="K1205" s="58"/>
    </row>
    <row r="1206" spans="11:11" x14ac:dyDescent="0.25">
      <c r="K1206" s="58"/>
    </row>
    <row r="1207" spans="11:11" x14ac:dyDescent="0.25">
      <c r="K1207" s="58"/>
    </row>
    <row r="1208" spans="11:11" x14ac:dyDescent="0.25">
      <c r="K1208" s="58"/>
    </row>
    <row r="1209" spans="11:11" x14ac:dyDescent="0.25">
      <c r="K1209" s="58"/>
    </row>
    <row r="1210" spans="11:11" x14ac:dyDescent="0.25">
      <c r="K1210" s="58"/>
    </row>
    <row r="1211" spans="11:11" x14ac:dyDescent="0.25">
      <c r="K1211" s="58"/>
    </row>
    <row r="1212" spans="11:11" x14ac:dyDescent="0.25">
      <c r="K1212" s="58"/>
    </row>
    <row r="1213" spans="11:11" x14ac:dyDescent="0.25">
      <c r="K1213" s="58"/>
    </row>
    <row r="1214" spans="11:11" x14ac:dyDescent="0.25">
      <c r="K1214" s="58"/>
    </row>
    <row r="1215" spans="11:11" x14ac:dyDescent="0.25">
      <c r="K1215" s="58"/>
    </row>
    <row r="1216" spans="11:11" x14ac:dyDescent="0.25">
      <c r="K1216" s="58"/>
    </row>
    <row r="1217" spans="11:11" x14ac:dyDescent="0.25">
      <c r="K1217" s="58"/>
    </row>
    <row r="1218" spans="11:11" x14ac:dyDescent="0.25">
      <c r="K1218" s="58"/>
    </row>
    <row r="1219" spans="11:11" x14ac:dyDescent="0.25">
      <c r="K1219" s="58"/>
    </row>
    <row r="1220" spans="11:11" x14ac:dyDescent="0.25">
      <c r="K1220" s="58"/>
    </row>
    <row r="1221" spans="11:11" x14ac:dyDescent="0.25">
      <c r="K1221" s="58"/>
    </row>
    <row r="1222" spans="11:11" x14ac:dyDescent="0.25">
      <c r="K1222" s="58"/>
    </row>
    <row r="1223" spans="11:11" x14ac:dyDescent="0.25">
      <c r="K1223" s="58"/>
    </row>
    <row r="1224" spans="11:11" x14ac:dyDescent="0.25">
      <c r="K1224" s="58"/>
    </row>
    <row r="1225" spans="11:11" x14ac:dyDescent="0.25">
      <c r="K1225" s="58"/>
    </row>
    <row r="1226" spans="11:11" x14ac:dyDescent="0.25">
      <c r="K1226" s="58"/>
    </row>
    <row r="1227" spans="11:11" x14ac:dyDescent="0.25">
      <c r="K1227" s="58"/>
    </row>
    <row r="1228" spans="11:11" x14ac:dyDescent="0.25">
      <c r="K1228" s="58"/>
    </row>
    <row r="1229" spans="11:11" x14ac:dyDescent="0.25">
      <c r="K1229" s="58"/>
    </row>
    <row r="1230" spans="11:11" x14ac:dyDescent="0.25">
      <c r="K1230" s="58"/>
    </row>
    <row r="1231" spans="11:11" x14ac:dyDescent="0.25">
      <c r="K1231" s="58"/>
    </row>
    <row r="1232" spans="11:11" x14ac:dyDescent="0.25">
      <c r="K1232" s="58"/>
    </row>
    <row r="1233" spans="11:11" x14ac:dyDescent="0.25">
      <c r="K1233" s="58"/>
    </row>
    <row r="1234" spans="11:11" x14ac:dyDescent="0.25">
      <c r="K1234" s="58"/>
    </row>
    <row r="1235" spans="11:11" x14ac:dyDescent="0.25">
      <c r="K1235" s="58"/>
    </row>
    <row r="1236" spans="11:11" x14ac:dyDescent="0.25">
      <c r="K1236" s="58"/>
    </row>
    <row r="1237" spans="11:11" x14ac:dyDescent="0.25">
      <c r="K1237" s="58"/>
    </row>
    <row r="1238" spans="11:11" x14ac:dyDescent="0.25">
      <c r="K1238" s="58"/>
    </row>
    <row r="1239" spans="11:11" x14ac:dyDescent="0.25">
      <c r="K1239" s="58"/>
    </row>
    <row r="1240" spans="11:11" x14ac:dyDescent="0.25">
      <c r="K1240" s="58"/>
    </row>
    <row r="1241" spans="11:11" x14ac:dyDescent="0.25">
      <c r="K1241" s="58"/>
    </row>
    <row r="1242" spans="11:11" x14ac:dyDescent="0.25">
      <c r="K1242" s="58"/>
    </row>
    <row r="1243" spans="11:11" x14ac:dyDescent="0.25">
      <c r="K1243" s="58"/>
    </row>
    <row r="1244" spans="11:11" x14ac:dyDescent="0.25">
      <c r="K1244" s="58"/>
    </row>
    <row r="1245" spans="11:11" x14ac:dyDescent="0.25">
      <c r="K1245" s="58"/>
    </row>
    <row r="1246" spans="11:11" x14ac:dyDescent="0.25">
      <c r="K1246" s="58"/>
    </row>
    <row r="1247" spans="11:11" x14ac:dyDescent="0.25">
      <c r="K1247" s="58"/>
    </row>
    <row r="1248" spans="11:11" x14ac:dyDescent="0.25">
      <c r="K1248" s="58"/>
    </row>
    <row r="1249" spans="11:11" x14ac:dyDescent="0.25">
      <c r="K1249" s="58"/>
    </row>
    <row r="1250" spans="11:11" x14ac:dyDescent="0.25">
      <c r="K1250" s="58"/>
    </row>
    <row r="1251" spans="11:11" x14ac:dyDescent="0.25">
      <c r="K1251" s="58"/>
    </row>
    <row r="1252" spans="11:11" x14ac:dyDescent="0.25">
      <c r="K1252" s="58"/>
    </row>
    <row r="1253" spans="11:11" x14ac:dyDescent="0.25">
      <c r="K1253" s="58"/>
    </row>
    <row r="1254" spans="11:11" x14ac:dyDescent="0.25">
      <c r="K1254" s="58"/>
    </row>
    <row r="1255" spans="11:11" x14ac:dyDescent="0.25">
      <c r="K1255" s="58"/>
    </row>
    <row r="1256" spans="11:11" x14ac:dyDescent="0.25">
      <c r="K1256" s="58"/>
    </row>
    <row r="1257" spans="11:11" x14ac:dyDescent="0.25">
      <c r="K1257" s="58"/>
    </row>
    <row r="1258" spans="11:11" x14ac:dyDescent="0.25">
      <c r="K1258" s="58"/>
    </row>
    <row r="1259" spans="11:11" x14ac:dyDescent="0.25">
      <c r="K1259" s="58"/>
    </row>
    <row r="1260" spans="11:11" x14ac:dyDescent="0.25">
      <c r="K1260" s="58"/>
    </row>
    <row r="1261" spans="11:11" x14ac:dyDescent="0.25">
      <c r="K1261" s="58"/>
    </row>
    <row r="1262" spans="11:11" x14ac:dyDescent="0.25">
      <c r="K1262" s="58"/>
    </row>
    <row r="1263" spans="11:11" x14ac:dyDescent="0.25">
      <c r="K1263" s="58"/>
    </row>
    <row r="1264" spans="11:11" x14ac:dyDescent="0.25">
      <c r="K1264" s="58"/>
    </row>
    <row r="1265" spans="11:11" x14ac:dyDescent="0.25">
      <c r="K1265" s="58"/>
    </row>
    <row r="1266" spans="11:11" x14ac:dyDescent="0.25">
      <c r="K1266" s="58"/>
    </row>
    <row r="1267" spans="11:11" x14ac:dyDescent="0.25">
      <c r="K1267" s="58"/>
    </row>
    <row r="1268" spans="11:11" x14ac:dyDescent="0.25">
      <c r="K1268" s="58"/>
    </row>
    <row r="1269" spans="11:11" x14ac:dyDescent="0.25">
      <c r="K1269" s="58"/>
    </row>
    <row r="1270" spans="11:11" x14ac:dyDescent="0.25">
      <c r="K1270" s="58"/>
    </row>
    <row r="1271" spans="11:11" x14ac:dyDescent="0.25">
      <c r="K1271" s="58"/>
    </row>
    <row r="1272" spans="11:11" x14ac:dyDescent="0.25">
      <c r="K1272" s="58"/>
    </row>
    <row r="1273" spans="11:11" x14ac:dyDescent="0.25">
      <c r="K1273" s="58"/>
    </row>
    <row r="1274" spans="11:11" x14ac:dyDescent="0.25">
      <c r="K1274" s="58"/>
    </row>
    <row r="1275" spans="11:11" x14ac:dyDescent="0.25">
      <c r="K1275" s="58"/>
    </row>
    <row r="1276" spans="11:11" x14ac:dyDescent="0.25">
      <c r="K1276" s="58"/>
    </row>
    <row r="1277" spans="11:11" x14ac:dyDescent="0.25">
      <c r="K1277" s="58"/>
    </row>
    <row r="1278" spans="11:11" x14ac:dyDescent="0.25">
      <c r="K1278" s="58"/>
    </row>
    <row r="1279" spans="11:11" x14ac:dyDescent="0.25">
      <c r="K1279" s="58"/>
    </row>
    <row r="1280" spans="11:11" x14ac:dyDescent="0.25">
      <c r="K1280" s="58"/>
    </row>
    <row r="1281" spans="11:11" x14ac:dyDescent="0.25">
      <c r="K1281" s="58"/>
    </row>
    <row r="1282" spans="11:11" x14ac:dyDescent="0.25">
      <c r="K1282" s="58"/>
    </row>
    <row r="1283" spans="11:11" x14ac:dyDescent="0.25">
      <c r="K1283" s="58"/>
    </row>
    <row r="1284" spans="11:11" x14ac:dyDescent="0.25">
      <c r="K1284" s="58"/>
    </row>
    <row r="1285" spans="11:11" x14ac:dyDescent="0.25">
      <c r="K1285" s="58"/>
    </row>
    <row r="1286" spans="11:11" x14ac:dyDescent="0.25">
      <c r="K1286" s="58"/>
    </row>
    <row r="1287" spans="11:11" x14ac:dyDescent="0.25">
      <c r="K1287" s="58"/>
    </row>
    <row r="1288" spans="11:11" x14ac:dyDescent="0.25">
      <c r="K1288" s="58"/>
    </row>
    <row r="1289" spans="11:11" x14ac:dyDescent="0.25">
      <c r="K1289" s="58"/>
    </row>
    <row r="1290" spans="11:11" x14ac:dyDescent="0.25">
      <c r="K1290" s="58"/>
    </row>
    <row r="1291" spans="11:11" x14ac:dyDescent="0.25">
      <c r="K1291" s="58"/>
    </row>
    <row r="1292" spans="11:11" x14ac:dyDescent="0.25">
      <c r="K1292" s="58"/>
    </row>
    <row r="1293" spans="11:11" x14ac:dyDescent="0.25">
      <c r="K1293" s="58"/>
    </row>
    <row r="1294" spans="11:11" x14ac:dyDescent="0.25">
      <c r="K1294" s="58"/>
    </row>
    <row r="1295" spans="11:11" x14ac:dyDescent="0.25">
      <c r="K1295" s="58"/>
    </row>
    <row r="1296" spans="11:11" x14ac:dyDescent="0.25">
      <c r="K1296" s="58"/>
    </row>
    <row r="1297" spans="11:11" x14ac:dyDescent="0.25">
      <c r="K1297" s="58"/>
    </row>
    <row r="1298" spans="11:11" x14ac:dyDescent="0.25">
      <c r="K1298" s="58"/>
    </row>
    <row r="1299" spans="11:11" x14ac:dyDescent="0.25">
      <c r="K1299" s="58"/>
    </row>
    <row r="1300" spans="11:11" x14ac:dyDescent="0.25">
      <c r="K1300" s="58"/>
    </row>
    <row r="1301" spans="11:11" x14ac:dyDescent="0.25">
      <c r="K1301" s="58"/>
    </row>
    <row r="1302" spans="11:11" x14ac:dyDescent="0.25">
      <c r="K1302" s="58"/>
    </row>
    <row r="1303" spans="11:11" x14ac:dyDescent="0.25">
      <c r="K1303" s="58"/>
    </row>
    <row r="1304" spans="11:11" x14ac:dyDescent="0.25">
      <c r="K1304" s="58"/>
    </row>
    <row r="1305" spans="11:11" x14ac:dyDescent="0.25">
      <c r="K1305" s="58"/>
    </row>
    <row r="1306" spans="11:11" x14ac:dyDescent="0.25">
      <c r="K1306" s="58"/>
    </row>
    <row r="1307" spans="11:11" x14ac:dyDescent="0.25">
      <c r="K1307" s="58"/>
    </row>
    <row r="1308" spans="11:11" x14ac:dyDescent="0.25">
      <c r="K1308" s="58"/>
    </row>
    <row r="1309" spans="11:11" x14ac:dyDescent="0.25">
      <c r="K1309" s="58"/>
    </row>
    <row r="1310" spans="11:11" x14ac:dyDescent="0.25">
      <c r="K1310" s="58"/>
    </row>
    <row r="1311" spans="11:11" x14ac:dyDescent="0.25">
      <c r="K1311" s="58"/>
    </row>
    <row r="1312" spans="11:11" x14ac:dyDescent="0.25">
      <c r="K1312" s="58"/>
    </row>
    <row r="1313" spans="11:11" x14ac:dyDescent="0.25">
      <c r="K1313" s="58"/>
    </row>
    <row r="1314" spans="11:11" x14ac:dyDescent="0.25">
      <c r="K1314" s="58"/>
    </row>
    <row r="1315" spans="11:11" x14ac:dyDescent="0.25">
      <c r="K1315" s="58"/>
    </row>
    <row r="1316" spans="11:11" x14ac:dyDescent="0.25">
      <c r="K1316" s="58"/>
    </row>
    <row r="1317" spans="11:11" x14ac:dyDescent="0.25">
      <c r="K1317" s="58"/>
    </row>
    <row r="1318" spans="11:11" x14ac:dyDescent="0.25">
      <c r="K1318" s="58"/>
    </row>
    <row r="1319" spans="11:11" x14ac:dyDescent="0.25">
      <c r="K1319" s="58"/>
    </row>
    <row r="1320" spans="11:11" x14ac:dyDescent="0.25">
      <c r="K1320" s="58"/>
    </row>
    <row r="1321" spans="11:11" x14ac:dyDescent="0.25">
      <c r="K1321" s="58"/>
    </row>
    <row r="1322" spans="11:11" x14ac:dyDescent="0.25">
      <c r="K1322" s="58"/>
    </row>
    <row r="1323" spans="11:11" x14ac:dyDescent="0.25">
      <c r="K1323" s="58"/>
    </row>
    <row r="1324" spans="11:11" x14ac:dyDescent="0.25">
      <c r="K1324" s="58"/>
    </row>
    <row r="1325" spans="11:11" x14ac:dyDescent="0.25">
      <c r="K1325" s="58"/>
    </row>
    <row r="1326" spans="11:11" x14ac:dyDescent="0.25">
      <c r="K1326" s="58"/>
    </row>
    <row r="1327" spans="11:11" x14ac:dyDescent="0.25">
      <c r="K1327" s="58"/>
    </row>
    <row r="1328" spans="11:11" x14ac:dyDescent="0.25">
      <c r="K1328" s="58"/>
    </row>
    <row r="1329" spans="11:11" x14ac:dyDescent="0.25">
      <c r="K1329" s="58"/>
    </row>
    <row r="1330" spans="11:11" x14ac:dyDescent="0.25">
      <c r="K1330" s="58"/>
    </row>
    <row r="1331" spans="11:11" x14ac:dyDescent="0.25">
      <c r="K1331" s="58"/>
    </row>
    <row r="1332" spans="11:11" x14ac:dyDescent="0.25">
      <c r="K1332" s="58"/>
    </row>
    <row r="1333" spans="11:11" x14ac:dyDescent="0.25">
      <c r="K1333" s="58"/>
    </row>
    <row r="1334" spans="11:11" x14ac:dyDescent="0.25">
      <c r="K1334" s="58"/>
    </row>
    <row r="1335" spans="11:11" x14ac:dyDescent="0.25">
      <c r="K1335" s="58"/>
    </row>
    <row r="1336" spans="11:11" x14ac:dyDescent="0.25">
      <c r="K1336" s="58"/>
    </row>
    <row r="1337" spans="11:11" x14ac:dyDescent="0.25">
      <c r="K1337" s="58"/>
    </row>
    <row r="1338" spans="11:11" x14ac:dyDescent="0.25">
      <c r="K1338" s="58"/>
    </row>
    <row r="1339" spans="11:11" x14ac:dyDescent="0.25">
      <c r="K1339" s="58"/>
    </row>
    <row r="1340" spans="11:11" x14ac:dyDescent="0.25">
      <c r="K1340" s="58"/>
    </row>
    <row r="1341" spans="11:11" x14ac:dyDescent="0.25">
      <c r="K1341" s="58"/>
    </row>
    <row r="1342" spans="11:11" x14ac:dyDescent="0.25">
      <c r="K1342" s="58"/>
    </row>
    <row r="1343" spans="11:11" x14ac:dyDescent="0.25">
      <c r="K1343" s="58"/>
    </row>
    <row r="1344" spans="11:11" x14ac:dyDescent="0.25">
      <c r="K1344" s="58"/>
    </row>
    <row r="1345" spans="11:11" x14ac:dyDescent="0.25">
      <c r="K1345" s="58"/>
    </row>
    <row r="1346" spans="11:11" x14ac:dyDescent="0.25">
      <c r="K1346" s="58"/>
    </row>
    <row r="1347" spans="11:11" x14ac:dyDescent="0.25">
      <c r="K1347" s="58"/>
    </row>
    <row r="1348" spans="11:11" x14ac:dyDescent="0.25">
      <c r="K1348" s="58"/>
    </row>
    <row r="1349" spans="11:11" x14ac:dyDescent="0.25">
      <c r="K1349" s="58"/>
    </row>
    <row r="1350" spans="11:11" x14ac:dyDescent="0.25">
      <c r="K1350" s="58"/>
    </row>
    <row r="1351" spans="11:11" x14ac:dyDescent="0.25">
      <c r="K1351" s="58"/>
    </row>
    <row r="1352" spans="11:11" x14ac:dyDescent="0.25">
      <c r="K1352" s="58"/>
    </row>
    <row r="1353" spans="11:11" x14ac:dyDescent="0.25">
      <c r="K1353" s="58"/>
    </row>
    <row r="1354" spans="11:11" x14ac:dyDescent="0.25">
      <c r="K1354" s="58"/>
    </row>
    <row r="1355" spans="11:11" x14ac:dyDescent="0.25">
      <c r="K1355" s="58"/>
    </row>
    <row r="1356" spans="11:11" x14ac:dyDescent="0.25">
      <c r="K1356" s="58"/>
    </row>
    <row r="1357" spans="11:11" x14ac:dyDescent="0.25">
      <c r="K1357" s="58"/>
    </row>
    <row r="1358" spans="11:11" x14ac:dyDescent="0.25">
      <c r="K1358" s="58"/>
    </row>
    <row r="1359" spans="11:11" x14ac:dyDescent="0.25">
      <c r="K1359" s="58"/>
    </row>
    <row r="1360" spans="11:11" x14ac:dyDescent="0.25">
      <c r="K1360" s="58"/>
    </row>
    <row r="1361" spans="11:11" x14ac:dyDescent="0.25">
      <c r="K1361" s="58"/>
    </row>
    <row r="1362" spans="11:11" x14ac:dyDescent="0.25">
      <c r="K1362" s="58"/>
    </row>
    <row r="1363" spans="11:11" x14ac:dyDescent="0.25">
      <c r="K1363" s="58"/>
    </row>
    <row r="1364" spans="11:11" x14ac:dyDescent="0.25">
      <c r="K1364" s="58"/>
    </row>
    <row r="1365" spans="11:11" x14ac:dyDescent="0.25">
      <c r="K1365" s="58"/>
    </row>
    <row r="1366" spans="11:11" x14ac:dyDescent="0.25">
      <c r="K1366" s="58"/>
    </row>
    <row r="1367" spans="11:11" x14ac:dyDescent="0.25">
      <c r="K1367" s="58"/>
    </row>
    <row r="1368" spans="11:11" x14ac:dyDescent="0.25">
      <c r="K1368" s="58"/>
    </row>
    <row r="1369" spans="11:11" x14ac:dyDescent="0.25">
      <c r="K1369" s="58"/>
    </row>
    <row r="1370" spans="11:11" x14ac:dyDescent="0.25">
      <c r="K1370" s="58"/>
    </row>
    <row r="1371" spans="11:11" x14ac:dyDescent="0.25">
      <c r="K1371" s="58"/>
    </row>
    <row r="1372" spans="11:11" x14ac:dyDescent="0.25">
      <c r="K1372" s="58"/>
    </row>
    <row r="1373" spans="11:11" x14ac:dyDescent="0.25">
      <c r="K1373" s="58"/>
    </row>
    <row r="1374" spans="11:11" x14ac:dyDescent="0.25">
      <c r="K1374" s="58"/>
    </row>
    <row r="1375" spans="11:11" x14ac:dyDescent="0.25">
      <c r="K1375" s="58"/>
    </row>
    <row r="1376" spans="11:11" x14ac:dyDescent="0.25">
      <c r="K1376" s="58"/>
    </row>
    <row r="1377" spans="11:11" x14ac:dyDescent="0.25">
      <c r="K1377" s="58"/>
    </row>
    <row r="1378" spans="11:11" x14ac:dyDescent="0.25">
      <c r="K1378" s="58"/>
    </row>
    <row r="1379" spans="11:11" x14ac:dyDescent="0.25">
      <c r="K1379" s="58"/>
    </row>
    <row r="1380" spans="11:11" x14ac:dyDescent="0.25">
      <c r="K1380" s="58"/>
    </row>
    <row r="1381" spans="11:11" x14ac:dyDescent="0.25">
      <c r="K1381" s="58"/>
    </row>
    <row r="1382" spans="11:11" x14ac:dyDescent="0.25">
      <c r="K1382" s="58"/>
    </row>
    <row r="1383" spans="11:11" x14ac:dyDescent="0.25">
      <c r="K1383" s="58"/>
    </row>
    <row r="1384" spans="11:11" x14ac:dyDescent="0.25">
      <c r="K1384" s="58"/>
    </row>
    <row r="1385" spans="11:11" x14ac:dyDescent="0.25">
      <c r="K1385" s="58"/>
    </row>
    <row r="1386" spans="11:11" x14ac:dyDescent="0.25">
      <c r="K1386" s="58"/>
    </row>
    <row r="1387" spans="11:11" x14ac:dyDescent="0.25">
      <c r="K1387" s="58"/>
    </row>
    <row r="1388" spans="11:11" x14ac:dyDescent="0.25">
      <c r="K1388" s="58"/>
    </row>
    <row r="1389" spans="11:11" x14ac:dyDescent="0.25">
      <c r="K1389" s="58"/>
    </row>
    <row r="1390" spans="11:11" x14ac:dyDescent="0.25">
      <c r="K1390" s="58"/>
    </row>
    <row r="1391" spans="11:11" x14ac:dyDescent="0.25">
      <c r="K1391" s="58"/>
    </row>
    <row r="1392" spans="11:11" x14ac:dyDescent="0.25">
      <c r="K1392" s="58"/>
    </row>
    <row r="1393" spans="11:11" x14ac:dyDescent="0.25">
      <c r="K1393" s="58"/>
    </row>
    <row r="1394" spans="11:11" x14ac:dyDescent="0.25">
      <c r="K1394" s="58"/>
    </row>
    <row r="1395" spans="11:11" x14ac:dyDescent="0.25">
      <c r="K1395" s="58"/>
    </row>
    <row r="1396" spans="11:11" x14ac:dyDescent="0.25">
      <c r="K1396" s="58"/>
    </row>
    <row r="1397" spans="11:11" x14ac:dyDescent="0.25">
      <c r="K1397" s="58"/>
    </row>
    <row r="1398" spans="11:11" x14ac:dyDescent="0.25">
      <c r="K1398" s="58"/>
    </row>
    <row r="1399" spans="11:11" x14ac:dyDescent="0.25">
      <c r="K1399" s="58"/>
    </row>
    <row r="1400" spans="11:11" x14ac:dyDescent="0.25">
      <c r="K1400" s="58"/>
    </row>
    <row r="1401" spans="11:11" x14ac:dyDescent="0.25">
      <c r="K1401" s="58"/>
    </row>
    <row r="1402" spans="11:11" x14ac:dyDescent="0.25">
      <c r="K1402" s="58"/>
    </row>
    <row r="1403" spans="11:11" x14ac:dyDescent="0.25">
      <c r="K1403" s="58"/>
    </row>
    <row r="1404" spans="11:11" x14ac:dyDescent="0.25">
      <c r="K1404" s="58"/>
    </row>
    <row r="1405" spans="11:11" x14ac:dyDescent="0.25">
      <c r="K1405" s="58"/>
    </row>
    <row r="1406" spans="11:11" x14ac:dyDescent="0.25">
      <c r="K1406" s="58"/>
    </row>
    <row r="1407" spans="11:11" x14ac:dyDescent="0.25">
      <c r="K1407" s="58"/>
    </row>
    <row r="1408" spans="11:11" x14ac:dyDescent="0.25">
      <c r="K1408" s="58"/>
    </row>
    <row r="1409" spans="11:11" x14ac:dyDescent="0.25">
      <c r="K1409" s="58"/>
    </row>
    <row r="1410" spans="11:11" x14ac:dyDescent="0.25">
      <c r="K1410" s="58"/>
    </row>
    <row r="1411" spans="11:11" x14ac:dyDescent="0.25">
      <c r="K1411" s="58"/>
    </row>
    <row r="1412" spans="11:11" x14ac:dyDescent="0.25">
      <c r="K1412" s="58"/>
    </row>
    <row r="1413" spans="11:11" x14ac:dyDescent="0.25">
      <c r="K1413" s="58"/>
    </row>
    <row r="1414" spans="11:11" x14ac:dyDescent="0.25">
      <c r="K1414" s="58"/>
    </row>
    <row r="1415" spans="11:11" x14ac:dyDescent="0.25">
      <c r="K1415" s="58"/>
    </row>
    <row r="1416" spans="11:11" x14ac:dyDescent="0.25">
      <c r="K1416" s="58"/>
    </row>
    <row r="1417" spans="11:11" x14ac:dyDescent="0.25">
      <c r="K1417" s="58"/>
    </row>
    <row r="1418" spans="11:11" x14ac:dyDescent="0.25">
      <c r="K1418" s="58"/>
    </row>
    <row r="1419" spans="11:11" x14ac:dyDescent="0.25">
      <c r="K1419" s="58"/>
    </row>
    <row r="1420" spans="11:11" x14ac:dyDescent="0.25">
      <c r="K1420" s="58"/>
    </row>
    <row r="1421" spans="11:11" x14ac:dyDescent="0.25">
      <c r="K1421" s="58"/>
    </row>
    <row r="1422" spans="11:11" x14ac:dyDescent="0.25">
      <c r="K1422" s="58"/>
    </row>
    <row r="1423" spans="11:11" x14ac:dyDescent="0.25">
      <c r="K1423" s="58"/>
    </row>
    <row r="1424" spans="11:11" x14ac:dyDescent="0.25">
      <c r="K1424" s="58"/>
    </row>
    <row r="1425" spans="11:11" x14ac:dyDescent="0.25">
      <c r="K1425" s="58"/>
    </row>
    <row r="1426" spans="11:11" x14ac:dyDescent="0.25">
      <c r="K1426" s="58"/>
    </row>
    <row r="1427" spans="11:11" x14ac:dyDescent="0.25">
      <c r="K1427" s="58"/>
    </row>
    <row r="1428" spans="11:11" x14ac:dyDescent="0.25">
      <c r="K1428" s="58"/>
    </row>
    <row r="1429" spans="11:11" x14ac:dyDescent="0.25">
      <c r="K1429" s="58"/>
    </row>
    <row r="1430" spans="11:11" x14ac:dyDescent="0.25">
      <c r="K1430" s="58"/>
    </row>
    <row r="1431" spans="11:11" x14ac:dyDescent="0.25">
      <c r="K1431" s="58"/>
    </row>
    <row r="1432" spans="11:11" x14ac:dyDescent="0.25">
      <c r="K1432" s="58"/>
    </row>
    <row r="1433" spans="11:11" x14ac:dyDescent="0.25">
      <c r="K1433" s="58"/>
    </row>
    <row r="1434" spans="11:11" x14ac:dyDescent="0.25">
      <c r="K1434" s="58"/>
    </row>
    <row r="1435" spans="11:11" x14ac:dyDescent="0.25">
      <c r="K1435" s="58"/>
    </row>
    <row r="1436" spans="11:11" x14ac:dyDescent="0.25">
      <c r="K1436" s="58"/>
    </row>
    <row r="1437" spans="11:11" x14ac:dyDescent="0.25">
      <c r="K1437" s="58"/>
    </row>
    <row r="1438" spans="11:11" x14ac:dyDescent="0.25">
      <c r="K1438" s="58"/>
    </row>
    <row r="1439" spans="11:11" x14ac:dyDescent="0.25">
      <c r="K1439" s="58"/>
    </row>
    <row r="1440" spans="11:11" x14ac:dyDescent="0.25">
      <c r="K1440" s="58"/>
    </row>
    <row r="1441" spans="11:11" x14ac:dyDescent="0.25">
      <c r="K1441" s="58"/>
    </row>
    <row r="1442" spans="11:11" x14ac:dyDescent="0.25">
      <c r="K1442" s="58"/>
    </row>
    <row r="1443" spans="11:11" x14ac:dyDescent="0.25">
      <c r="K1443" s="58"/>
    </row>
    <row r="1444" spans="11:11" x14ac:dyDescent="0.25">
      <c r="K1444" s="58"/>
    </row>
    <row r="1445" spans="11:11" x14ac:dyDescent="0.25">
      <c r="K1445" s="58"/>
    </row>
    <row r="1446" spans="11:11" x14ac:dyDescent="0.25">
      <c r="K1446" s="58"/>
    </row>
    <row r="1447" spans="11:11" x14ac:dyDescent="0.25">
      <c r="K1447" s="58"/>
    </row>
    <row r="1448" spans="11:11" x14ac:dyDescent="0.25">
      <c r="K1448" s="58"/>
    </row>
    <row r="1449" spans="11:11" x14ac:dyDescent="0.25">
      <c r="K1449" s="58"/>
    </row>
    <row r="1450" spans="11:11" x14ac:dyDescent="0.25">
      <c r="K1450" s="58"/>
    </row>
    <row r="1451" spans="11:11" x14ac:dyDescent="0.25">
      <c r="K1451" s="58"/>
    </row>
    <row r="1452" spans="11:11" x14ac:dyDescent="0.25">
      <c r="K1452" s="58"/>
    </row>
    <row r="1453" spans="11:11" x14ac:dyDescent="0.25">
      <c r="K1453" s="58"/>
    </row>
    <row r="1454" spans="11:11" x14ac:dyDescent="0.25">
      <c r="K1454" s="58"/>
    </row>
    <row r="1455" spans="11:11" x14ac:dyDescent="0.25">
      <c r="K1455" s="58"/>
    </row>
    <row r="1456" spans="11:11" x14ac:dyDescent="0.25">
      <c r="K1456" s="58"/>
    </row>
    <row r="1457" spans="11:11" x14ac:dyDescent="0.25">
      <c r="K1457" s="58"/>
    </row>
    <row r="1458" spans="11:11" x14ac:dyDescent="0.25">
      <c r="K1458" s="58"/>
    </row>
    <row r="1459" spans="11:11" x14ac:dyDescent="0.25">
      <c r="K1459" s="58"/>
    </row>
    <row r="1460" spans="11:11" x14ac:dyDescent="0.25">
      <c r="K1460" s="58"/>
    </row>
    <row r="1461" spans="11:11" x14ac:dyDescent="0.25">
      <c r="K1461" s="58"/>
    </row>
    <row r="1462" spans="11:11" x14ac:dyDescent="0.25">
      <c r="K1462" s="58"/>
    </row>
    <row r="1463" spans="11:11" x14ac:dyDescent="0.25">
      <c r="K1463" s="58"/>
    </row>
    <row r="1464" spans="11:11" x14ac:dyDescent="0.25">
      <c r="K1464" s="58"/>
    </row>
    <row r="1465" spans="11:11" x14ac:dyDescent="0.25">
      <c r="K1465" s="58"/>
    </row>
    <row r="1466" spans="11:11" x14ac:dyDescent="0.25">
      <c r="K1466" s="58"/>
    </row>
    <row r="1467" spans="11:11" x14ac:dyDescent="0.25">
      <c r="K1467" s="58"/>
    </row>
    <row r="1468" spans="11:11" x14ac:dyDescent="0.25">
      <c r="K1468" s="58"/>
    </row>
    <row r="1469" spans="11:11" x14ac:dyDescent="0.25">
      <c r="K1469" s="58"/>
    </row>
    <row r="1470" spans="11:11" x14ac:dyDescent="0.25">
      <c r="K1470" s="58"/>
    </row>
    <row r="1471" spans="11:11" x14ac:dyDescent="0.25">
      <c r="K1471" s="58"/>
    </row>
    <row r="1472" spans="11:11" x14ac:dyDescent="0.25">
      <c r="K1472" s="58"/>
    </row>
    <row r="1473" spans="11:11" x14ac:dyDescent="0.25">
      <c r="K1473" s="58"/>
    </row>
    <row r="1474" spans="11:11" x14ac:dyDescent="0.25">
      <c r="K1474" s="58"/>
    </row>
    <row r="1475" spans="11:11" x14ac:dyDescent="0.25">
      <c r="K1475" s="58"/>
    </row>
    <row r="1476" spans="11:11" x14ac:dyDescent="0.25">
      <c r="K1476" s="58"/>
    </row>
    <row r="1477" spans="11:11" x14ac:dyDescent="0.25">
      <c r="K1477" s="58"/>
    </row>
    <row r="1478" spans="11:11" x14ac:dyDescent="0.25">
      <c r="K1478" s="58"/>
    </row>
    <row r="1479" spans="11:11" x14ac:dyDescent="0.25">
      <c r="K1479" s="58"/>
    </row>
    <row r="1480" spans="11:11" x14ac:dyDescent="0.25">
      <c r="K1480" s="58"/>
    </row>
    <row r="1481" spans="11:11" x14ac:dyDescent="0.25">
      <c r="K1481" s="58"/>
    </row>
    <row r="1482" spans="11:11" x14ac:dyDescent="0.25">
      <c r="K1482" s="58"/>
    </row>
    <row r="1483" spans="11:11" x14ac:dyDescent="0.25">
      <c r="K1483" s="58"/>
    </row>
    <row r="1484" spans="11:11" x14ac:dyDescent="0.25">
      <c r="K1484" s="58"/>
    </row>
    <row r="1485" spans="11:11" x14ac:dyDescent="0.25">
      <c r="K1485" s="58"/>
    </row>
    <row r="1486" spans="11:11" x14ac:dyDescent="0.25">
      <c r="K1486" s="58"/>
    </row>
    <row r="1487" spans="11:11" x14ac:dyDescent="0.25">
      <c r="K1487" s="58"/>
    </row>
    <row r="1488" spans="11:11" x14ac:dyDescent="0.25">
      <c r="K1488" s="58"/>
    </row>
    <row r="1489" spans="11:11" x14ac:dyDescent="0.25">
      <c r="K1489" s="58"/>
    </row>
    <row r="1490" spans="11:11" x14ac:dyDescent="0.25">
      <c r="K1490" s="58"/>
    </row>
    <row r="1491" spans="11:11" x14ac:dyDescent="0.25">
      <c r="K1491" s="58"/>
    </row>
    <row r="1492" spans="11:11" x14ac:dyDescent="0.25">
      <c r="K1492" s="58"/>
    </row>
    <row r="1493" spans="11:11" x14ac:dyDescent="0.25">
      <c r="K1493" s="58"/>
    </row>
    <row r="1494" spans="11:11" x14ac:dyDescent="0.25">
      <c r="K1494" s="58"/>
    </row>
    <row r="1495" spans="11:11" x14ac:dyDescent="0.25">
      <c r="K1495" s="58"/>
    </row>
    <row r="1496" spans="11:11" x14ac:dyDescent="0.25">
      <c r="K1496" s="58"/>
    </row>
    <row r="1497" spans="11:11" x14ac:dyDescent="0.25">
      <c r="K1497" s="58"/>
    </row>
    <row r="1498" spans="11:11" x14ac:dyDescent="0.25">
      <c r="K1498" s="58"/>
    </row>
    <row r="1499" spans="11:11" x14ac:dyDescent="0.25">
      <c r="K1499" s="58"/>
    </row>
    <row r="1500" spans="11:11" x14ac:dyDescent="0.25">
      <c r="K1500" s="58"/>
    </row>
    <row r="1501" spans="11:11" x14ac:dyDescent="0.25">
      <c r="K1501" s="58"/>
    </row>
    <row r="1502" spans="11:11" x14ac:dyDescent="0.25">
      <c r="K1502" s="58"/>
    </row>
    <row r="1503" spans="11:11" x14ac:dyDescent="0.25">
      <c r="K1503" s="58"/>
    </row>
    <row r="1504" spans="11:11" x14ac:dyDescent="0.25">
      <c r="K1504" s="58"/>
    </row>
    <row r="1505" spans="11:11" x14ac:dyDescent="0.25">
      <c r="K1505" s="58"/>
    </row>
    <row r="1506" spans="11:11" x14ac:dyDescent="0.25">
      <c r="K1506" s="58"/>
    </row>
    <row r="1507" spans="11:11" x14ac:dyDescent="0.25">
      <c r="K1507" s="58"/>
    </row>
    <row r="1508" spans="11:11" x14ac:dyDescent="0.25">
      <c r="K1508" s="58"/>
    </row>
    <row r="1509" spans="11:11" x14ac:dyDescent="0.25">
      <c r="K1509" s="58"/>
    </row>
    <row r="1510" spans="11:11" x14ac:dyDescent="0.25">
      <c r="K1510" s="58"/>
    </row>
    <row r="1511" spans="11:11" x14ac:dyDescent="0.25">
      <c r="K1511" s="58"/>
    </row>
    <row r="1512" spans="11:11" x14ac:dyDescent="0.25">
      <c r="K1512" s="58"/>
    </row>
    <row r="1513" spans="11:11" x14ac:dyDescent="0.25">
      <c r="K1513" s="58"/>
    </row>
    <row r="1514" spans="11:11" x14ac:dyDescent="0.25">
      <c r="K1514" s="58"/>
    </row>
    <row r="1515" spans="11:11" x14ac:dyDescent="0.25">
      <c r="K1515" s="58"/>
    </row>
    <row r="1516" spans="11:11" x14ac:dyDescent="0.25">
      <c r="K1516" s="58"/>
    </row>
    <row r="1517" spans="11:11" x14ac:dyDescent="0.25">
      <c r="K1517" s="58"/>
    </row>
    <row r="1518" spans="11:11" x14ac:dyDescent="0.25">
      <c r="K1518" s="58"/>
    </row>
    <row r="1519" spans="11:11" x14ac:dyDescent="0.25">
      <c r="K1519" s="58"/>
    </row>
    <row r="1520" spans="11:11" x14ac:dyDescent="0.25">
      <c r="K1520" s="58"/>
    </row>
    <row r="1521" spans="11:11" x14ac:dyDescent="0.25">
      <c r="K1521" s="58"/>
    </row>
    <row r="1522" spans="11:11" x14ac:dyDescent="0.25">
      <c r="K1522" s="58"/>
    </row>
    <row r="1523" spans="11:11" x14ac:dyDescent="0.25">
      <c r="K1523" s="58"/>
    </row>
    <row r="1524" spans="11:11" x14ac:dyDescent="0.25">
      <c r="K1524" s="58"/>
    </row>
    <row r="1525" spans="11:11" x14ac:dyDescent="0.25">
      <c r="K1525" s="58"/>
    </row>
    <row r="1526" spans="11:11" x14ac:dyDescent="0.25">
      <c r="K1526" s="58"/>
    </row>
    <row r="1527" spans="11:11" x14ac:dyDescent="0.25">
      <c r="K1527" s="58"/>
    </row>
    <row r="1528" spans="11:11" x14ac:dyDescent="0.25">
      <c r="K1528" s="58"/>
    </row>
    <row r="1529" spans="11:11" x14ac:dyDescent="0.25">
      <c r="K1529" s="58"/>
    </row>
    <row r="1530" spans="11:11" x14ac:dyDescent="0.25">
      <c r="K1530" s="58"/>
    </row>
    <row r="1531" spans="11:11" x14ac:dyDescent="0.25">
      <c r="K1531" s="58"/>
    </row>
    <row r="1532" spans="11:11" x14ac:dyDescent="0.25">
      <c r="K1532" s="58"/>
    </row>
    <row r="1533" spans="11:11" x14ac:dyDescent="0.25">
      <c r="K1533" s="58"/>
    </row>
    <row r="1534" spans="11:11" x14ac:dyDescent="0.25">
      <c r="K1534" s="58"/>
    </row>
    <row r="1535" spans="11:11" x14ac:dyDescent="0.25">
      <c r="K1535" s="58"/>
    </row>
    <row r="1536" spans="11:11" x14ac:dyDescent="0.25">
      <c r="K1536" s="58"/>
    </row>
    <row r="1537" spans="11:11" x14ac:dyDescent="0.25">
      <c r="K1537" s="58"/>
    </row>
    <row r="1538" spans="11:11" x14ac:dyDescent="0.25">
      <c r="K1538" s="58"/>
    </row>
    <row r="1539" spans="11:11" x14ac:dyDescent="0.25">
      <c r="K1539" s="58"/>
    </row>
    <row r="1540" spans="11:11" x14ac:dyDescent="0.25">
      <c r="K1540" s="58"/>
    </row>
    <row r="1541" spans="11:11" x14ac:dyDescent="0.25">
      <c r="K1541" s="58"/>
    </row>
    <row r="1542" spans="11:11" x14ac:dyDescent="0.25">
      <c r="K1542" s="58"/>
    </row>
    <row r="1543" spans="11:11" x14ac:dyDescent="0.25">
      <c r="K1543" s="58"/>
    </row>
    <row r="1544" spans="11:11" x14ac:dyDescent="0.25">
      <c r="K1544" s="58"/>
    </row>
    <row r="1545" spans="11:11" x14ac:dyDescent="0.25">
      <c r="K1545" s="58"/>
    </row>
    <row r="1546" spans="11:11" x14ac:dyDescent="0.25">
      <c r="K1546" s="58"/>
    </row>
    <row r="1547" spans="11:11" x14ac:dyDescent="0.25">
      <c r="K1547" s="58"/>
    </row>
    <row r="1548" spans="11:11" x14ac:dyDescent="0.25">
      <c r="K1548" s="58"/>
    </row>
    <row r="1549" spans="11:11" x14ac:dyDescent="0.25">
      <c r="K1549" s="58"/>
    </row>
    <row r="1550" spans="11:11" x14ac:dyDescent="0.25">
      <c r="K1550" s="58"/>
    </row>
    <row r="1551" spans="11:11" x14ac:dyDescent="0.25">
      <c r="K1551" s="58"/>
    </row>
    <row r="1552" spans="11:11" x14ac:dyDescent="0.25">
      <c r="K1552" s="58"/>
    </row>
    <row r="1553" spans="11:11" x14ac:dyDescent="0.25">
      <c r="K1553" s="58"/>
    </row>
    <row r="1554" spans="11:11" x14ac:dyDescent="0.25">
      <c r="K1554" s="58"/>
    </row>
    <row r="1555" spans="11:11" x14ac:dyDescent="0.25">
      <c r="K1555" s="58"/>
    </row>
    <row r="1556" spans="11:11" x14ac:dyDescent="0.25">
      <c r="K1556" s="58"/>
    </row>
    <row r="1557" spans="11:11" x14ac:dyDescent="0.25">
      <c r="K1557" s="58"/>
    </row>
    <row r="1558" spans="11:11" x14ac:dyDescent="0.25">
      <c r="K1558" s="58"/>
    </row>
    <row r="1559" spans="11:11" x14ac:dyDescent="0.25">
      <c r="K1559" s="58"/>
    </row>
    <row r="1560" spans="11:11" x14ac:dyDescent="0.25">
      <c r="K1560" s="58"/>
    </row>
    <row r="1561" spans="11:11" x14ac:dyDescent="0.25">
      <c r="K1561" s="58"/>
    </row>
    <row r="1562" spans="11:11" x14ac:dyDescent="0.25">
      <c r="K1562" s="58"/>
    </row>
    <row r="1563" spans="11:11" x14ac:dyDescent="0.25">
      <c r="K1563" s="58"/>
    </row>
    <row r="1564" spans="11:11" x14ac:dyDescent="0.25">
      <c r="K1564" s="58"/>
    </row>
    <row r="1565" spans="11:11" x14ac:dyDescent="0.25">
      <c r="K1565" s="58"/>
    </row>
    <row r="1566" spans="11:11" x14ac:dyDescent="0.25">
      <c r="K1566" s="58"/>
    </row>
    <row r="1567" spans="11:11" x14ac:dyDescent="0.25">
      <c r="K1567" s="58"/>
    </row>
    <row r="1568" spans="11:11" x14ac:dyDescent="0.25">
      <c r="K1568" s="58"/>
    </row>
    <row r="1569" spans="11:11" x14ac:dyDescent="0.25">
      <c r="K1569" s="58"/>
    </row>
    <row r="1570" spans="11:11" x14ac:dyDescent="0.25">
      <c r="K1570" s="58"/>
    </row>
    <row r="1571" spans="11:11" x14ac:dyDescent="0.25">
      <c r="K1571" s="58"/>
    </row>
    <row r="1572" spans="11:11" x14ac:dyDescent="0.25">
      <c r="K1572" s="58"/>
    </row>
    <row r="1573" spans="11:11" x14ac:dyDescent="0.25">
      <c r="K1573" s="58"/>
    </row>
    <row r="1574" spans="11:11" x14ac:dyDescent="0.25">
      <c r="K1574" s="58"/>
    </row>
    <row r="1575" spans="11:11" x14ac:dyDescent="0.25">
      <c r="K1575" s="58"/>
    </row>
    <row r="1576" spans="11:11" x14ac:dyDescent="0.25">
      <c r="K1576" s="58"/>
    </row>
    <row r="1577" spans="11:11" x14ac:dyDescent="0.25">
      <c r="K1577" s="58"/>
    </row>
    <row r="1578" spans="11:11" x14ac:dyDescent="0.25">
      <c r="K1578" s="58"/>
    </row>
    <row r="1579" spans="11:11" x14ac:dyDescent="0.25">
      <c r="K1579" s="58"/>
    </row>
    <row r="1580" spans="11:11" x14ac:dyDescent="0.25">
      <c r="K1580" s="58"/>
    </row>
    <row r="1581" spans="11:11" x14ac:dyDescent="0.25">
      <c r="K1581" s="58"/>
    </row>
    <row r="1582" spans="11:11" x14ac:dyDescent="0.25">
      <c r="K1582" s="58"/>
    </row>
    <row r="1583" spans="11:11" x14ac:dyDescent="0.25">
      <c r="K1583" s="58"/>
    </row>
    <row r="1584" spans="11:11" x14ac:dyDescent="0.25">
      <c r="K1584" s="58"/>
    </row>
    <row r="1585" spans="11:11" x14ac:dyDescent="0.25">
      <c r="K1585" s="58"/>
    </row>
    <row r="1586" spans="11:11" x14ac:dyDescent="0.25">
      <c r="K1586" s="58"/>
    </row>
    <row r="1587" spans="11:11" x14ac:dyDescent="0.25">
      <c r="K1587" s="58"/>
    </row>
    <row r="1588" spans="11:11" x14ac:dyDescent="0.25">
      <c r="K1588" s="58"/>
    </row>
    <row r="1589" spans="11:11" x14ac:dyDescent="0.25">
      <c r="K1589" s="58"/>
    </row>
    <row r="1590" spans="11:11" x14ac:dyDescent="0.25">
      <c r="K1590" s="58"/>
    </row>
    <row r="1591" spans="11:11" x14ac:dyDescent="0.25">
      <c r="K1591" s="58"/>
    </row>
    <row r="1592" spans="11:11" x14ac:dyDescent="0.25">
      <c r="K1592" s="58"/>
    </row>
    <row r="1593" spans="11:11" x14ac:dyDescent="0.25">
      <c r="K1593" s="58"/>
    </row>
    <row r="1594" spans="11:11" x14ac:dyDescent="0.25">
      <c r="K1594" s="58"/>
    </row>
    <row r="1595" spans="11:11" x14ac:dyDescent="0.25">
      <c r="K1595" s="58"/>
    </row>
    <row r="1596" spans="11:11" x14ac:dyDescent="0.25">
      <c r="K1596" s="58"/>
    </row>
    <row r="1597" spans="11:11" x14ac:dyDescent="0.25">
      <c r="K1597" s="58"/>
    </row>
    <row r="1598" spans="11:11" x14ac:dyDescent="0.25">
      <c r="K1598" s="58"/>
    </row>
    <row r="1599" spans="11:11" x14ac:dyDescent="0.25">
      <c r="K1599" s="58"/>
    </row>
    <row r="1600" spans="11:11" x14ac:dyDescent="0.25">
      <c r="K1600" s="58"/>
    </row>
    <row r="1601" spans="11:11" x14ac:dyDescent="0.25">
      <c r="K1601" s="58"/>
    </row>
    <row r="1602" spans="11:11" x14ac:dyDescent="0.25">
      <c r="K1602" s="58"/>
    </row>
    <row r="1603" spans="11:11" x14ac:dyDescent="0.25">
      <c r="K1603" s="58"/>
    </row>
    <row r="1604" spans="11:11" x14ac:dyDescent="0.25">
      <c r="K1604" s="58"/>
    </row>
    <row r="1605" spans="11:11" x14ac:dyDescent="0.25">
      <c r="K1605" s="58"/>
    </row>
    <row r="1606" spans="11:11" x14ac:dyDescent="0.25">
      <c r="K1606" s="58"/>
    </row>
    <row r="1607" spans="11:11" x14ac:dyDescent="0.25">
      <c r="K1607" s="58"/>
    </row>
    <row r="1608" spans="11:11" x14ac:dyDescent="0.25">
      <c r="K1608" s="58"/>
    </row>
    <row r="1609" spans="11:11" x14ac:dyDescent="0.25">
      <c r="K1609" s="58"/>
    </row>
    <row r="1610" spans="11:11" x14ac:dyDescent="0.25">
      <c r="K1610" s="58"/>
    </row>
    <row r="1611" spans="11:11" x14ac:dyDescent="0.25">
      <c r="K1611" s="58"/>
    </row>
    <row r="1612" spans="11:11" x14ac:dyDescent="0.25">
      <c r="K1612" s="58"/>
    </row>
    <row r="1613" spans="11:11" x14ac:dyDescent="0.25">
      <c r="K1613" s="58"/>
    </row>
    <row r="1614" spans="11:11" x14ac:dyDescent="0.25">
      <c r="K1614" s="58"/>
    </row>
    <row r="1615" spans="11:11" x14ac:dyDescent="0.25">
      <c r="K1615" s="58"/>
    </row>
    <row r="1616" spans="11:11" x14ac:dyDescent="0.25">
      <c r="K1616" s="58"/>
    </row>
    <row r="1617" spans="11:11" x14ac:dyDescent="0.25">
      <c r="K1617" s="58"/>
    </row>
    <row r="1618" spans="11:11" x14ac:dyDescent="0.25">
      <c r="K1618" s="58"/>
    </row>
    <row r="1619" spans="11:11" x14ac:dyDescent="0.25">
      <c r="K1619" s="58"/>
    </row>
    <row r="1620" spans="11:11" x14ac:dyDescent="0.25">
      <c r="K1620" s="58"/>
    </row>
    <row r="1621" spans="11:11" x14ac:dyDescent="0.25">
      <c r="K1621" s="58"/>
    </row>
    <row r="1622" spans="11:11" x14ac:dyDescent="0.25">
      <c r="K1622" s="58"/>
    </row>
    <row r="1623" spans="11:11" x14ac:dyDescent="0.25">
      <c r="K1623" s="58"/>
    </row>
    <row r="1624" spans="11:11" x14ac:dyDescent="0.25">
      <c r="K1624" s="58"/>
    </row>
    <row r="1625" spans="11:11" x14ac:dyDescent="0.25">
      <c r="K1625" s="58"/>
    </row>
    <row r="1626" spans="11:11" x14ac:dyDescent="0.25">
      <c r="K1626" s="58"/>
    </row>
    <row r="1627" spans="11:11" x14ac:dyDescent="0.25">
      <c r="K1627" s="58"/>
    </row>
    <row r="1628" spans="11:11" x14ac:dyDescent="0.25">
      <c r="K1628" s="58"/>
    </row>
    <row r="1629" spans="11:11" x14ac:dyDescent="0.25">
      <c r="K1629" s="58"/>
    </row>
    <row r="1630" spans="11:11" x14ac:dyDescent="0.25">
      <c r="K1630" s="58"/>
    </row>
    <row r="1631" spans="11:11" x14ac:dyDescent="0.25">
      <c r="K1631" s="58"/>
    </row>
    <row r="1632" spans="11:11" x14ac:dyDescent="0.25">
      <c r="K1632" s="58"/>
    </row>
    <row r="1633" spans="11:11" x14ac:dyDescent="0.25">
      <c r="K1633" s="58"/>
    </row>
    <row r="1634" spans="11:11" x14ac:dyDescent="0.25">
      <c r="K1634" s="58"/>
    </row>
    <row r="1635" spans="11:11" x14ac:dyDescent="0.25">
      <c r="K1635" s="58"/>
    </row>
    <row r="1636" spans="11:11" x14ac:dyDescent="0.25">
      <c r="K1636" s="58"/>
    </row>
    <row r="1637" spans="11:11" x14ac:dyDescent="0.25">
      <c r="K1637" s="58"/>
    </row>
    <row r="1638" spans="11:11" x14ac:dyDescent="0.25">
      <c r="K1638" s="58"/>
    </row>
    <row r="1639" spans="11:11" x14ac:dyDescent="0.25">
      <c r="K1639" s="58"/>
    </row>
    <row r="1640" spans="11:11" x14ac:dyDescent="0.25">
      <c r="K1640" s="58"/>
    </row>
    <row r="1641" spans="11:11" x14ac:dyDescent="0.25">
      <c r="K1641" s="58"/>
    </row>
    <row r="1642" spans="11:11" x14ac:dyDescent="0.25">
      <c r="K1642" s="58"/>
    </row>
    <row r="1643" spans="11:11" x14ac:dyDescent="0.25">
      <c r="K1643" s="58"/>
    </row>
    <row r="1644" spans="11:11" x14ac:dyDescent="0.25">
      <c r="K1644" s="58"/>
    </row>
    <row r="1645" spans="11:11" x14ac:dyDescent="0.25">
      <c r="K1645" s="58"/>
    </row>
    <row r="1646" spans="11:11" x14ac:dyDescent="0.25">
      <c r="K1646" s="58"/>
    </row>
    <row r="1647" spans="11:11" x14ac:dyDescent="0.25">
      <c r="K1647" s="58"/>
    </row>
    <row r="1648" spans="11:11" x14ac:dyDescent="0.25">
      <c r="K1648" s="58"/>
    </row>
    <row r="1649" spans="11:11" x14ac:dyDescent="0.25">
      <c r="K1649" s="58"/>
    </row>
    <row r="1650" spans="11:11" x14ac:dyDescent="0.25">
      <c r="K1650" s="58"/>
    </row>
    <row r="1651" spans="11:11" x14ac:dyDescent="0.25">
      <c r="K1651" s="58"/>
    </row>
    <row r="1652" spans="11:11" x14ac:dyDescent="0.25">
      <c r="K1652" s="58"/>
    </row>
    <row r="1653" spans="11:11" x14ac:dyDescent="0.25">
      <c r="K1653" s="58"/>
    </row>
    <row r="1654" spans="11:11" x14ac:dyDescent="0.25">
      <c r="K1654" s="58"/>
    </row>
    <row r="1655" spans="11:11" x14ac:dyDescent="0.25">
      <c r="K1655" s="58"/>
    </row>
    <row r="1656" spans="11:11" x14ac:dyDescent="0.25">
      <c r="K1656" s="58"/>
    </row>
    <row r="1657" spans="11:11" x14ac:dyDescent="0.25">
      <c r="K1657" s="58"/>
    </row>
    <row r="1658" spans="11:11" x14ac:dyDescent="0.25">
      <c r="K1658" s="58"/>
    </row>
    <row r="1659" spans="11:11" x14ac:dyDescent="0.25">
      <c r="K1659" s="58"/>
    </row>
    <row r="1660" spans="11:11" x14ac:dyDescent="0.25">
      <c r="K1660" s="58"/>
    </row>
    <row r="1661" spans="11:11" x14ac:dyDescent="0.25">
      <c r="K1661" s="58"/>
    </row>
    <row r="1662" spans="11:11" x14ac:dyDescent="0.25">
      <c r="K1662" s="58"/>
    </row>
    <row r="1663" spans="11:11" x14ac:dyDescent="0.25">
      <c r="K1663" s="58"/>
    </row>
    <row r="1664" spans="11:11" x14ac:dyDescent="0.25">
      <c r="K1664" s="58"/>
    </row>
    <row r="1665" spans="11:11" x14ac:dyDescent="0.25">
      <c r="K1665" s="58"/>
    </row>
    <row r="1666" spans="11:11" x14ac:dyDescent="0.25">
      <c r="K1666" s="58"/>
    </row>
    <row r="1667" spans="11:11" x14ac:dyDescent="0.25">
      <c r="K1667" s="58"/>
    </row>
    <row r="1668" spans="11:11" x14ac:dyDescent="0.25">
      <c r="K1668" s="58"/>
    </row>
    <row r="1669" spans="11:11" x14ac:dyDescent="0.25">
      <c r="K1669" s="58"/>
    </row>
    <row r="1670" spans="11:11" x14ac:dyDescent="0.25">
      <c r="K1670" s="58"/>
    </row>
    <row r="1671" spans="11:11" x14ac:dyDescent="0.25">
      <c r="K1671" s="58"/>
    </row>
    <row r="1672" spans="11:11" x14ac:dyDescent="0.25">
      <c r="K1672" s="58"/>
    </row>
    <row r="1673" spans="11:11" x14ac:dyDescent="0.25">
      <c r="K1673" s="58"/>
    </row>
    <row r="1674" spans="11:11" x14ac:dyDescent="0.25">
      <c r="K1674" s="58"/>
    </row>
    <row r="1675" spans="11:11" x14ac:dyDescent="0.25">
      <c r="K1675" s="58"/>
    </row>
    <row r="1676" spans="11:11" x14ac:dyDescent="0.25">
      <c r="K1676" s="58"/>
    </row>
    <row r="1677" spans="11:11" x14ac:dyDescent="0.25">
      <c r="K1677" s="58"/>
    </row>
    <row r="1678" spans="11:11" x14ac:dyDescent="0.25">
      <c r="K1678" s="58"/>
    </row>
    <row r="1679" spans="11:11" x14ac:dyDescent="0.25">
      <c r="K1679" s="58"/>
    </row>
    <row r="1680" spans="11:11" x14ac:dyDescent="0.25">
      <c r="K1680" s="58"/>
    </row>
    <row r="1681" spans="11:11" x14ac:dyDescent="0.25">
      <c r="K1681" s="58"/>
    </row>
    <row r="1682" spans="11:11" x14ac:dyDescent="0.25">
      <c r="K1682" s="58"/>
    </row>
    <row r="1683" spans="11:11" x14ac:dyDescent="0.25">
      <c r="K1683" s="58"/>
    </row>
    <row r="1684" spans="11:11" x14ac:dyDescent="0.25">
      <c r="K1684" s="58"/>
    </row>
    <row r="1685" spans="11:11" x14ac:dyDescent="0.25">
      <c r="K1685" s="58"/>
    </row>
    <row r="1686" spans="11:11" x14ac:dyDescent="0.25">
      <c r="K1686" s="58"/>
    </row>
    <row r="1687" spans="11:11" x14ac:dyDescent="0.25">
      <c r="K1687" s="58"/>
    </row>
    <row r="1688" spans="11:11" x14ac:dyDescent="0.25">
      <c r="K1688" s="58"/>
    </row>
    <row r="1689" spans="11:11" x14ac:dyDescent="0.25">
      <c r="K1689" s="58"/>
    </row>
    <row r="1690" spans="11:11" x14ac:dyDescent="0.25">
      <c r="K1690" s="58"/>
    </row>
    <row r="1691" spans="11:11" x14ac:dyDescent="0.25">
      <c r="K1691" s="58"/>
    </row>
    <row r="1692" spans="11:11" x14ac:dyDescent="0.25">
      <c r="K1692" s="58"/>
    </row>
    <row r="1693" spans="11:11" x14ac:dyDescent="0.25">
      <c r="K1693" s="58"/>
    </row>
    <row r="1694" spans="11:11" x14ac:dyDescent="0.25">
      <c r="K1694" s="58"/>
    </row>
    <row r="1695" spans="11:11" x14ac:dyDescent="0.25">
      <c r="K1695" s="58"/>
    </row>
    <row r="1696" spans="11:11" x14ac:dyDescent="0.25">
      <c r="K1696" s="58"/>
    </row>
    <row r="1697" spans="11:11" x14ac:dyDescent="0.25">
      <c r="K1697" s="58"/>
    </row>
    <row r="1698" spans="11:11" x14ac:dyDescent="0.25">
      <c r="K1698" s="58"/>
    </row>
    <row r="1699" spans="11:11" x14ac:dyDescent="0.25">
      <c r="K1699" s="58"/>
    </row>
    <row r="1700" spans="11:11" x14ac:dyDescent="0.25">
      <c r="K1700" s="58"/>
    </row>
    <row r="1701" spans="11:11" x14ac:dyDescent="0.25">
      <c r="K1701" s="58"/>
    </row>
    <row r="1702" spans="11:11" x14ac:dyDescent="0.25">
      <c r="K1702" s="58"/>
    </row>
    <row r="1703" spans="11:11" x14ac:dyDescent="0.25">
      <c r="K1703" s="58"/>
    </row>
    <row r="1704" spans="11:11" x14ac:dyDescent="0.25">
      <c r="K1704" s="58"/>
    </row>
    <row r="1705" spans="11:11" x14ac:dyDescent="0.25">
      <c r="K1705" s="58"/>
    </row>
    <row r="1706" spans="11:11" x14ac:dyDescent="0.25">
      <c r="K1706" s="58"/>
    </row>
    <row r="1707" spans="11:11" x14ac:dyDescent="0.25">
      <c r="K1707" s="58"/>
    </row>
    <row r="1708" spans="11:11" x14ac:dyDescent="0.25">
      <c r="K1708" s="58"/>
    </row>
    <row r="1709" spans="11:11" x14ac:dyDescent="0.25">
      <c r="K1709" s="58"/>
    </row>
    <row r="1710" spans="11:11" x14ac:dyDescent="0.25">
      <c r="K1710" s="58"/>
    </row>
    <row r="1711" spans="11:11" x14ac:dyDescent="0.25">
      <c r="K1711" s="58"/>
    </row>
    <row r="1712" spans="11:11" x14ac:dyDescent="0.25">
      <c r="K1712" s="58"/>
    </row>
    <row r="1713" spans="11:11" x14ac:dyDescent="0.25">
      <c r="K1713" s="58"/>
    </row>
    <row r="1714" spans="11:11" x14ac:dyDescent="0.25">
      <c r="K1714" s="58"/>
    </row>
    <row r="1715" spans="11:11" x14ac:dyDescent="0.25">
      <c r="K1715" s="58"/>
    </row>
    <row r="1716" spans="11:11" x14ac:dyDescent="0.25">
      <c r="K1716" s="58"/>
    </row>
    <row r="1717" spans="11:11" x14ac:dyDescent="0.25">
      <c r="K1717" s="58"/>
    </row>
    <row r="1718" spans="11:11" x14ac:dyDescent="0.25">
      <c r="K1718" s="58"/>
    </row>
    <row r="1719" spans="11:11" x14ac:dyDescent="0.25">
      <c r="K1719" s="58"/>
    </row>
    <row r="1720" spans="11:11" x14ac:dyDescent="0.25">
      <c r="K1720" s="58"/>
    </row>
    <row r="1721" spans="11:11" x14ac:dyDescent="0.25">
      <c r="K1721" s="58"/>
    </row>
    <row r="1722" spans="11:11" x14ac:dyDescent="0.25">
      <c r="K1722" s="58"/>
    </row>
    <row r="1723" spans="11:11" x14ac:dyDescent="0.25">
      <c r="K1723" s="58"/>
    </row>
    <row r="1724" spans="11:11" x14ac:dyDescent="0.25">
      <c r="K1724" s="58"/>
    </row>
    <row r="1725" spans="11:11" x14ac:dyDescent="0.25">
      <c r="K1725" s="58"/>
    </row>
    <row r="1726" spans="11:11" x14ac:dyDescent="0.25">
      <c r="K1726" s="58"/>
    </row>
    <row r="1727" spans="11:11" x14ac:dyDescent="0.25">
      <c r="K1727" s="58"/>
    </row>
    <row r="1728" spans="11:11" x14ac:dyDescent="0.25">
      <c r="K1728" s="58"/>
    </row>
    <row r="1729" spans="11:11" x14ac:dyDescent="0.25">
      <c r="K1729" s="58"/>
    </row>
    <row r="1730" spans="11:11" x14ac:dyDescent="0.25">
      <c r="K1730" s="58"/>
    </row>
    <row r="1731" spans="11:11" x14ac:dyDescent="0.25">
      <c r="K1731" s="58"/>
    </row>
    <row r="1732" spans="11:11" x14ac:dyDescent="0.25">
      <c r="K1732" s="58"/>
    </row>
    <row r="1733" spans="11:11" x14ac:dyDescent="0.25">
      <c r="K1733" s="58"/>
    </row>
    <row r="1734" spans="11:11" x14ac:dyDescent="0.25">
      <c r="K1734" s="58"/>
    </row>
    <row r="1735" spans="11:11" x14ac:dyDescent="0.25">
      <c r="K1735" s="58"/>
    </row>
    <row r="1736" spans="11:11" x14ac:dyDescent="0.25">
      <c r="K1736" s="58"/>
    </row>
    <row r="1737" spans="11:11" x14ac:dyDescent="0.25">
      <c r="K1737" s="58"/>
    </row>
    <row r="1738" spans="11:11" x14ac:dyDescent="0.25">
      <c r="K1738" s="58"/>
    </row>
    <row r="1739" spans="11:11" x14ac:dyDescent="0.25">
      <c r="K1739" s="58"/>
    </row>
    <row r="1740" spans="11:11" x14ac:dyDescent="0.25">
      <c r="K1740" s="58"/>
    </row>
    <row r="1741" spans="11:11" x14ac:dyDescent="0.25">
      <c r="K1741" s="58"/>
    </row>
    <row r="1742" spans="11:11" x14ac:dyDescent="0.25">
      <c r="K1742" s="58"/>
    </row>
    <row r="1743" spans="11:11" x14ac:dyDescent="0.25">
      <c r="K1743" s="58"/>
    </row>
    <row r="1744" spans="11:11" x14ac:dyDescent="0.25">
      <c r="K1744" s="58"/>
    </row>
    <row r="1745" spans="11:11" x14ac:dyDescent="0.25">
      <c r="K1745" s="58"/>
    </row>
    <row r="1746" spans="11:11" x14ac:dyDescent="0.25">
      <c r="K1746" s="58"/>
    </row>
    <row r="1747" spans="11:11" x14ac:dyDescent="0.25">
      <c r="K1747" s="58"/>
    </row>
    <row r="1748" spans="11:11" x14ac:dyDescent="0.25">
      <c r="K1748" s="58"/>
    </row>
    <row r="1749" spans="11:11" x14ac:dyDescent="0.25">
      <c r="K1749" s="58"/>
    </row>
    <row r="1750" spans="11:11" x14ac:dyDescent="0.25">
      <c r="K1750" s="58"/>
    </row>
    <row r="1751" spans="11:11" x14ac:dyDescent="0.25">
      <c r="K1751" s="58"/>
    </row>
    <row r="1752" spans="11:11" x14ac:dyDescent="0.25">
      <c r="K1752" s="58"/>
    </row>
    <row r="1753" spans="11:11" x14ac:dyDescent="0.25">
      <c r="K1753" s="58"/>
    </row>
    <row r="1754" spans="11:11" x14ac:dyDescent="0.25">
      <c r="K1754" s="58"/>
    </row>
    <row r="1755" spans="11:11" x14ac:dyDescent="0.25">
      <c r="K1755" s="58"/>
    </row>
    <row r="1756" spans="11:11" x14ac:dyDescent="0.25">
      <c r="K1756" s="58"/>
    </row>
    <row r="1757" spans="11:11" x14ac:dyDescent="0.25">
      <c r="K1757" s="58"/>
    </row>
    <row r="1758" spans="11:11" x14ac:dyDescent="0.25">
      <c r="K1758" s="58"/>
    </row>
    <row r="1759" spans="11:11" x14ac:dyDescent="0.25">
      <c r="K1759" s="58"/>
    </row>
    <row r="1760" spans="11:11" x14ac:dyDescent="0.25">
      <c r="K1760" s="58"/>
    </row>
    <row r="1761" spans="11:11" x14ac:dyDescent="0.25">
      <c r="K1761" s="58"/>
    </row>
    <row r="1762" spans="11:11" x14ac:dyDescent="0.25">
      <c r="K1762" s="58"/>
    </row>
    <row r="1763" spans="11:11" x14ac:dyDescent="0.25">
      <c r="K1763" s="58"/>
    </row>
    <row r="1764" spans="11:11" x14ac:dyDescent="0.25">
      <c r="K1764" s="58"/>
    </row>
    <row r="1765" spans="11:11" x14ac:dyDescent="0.25">
      <c r="K1765" s="58"/>
    </row>
    <row r="1766" spans="11:11" x14ac:dyDescent="0.25">
      <c r="K1766" s="58"/>
    </row>
    <row r="1767" spans="11:11" x14ac:dyDescent="0.25">
      <c r="K1767" s="58"/>
    </row>
    <row r="1768" spans="11:11" x14ac:dyDescent="0.25">
      <c r="K1768" s="58"/>
    </row>
    <row r="1769" spans="11:11" x14ac:dyDescent="0.25">
      <c r="K1769" s="58"/>
    </row>
    <row r="1770" spans="11:11" x14ac:dyDescent="0.25">
      <c r="K1770" s="58"/>
    </row>
    <row r="1771" spans="11:11" x14ac:dyDescent="0.25">
      <c r="K1771" s="58"/>
    </row>
    <row r="1772" spans="11:11" x14ac:dyDescent="0.25">
      <c r="K1772" s="58"/>
    </row>
    <row r="1773" spans="11:11" x14ac:dyDescent="0.25">
      <c r="K1773" s="58"/>
    </row>
    <row r="1774" spans="11:11" x14ac:dyDescent="0.25">
      <c r="K1774" s="58"/>
    </row>
    <row r="1775" spans="11:11" x14ac:dyDescent="0.25">
      <c r="K1775" s="58"/>
    </row>
    <row r="1776" spans="11:11" x14ac:dyDescent="0.25">
      <c r="K1776" s="58"/>
    </row>
    <row r="1777" spans="11:11" x14ac:dyDescent="0.25">
      <c r="K1777" s="58"/>
    </row>
    <row r="1778" spans="11:11" x14ac:dyDescent="0.25">
      <c r="K1778" s="58"/>
    </row>
    <row r="1779" spans="11:11" x14ac:dyDescent="0.25">
      <c r="K1779" s="58"/>
    </row>
    <row r="1780" spans="11:11" x14ac:dyDescent="0.25">
      <c r="K1780" s="58"/>
    </row>
    <row r="1781" spans="11:11" x14ac:dyDescent="0.25">
      <c r="K1781" s="58"/>
    </row>
    <row r="1782" spans="11:11" x14ac:dyDescent="0.25">
      <c r="K1782" s="58"/>
    </row>
    <row r="1783" spans="11:11" x14ac:dyDescent="0.25">
      <c r="K1783" s="58"/>
    </row>
    <row r="1784" spans="11:11" x14ac:dyDescent="0.25">
      <c r="K1784" s="58"/>
    </row>
    <row r="1785" spans="11:11" x14ac:dyDescent="0.25">
      <c r="K1785" s="58"/>
    </row>
    <row r="1786" spans="11:11" x14ac:dyDescent="0.25">
      <c r="K1786" s="58"/>
    </row>
    <row r="1787" spans="11:11" x14ac:dyDescent="0.25">
      <c r="K1787" s="58"/>
    </row>
    <row r="1788" spans="11:11" x14ac:dyDescent="0.25">
      <c r="K1788" s="58"/>
    </row>
    <row r="1789" spans="11:11" x14ac:dyDescent="0.25">
      <c r="K1789" s="58"/>
    </row>
    <row r="1790" spans="11:11" x14ac:dyDescent="0.25">
      <c r="K1790" s="58"/>
    </row>
    <row r="1791" spans="11:11" x14ac:dyDescent="0.25">
      <c r="K1791" s="58"/>
    </row>
    <row r="1792" spans="11:11" x14ac:dyDescent="0.25">
      <c r="K1792" s="58"/>
    </row>
    <row r="1793" spans="11:11" x14ac:dyDescent="0.25">
      <c r="K1793" s="58"/>
    </row>
    <row r="1794" spans="11:11" x14ac:dyDescent="0.25">
      <c r="K1794" s="58"/>
    </row>
    <row r="1795" spans="11:11" x14ac:dyDescent="0.25">
      <c r="K1795" s="58"/>
    </row>
    <row r="1796" spans="11:11" x14ac:dyDescent="0.25">
      <c r="K1796" s="58"/>
    </row>
    <row r="1797" spans="11:11" x14ac:dyDescent="0.25">
      <c r="K1797" s="58"/>
    </row>
    <row r="1798" spans="11:11" x14ac:dyDescent="0.25">
      <c r="K1798" s="58"/>
    </row>
    <row r="1799" spans="11:11" x14ac:dyDescent="0.25">
      <c r="K1799" s="58"/>
    </row>
    <row r="1800" spans="11:11" x14ac:dyDescent="0.25">
      <c r="K1800" s="58"/>
    </row>
    <row r="1801" spans="11:11" x14ac:dyDescent="0.25">
      <c r="K1801" s="58"/>
    </row>
    <row r="1802" spans="11:11" x14ac:dyDescent="0.25">
      <c r="K1802" s="58"/>
    </row>
    <row r="1803" spans="11:11" x14ac:dyDescent="0.25">
      <c r="K1803" s="58"/>
    </row>
    <row r="1804" spans="11:11" x14ac:dyDescent="0.25">
      <c r="K1804" s="58"/>
    </row>
    <row r="1805" spans="11:11" x14ac:dyDescent="0.25">
      <c r="K1805" s="58"/>
    </row>
    <row r="1806" spans="11:11" x14ac:dyDescent="0.25">
      <c r="K1806" s="58"/>
    </row>
    <row r="1807" spans="11:11" x14ac:dyDescent="0.25">
      <c r="K1807" s="58"/>
    </row>
    <row r="1808" spans="11:11" x14ac:dyDescent="0.25">
      <c r="K1808" s="58"/>
    </row>
    <row r="1809" spans="11:11" x14ac:dyDescent="0.25">
      <c r="K1809" s="58"/>
    </row>
    <row r="1810" spans="11:11" x14ac:dyDescent="0.25">
      <c r="K1810" s="58"/>
    </row>
    <row r="1811" spans="11:11" x14ac:dyDescent="0.25">
      <c r="K1811" s="58"/>
    </row>
    <row r="1812" spans="11:11" x14ac:dyDescent="0.25">
      <c r="K1812" s="58"/>
    </row>
    <row r="1813" spans="11:11" x14ac:dyDescent="0.25">
      <c r="K1813" s="58"/>
    </row>
    <row r="1814" spans="11:11" x14ac:dyDescent="0.25">
      <c r="K1814" s="58"/>
    </row>
    <row r="1815" spans="11:11" x14ac:dyDescent="0.25">
      <c r="K1815" s="58"/>
    </row>
    <row r="1816" spans="11:11" x14ac:dyDescent="0.25">
      <c r="K1816" s="58"/>
    </row>
    <row r="1817" spans="11:11" x14ac:dyDescent="0.25">
      <c r="K1817" s="58"/>
    </row>
    <row r="1818" spans="11:11" x14ac:dyDescent="0.25">
      <c r="K1818" s="58"/>
    </row>
    <row r="1819" spans="11:11" x14ac:dyDescent="0.25">
      <c r="K1819" s="58"/>
    </row>
    <row r="1820" spans="11:11" x14ac:dyDescent="0.25">
      <c r="K1820" s="58"/>
    </row>
    <row r="1821" spans="11:11" x14ac:dyDescent="0.25">
      <c r="K1821" s="58"/>
    </row>
    <row r="1822" spans="11:11" x14ac:dyDescent="0.25">
      <c r="K1822" s="58"/>
    </row>
    <row r="1823" spans="11:11" x14ac:dyDescent="0.25">
      <c r="K1823" s="58"/>
    </row>
    <row r="1824" spans="11:11" x14ac:dyDescent="0.25">
      <c r="K1824" s="58"/>
    </row>
    <row r="1825" spans="11:11" x14ac:dyDescent="0.25">
      <c r="K1825" s="58"/>
    </row>
    <row r="1826" spans="11:11" x14ac:dyDescent="0.25">
      <c r="K1826" s="58"/>
    </row>
    <row r="1827" spans="11:11" x14ac:dyDescent="0.25">
      <c r="K1827" s="58"/>
    </row>
    <row r="1828" spans="11:11" x14ac:dyDescent="0.25">
      <c r="K1828" s="58"/>
    </row>
    <row r="1829" spans="11:11" x14ac:dyDescent="0.25">
      <c r="K1829" s="58"/>
    </row>
    <row r="1830" spans="11:11" x14ac:dyDescent="0.25">
      <c r="K1830" s="58"/>
    </row>
    <row r="1831" spans="11:11" x14ac:dyDescent="0.25">
      <c r="K1831" s="58"/>
    </row>
    <row r="1832" spans="11:11" x14ac:dyDescent="0.25">
      <c r="K1832" s="58"/>
    </row>
    <row r="1833" spans="11:11" x14ac:dyDescent="0.25">
      <c r="K1833" s="58"/>
    </row>
    <row r="1834" spans="11:11" x14ac:dyDescent="0.25">
      <c r="K1834" s="58"/>
    </row>
    <row r="1835" spans="11:11" x14ac:dyDescent="0.25">
      <c r="K1835" s="58"/>
    </row>
    <row r="1836" spans="11:11" x14ac:dyDescent="0.25">
      <c r="K1836" s="58"/>
    </row>
    <row r="1837" spans="11:11" x14ac:dyDescent="0.25">
      <c r="K1837" s="58"/>
    </row>
    <row r="1838" spans="11:11" x14ac:dyDescent="0.25">
      <c r="K1838" s="58"/>
    </row>
    <row r="1839" spans="11:11" x14ac:dyDescent="0.25">
      <c r="K1839" s="58"/>
    </row>
    <row r="1840" spans="11:11" x14ac:dyDescent="0.25">
      <c r="K1840" s="58"/>
    </row>
    <row r="1841" spans="11:11" x14ac:dyDescent="0.25">
      <c r="K1841" s="58"/>
    </row>
    <row r="1842" spans="11:11" x14ac:dyDescent="0.25">
      <c r="K1842" s="58"/>
    </row>
    <row r="1843" spans="11:11" x14ac:dyDescent="0.25">
      <c r="K1843" s="58"/>
    </row>
    <row r="1844" spans="11:11" x14ac:dyDescent="0.25">
      <c r="K1844" s="58"/>
    </row>
    <row r="1845" spans="11:11" x14ac:dyDescent="0.25">
      <c r="K1845" s="58"/>
    </row>
    <row r="1846" spans="11:11" x14ac:dyDescent="0.25">
      <c r="K1846" s="58"/>
    </row>
    <row r="1847" spans="11:11" x14ac:dyDescent="0.25">
      <c r="K1847" s="58"/>
    </row>
    <row r="1848" spans="11:11" x14ac:dyDescent="0.25">
      <c r="K1848" s="58"/>
    </row>
    <row r="1849" spans="11:11" x14ac:dyDescent="0.25">
      <c r="K1849" s="58"/>
    </row>
    <row r="1850" spans="11:11" x14ac:dyDescent="0.25">
      <c r="K1850" s="58"/>
    </row>
    <row r="1851" spans="11:11" x14ac:dyDescent="0.25">
      <c r="K1851" s="58"/>
    </row>
    <row r="1852" spans="11:11" x14ac:dyDescent="0.25">
      <c r="K1852" s="58"/>
    </row>
    <row r="1853" spans="11:11" x14ac:dyDescent="0.25">
      <c r="K1853" s="58"/>
    </row>
    <row r="1854" spans="11:11" x14ac:dyDescent="0.25">
      <c r="K1854" s="58"/>
    </row>
    <row r="1855" spans="11:11" x14ac:dyDescent="0.25">
      <c r="K1855" s="58"/>
    </row>
    <row r="1856" spans="11:11" x14ac:dyDescent="0.25">
      <c r="K1856" s="58"/>
    </row>
    <row r="1857" spans="11:11" x14ac:dyDescent="0.25">
      <c r="K1857" s="58"/>
    </row>
    <row r="1858" spans="11:11" x14ac:dyDescent="0.25">
      <c r="K1858" s="58"/>
    </row>
    <row r="1859" spans="11:11" x14ac:dyDescent="0.25">
      <c r="K1859" s="58"/>
    </row>
    <row r="1860" spans="11:11" x14ac:dyDescent="0.25">
      <c r="K1860" s="58"/>
    </row>
    <row r="1861" spans="11:11" x14ac:dyDescent="0.25">
      <c r="K1861" s="58"/>
    </row>
    <row r="1862" spans="11:11" x14ac:dyDescent="0.25">
      <c r="K1862" s="58"/>
    </row>
    <row r="1863" spans="11:11" x14ac:dyDescent="0.25">
      <c r="K1863" s="58"/>
    </row>
    <row r="1864" spans="11:11" x14ac:dyDescent="0.25">
      <c r="K1864" s="58"/>
    </row>
    <row r="1865" spans="11:11" x14ac:dyDescent="0.25">
      <c r="K1865" s="58"/>
    </row>
    <row r="1866" spans="11:11" x14ac:dyDescent="0.25">
      <c r="K1866" s="58"/>
    </row>
    <row r="1867" spans="11:11" x14ac:dyDescent="0.25">
      <c r="K1867" s="58"/>
    </row>
    <row r="1868" spans="11:11" x14ac:dyDescent="0.25">
      <c r="K1868" s="58"/>
    </row>
    <row r="1869" spans="11:11" x14ac:dyDescent="0.25">
      <c r="K1869" s="58"/>
    </row>
    <row r="1870" spans="11:11" x14ac:dyDescent="0.25">
      <c r="K1870" s="58"/>
    </row>
    <row r="1871" spans="11:11" x14ac:dyDescent="0.25">
      <c r="K1871" s="58"/>
    </row>
    <row r="1872" spans="11:11" x14ac:dyDescent="0.25">
      <c r="K1872" s="58"/>
    </row>
    <row r="1873" spans="11:11" x14ac:dyDescent="0.25">
      <c r="K1873" s="58"/>
    </row>
    <row r="1874" spans="11:11" x14ac:dyDescent="0.25">
      <c r="K1874" s="58"/>
    </row>
    <row r="1875" spans="11:11" x14ac:dyDescent="0.25">
      <c r="K1875" s="58"/>
    </row>
    <row r="1876" spans="11:11" x14ac:dyDescent="0.25">
      <c r="K1876" s="58"/>
    </row>
    <row r="1877" spans="11:11" x14ac:dyDescent="0.25">
      <c r="K1877" s="58"/>
    </row>
    <row r="1878" spans="11:11" x14ac:dyDescent="0.25">
      <c r="K1878" s="58"/>
    </row>
    <row r="1879" spans="11:11" x14ac:dyDescent="0.25">
      <c r="K1879" s="58"/>
    </row>
    <row r="1880" spans="11:11" x14ac:dyDescent="0.25">
      <c r="K1880" s="58"/>
    </row>
    <row r="1881" spans="11:11" x14ac:dyDescent="0.25">
      <c r="K1881" s="58"/>
    </row>
    <row r="1882" spans="11:11" x14ac:dyDescent="0.25">
      <c r="K1882" s="58"/>
    </row>
    <row r="1883" spans="11:11" x14ac:dyDescent="0.25">
      <c r="K1883" s="58"/>
    </row>
    <row r="1884" spans="11:11" x14ac:dyDescent="0.25">
      <c r="K1884" s="58"/>
    </row>
    <row r="1885" spans="11:11" x14ac:dyDescent="0.25">
      <c r="K1885" s="58"/>
    </row>
    <row r="1886" spans="11:11" x14ac:dyDescent="0.25">
      <c r="K1886" s="58"/>
    </row>
    <row r="1887" spans="11:11" x14ac:dyDescent="0.25">
      <c r="K1887" s="58"/>
    </row>
    <row r="1888" spans="11:11" x14ac:dyDescent="0.25">
      <c r="K1888" s="58"/>
    </row>
    <row r="1889" spans="11:11" x14ac:dyDescent="0.25">
      <c r="K1889" s="58"/>
    </row>
    <row r="1890" spans="11:11" x14ac:dyDescent="0.25">
      <c r="K1890" s="58"/>
    </row>
    <row r="1891" spans="11:11" x14ac:dyDescent="0.25">
      <c r="K1891" s="58"/>
    </row>
    <row r="1892" spans="11:11" x14ac:dyDescent="0.25">
      <c r="K1892" s="58"/>
    </row>
    <row r="1893" spans="11:11" x14ac:dyDescent="0.25">
      <c r="K1893" s="58"/>
    </row>
    <row r="1894" spans="11:11" x14ac:dyDescent="0.25">
      <c r="K1894" s="58"/>
    </row>
    <row r="1895" spans="11:11" x14ac:dyDescent="0.25">
      <c r="K1895" s="58"/>
    </row>
    <row r="1896" spans="11:11" x14ac:dyDescent="0.25">
      <c r="K1896" s="58"/>
    </row>
    <row r="1897" spans="11:11" x14ac:dyDescent="0.25">
      <c r="K1897" s="58"/>
    </row>
    <row r="1898" spans="11:11" x14ac:dyDescent="0.25">
      <c r="K1898" s="58"/>
    </row>
    <row r="1899" spans="11:11" x14ac:dyDescent="0.25">
      <c r="K1899" s="58"/>
    </row>
    <row r="1900" spans="11:11" x14ac:dyDescent="0.25">
      <c r="K1900" s="58"/>
    </row>
    <row r="1901" spans="11:11" x14ac:dyDescent="0.25">
      <c r="K1901" s="58"/>
    </row>
    <row r="1902" spans="11:11" x14ac:dyDescent="0.25">
      <c r="K1902" s="58"/>
    </row>
    <row r="1903" spans="11:11" x14ac:dyDescent="0.25">
      <c r="K1903" s="58"/>
    </row>
    <row r="1904" spans="11:11" x14ac:dyDescent="0.25">
      <c r="K1904" s="58"/>
    </row>
    <row r="1905" spans="11:11" x14ac:dyDescent="0.25">
      <c r="K1905" s="58"/>
    </row>
    <row r="1906" spans="11:11" x14ac:dyDescent="0.25">
      <c r="K1906" s="58"/>
    </row>
    <row r="1907" spans="11:11" x14ac:dyDescent="0.25">
      <c r="K1907" s="58"/>
    </row>
    <row r="1908" spans="11:11" x14ac:dyDescent="0.25">
      <c r="K1908" s="58"/>
    </row>
    <row r="1909" spans="11:11" x14ac:dyDescent="0.25">
      <c r="K1909" s="58"/>
    </row>
    <row r="1910" spans="11:11" x14ac:dyDescent="0.25">
      <c r="K1910" s="58"/>
    </row>
    <row r="1911" spans="11:11" x14ac:dyDescent="0.25">
      <c r="K1911" s="58"/>
    </row>
    <row r="1912" spans="11:11" x14ac:dyDescent="0.25">
      <c r="K1912" s="58"/>
    </row>
    <row r="1913" spans="11:11" x14ac:dyDescent="0.25">
      <c r="K1913" s="58"/>
    </row>
    <row r="1914" spans="11:11" x14ac:dyDescent="0.25">
      <c r="K1914" s="58"/>
    </row>
    <row r="1915" spans="11:11" x14ac:dyDescent="0.25">
      <c r="K1915" s="58"/>
    </row>
    <row r="1916" spans="11:11" x14ac:dyDescent="0.25">
      <c r="K1916" s="58"/>
    </row>
    <row r="1917" spans="11:11" x14ac:dyDescent="0.25">
      <c r="K1917" s="58"/>
    </row>
    <row r="1918" spans="11:11" x14ac:dyDescent="0.25">
      <c r="K1918" s="58"/>
    </row>
    <row r="1919" spans="11:11" x14ac:dyDescent="0.25">
      <c r="K1919" s="58"/>
    </row>
    <row r="1920" spans="11:11" x14ac:dyDescent="0.25">
      <c r="K1920" s="58"/>
    </row>
    <row r="1921" spans="11:11" x14ac:dyDescent="0.25">
      <c r="K1921" s="58"/>
    </row>
    <row r="1922" spans="11:11" x14ac:dyDescent="0.25">
      <c r="K1922" s="58"/>
    </row>
    <row r="1923" spans="11:11" x14ac:dyDescent="0.25">
      <c r="K1923" s="58"/>
    </row>
    <row r="1924" spans="11:11" x14ac:dyDescent="0.25">
      <c r="K1924" s="58"/>
    </row>
    <row r="1925" spans="11:11" x14ac:dyDescent="0.25">
      <c r="K1925" s="58"/>
    </row>
    <row r="1926" spans="11:11" x14ac:dyDescent="0.25">
      <c r="K1926" s="58"/>
    </row>
    <row r="1927" spans="11:11" x14ac:dyDescent="0.25">
      <c r="K1927" s="58"/>
    </row>
    <row r="1928" spans="11:11" x14ac:dyDescent="0.25">
      <c r="K1928" s="58"/>
    </row>
    <row r="1929" spans="11:11" x14ac:dyDescent="0.25">
      <c r="K1929" s="58"/>
    </row>
    <row r="1930" spans="11:11" x14ac:dyDescent="0.25">
      <c r="K1930" s="58"/>
    </row>
    <row r="1931" spans="11:11" x14ac:dyDescent="0.25">
      <c r="K1931" s="58"/>
    </row>
    <row r="1932" spans="11:11" x14ac:dyDescent="0.25">
      <c r="K1932" s="58"/>
    </row>
    <row r="1933" spans="11:11" x14ac:dyDescent="0.25">
      <c r="K1933" s="58"/>
    </row>
    <row r="1934" spans="11:11" x14ac:dyDescent="0.25">
      <c r="K1934" s="58"/>
    </row>
    <row r="1935" spans="11:11" x14ac:dyDescent="0.25">
      <c r="K1935" s="58"/>
    </row>
    <row r="1936" spans="11:11" x14ac:dyDescent="0.25">
      <c r="K1936" s="58"/>
    </row>
    <row r="1937" spans="11:11" x14ac:dyDescent="0.25">
      <c r="K1937" s="58"/>
    </row>
    <row r="1938" spans="11:11" x14ac:dyDescent="0.25">
      <c r="K1938" s="58"/>
    </row>
    <row r="1939" spans="11:11" x14ac:dyDescent="0.25">
      <c r="K1939" s="58"/>
    </row>
    <row r="1940" spans="11:11" x14ac:dyDescent="0.25">
      <c r="K1940" s="58"/>
    </row>
    <row r="1941" spans="11:11" x14ac:dyDescent="0.25">
      <c r="K1941" s="58"/>
    </row>
    <row r="1942" spans="11:11" x14ac:dyDescent="0.25">
      <c r="K1942" s="58"/>
    </row>
    <row r="1943" spans="11:11" x14ac:dyDescent="0.25">
      <c r="K1943" s="58"/>
    </row>
    <row r="1944" spans="11:11" x14ac:dyDescent="0.25">
      <c r="K1944" s="58"/>
    </row>
    <row r="1945" spans="11:11" x14ac:dyDescent="0.25">
      <c r="K1945" s="58"/>
    </row>
    <row r="1946" spans="11:11" x14ac:dyDescent="0.25">
      <c r="K1946" s="58"/>
    </row>
    <row r="1947" spans="11:11" x14ac:dyDescent="0.25">
      <c r="K1947" s="58"/>
    </row>
    <row r="1948" spans="11:11" x14ac:dyDescent="0.25">
      <c r="K1948" s="58"/>
    </row>
    <row r="1949" spans="11:11" x14ac:dyDescent="0.25">
      <c r="K1949" s="58"/>
    </row>
    <row r="1950" spans="11:11" x14ac:dyDescent="0.25">
      <c r="K1950" s="58"/>
    </row>
    <row r="1951" spans="11:11" x14ac:dyDescent="0.25">
      <c r="K1951" s="58"/>
    </row>
    <row r="1952" spans="11:11" x14ac:dyDescent="0.25">
      <c r="K1952" s="58"/>
    </row>
    <row r="1953" spans="11:11" x14ac:dyDescent="0.25">
      <c r="K1953" s="58"/>
    </row>
    <row r="1954" spans="11:11" x14ac:dyDescent="0.25">
      <c r="K1954" s="58"/>
    </row>
    <row r="1955" spans="11:11" x14ac:dyDescent="0.25">
      <c r="K1955" s="58"/>
    </row>
    <row r="1956" spans="11:11" x14ac:dyDescent="0.25">
      <c r="K1956" s="58"/>
    </row>
    <row r="1957" spans="11:11" x14ac:dyDescent="0.25">
      <c r="K1957" s="58"/>
    </row>
    <row r="1958" spans="11:11" x14ac:dyDescent="0.25">
      <c r="K1958" s="58"/>
    </row>
    <row r="1959" spans="11:11" x14ac:dyDescent="0.25">
      <c r="K1959" s="58"/>
    </row>
    <row r="1960" spans="11:11" x14ac:dyDescent="0.25">
      <c r="K1960" s="58"/>
    </row>
    <row r="1961" spans="11:11" x14ac:dyDescent="0.25">
      <c r="K1961" s="58"/>
    </row>
    <row r="1962" spans="11:11" x14ac:dyDescent="0.25">
      <c r="K1962" s="58"/>
    </row>
    <row r="1963" spans="11:11" x14ac:dyDescent="0.25">
      <c r="K1963" s="58"/>
    </row>
    <row r="1964" spans="11:11" x14ac:dyDescent="0.25">
      <c r="K1964" s="58"/>
    </row>
    <row r="1965" spans="11:11" x14ac:dyDescent="0.25">
      <c r="K1965" s="58"/>
    </row>
    <row r="1966" spans="11:11" x14ac:dyDescent="0.25">
      <c r="K1966" s="58"/>
    </row>
    <row r="1967" spans="11:11" x14ac:dyDescent="0.25">
      <c r="K1967" s="58"/>
    </row>
    <row r="1968" spans="11:11" x14ac:dyDescent="0.25">
      <c r="K1968" s="58"/>
    </row>
    <row r="1969" spans="11:11" x14ac:dyDescent="0.25">
      <c r="K1969" s="58"/>
    </row>
    <row r="1970" spans="11:11" x14ac:dyDescent="0.25">
      <c r="K1970" s="58"/>
    </row>
    <row r="1971" spans="11:11" x14ac:dyDescent="0.25">
      <c r="K1971" s="58"/>
    </row>
    <row r="1972" spans="11:11" x14ac:dyDescent="0.25">
      <c r="K1972" s="58"/>
    </row>
    <row r="1973" spans="11:11" x14ac:dyDescent="0.25">
      <c r="K1973" s="58"/>
    </row>
    <row r="1974" spans="11:11" x14ac:dyDescent="0.25">
      <c r="K1974" s="58"/>
    </row>
    <row r="1975" spans="11:11" x14ac:dyDescent="0.25">
      <c r="K1975" s="58"/>
    </row>
    <row r="1976" spans="11:11" x14ac:dyDescent="0.25">
      <c r="K1976" s="58"/>
    </row>
    <row r="1977" spans="11:11" x14ac:dyDescent="0.25">
      <c r="K1977" s="58"/>
    </row>
    <row r="1978" spans="11:11" x14ac:dyDescent="0.25">
      <c r="K1978" s="58"/>
    </row>
    <row r="1979" spans="11:11" x14ac:dyDescent="0.25">
      <c r="K1979" s="58"/>
    </row>
    <row r="1980" spans="11:11" x14ac:dyDescent="0.25">
      <c r="K1980" s="58"/>
    </row>
    <row r="1981" spans="11:11" x14ac:dyDescent="0.25">
      <c r="K1981" s="58"/>
    </row>
    <row r="1982" spans="11:11" x14ac:dyDescent="0.25">
      <c r="K1982" s="58"/>
    </row>
    <row r="1983" spans="11:11" x14ac:dyDescent="0.25">
      <c r="K1983" s="58"/>
    </row>
    <row r="1984" spans="11:11" x14ac:dyDescent="0.25">
      <c r="K1984" s="58"/>
    </row>
    <row r="1985" spans="11:11" x14ac:dyDescent="0.25">
      <c r="K1985" s="58"/>
    </row>
    <row r="1986" spans="11:11" x14ac:dyDescent="0.25">
      <c r="K1986" s="58"/>
    </row>
    <row r="1987" spans="11:11" x14ac:dyDescent="0.25">
      <c r="K1987" s="58"/>
    </row>
    <row r="1988" spans="11:11" x14ac:dyDescent="0.25">
      <c r="K1988" s="58"/>
    </row>
    <row r="1989" spans="11:11" x14ac:dyDescent="0.25">
      <c r="K1989" s="58"/>
    </row>
    <row r="1990" spans="11:11" x14ac:dyDescent="0.25">
      <c r="K1990" s="58"/>
    </row>
    <row r="1991" spans="11:11" x14ac:dyDescent="0.25">
      <c r="K1991" s="58"/>
    </row>
    <row r="1992" spans="11:11" x14ac:dyDescent="0.25">
      <c r="K1992" s="58"/>
    </row>
    <row r="1993" spans="11:11" x14ac:dyDescent="0.25">
      <c r="K1993" s="58"/>
    </row>
    <row r="1994" spans="11:11" x14ac:dyDescent="0.25">
      <c r="K1994" s="58"/>
    </row>
    <row r="1995" spans="11:11" x14ac:dyDescent="0.25">
      <c r="K1995" s="58"/>
    </row>
    <row r="1996" spans="11:11" x14ac:dyDescent="0.25">
      <c r="K1996" s="58"/>
    </row>
    <row r="1997" spans="11:11" x14ac:dyDescent="0.25">
      <c r="K1997" s="58"/>
    </row>
    <row r="1998" spans="11:11" x14ac:dyDescent="0.25">
      <c r="K1998" s="58"/>
    </row>
    <row r="1999" spans="11:11" x14ac:dyDescent="0.25">
      <c r="K1999" s="58"/>
    </row>
    <row r="2000" spans="11:11" x14ac:dyDescent="0.25">
      <c r="K2000" s="58"/>
    </row>
    <row r="2001" spans="11:11" x14ac:dyDescent="0.25">
      <c r="K2001" s="58"/>
    </row>
    <row r="2002" spans="11:11" x14ac:dyDescent="0.25">
      <c r="K2002" s="58"/>
    </row>
    <row r="2003" spans="11:11" x14ac:dyDescent="0.25">
      <c r="K2003" s="58"/>
    </row>
    <row r="2004" spans="11:11" x14ac:dyDescent="0.25">
      <c r="K2004" s="58"/>
    </row>
    <row r="2005" spans="11:11" x14ac:dyDescent="0.25">
      <c r="K2005" s="58"/>
    </row>
    <row r="2006" spans="11:11" x14ac:dyDescent="0.25">
      <c r="K2006" s="58"/>
    </row>
    <row r="2007" spans="11:11" x14ac:dyDescent="0.25">
      <c r="K2007" s="58"/>
    </row>
    <row r="2008" spans="11:11" x14ac:dyDescent="0.25">
      <c r="K2008" s="58"/>
    </row>
    <row r="2009" spans="11:11" x14ac:dyDescent="0.25">
      <c r="K2009" s="58"/>
    </row>
    <row r="2010" spans="11:11" x14ac:dyDescent="0.25">
      <c r="K2010" s="58"/>
    </row>
    <row r="2011" spans="11:11" x14ac:dyDescent="0.25">
      <c r="K2011" s="58"/>
    </row>
    <row r="2012" spans="11:11" x14ac:dyDescent="0.25">
      <c r="K2012" s="58"/>
    </row>
    <row r="2013" spans="11:11" x14ac:dyDescent="0.25">
      <c r="K2013" s="58"/>
    </row>
    <row r="2014" spans="11:11" x14ac:dyDescent="0.25">
      <c r="K2014" s="58"/>
    </row>
    <row r="2015" spans="11:11" x14ac:dyDescent="0.25">
      <c r="K2015" s="58"/>
    </row>
    <row r="2016" spans="11:11" x14ac:dyDescent="0.25">
      <c r="K2016" s="58"/>
    </row>
    <row r="2017" spans="11:11" x14ac:dyDescent="0.25">
      <c r="K2017" s="58"/>
    </row>
    <row r="2018" spans="11:11" x14ac:dyDescent="0.25">
      <c r="K2018" s="58"/>
    </row>
    <row r="2019" spans="11:11" x14ac:dyDescent="0.25">
      <c r="K2019" s="58"/>
    </row>
    <row r="2020" spans="11:11" x14ac:dyDescent="0.25">
      <c r="K2020" s="58"/>
    </row>
    <row r="2021" spans="11:11" x14ac:dyDescent="0.25">
      <c r="K2021" s="58"/>
    </row>
    <row r="2022" spans="11:11" x14ac:dyDescent="0.25">
      <c r="K2022" s="58"/>
    </row>
    <row r="2023" spans="11:11" x14ac:dyDescent="0.25">
      <c r="K2023" s="58"/>
    </row>
    <row r="2024" spans="11:11" x14ac:dyDescent="0.25">
      <c r="K2024" s="58"/>
    </row>
    <row r="2025" spans="11:11" x14ac:dyDescent="0.25">
      <c r="K2025" s="58"/>
    </row>
    <row r="2026" spans="11:11" x14ac:dyDescent="0.25">
      <c r="K2026" s="58"/>
    </row>
    <row r="2027" spans="11:11" x14ac:dyDescent="0.25">
      <c r="K2027" s="58"/>
    </row>
    <row r="2028" spans="11:11" x14ac:dyDescent="0.25">
      <c r="K2028" s="58"/>
    </row>
    <row r="2029" spans="11:11" x14ac:dyDescent="0.25">
      <c r="K2029" s="58"/>
    </row>
    <row r="2030" spans="11:11" x14ac:dyDescent="0.25">
      <c r="K2030" s="58"/>
    </row>
    <row r="2031" spans="11:11" x14ac:dyDescent="0.25">
      <c r="K2031" s="58"/>
    </row>
    <row r="2032" spans="11:11" x14ac:dyDescent="0.25">
      <c r="K2032" s="58"/>
    </row>
    <row r="2033" spans="11:11" x14ac:dyDescent="0.25">
      <c r="K2033" s="58"/>
    </row>
    <row r="2034" spans="11:11" x14ac:dyDescent="0.25">
      <c r="K2034" s="58"/>
    </row>
    <row r="2035" spans="11:11" x14ac:dyDescent="0.25">
      <c r="K2035" s="58"/>
    </row>
    <row r="2036" spans="11:11" x14ac:dyDescent="0.25">
      <c r="K2036" s="58"/>
    </row>
    <row r="2037" spans="11:11" x14ac:dyDescent="0.25">
      <c r="K2037" s="58"/>
    </row>
    <row r="2038" spans="11:11" x14ac:dyDescent="0.25">
      <c r="K2038" s="58"/>
    </row>
    <row r="2039" spans="11:11" x14ac:dyDescent="0.25">
      <c r="K2039" s="58"/>
    </row>
    <row r="2040" spans="11:11" x14ac:dyDescent="0.25">
      <c r="K2040" s="58"/>
    </row>
    <row r="2041" spans="11:11" x14ac:dyDescent="0.25">
      <c r="K2041" s="58"/>
    </row>
    <row r="2042" spans="11:11" x14ac:dyDescent="0.25">
      <c r="K2042" s="58"/>
    </row>
    <row r="2043" spans="11:11" x14ac:dyDescent="0.25">
      <c r="K2043" s="58"/>
    </row>
    <row r="2044" spans="11:11" x14ac:dyDescent="0.25">
      <c r="K2044" s="58"/>
    </row>
    <row r="2045" spans="11:11" x14ac:dyDescent="0.25">
      <c r="K2045" s="58"/>
    </row>
    <row r="2046" spans="11:11" x14ac:dyDescent="0.25">
      <c r="K2046" s="58"/>
    </row>
    <row r="2047" spans="11:11" x14ac:dyDescent="0.25">
      <c r="K2047" s="58"/>
    </row>
    <row r="2048" spans="11:11" x14ac:dyDescent="0.25">
      <c r="K2048" s="58"/>
    </row>
    <row r="2049" spans="11:11" x14ac:dyDescent="0.25">
      <c r="K2049" s="58"/>
    </row>
    <row r="2050" spans="11:11" x14ac:dyDescent="0.25">
      <c r="K2050" s="58"/>
    </row>
    <row r="2051" spans="11:11" x14ac:dyDescent="0.25">
      <c r="K2051" s="58"/>
    </row>
    <row r="2052" spans="11:11" x14ac:dyDescent="0.25">
      <c r="K2052" s="58"/>
    </row>
    <row r="2053" spans="11:11" x14ac:dyDescent="0.25">
      <c r="K2053" s="58"/>
    </row>
    <row r="2054" spans="11:11" x14ac:dyDescent="0.25">
      <c r="K2054" s="58"/>
    </row>
    <row r="2055" spans="11:11" x14ac:dyDescent="0.25">
      <c r="K2055" s="58"/>
    </row>
    <row r="2056" spans="11:11" x14ac:dyDescent="0.25">
      <c r="K2056" s="58"/>
    </row>
    <row r="2057" spans="11:11" x14ac:dyDescent="0.25">
      <c r="K2057" s="58"/>
    </row>
    <row r="2058" spans="11:11" x14ac:dyDescent="0.25">
      <c r="K2058" s="58"/>
    </row>
    <row r="2059" spans="11:11" x14ac:dyDescent="0.25">
      <c r="K2059" s="58"/>
    </row>
    <row r="2060" spans="11:11" x14ac:dyDescent="0.25">
      <c r="K2060" s="58"/>
    </row>
    <row r="2061" spans="11:11" x14ac:dyDescent="0.25">
      <c r="K2061" s="58"/>
    </row>
    <row r="2062" spans="11:11" x14ac:dyDescent="0.25">
      <c r="K2062" s="58"/>
    </row>
    <row r="2063" spans="11:11" x14ac:dyDescent="0.25">
      <c r="K2063" s="58"/>
    </row>
    <row r="2064" spans="11:11" x14ac:dyDescent="0.25">
      <c r="K2064" s="58"/>
    </row>
    <row r="2065" spans="11:11" x14ac:dyDescent="0.25">
      <c r="K2065" s="58"/>
    </row>
    <row r="2066" spans="11:11" x14ac:dyDescent="0.25">
      <c r="K2066" s="58"/>
    </row>
    <row r="2067" spans="11:11" x14ac:dyDescent="0.25">
      <c r="K2067" s="58"/>
    </row>
    <row r="2068" spans="11:11" x14ac:dyDescent="0.25">
      <c r="K2068" s="58"/>
    </row>
    <row r="2069" spans="11:11" x14ac:dyDescent="0.25">
      <c r="K2069" s="58"/>
    </row>
    <row r="2070" spans="11:11" x14ac:dyDescent="0.25">
      <c r="K2070" s="58"/>
    </row>
    <row r="2071" spans="11:11" x14ac:dyDescent="0.25">
      <c r="K2071" s="58"/>
    </row>
    <row r="2072" spans="11:11" x14ac:dyDescent="0.25">
      <c r="K2072" s="58"/>
    </row>
    <row r="2073" spans="11:11" x14ac:dyDescent="0.25">
      <c r="K2073" s="58"/>
    </row>
    <row r="2074" spans="11:11" x14ac:dyDescent="0.25">
      <c r="K2074" s="58"/>
    </row>
    <row r="2075" spans="11:11" x14ac:dyDescent="0.25">
      <c r="K2075" s="58"/>
    </row>
    <row r="2076" spans="11:11" x14ac:dyDescent="0.25">
      <c r="K2076" s="58"/>
    </row>
    <row r="2077" spans="11:11" x14ac:dyDescent="0.25">
      <c r="K2077" s="58"/>
    </row>
    <row r="2078" spans="11:11" x14ac:dyDescent="0.25">
      <c r="K2078" s="58"/>
    </row>
    <row r="2079" spans="11:11" x14ac:dyDescent="0.25">
      <c r="K2079" s="58"/>
    </row>
    <row r="2080" spans="11:11" x14ac:dyDescent="0.25">
      <c r="K2080" s="58"/>
    </row>
    <row r="2081" spans="11:11" x14ac:dyDescent="0.25">
      <c r="K2081" s="58"/>
    </row>
    <row r="2082" spans="11:11" x14ac:dyDescent="0.25">
      <c r="K2082" s="58"/>
    </row>
    <row r="2083" spans="11:11" x14ac:dyDescent="0.25">
      <c r="K2083" s="58"/>
    </row>
    <row r="2084" spans="11:11" x14ac:dyDescent="0.25">
      <c r="K2084" s="58"/>
    </row>
    <row r="2085" spans="11:11" x14ac:dyDescent="0.25">
      <c r="K2085" s="58"/>
    </row>
    <row r="2086" spans="11:11" x14ac:dyDescent="0.25">
      <c r="K2086" s="58"/>
    </row>
    <row r="2087" spans="11:11" x14ac:dyDescent="0.25">
      <c r="K2087" s="58"/>
    </row>
    <row r="2088" spans="11:11" x14ac:dyDescent="0.25">
      <c r="K2088" s="58"/>
    </row>
    <row r="2089" spans="11:11" x14ac:dyDescent="0.25">
      <c r="K2089" s="58"/>
    </row>
    <row r="2090" spans="11:11" x14ac:dyDescent="0.25">
      <c r="K2090" s="58"/>
    </row>
    <row r="2091" spans="11:11" x14ac:dyDescent="0.25">
      <c r="K2091" s="58"/>
    </row>
    <row r="2092" spans="11:11" x14ac:dyDescent="0.25">
      <c r="K2092" s="58"/>
    </row>
    <row r="2093" spans="11:11" x14ac:dyDescent="0.25">
      <c r="K2093" s="58"/>
    </row>
    <row r="2094" spans="11:11" x14ac:dyDescent="0.25">
      <c r="K2094" s="58"/>
    </row>
    <row r="2095" spans="11:11" x14ac:dyDescent="0.25">
      <c r="K2095" s="58"/>
    </row>
    <row r="2096" spans="11:11" x14ac:dyDescent="0.25">
      <c r="K2096" s="58"/>
    </row>
    <row r="2097" spans="11:11" x14ac:dyDescent="0.25">
      <c r="K2097" s="58"/>
    </row>
    <row r="2098" spans="11:11" x14ac:dyDescent="0.25">
      <c r="K2098" s="58"/>
    </row>
    <row r="2099" spans="11:11" x14ac:dyDescent="0.25">
      <c r="K2099" s="58"/>
    </row>
    <row r="2100" spans="11:11" x14ac:dyDescent="0.25">
      <c r="K2100" s="58"/>
    </row>
    <row r="2101" spans="11:11" x14ac:dyDescent="0.25">
      <c r="K2101" s="58"/>
    </row>
    <row r="2102" spans="11:11" x14ac:dyDescent="0.25">
      <c r="K2102" s="58"/>
    </row>
    <row r="2103" spans="11:11" x14ac:dyDescent="0.25">
      <c r="K2103" s="58"/>
    </row>
    <row r="2104" spans="11:11" x14ac:dyDescent="0.25">
      <c r="K2104" s="58"/>
    </row>
    <row r="2105" spans="11:11" x14ac:dyDescent="0.25">
      <c r="K2105" s="58"/>
    </row>
    <row r="2106" spans="11:11" x14ac:dyDescent="0.25">
      <c r="K2106" s="58"/>
    </row>
    <row r="2107" spans="11:11" x14ac:dyDescent="0.25">
      <c r="K2107" s="58"/>
    </row>
    <row r="2108" spans="11:11" x14ac:dyDescent="0.25">
      <c r="K2108" s="58"/>
    </row>
    <row r="2109" spans="11:11" x14ac:dyDescent="0.25">
      <c r="K2109" s="58"/>
    </row>
    <row r="2110" spans="11:11" x14ac:dyDescent="0.25">
      <c r="K2110" s="58"/>
    </row>
    <row r="2111" spans="11:11" x14ac:dyDescent="0.25">
      <c r="K2111" s="58"/>
    </row>
    <row r="2112" spans="11:11" x14ac:dyDescent="0.25">
      <c r="K2112" s="58"/>
    </row>
    <row r="2113" spans="11:11" x14ac:dyDescent="0.25">
      <c r="K2113" s="58"/>
    </row>
    <row r="2114" spans="11:11" x14ac:dyDescent="0.25">
      <c r="K2114" s="58"/>
    </row>
    <row r="2115" spans="11:11" x14ac:dyDescent="0.25">
      <c r="K2115" s="58"/>
    </row>
    <row r="2116" spans="11:11" x14ac:dyDescent="0.25">
      <c r="K2116" s="58"/>
    </row>
    <row r="2117" spans="11:11" x14ac:dyDescent="0.25">
      <c r="K2117" s="58"/>
    </row>
    <row r="2118" spans="11:11" x14ac:dyDescent="0.25">
      <c r="K2118" s="58"/>
    </row>
    <row r="2119" spans="11:11" x14ac:dyDescent="0.25">
      <c r="K2119" s="58"/>
    </row>
    <row r="2120" spans="11:11" x14ac:dyDescent="0.25">
      <c r="K2120" s="58"/>
    </row>
    <row r="2121" spans="11:11" x14ac:dyDescent="0.25">
      <c r="K2121" s="58"/>
    </row>
    <row r="2122" spans="11:11" x14ac:dyDescent="0.25">
      <c r="K2122" s="58"/>
    </row>
    <row r="2123" spans="11:11" x14ac:dyDescent="0.25">
      <c r="K2123" s="58"/>
    </row>
    <row r="2124" spans="11:11" x14ac:dyDescent="0.25">
      <c r="K2124" s="58"/>
    </row>
    <row r="2125" spans="11:11" x14ac:dyDescent="0.25">
      <c r="K2125" s="58"/>
    </row>
    <row r="2126" spans="11:11" x14ac:dyDescent="0.25">
      <c r="K2126" s="58"/>
    </row>
    <row r="2127" spans="11:11" x14ac:dyDescent="0.25">
      <c r="K2127" s="58"/>
    </row>
    <row r="2128" spans="11:11" x14ac:dyDescent="0.25">
      <c r="K2128" s="58"/>
    </row>
    <row r="2129" spans="11:11" x14ac:dyDescent="0.25">
      <c r="K2129" s="58"/>
    </row>
    <row r="2130" spans="11:11" x14ac:dyDescent="0.25">
      <c r="K2130" s="58"/>
    </row>
    <row r="2131" spans="11:11" x14ac:dyDescent="0.25">
      <c r="K2131" s="58"/>
    </row>
    <row r="2132" spans="11:11" x14ac:dyDescent="0.25">
      <c r="K2132" s="58"/>
    </row>
    <row r="2133" spans="11:11" x14ac:dyDescent="0.25">
      <c r="K2133" s="58"/>
    </row>
    <row r="2134" spans="11:11" x14ac:dyDescent="0.25">
      <c r="K2134" s="58"/>
    </row>
    <row r="2135" spans="11:11" x14ac:dyDescent="0.25">
      <c r="K2135" s="58"/>
    </row>
    <row r="2136" spans="11:11" x14ac:dyDescent="0.25">
      <c r="K2136" s="58"/>
    </row>
    <row r="2137" spans="11:11" x14ac:dyDescent="0.25">
      <c r="K2137" s="58"/>
    </row>
    <row r="2138" spans="11:11" x14ac:dyDescent="0.25">
      <c r="K2138" s="58"/>
    </row>
    <row r="2139" spans="11:11" x14ac:dyDescent="0.25">
      <c r="K2139" s="58"/>
    </row>
    <row r="2140" spans="11:11" x14ac:dyDescent="0.25">
      <c r="K2140" s="58"/>
    </row>
    <row r="2141" spans="11:11" x14ac:dyDescent="0.25">
      <c r="K2141" s="58"/>
    </row>
    <row r="2142" spans="11:11" x14ac:dyDescent="0.25">
      <c r="K2142" s="58"/>
    </row>
    <row r="2143" spans="11:11" x14ac:dyDescent="0.25">
      <c r="K2143" s="58"/>
    </row>
    <row r="2144" spans="11:11" x14ac:dyDescent="0.25">
      <c r="K2144" s="58"/>
    </row>
    <row r="2145" spans="11:11" x14ac:dyDescent="0.25">
      <c r="K2145" s="58"/>
    </row>
    <row r="2146" spans="11:11" x14ac:dyDescent="0.25">
      <c r="K2146" s="58"/>
    </row>
    <row r="2147" spans="11:11" x14ac:dyDescent="0.25">
      <c r="K2147" s="58"/>
    </row>
    <row r="2148" spans="11:11" x14ac:dyDescent="0.25">
      <c r="K2148" s="58"/>
    </row>
    <row r="2149" spans="11:11" x14ac:dyDescent="0.25">
      <c r="K2149" s="58"/>
    </row>
    <row r="2150" spans="11:11" x14ac:dyDescent="0.25">
      <c r="K2150" s="58"/>
    </row>
    <row r="2151" spans="11:11" x14ac:dyDescent="0.25">
      <c r="K2151" s="58"/>
    </row>
    <row r="2152" spans="11:11" x14ac:dyDescent="0.25">
      <c r="K2152" s="58"/>
    </row>
    <row r="2153" spans="11:11" x14ac:dyDescent="0.25">
      <c r="K2153" s="58"/>
    </row>
    <row r="2154" spans="11:11" x14ac:dyDescent="0.25">
      <c r="K2154" s="58"/>
    </row>
    <row r="2155" spans="11:11" x14ac:dyDescent="0.25">
      <c r="K2155" s="58"/>
    </row>
    <row r="2156" spans="11:11" x14ac:dyDescent="0.25">
      <c r="K2156" s="58"/>
    </row>
    <row r="2157" spans="11:11" x14ac:dyDescent="0.25">
      <c r="K2157" s="58"/>
    </row>
    <row r="2158" spans="11:11" x14ac:dyDescent="0.25">
      <c r="K2158" s="58"/>
    </row>
    <row r="2159" spans="11:11" x14ac:dyDescent="0.25">
      <c r="K2159" s="58"/>
    </row>
    <row r="2160" spans="11:11" x14ac:dyDescent="0.25">
      <c r="K2160" s="58"/>
    </row>
    <row r="2161" spans="11:11" x14ac:dyDescent="0.25">
      <c r="K2161" s="58"/>
    </row>
    <row r="2162" spans="11:11" x14ac:dyDescent="0.25">
      <c r="K2162" s="58"/>
    </row>
    <row r="2163" spans="11:11" x14ac:dyDescent="0.25">
      <c r="K2163" s="58"/>
    </row>
    <row r="2164" spans="11:11" x14ac:dyDescent="0.25">
      <c r="K2164" s="58"/>
    </row>
    <row r="2165" spans="11:11" x14ac:dyDescent="0.25">
      <c r="K2165" s="58"/>
    </row>
    <row r="2166" spans="11:11" x14ac:dyDescent="0.25">
      <c r="K2166" s="58"/>
    </row>
    <row r="2167" spans="11:11" x14ac:dyDescent="0.25">
      <c r="K2167" s="58"/>
    </row>
    <row r="2168" spans="11:11" x14ac:dyDescent="0.25">
      <c r="K2168" s="58"/>
    </row>
    <row r="2169" spans="11:11" x14ac:dyDescent="0.25">
      <c r="K2169" s="58"/>
    </row>
    <row r="2170" spans="11:11" x14ac:dyDescent="0.25">
      <c r="K2170" s="58"/>
    </row>
    <row r="2171" spans="11:11" x14ac:dyDescent="0.25">
      <c r="K2171" s="58"/>
    </row>
    <row r="2172" spans="11:11" x14ac:dyDescent="0.25">
      <c r="K2172" s="58"/>
    </row>
    <row r="2173" spans="11:11" x14ac:dyDescent="0.25">
      <c r="K2173" s="58"/>
    </row>
    <row r="2174" spans="11:11" x14ac:dyDescent="0.25">
      <c r="K2174" s="58"/>
    </row>
    <row r="2175" spans="11:11" x14ac:dyDescent="0.25">
      <c r="K2175" s="58"/>
    </row>
    <row r="2176" spans="11:11" x14ac:dyDescent="0.25">
      <c r="K2176" s="58"/>
    </row>
    <row r="2177" spans="11:11" x14ac:dyDescent="0.25">
      <c r="K2177" s="58"/>
    </row>
    <row r="2178" spans="11:11" x14ac:dyDescent="0.25">
      <c r="K2178" s="58"/>
    </row>
    <row r="2179" spans="11:11" x14ac:dyDescent="0.25">
      <c r="K2179" s="58"/>
    </row>
    <row r="2180" spans="11:11" x14ac:dyDescent="0.25">
      <c r="K2180" s="58"/>
    </row>
    <row r="2181" spans="11:11" x14ac:dyDescent="0.25">
      <c r="K2181" s="58"/>
    </row>
    <row r="2182" spans="11:11" x14ac:dyDescent="0.25">
      <c r="K2182" s="58"/>
    </row>
    <row r="2183" spans="11:11" x14ac:dyDescent="0.25">
      <c r="K2183" s="58"/>
    </row>
    <row r="2184" spans="11:11" x14ac:dyDescent="0.25">
      <c r="K2184" s="58"/>
    </row>
    <row r="2185" spans="11:11" x14ac:dyDescent="0.25">
      <c r="K2185" s="58"/>
    </row>
    <row r="2186" spans="11:11" x14ac:dyDescent="0.25">
      <c r="K2186" s="58"/>
    </row>
    <row r="2187" spans="11:11" x14ac:dyDescent="0.25">
      <c r="K2187" s="58"/>
    </row>
    <row r="2188" spans="11:11" x14ac:dyDescent="0.25">
      <c r="K2188" s="58"/>
    </row>
    <row r="2189" spans="11:11" x14ac:dyDescent="0.25">
      <c r="K2189" s="58"/>
    </row>
    <row r="2190" spans="11:11" x14ac:dyDescent="0.25">
      <c r="K2190" s="58"/>
    </row>
    <row r="2191" spans="11:11" x14ac:dyDescent="0.25">
      <c r="K2191" s="58"/>
    </row>
    <row r="2192" spans="11:11" x14ac:dyDescent="0.25">
      <c r="K2192" s="58"/>
    </row>
    <row r="2193" spans="11:11" x14ac:dyDescent="0.25">
      <c r="K2193" s="58"/>
    </row>
    <row r="2194" spans="11:11" x14ac:dyDescent="0.25">
      <c r="K2194" s="58"/>
    </row>
    <row r="2195" spans="11:11" x14ac:dyDescent="0.25">
      <c r="K2195" s="58"/>
    </row>
    <row r="2196" spans="11:11" x14ac:dyDescent="0.25">
      <c r="K2196" s="58"/>
    </row>
    <row r="2197" spans="11:11" x14ac:dyDescent="0.25">
      <c r="K2197" s="58"/>
    </row>
    <row r="2198" spans="11:11" x14ac:dyDescent="0.25">
      <c r="K2198" s="58"/>
    </row>
    <row r="2199" spans="11:11" x14ac:dyDescent="0.25">
      <c r="K2199" s="58"/>
    </row>
    <row r="2200" spans="11:11" x14ac:dyDescent="0.25">
      <c r="K2200" s="58"/>
    </row>
    <row r="2201" spans="11:11" x14ac:dyDescent="0.25">
      <c r="K2201" s="58"/>
    </row>
    <row r="2202" spans="11:11" x14ac:dyDescent="0.25">
      <c r="K2202" s="58"/>
    </row>
    <row r="2203" spans="11:11" x14ac:dyDescent="0.25">
      <c r="K2203" s="58"/>
    </row>
    <row r="2204" spans="11:11" x14ac:dyDescent="0.25">
      <c r="K2204" s="58"/>
    </row>
    <row r="2205" spans="11:11" x14ac:dyDescent="0.25">
      <c r="K2205" s="58"/>
    </row>
    <row r="2206" spans="11:11" x14ac:dyDescent="0.25">
      <c r="K2206" s="58"/>
    </row>
    <row r="2207" spans="11:11" x14ac:dyDescent="0.25">
      <c r="K2207" s="58"/>
    </row>
    <row r="2208" spans="11:11" x14ac:dyDescent="0.25">
      <c r="K2208" s="58"/>
    </row>
    <row r="2209" spans="11:11" x14ac:dyDescent="0.25">
      <c r="K2209" s="58"/>
    </row>
    <row r="2210" spans="11:11" x14ac:dyDescent="0.25">
      <c r="K2210" s="58"/>
    </row>
    <row r="2211" spans="11:11" x14ac:dyDescent="0.25">
      <c r="K2211" s="58"/>
    </row>
    <row r="2212" spans="11:11" x14ac:dyDescent="0.25">
      <c r="K2212" s="58"/>
    </row>
    <row r="2213" spans="11:11" x14ac:dyDescent="0.25">
      <c r="K2213" s="58"/>
    </row>
    <row r="2214" spans="11:11" x14ac:dyDescent="0.25">
      <c r="K2214" s="58"/>
    </row>
    <row r="2215" spans="11:11" x14ac:dyDescent="0.25">
      <c r="K2215" s="58"/>
    </row>
    <row r="2216" spans="11:11" x14ac:dyDescent="0.25">
      <c r="K2216" s="58"/>
    </row>
    <row r="2217" spans="11:11" x14ac:dyDescent="0.25">
      <c r="K2217" s="58"/>
    </row>
    <row r="2218" spans="11:11" x14ac:dyDescent="0.25">
      <c r="K2218" s="58"/>
    </row>
    <row r="2219" spans="11:11" x14ac:dyDescent="0.25">
      <c r="K2219" s="58"/>
    </row>
    <row r="2220" spans="11:11" x14ac:dyDescent="0.25">
      <c r="K2220" s="58"/>
    </row>
    <row r="2221" spans="11:11" x14ac:dyDescent="0.25">
      <c r="K2221" s="58"/>
    </row>
    <row r="2222" spans="11:11" x14ac:dyDescent="0.25">
      <c r="K2222" s="58"/>
    </row>
    <row r="2223" spans="11:11" x14ac:dyDescent="0.25">
      <c r="K2223" s="58"/>
    </row>
    <row r="2224" spans="11:11" x14ac:dyDescent="0.25">
      <c r="K2224" s="58"/>
    </row>
    <row r="2225" spans="11:11" x14ac:dyDescent="0.25">
      <c r="K2225" s="58"/>
    </row>
    <row r="2226" spans="11:11" x14ac:dyDescent="0.25">
      <c r="K2226" s="58"/>
    </row>
    <row r="2227" spans="11:11" x14ac:dyDescent="0.25">
      <c r="K2227" s="58"/>
    </row>
    <row r="2228" spans="11:11" x14ac:dyDescent="0.25">
      <c r="K2228" s="58"/>
    </row>
    <row r="2229" spans="11:11" x14ac:dyDescent="0.25">
      <c r="K2229" s="58"/>
    </row>
    <row r="2230" spans="11:11" x14ac:dyDescent="0.25">
      <c r="K2230" s="58"/>
    </row>
    <row r="2231" spans="11:11" x14ac:dyDescent="0.25">
      <c r="K2231" s="58"/>
    </row>
    <row r="2232" spans="11:11" x14ac:dyDescent="0.25">
      <c r="K2232" s="58"/>
    </row>
    <row r="2233" spans="11:11" x14ac:dyDescent="0.25">
      <c r="K2233" s="58"/>
    </row>
    <row r="2234" spans="11:11" x14ac:dyDescent="0.25">
      <c r="K2234" s="58"/>
    </row>
    <row r="2235" spans="11:11" x14ac:dyDescent="0.25">
      <c r="K2235" s="58"/>
    </row>
    <row r="2236" spans="11:11" x14ac:dyDescent="0.25">
      <c r="K2236" s="58"/>
    </row>
    <row r="2237" spans="11:11" x14ac:dyDescent="0.25">
      <c r="K2237" s="58"/>
    </row>
    <row r="2238" spans="11:11" x14ac:dyDescent="0.25">
      <c r="K2238" s="58"/>
    </row>
    <row r="2239" spans="11:11" x14ac:dyDescent="0.25">
      <c r="K2239" s="58"/>
    </row>
    <row r="2240" spans="11:11" x14ac:dyDescent="0.25">
      <c r="K2240" s="58"/>
    </row>
    <row r="2241" spans="11:11" x14ac:dyDescent="0.25">
      <c r="K2241" s="58"/>
    </row>
    <row r="2242" spans="11:11" x14ac:dyDescent="0.25">
      <c r="K2242" s="58"/>
    </row>
    <row r="2243" spans="11:11" x14ac:dyDescent="0.25">
      <c r="K2243" s="58"/>
    </row>
    <row r="2244" spans="11:11" x14ac:dyDescent="0.25">
      <c r="K2244" s="58"/>
    </row>
    <row r="2245" spans="11:11" x14ac:dyDescent="0.25">
      <c r="K2245" s="58"/>
    </row>
    <row r="2246" spans="11:11" x14ac:dyDescent="0.25">
      <c r="K2246" s="58"/>
    </row>
    <row r="2247" spans="11:11" x14ac:dyDescent="0.25">
      <c r="K2247" s="58"/>
    </row>
    <row r="2248" spans="11:11" x14ac:dyDescent="0.25">
      <c r="K2248" s="58"/>
    </row>
    <row r="2249" spans="11:11" x14ac:dyDescent="0.25">
      <c r="K2249" s="58"/>
    </row>
    <row r="2250" spans="11:11" x14ac:dyDescent="0.25">
      <c r="K2250" s="58"/>
    </row>
    <row r="2251" spans="11:11" x14ac:dyDescent="0.25">
      <c r="K2251" s="58"/>
    </row>
    <row r="2252" spans="11:11" x14ac:dyDescent="0.25">
      <c r="K2252" s="58"/>
    </row>
    <row r="2253" spans="11:11" x14ac:dyDescent="0.25">
      <c r="K2253" s="58"/>
    </row>
    <row r="2254" spans="11:11" x14ac:dyDescent="0.25">
      <c r="K2254" s="58"/>
    </row>
    <row r="2255" spans="11:11" x14ac:dyDescent="0.25">
      <c r="K2255" s="58"/>
    </row>
    <row r="2256" spans="11:11" x14ac:dyDescent="0.25">
      <c r="K2256" s="58"/>
    </row>
    <row r="2257" spans="11:11" x14ac:dyDescent="0.25">
      <c r="K2257" s="58"/>
    </row>
    <row r="2258" spans="11:11" x14ac:dyDescent="0.25">
      <c r="K2258" s="58"/>
    </row>
    <row r="2259" spans="11:11" x14ac:dyDescent="0.25">
      <c r="K2259" s="58"/>
    </row>
    <row r="2260" spans="11:11" x14ac:dyDescent="0.25">
      <c r="K2260" s="58"/>
    </row>
    <row r="2261" spans="11:11" x14ac:dyDescent="0.25">
      <c r="K2261" s="58"/>
    </row>
    <row r="2262" spans="11:11" x14ac:dyDescent="0.25">
      <c r="K2262" s="58"/>
    </row>
    <row r="2263" spans="11:11" x14ac:dyDescent="0.25">
      <c r="K2263" s="58"/>
    </row>
    <row r="2264" spans="11:11" x14ac:dyDescent="0.25">
      <c r="K2264" s="58"/>
    </row>
    <row r="2265" spans="11:11" x14ac:dyDescent="0.25">
      <c r="K2265" s="58"/>
    </row>
    <row r="2266" spans="11:11" x14ac:dyDescent="0.25">
      <c r="K2266" s="58"/>
    </row>
    <row r="2267" spans="11:11" x14ac:dyDescent="0.25">
      <c r="K2267" s="58"/>
    </row>
    <row r="2268" spans="11:11" x14ac:dyDescent="0.25">
      <c r="K2268" s="58"/>
    </row>
    <row r="2269" spans="11:11" x14ac:dyDescent="0.25">
      <c r="K2269" s="58"/>
    </row>
    <row r="2270" spans="11:11" x14ac:dyDescent="0.25">
      <c r="K2270" s="58"/>
    </row>
    <row r="2271" spans="11:11" x14ac:dyDescent="0.25">
      <c r="K2271" s="58"/>
    </row>
    <row r="2272" spans="11:11" x14ac:dyDescent="0.25">
      <c r="K2272" s="58"/>
    </row>
    <row r="2273" spans="11:11" x14ac:dyDescent="0.25">
      <c r="K2273" s="58"/>
    </row>
    <row r="2274" spans="11:11" x14ac:dyDescent="0.25">
      <c r="K2274" s="58"/>
    </row>
    <row r="2275" spans="11:11" x14ac:dyDescent="0.25">
      <c r="K2275" s="58"/>
    </row>
    <row r="2276" spans="11:11" x14ac:dyDescent="0.25">
      <c r="K2276" s="58"/>
    </row>
    <row r="2277" spans="11:11" x14ac:dyDescent="0.25">
      <c r="K2277" s="58"/>
    </row>
    <row r="2278" spans="11:11" x14ac:dyDescent="0.25">
      <c r="K2278" s="58"/>
    </row>
    <row r="2279" spans="11:11" x14ac:dyDescent="0.25">
      <c r="K2279" s="58"/>
    </row>
    <row r="2280" spans="11:11" x14ac:dyDescent="0.25">
      <c r="K2280" s="58"/>
    </row>
    <row r="2281" spans="11:11" x14ac:dyDescent="0.25">
      <c r="K2281" s="58"/>
    </row>
    <row r="2282" spans="11:11" x14ac:dyDescent="0.25">
      <c r="K2282" s="58"/>
    </row>
    <row r="2283" spans="11:11" x14ac:dyDescent="0.25">
      <c r="K2283" s="58"/>
    </row>
    <row r="2284" spans="11:11" x14ac:dyDescent="0.25">
      <c r="K2284" s="58"/>
    </row>
    <row r="2285" spans="11:11" x14ac:dyDescent="0.25">
      <c r="K2285" s="58"/>
    </row>
    <row r="2286" spans="11:11" x14ac:dyDescent="0.25">
      <c r="K2286" s="58"/>
    </row>
    <row r="2287" spans="11:11" x14ac:dyDescent="0.25">
      <c r="K2287" s="58"/>
    </row>
    <row r="2288" spans="11:11" x14ac:dyDescent="0.25">
      <c r="K2288" s="58"/>
    </row>
    <row r="2289" spans="11:11" x14ac:dyDescent="0.25">
      <c r="K2289" s="58"/>
    </row>
    <row r="2290" spans="11:11" x14ac:dyDescent="0.25">
      <c r="K2290" s="58"/>
    </row>
    <row r="2291" spans="11:11" x14ac:dyDescent="0.25">
      <c r="K2291" s="58"/>
    </row>
    <row r="2292" spans="11:11" x14ac:dyDescent="0.25">
      <c r="K2292" s="58"/>
    </row>
    <row r="2293" spans="11:11" x14ac:dyDescent="0.25">
      <c r="K2293" s="58"/>
    </row>
    <row r="2294" spans="11:11" x14ac:dyDescent="0.25">
      <c r="K2294" s="58"/>
    </row>
    <row r="2295" spans="11:11" x14ac:dyDescent="0.25">
      <c r="K2295" s="58"/>
    </row>
    <row r="2296" spans="11:11" x14ac:dyDescent="0.25">
      <c r="K2296" s="58"/>
    </row>
    <row r="2297" spans="11:11" x14ac:dyDescent="0.25">
      <c r="K2297" s="58"/>
    </row>
    <row r="2298" spans="11:11" x14ac:dyDescent="0.25">
      <c r="K2298" s="58"/>
    </row>
    <row r="2299" spans="11:11" x14ac:dyDescent="0.25">
      <c r="K2299" s="58"/>
    </row>
    <row r="2300" spans="11:11" x14ac:dyDescent="0.25">
      <c r="K2300" s="58"/>
    </row>
    <row r="2301" spans="11:11" x14ac:dyDescent="0.25">
      <c r="K2301" s="58"/>
    </row>
    <row r="2302" spans="11:11" x14ac:dyDescent="0.25">
      <c r="K2302" s="58"/>
    </row>
    <row r="2303" spans="11:11" x14ac:dyDescent="0.25">
      <c r="K2303" s="58"/>
    </row>
    <row r="2304" spans="11:11" x14ac:dyDescent="0.25">
      <c r="K2304" s="58"/>
    </row>
    <row r="2305" spans="11:11" x14ac:dyDescent="0.25">
      <c r="K2305" s="58"/>
    </row>
    <row r="2306" spans="11:11" x14ac:dyDescent="0.25">
      <c r="K2306" s="58"/>
    </row>
    <row r="2307" spans="11:11" x14ac:dyDescent="0.25">
      <c r="K2307" s="58"/>
    </row>
    <row r="2308" spans="11:11" x14ac:dyDescent="0.25">
      <c r="K2308" s="58"/>
    </row>
    <row r="2309" spans="11:11" x14ac:dyDescent="0.25">
      <c r="K2309" s="58"/>
    </row>
    <row r="2310" spans="11:11" x14ac:dyDescent="0.25">
      <c r="K2310" s="58"/>
    </row>
    <row r="2311" spans="11:11" x14ac:dyDescent="0.25">
      <c r="K2311" s="58"/>
    </row>
  </sheetData>
  <mergeCells count="20">
    <mergeCell ref="A29:K29"/>
    <mergeCell ref="D36:D37"/>
    <mergeCell ref="I36:I37"/>
    <mergeCell ref="J36:J37"/>
    <mergeCell ref="K36:K37"/>
    <mergeCell ref="A31:J31"/>
    <mergeCell ref="A36:A37"/>
    <mergeCell ref="B36:B37"/>
    <mergeCell ref="C36:C37"/>
    <mergeCell ref="E36:E37"/>
    <mergeCell ref="F36:F37"/>
    <mergeCell ref="G36:G37"/>
    <mergeCell ref="H36:H37"/>
    <mergeCell ref="A32:K32"/>
    <mergeCell ref="A33:K33"/>
    <mergeCell ref="A2:R2"/>
    <mergeCell ref="A4:R4"/>
    <mergeCell ref="A5:R5"/>
    <mergeCell ref="A6:R6"/>
    <mergeCell ref="A9:S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Лист2</vt:lpstr>
      <vt:lpstr>PW</vt:lpstr>
      <vt:lpstr>QSI</vt:lpstr>
      <vt:lpstr>QD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Денис Терновский</cp:lastModifiedBy>
  <dcterms:created xsi:type="dcterms:W3CDTF">2022-08-16T12:44:38Z</dcterms:created>
  <dcterms:modified xsi:type="dcterms:W3CDTF">2022-10-20T09:57:10Z</dcterms:modified>
</cp:coreProperties>
</file>