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ЭтаКнига"/>
  <bookViews>
    <workbookView xWindow="0" yWindow="0" windowWidth="7440" windowHeight="9096"/>
  </bookViews>
  <sheets>
    <sheet name="Модель" sheetId="1" r:id="rId1"/>
    <sheet name="Эластичности замещения" sheetId="3" r:id="rId2"/>
    <sheet name="Эластичности предложения" sheetId="13" state="hidden" r:id="rId3"/>
    <sheet name="Источники данных" sheetId="2" state="hidden" r:id="rId4"/>
    <sheet name="Курс" sheetId="10" state="hidden" r:id="rId5"/>
    <sheet name="ЕМИСС_Отгружено" sheetId="4" state="hidden" r:id="rId6"/>
    <sheet name="ЕМИСС_Цены" sheetId="5" state="hidden" r:id="rId7"/>
    <sheet name="Лист8" sheetId="11" state="hidden" r:id="rId8"/>
    <sheet name="ЕМИСС_Производство" sheetId="6" state="hidden" r:id="rId9"/>
    <sheet name="Данные ФТС" sheetId="7" state="hidden" r:id="rId10"/>
    <sheet name="Данные WB LME" sheetId="8" state="hidden" r:id="rId11"/>
    <sheet name="LME" sheetId="9" state="hidden" r:id="rId12"/>
  </sheets>
  <definedNames>
    <definedName name="_xlnm._FilterDatabase" localSheetId="9" hidden="1">'Данные ФТС'!$A$2:$H$56</definedName>
    <definedName name="_xlnm._FilterDatabase" localSheetId="8" hidden="1">ЕМИСС_Производство!$A$3:$Z$31</definedName>
    <definedName name="_xlnm._FilterDatabase" localSheetId="6" hidden="1">ЕМИСС_Цены!$A$3:$K$1311</definedName>
    <definedName name="_xlnm._FilterDatabase" localSheetId="2" hidden="1">'Эластичности предложения'!$A$1:$F$7981</definedName>
    <definedName name="A_FCD">Модель!$E$32</definedName>
    <definedName name="A_FCW">Модель!$E$37</definedName>
    <definedName name="A_KPD">Модель!$E$26</definedName>
    <definedName name="A_NPD">Модель!$E$29</definedName>
    <definedName name="B_KCD">Модель!$E$28</definedName>
    <definedName name="B_KSW">Модель!$E$34</definedName>
    <definedName name="B_KXD">Модель!$E$27</definedName>
    <definedName name="B_KXW">Модель!$E$33</definedName>
    <definedName name="B_NCD">Модель!$E$31</definedName>
    <definedName name="B_NSW">Модель!$E$36</definedName>
    <definedName name="B_NXD">Модель!$E$30</definedName>
    <definedName name="B_NXW">Модель!$E$35</definedName>
    <definedName name="DER_0">Модель!$C$4</definedName>
    <definedName name="DER_1">Модель!$D$4</definedName>
    <definedName name="DS_FCD_DEMAND_0">Модель!$C$18</definedName>
    <definedName name="DS_FCD_DEMAND_1">Модель!$D$18</definedName>
    <definedName name="DS_FCW_DEMAND_0">Модель!$C$19</definedName>
    <definedName name="DS_FCW_DEMAND_1">Модель!$D$19</definedName>
    <definedName name="DWPK_0">Модель!$C$6</definedName>
    <definedName name="DWPK_1">Модель!$D$6</definedName>
    <definedName name="DWPN_0">Модель!$C$8</definedName>
    <definedName name="DWPN_1">Модель!$D$8</definedName>
    <definedName name="ER_0">Модель!$C$3</definedName>
    <definedName name="ER_1">Модель!$D$3</definedName>
    <definedName name="K_FCD">Модель!$F$32</definedName>
    <definedName name="K_FCW">Модель!$F$37</definedName>
    <definedName name="K_KCD">Модель!$F$28</definedName>
    <definedName name="K_KPD">Модель!$F$26</definedName>
    <definedName name="K_KSW">Модель!$F$34</definedName>
    <definedName name="K_KXD">Модель!$F$27</definedName>
    <definedName name="K_KXW">Модель!$F$33</definedName>
    <definedName name="K_NCD">Модель!$F$31</definedName>
    <definedName name="K_NPD">Модель!$F$29</definedName>
    <definedName name="K_NSW">Модель!$F$36</definedName>
    <definedName name="K_NXD">Модель!$F$30</definedName>
    <definedName name="K_NXW">Модель!$F$35</definedName>
    <definedName name="P_FCD_0">Модель!$C$32</definedName>
    <definedName name="P_FCD_1">Модель!$G$32</definedName>
    <definedName name="P_FCW_0">Модель!$C$37</definedName>
    <definedName name="P_FCW_1">Модель!$G$37</definedName>
    <definedName name="P_KCD_0">Модель!$C$28</definedName>
    <definedName name="P_KCD_1">Модель!$G$28</definedName>
    <definedName name="P_KPD_0">Модель!$C$26</definedName>
    <definedName name="P_KPD_1">Модель!$G$26</definedName>
    <definedName name="P_KSW_0">Модель!$C$34</definedName>
    <definedName name="P_KSW_1">Модель!$G$34</definedName>
    <definedName name="P_KXD_0">Модель!$C$27</definedName>
    <definedName name="P_KXD_1">Модель!$G$27</definedName>
    <definedName name="P_KXD_USD_0">Модель!$C$9</definedName>
    <definedName name="P_KXD_USD_1">Модель!$D$9</definedName>
    <definedName name="P_KXW_0">Модель!$C$33</definedName>
    <definedName name="P_KXW_1">Модель!$G$33</definedName>
    <definedName name="P_NCD_0">Модель!$C$31</definedName>
    <definedName name="P_NCD_1">Модель!$G$31</definedName>
    <definedName name="P_NPD_0">Модель!$C$29</definedName>
    <definedName name="P_NPD_1">Модель!$G$29</definedName>
    <definedName name="P_NSW_0">Модель!$C$36</definedName>
    <definedName name="P_NSW_1">Модель!$G$36</definedName>
    <definedName name="P_NXD_0">Модель!$C$30</definedName>
    <definedName name="P_NXD_1">Модель!$G$30</definedName>
    <definedName name="P_NXD_USD_0">Модель!$C$10</definedName>
    <definedName name="P_NXD_USD_1">Модель!$D$10</definedName>
    <definedName name="P_NXW_0">Модель!$C$35</definedName>
    <definedName name="P_NXW_1">Модель!$G$35</definedName>
    <definedName name="Q_FCD_0">Модель!$D$32</definedName>
    <definedName name="Q_FCD_1">Модель!$H$32</definedName>
    <definedName name="Q_FCW_0">Модель!$D$37</definedName>
    <definedName name="Q_FCW_1">Модель!$H$37</definedName>
    <definedName name="Q_KCD_0">Модель!$D$28</definedName>
    <definedName name="Q_KCD_1">Модель!$H$28</definedName>
    <definedName name="Q_KPD_0">Модель!$D$26</definedName>
    <definedName name="Q_KPD_1">Модель!$H$26</definedName>
    <definedName name="Q_KSW_0">Модель!$D$34</definedName>
    <definedName name="Q_KSW_1">Модель!$H$34</definedName>
    <definedName name="Q_KXD_0">Модель!$D$27</definedName>
    <definedName name="Q_KXD_1">Модель!$H$27</definedName>
    <definedName name="Q_KXW_0">Модель!$D$33</definedName>
    <definedName name="Q_KXW_1">Модель!$H$33</definedName>
    <definedName name="Q_NCD_0">Модель!$D$31</definedName>
    <definedName name="Q_NCD_1">Модель!$H$31</definedName>
    <definedName name="Q_NPD_0">Модель!$D$29</definedName>
    <definedName name="Q_NPD_1">Модель!$H$29</definedName>
    <definedName name="Q_NSW_0">Модель!$D$36</definedName>
    <definedName name="Q_NSW_1">Модель!$H$36</definedName>
    <definedName name="Q_NXD_0">Модель!$D$30</definedName>
    <definedName name="Q_NXD_1">Модель!$H$30</definedName>
    <definedName name="Q_NXW_0">Модель!$D$35</definedName>
    <definedName name="Q_NXW_1">Модель!$H$35</definedName>
    <definedName name="r_σ_FCD">Модель!$K$4</definedName>
    <definedName name="r_σ_FCW">Модель!$K$7</definedName>
    <definedName name="r_σ_KSW">Модель!$K$5</definedName>
    <definedName name="r_σ_NSW">Модель!$K$6</definedName>
    <definedName name="r_Ω_KPD">Модель!$K$2</definedName>
    <definedName name="r_Ω_NPD">Модель!$K$3</definedName>
    <definedName name="solver_adj" localSheetId="0" hidden="1">Модель!$G$26:$H$37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5000</definedName>
    <definedName name="solver_lhs1" localSheetId="0" hidden="1">Модель!$B$39:$B$63</definedName>
    <definedName name="solver_lhs10" localSheetId="0" hidden="1">Модель!#REF!</definedName>
    <definedName name="solver_lhs11" localSheetId="0" hidden="1">Модель!#REF!</definedName>
    <definedName name="solver_lhs12" localSheetId="0" hidden="1">Модель!$B$79</definedName>
    <definedName name="solver_lhs13" localSheetId="0" hidden="1">Модель!#REF!</definedName>
    <definedName name="solver_lhs14" localSheetId="0" hidden="1">Модель!#REF!</definedName>
    <definedName name="solver_lhs15" localSheetId="0" hidden="1">Модель!#REF!</definedName>
    <definedName name="solver_lhs16" localSheetId="0" hidden="1">Модель!#REF!</definedName>
    <definedName name="solver_lhs17" localSheetId="0" hidden="1">Модель!#REF!</definedName>
    <definedName name="solver_lhs18" localSheetId="0" hidden="1">Модель!#REF!</definedName>
    <definedName name="solver_lhs19" localSheetId="0" hidden="1">Модель!#REF!</definedName>
    <definedName name="solver_lhs2" localSheetId="0" hidden="1">Модель!$B$39:$B$98</definedName>
    <definedName name="solver_lhs20" localSheetId="0" hidden="1">Модель!#REF!</definedName>
    <definedName name="solver_lhs21" localSheetId="0" hidden="1">Модель!#REF!</definedName>
    <definedName name="solver_lhs22" localSheetId="0" hidden="1">Модель!#REF!</definedName>
    <definedName name="solver_lhs23" localSheetId="0" hidden="1">Модель!#REF!</definedName>
    <definedName name="solver_lhs24" localSheetId="0" hidden="1">Модель!#REF!</definedName>
    <definedName name="solver_lhs25" localSheetId="0" hidden="1">Модель!#REF!</definedName>
    <definedName name="solver_lhs26" localSheetId="0" hidden="1">Модель!#REF!</definedName>
    <definedName name="solver_lhs27" localSheetId="0" hidden="1">Модель!#REF!</definedName>
    <definedName name="solver_lhs28" localSheetId="0" hidden="1">Модель!#REF!</definedName>
    <definedName name="solver_lhs29" localSheetId="0" hidden="1">Модель!#REF!</definedName>
    <definedName name="solver_lhs3" localSheetId="0" hidden="1">Модель!$B$41</definedName>
    <definedName name="solver_lhs30" localSheetId="0" hidden="1">Модель!#REF!</definedName>
    <definedName name="solver_lhs31" localSheetId="0" hidden="1">Модель!#REF!</definedName>
    <definedName name="solver_lhs32" localSheetId="0" hidden="1">Модель!#REF!</definedName>
    <definedName name="solver_lhs4" localSheetId="0" hidden="1">Модель!$B$41</definedName>
    <definedName name="solver_lhs5" localSheetId="0" hidden="1">Модель!#REF!</definedName>
    <definedName name="solver_lhs6" localSheetId="0" hidden="1">Модель!$B$81</definedName>
    <definedName name="solver_lhs7" localSheetId="0" hidden="1">Модель!#REF!</definedName>
    <definedName name="solver_lhs8" localSheetId="0" hidden="1">Модель!#REF!</definedName>
    <definedName name="solver_lhs9" localSheetId="0" hidden="1">Модель!#REF!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Модель!$G$26</definedName>
    <definedName name="solver_pre" localSheetId="0" hidden="1">0.0001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2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</definedName>
    <definedName name="solver_rhs20" localSheetId="0" hidden="1">0</definedName>
    <definedName name="solver_rhs21" localSheetId="0" hidden="1">0</definedName>
    <definedName name="solver_rhs22" localSheetId="0" hidden="1">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0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20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S_KPD_SUPPLY_0">Модель!$C$14</definedName>
    <definedName name="SS_KPD_SUPPLY_1">Модель!$D$14</definedName>
    <definedName name="SS_KXW_SUPPLY_0">Модель!$C$16</definedName>
    <definedName name="SS_KXW_SUPPLY_1">Модель!$D$16</definedName>
    <definedName name="SS_NPD_SUPPLY_0">Модель!$C$15</definedName>
    <definedName name="SS_NPD_SUPPLY_1">Модель!$D$15</definedName>
    <definedName name="SS_NXW_SUPPLY_0">Модель!$C$17</definedName>
    <definedName name="SS_NXW_SUPPLY_1">Модель!$D$17</definedName>
    <definedName name="TKXD_0">Модель!$C$11</definedName>
    <definedName name="TKXD_1">Модель!$D$11</definedName>
    <definedName name="TNXD_0">Модель!$C$12</definedName>
    <definedName name="TNXD_1">Модель!$D$12</definedName>
    <definedName name="WPK_0">Модель!$C$5</definedName>
    <definedName name="WPK_1">Модель!$D$5</definedName>
    <definedName name="WPN_0">Модель!$C$7</definedName>
    <definedName name="WPN_1">Модель!$D$7</definedName>
    <definedName name="Z_FCD">Модель!$K$13</definedName>
    <definedName name="Z_FCW">Модель!$K$14</definedName>
    <definedName name="Z_KPD">Модель!$K$9</definedName>
    <definedName name="Z_KXW">Модель!$K$11</definedName>
    <definedName name="Z_NPD">Модель!$K$10</definedName>
    <definedName name="Z_NXW">Модель!$K$12</definedName>
    <definedName name="ε_FCD">Модель!$J$13</definedName>
    <definedName name="ε_FCW">Модель!$J$14</definedName>
    <definedName name="ε_KPD">Модель!$J$9</definedName>
    <definedName name="ε_KXW">Модель!$J$11</definedName>
    <definedName name="ε_NPD">Модель!$J$10</definedName>
    <definedName name="ε_NXW">Модель!$J$12</definedName>
    <definedName name="σ_FCD">Модель!$J$4</definedName>
    <definedName name="σ_FCW">Модель!$J$7</definedName>
    <definedName name="σ_KSW">Модель!$J$5</definedName>
    <definedName name="σ_NSW">Модель!$J$6</definedName>
    <definedName name="Ω_KPD">Модель!$J$2</definedName>
    <definedName name="Ω_NPD">Модель!$J$3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4" i="1" l="1"/>
  <c r="B62" i="1"/>
  <c r="B63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F30" i="1"/>
  <c r="F27" i="1"/>
  <c r="E36" i="1"/>
  <c r="E35" i="1"/>
  <c r="E33" i="1"/>
  <c r="E31" i="1"/>
  <c r="C37" i="1"/>
  <c r="C36" i="1"/>
  <c r="C35" i="1"/>
  <c r="C34" i="1"/>
  <c r="C33" i="1"/>
  <c r="C32" i="1"/>
  <c r="C31" i="1"/>
  <c r="C30" i="1"/>
  <c r="D37" i="1"/>
  <c r="D36" i="1"/>
  <c r="D35" i="1"/>
  <c r="D34" i="1"/>
  <c r="D33" i="1"/>
  <c r="D32" i="1"/>
  <c r="D31" i="1"/>
  <c r="D28" i="1"/>
  <c r="C28" i="1"/>
  <c r="C27" i="1"/>
  <c r="K7" i="1"/>
  <c r="K6" i="1"/>
  <c r="K5" i="1"/>
  <c r="K4" i="1"/>
  <c r="K3" i="1"/>
  <c r="K2" i="1"/>
  <c r="D10" i="1"/>
  <c r="D9" i="1"/>
  <c r="D8" i="1"/>
  <c r="D6" i="1"/>
  <c r="D5" i="1"/>
  <c r="D4" i="1"/>
  <c r="D3" i="1"/>
  <c r="C7" i="1"/>
  <c r="C5" i="1"/>
  <c r="B65" i="1" l="1"/>
  <c r="I26" i="1" l="1"/>
  <c r="L2" i="1" l="1"/>
  <c r="J33" i="1" l="1"/>
  <c r="D7" i="1"/>
  <c r="J36" i="1"/>
  <c r="J34" i="1"/>
  <c r="J31" i="1"/>
  <c r="J30" i="1"/>
  <c r="J29" i="1"/>
  <c r="J28" i="1"/>
  <c r="J27" i="1"/>
  <c r="J26" i="1"/>
  <c r="I36" i="1"/>
  <c r="I30" i="1"/>
  <c r="I29" i="1"/>
  <c r="I27" i="1"/>
  <c r="I31" i="1" l="1"/>
  <c r="I28" i="1"/>
  <c r="K10" i="1"/>
  <c r="K13" i="1"/>
  <c r="J37" i="1"/>
  <c r="K9" i="1"/>
  <c r="J32" i="1"/>
  <c r="J35" i="1"/>
  <c r="I34" i="1"/>
  <c r="K12" i="1" l="1"/>
  <c r="K11" i="1"/>
  <c r="I35" i="1"/>
  <c r="I37" i="1"/>
  <c r="I33" i="1"/>
  <c r="I32" i="1"/>
  <c r="A23" i="1" l="1"/>
  <c r="C3" i="10"/>
  <c r="B14" i="11" l="1"/>
  <c r="A14" i="11"/>
  <c r="I56" i="7"/>
  <c r="E1420" i="9"/>
  <c r="A1420" i="9"/>
  <c r="E1419" i="9"/>
  <c r="A1419" i="9"/>
  <c r="E1418" i="9"/>
  <c r="A1418" i="9"/>
  <c r="E1417" i="9"/>
  <c r="A1417" i="9"/>
  <c r="E1416" i="9"/>
  <c r="A1416" i="9"/>
  <c r="E1415" i="9"/>
  <c r="A1415" i="9"/>
  <c r="E1414" i="9"/>
  <c r="A1414" i="9"/>
  <c r="E1413" i="9"/>
  <c r="A1413" i="9"/>
  <c r="E1412" i="9"/>
  <c r="A1412" i="9"/>
  <c r="E1411" i="9"/>
  <c r="A1411" i="9"/>
  <c r="E1410" i="9"/>
  <c r="A1410" i="9"/>
  <c r="E1409" i="9"/>
  <c r="A1409" i="9"/>
  <c r="E1408" i="9"/>
  <c r="A1408" i="9"/>
  <c r="E1407" i="9"/>
  <c r="A1407" i="9"/>
  <c r="E1406" i="9"/>
  <c r="A1406" i="9"/>
  <c r="E1405" i="9"/>
  <c r="A1405" i="9"/>
  <c r="E1404" i="9"/>
  <c r="A1404" i="9"/>
  <c r="E1403" i="9"/>
  <c r="A1403" i="9"/>
  <c r="E1402" i="9"/>
  <c r="A1402" i="9"/>
  <c r="E1401" i="9"/>
  <c r="A1401" i="9"/>
  <c r="E1400" i="9"/>
  <c r="A1400" i="9"/>
  <c r="E1399" i="9"/>
  <c r="A1399" i="9"/>
  <c r="E1398" i="9"/>
  <c r="A1398" i="9"/>
  <c r="E1397" i="9"/>
  <c r="A1397" i="9"/>
  <c r="E1396" i="9"/>
  <c r="A1396" i="9"/>
  <c r="E1395" i="9"/>
  <c r="A1395" i="9"/>
  <c r="E1394" i="9"/>
  <c r="A1394" i="9"/>
  <c r="E1393" i="9"/>
  <c r="A1393" i="9"/>
  <c r="E1392" i="9"/>
  <c r="A1392" i="9"/>
  <c r="E1391" i="9"/>
  <c r="A1391" i="9"/>
  <c r="E1390" i="9"/>
  <c r="A1390" i="9"/>
  <c r="E1389" i="9"/>
  <c r="A1389" i="9"/>
  <c r="E1388" i="9"/>
  <c r="A1388" i="9"/>
  <c r="E1387" i="9"/>
  <c r="A1387" i="9"/>
  <c r="E1386" i="9"/>
  <c r="A1386" i="9"/>
  <c r="E1385" i="9"/>
  <c r="A1385" i="9"/>
  <c r="E1384" i="9"/>
  <c r="A1384" i="9"/>
  <c r="E1383" i="9"/>
  <c r="A1383" i="9"/>
  <c r="E1382" i="9"/>
  <c r="A1382" i="9"/>
  <c r="E1381" i="9"/>
  <c r="A1381" i="9"/>
  <c r="E1380" i="9"/>
  <c r="A1380" i="9"/>
  <c r="E1379" i="9"/>
  <c r="A1379" i="9"/>
  <c r="E1378" i="9"/>
  <c r="A1378" i="9"/>
  <c r="E1377" i="9"/>
  <c r="A1377" i="9"/>
  <c r="E1376" i="9"/>
  <c r="A1376" i="9"/>
  <c r="E1375" i="9"/>
  <c r="A1375" i="9"/>
  <c r="E1374" i="9"/>
  <c r="A1374" i="9"/>
  <c r="E1373" i="9"/>
  <c r="A1373" i="9"/>
  <c r="E1372" i="9"/>
  <c r="A1372" i="9"/>
  <c r="E1371" i="9"/>
  <c r="A1371" i="9"/>
  <c r="E1370" i="9"/>
  <c r="A1370" i="9"/>
  <c r="E1369" i="9"/>
  <c r="A1369" i="9"/>
  <c r="E1368" i="9"/>
  <c r="A1368" i="9"/>
  <c r="E1367" i="9"/>
  <c r="A1367" i="9"/>
  <c r="E1366" i="9"/>
  <c r="A1366" i="9"/>
  <c r="E1365" i="9"/>
  <c r="A1365" i="9"/>
  <c r="E1364" i="9"/>
  <c r="A1364" i="9"/>
  <c r="E1363" i="9"/>
  <c r="A1363" i="9"/>
  <c r="E1362" i="9"/>
  <c r="A1362" i="9"/>
  <c r="E1361" i="9"/>
  <c r="A1361" i="9"/>
  <c r="E1360" i="9"/>
  <c r="A1360" i="9"/>
  <c r="E1359" i="9"/>
  <c r="A1359" i="9"/>
  <c r="E1358" i="9"/>
  <c r="A1358" i="9"/>
  <c r="E1357" i="9"/>
  <c r="A1357" i="9"/>
  <c r="E1356" i="9"/>
  <c r="A1356" i="9"/>
  <c r="E1355" i="9"/>
  <c r="A1355" i="9"/>
  <c r="E1354" i="9"/>
  <c r="A1354" i="9"/>
  <c r="E1353" i="9"/>
  <c r="A1353" i="9"/>
  <c r="E1352" i="9"/>
  <c r="A1352" i="9"/>
  <c r="E1351" i="9"/>
  <c r="A1351" i="9"/>
  <c r="E1350" i="9"/>
  <c r="A1350" i="9"/>
  <c r="E1349" i="9"/>
  <c r="A1349" i="9"/>
  <c r="E1348" i="9"/>
  <c r="A1348" i="9"/>
  <c r="E1347" i="9"/>
  <c r="A1347" i="9"/>
  <c r="E1346" i="9"/>
  <c r="A1346" i="9"/>
  <c r="E1345" i="9"/>
  <c r="A1345" i="9"/>
  <c r="E1344" i="9"/>
  <c r="A1344" i="9"/>
  <c r="E1343" i="9"/>
  <c r="A1343" i="9"/>
  <c r="E1342" i="9"/>
  <c r="A1342" i="9"/>
  <c r="E1341" i="9"/>
  <c r="A1341" i="9"/>
  <c r="E1340" i="9"/>
  <c r="A1340" i="9"/>
  <c r="E1339" i="9"/>
  <c r="A1339" i="9"/>
  <c r="E1338" i="9"/>
  <c r="A1338" i="9"/>
  <c r="E1337" i="9"/>
  <c r="A1337" i="9"/>
  <c r="E1336" i="9"/>
  <c r="A1336" i="9"/>
  <c r="E1335" i="9"/>
  <c r="A1335" i="9"/>
  <c r="E1334" i="9"/>
  <c r="A1334" i="9"/>
  <c r="E1333" i="9"/>
  <c r="A1333" i="9"/>
  <c r="E1332" i="9"/>
  <c r="A1332" i="9"/>
  <c r="E1331" i="9"/>
  <c r="A1331" i="9"/>
  <c r="E1330" i="9"/>
  <c r="A1330" i="9"/>
  <c r="E1329" i="9"/>
  <c r="A1329" i="9"/>
  <c r="E1328" i="9"/>
  <c r="A1328" i="9"/>
  <c r="E1327" i="9"/>
  <c r="A1327" i="9"/>
  <c r="E1326" i="9"/>
  <c r="A1326" i="9"/>
  <c r="E1325" i="9"/>
  <c r="A1325" i="9"/>
  <c r="E1324" i="9"/>
  <c r="A1324" i="9"/>
  <c r="E1323" i="9"/>
  <c r="A1323" i="9"/>
  <c r="E1322" i="9"/>
  <c r="A1322" i="9"/>
  <c r="E1321" i="9"/>
  <c r="A1321" i="9"/>
  <c r="E1320" i="9"/>
  <c r="A1320" i="9"/>
  <c r="E1319" i="9"/>
  <c r="A1319" i="9"/>
  <c r="E1318" i="9"/>
  <c r="A1318" i="9"/>
  <c r="E1317" i="9"/>
  <c r="A1317" i="9"/>
  <c r="E1316" i="9"/>
  <c r="A1316" i="9"/>
  <c r="E1315" i="9"/>
  <c r="A1315" i="9"/>
  <c r="E1314" i="9"/>
  <c r="A1314" i="9"/>
  <c r="E1313" i="9"/>
  <c r="A1313" i="9"/>
  <c r="E1312" i="9"/>
  <c r="A1312" i="9"/>
  <c r="E1311" i="9"/>
  <c r="A1311" i="9"/>
  <c r="E1310" i="9"/>
  <c r="A1310" i="9"/>
  <c r="E1309" i="9"/>
  <c r="A1309" i="9"/>
  <c r="E1308" i="9"/>
  <c r="A1308" i="9"/>
  <c r="E1307" i="9"/>
  <c r="A1307" i="9"/>
  <c r="E1306" i="9"/>
  <c r="A1306" i="9"/>
  <c r="E1305" i="9"/>
  <c r="A1305" i="9"/>
  <c r="E1304" i="9"/>
  <c r="A1304" i="9"/>
  <c r="E1303" i="9"/>
  <c r="A1303" i="9"/>
  <c r="E1302" i="9"/>
  <c r="A1302" i="9"/>
  <c r="E1301" i="9"/>
  <c r="A1301" i="9"/>
  <c r="E1300" i="9"/>
  <c r="A1300" i="9"/>
  <c r="E1299" i="9"/>
  <c r="A1299" i="9"/>
  <c r="E1298" i="9"/>
  <c r="A1298" i="9"/>
  <c r="E1297" i="9"/>
  <c r="A1297" i="9"/>
  <c r="E1296" i="9"/>
  <c r="A1296" i="9"/>
  <c r="E1295" i="9"/>
  <c r="A1295" i="9"/>
  <c r="E1294" i="9"/>
  <c r="A1294" i="9"/>
  <c r="E1293" i="9"/>
  <c r="A1293" i="9"/>
  <c r="E1292" i="9"/>
  <c r="A1292" i="9"/>
  <c r="E1291" i="9"/>
  <c r="A1291" i="9"/>
  <c r="E1290" i="9"/>
  <c r="A1290" i="9"/>
  <c r="E1289" i="9"/>
  <c r="A1289" i="9"/>
  <c r="E1288" i="9"/>
  <c r="A1288" i="9"/>
  <c r="E1287" i="9"/>
  <c r="A1287" i="9"/>
  <c r="E1286" i="9"/>
  <c r="A1286" i="9"/>
  <c r="E1285" i="9"/>
  <c r="A1285" i="9"/>
  <c r="E1284" i="9"/>
  <c r="A1284" i="9"/>
  <c r="E1283" i="9"/>
  <c r="A1283" i="9"/>
  <c r="E1282" i="9"/>
  <c r="A1282" i="9"/>
  <c r="E1281" i="9"/>
  <c r="A1281" i="9"/>
  <c r="E1280" i="9"/>
  <c r="A1280" i="9"/>
  <c r="E1279" i="9"/>
  <c r="A1279" i="9"/>
  <c r="E1278" i="9"/>
  <c r="A1278" i="9"/>
  <c r="E1277" i="9"/>
  <c r="A1277" i="9"/>
  <c r="E1276" i="9"/>
  <c r="A1276" i="9"/>
  <c r="E1275" i="9"/>
  <c r="A1275" i="9"/>
  <c r="E1274" i="9"/>
  <c r="A1274" i="9"/>
  <c r="E1273" i="9"/>
  <c r="A1273" i="9"/>
  <c r="E1272" i="9"/>
  <c r="A1272" i="9"/>
  <c r="E1271" i="9"/>
  <c r="A1271" i="9"/>
  <c r="E1270" i="9"/>
  <c r="A1270" i="9"/>
  <c r="E1269" i="9"/>
  <c r="A1269" i="9"/>
  <c r="E1268" i="9"/>
  <c r="A1268" i="9"/>
  <c r="E1267" i="9"/>
  <c r="A1267" i="9"/>
  <c r="E1266" i="9"/>
  <c r="A1266" i="9"/>
  <c r="E1265" i="9"/>
  <c r="A1265" i="9"/>
  <c r="E1264" i="9"/>
  <c r="A1264" i="9"/>
  <c r="E1263" i="9"/>
  <c r="A1263" i="9"/>
  <c r="E1262" i="9"/>
  <c r="A1262" i="9"/>
  <c r="E1261" i="9"/>
  <c r="A1261" i="9"/>
  <c r="E1260" i="9"/>
  <c r="A1260" i="9"/>
  <c r="E1259" i="9"/>
  <c r="A1259" i="9"/>
  <c r="E1258" i="9"/>
  <c r="A1258" i="9"/>
  <c r="E1257" i="9"/>
  <c r="A1257" i="9"/>
  <c r="E1256" i="9"/>
  <c r="A1256" i="9"/>
  <c r="E1255" i="9"/>
  <c r="A1255" i="9"/>
  <c r="E1254" i="9"/>
  <c r="A1254" i="9"/>
  <c r="E1253" i="9"/>
  <c r="A1253" i="9"/>
  <c r="E1252" i="9"/>
  <c r="A1252" i="9"/>
  <c r="E1251" i="9"/>
  <c r="A1251" i="9"/>
  <c r="E1250" i="9"/>
  <c r="A1250" i="9"/>
  <c r="E1249" i="9"/>
  <c r="A1249" i="9"/>
  <c r="E1248" i="9"/>
  <c r="A1248" i="9"/>
  <c r="E1247" i="9"/>
  <c r="A1247" i="9"/>
  <c r="E1246" i="9"/>
  <c r="A1246" i="9"/>
  <c r="E1245" i="9"/>
  <c r="A1245" i="9"/>
  <c r="E1244" i="9"/>
  <c r="A1244" i="9"/>
  <c r="E1243" i="9"/>
  <c r="A1243" i="9"/>
  <c r="E1242" i="9"/>
  <c r="A1242" i="9"/>
  <c r="E1241" i="9"/>
  <c r="A1241" i="9"/>
  <c r="E1240" i="9"/>
  <c r="A1240" i="9"/>
  <c r="E1239" i="9"/>
  <c r="A1239" i="9"/>
  <c r="E1238" i="9"/>
  <c r="A1238" i="9"/>
  <c r="E1237" i="9"/>
  <c r="A1237" i="9"/>
  <c r="E1236" i="9"/>
  <c r="A1236" i="9"/>
  <c r="E1235" i="9"/>
  <c r="A1235" i="9"/>
  <c r="E1234" i="9"/>
  <c r="A1234" i="9"/>
  <c r="E1233" i="9"/>
  <c r="A1233" i="9"/>
  <c r="E1232" i="9"/>
  <c r="A1232" i="9"/>
  <c r="E1231" i="9"/>
  <c r="A1231" i="9"/>
  <c r="E1230" i="9"/>
  <c r="A1230" i="9"/>
  <c r="E1229" i="9"/>
  <c r="A1229" i="9"/>
  <c r="E1228" i="9"/>
  <c r="A1228" i="9"/>
  <c r="E1227" i="9"/>
  <c r="A1227" i="9"/>
  <c r="E1226" i="9"/>
  <c r="A1226" i="9"/>
  <c r="E1225" i="9"/>
  <c r="A1225" i="9"/>
  <c r="E1224" i="9"/>
  <c r="A1224" i="9"/>
  <c r="E1223" i="9"/>
  <c r="A1223" i="9"/>
  <c r="E1222" i="9"/>
  <c r="A1222" i="9"/>
  <c r="E1221" i="9"/>
  <c r="A1221" i="9"/>
  <c r="E1220" i="9"/>
  <c r="A1220" i="9"/>
  <c r="E1219" i="9"/>
  <c r="A1219" i="9"/>
  <c r="E1218" i="9"/>
  <c r="A1218" i="9"/>
  <c r="E1217" i="9"/>
  <c r="A1217" i="9"/>
  <c r="E1216" i="9"/>
  <c r="A1216" i="9"/>
  <c r="E1215" i="9"/>
  <c r="A1215" i="9"/>
  <c r="E1214" i="9"/>
  <c r="A1214" i="9"/>
  <c r="E1213" i="9"/>
  <c r="A1213" i="9"/>
  <c r="E1212" i="9"/>
  <c r="A1212" i="9"/>
  <c r="E1211" i="9"/>
  <c r="A1211" i="9"/>
  <c r="E1210" i="9"/>
  <c r="A1210" i="9"/>
  <c r="E1209" i="9"/>
  <c r="A1209" i="9"/>
  <c r="E1208" i="9"/>
  <c r="A1208" i="9"/>
  <c r="E1207" i="9"/>
  <c r="A1207" i="9"/>
  <c r="E1206" i="9"/>
  <c r="A1206" i="9"/>
  <c r="E1205" i="9"/>
  <c r="A1205" i="9"/>
  <c r="E1204" i="9"/>
  <c r="A1204" i="9"/>
  <c r="E1203" i="9"/>
  <c r="A1203" i="9"/>
  <c r="E1202" i="9"/>
  <c r="A1202" i="9"/>
  <c r="E1201" i="9"/>
  <c r="A1201" i="9"/>
  <c r="E1200" i="9"/>
  <c r="A1200" i="9"/>
  <c r="E1199" i="9"/>
  <c r="A1199" i="9"/>
  <c r="E1198" i="9"/>
  <c r="A1198" i="9"/>
  <c r="E1197" i="9"/>
  <c r="A1197" i="9"/>
  <c r="E1196" i="9"/>
  <c r="A1196" i="9"/>
  <c r="E1195" i="9"/>
  <c r="A1195" i="9"/>
  <c r="E1194" i="9"/>
  <c r="A1194" i="9"/>
  <c r="E1193" i="9"/>
  <c r="A1193" i="9"/>
  <c r="E1192" i="9"/>
  <c r="A1192" i="9"/>
  <c r="E1191" i="9"/>
  <c r="A1191" i="9"/>
  <c r="E1190" i="9"/>
  <c r="A1190" i="9"/>
  <c r="E1189" i="9"/>
  <c r="A1189" i="9"/>
  <c r="E1188" i="9"/>
  <c r="A1188" i="9"/>
  <c r="E1187" i="9"/>
  <c r="A1187" i="9"/>
  <c r="E1186" i="9"/>
  <c r="A1186" i="9"/>
  <c r="E1185" i="9"/>
  <c r="A1185" i="9"/>
  <c r="E1184" i="9"/>
  <c r="A1184" i="9"/>
  <c r="E1183" i="9"/>
  <c r="A1183" i="9"/>
  <c r="E1182" i="9"/>
  <c r="A1182" i="9"/>
  <c r="E1181" i="9"/>
  <c r="A1181" i="9"/>
  <c r="E1180" i="9"/>
  <c r="A1180" i="9"/>
  <c r="E1179" i="9"/>
  <c r="A1179" i="9"/>
  <c r="E1178" i="9"/>
  <c r="A1178" i="9"/>
  <c r="E1177" i="9"/>
  <c r="A1177" i="9"/>
  <c r="E1176" i="9"/>
  <c r="A1176" i="9"/>
  <c r="E1175" i="9"/>
  <c r="A1175" i="9"/>
  <c r="E1174" i="9"/>
  <c r="A1174" i="9"/>
  <c r="E1173" i="9"/>
  <c r="A1173" i="9"/>
  <c r="E1172" i="9"/>
  <c r="A1172" i="9"/>
  <c r="E1171" i="9"/>
  <c r="A1171" i="9"/>
  <c r="E1170" i="9"/>
  <c r="A1170" i="9"/>
  <c r="E1169" i="9"/>
  <c r="A1169" i="9"/>
  <c r="E1168" i="9"/>
  <c r="A1168" i="9"/>
  <c r="E1167" i="9"/>
  <c r="A1167" i="9"/>
  <c r="E1166" i="9"/>
  <c r="A1166" i="9"/>
  <c r="E1165" i="9"/>
  <c r="A1165" i="9"/>
  <c r="E1164" i="9"/>
  <c r="A1164" i="9"/>
  <c r="E1163" i="9"/>
  <c r="A1163" i="9"/>
  <c r="E1162" i="9"/>
  <c r="A1162" i="9"/>
  <c r="E1161" i="9"/>
  <c r="A1161" i="9"/>
  <c r="E1160" i="9"/>
  <c r="A1160" i="9"/>
  <c r="E1159" i="9"/>
  <c r="A1159" i="9"/>
  <c r="E1158" i="9"/>
  <c r="A1158" i="9"/>
  <c r="E1157" i="9"/>
  <c r="A1157" i="9"/>
  <c r="E1156" i="9"/>
  <c r="A1156" i="9"/>
  <c r="E1155" i="9"/>
  <c r="A1155" i="9"/>
  <c r="E1154" i="9"/>
  <c r="A1154" i="9"/>
  <c r="E1153" i="9"/>
  <c r="A1153" i="9"/>
  <c r="E1152" i="9"/>
  <c r="A1152" i="9"/>
  <c r="E1151" i="9"/>
  <c r="A1151" i="9"/>
  <c r="E1150" i="9"/>
  <c r="A1150" i="9"/>
  <c r="E1149" i="9"/>
  <c r="A1149" i="9"/>
  <c r="E1148" i="9"/>
  <c r="A1148" i="9"/>
  <c r="E1147" i="9"/>
  <c r="A1147" i="9"/>
  <c r="E1146" i="9"/>
  <c r="A1146" i="9"/>
  <c r="E1145" i="9"/>
  <c r="A1145" i="9"/>
  <c r="E1144" i="9"/>
  <c r="A1144" i="9"/>
  <c r="E1143" i="9"/>
  <c r="A1143" i="9"/>
  <c r="E1142" i="9"/>
  <c r="A1142" i="9"/>
  <c r="E1141" i="9"/>
  <c r="A1141" i="9"/>
  <c r="E1140" i="9"/>
  <c r="A1140" i="9"/>
  <c r="E1139" i="9"/>
  <c r="A1139" i="9"/>
  <c r="E1138" i="9"/>
  <c r="A1138" i="9"/>
  <c r="E1137" i="9"/>
  <c r="A1137" i="9"/>
  <c r="E1136" i="9"/>
  <c r="A1136" i="9"/>
  <c r="E1135" i="9"/>
  <c r="A1135" i="9"/>
  <c r="E1134" i="9"/>
  <c r="A1134" i="9"/>
  <c r="E1133" i="9"/>
  <c r="A1133" i="9"/>
  <c r="E1132" i="9"/>
  <c r="A1132" i="9"/>
  <c r="E1131" i="9"/>
  <c r="A1131" i="9"/>
  <c r="E1130" i="9"/>
  <c r="A1130" i="9"/>
  <c r="E1129" i="9"/>
  <c r="A1129" i="9"/>
  <c r="E1128" i="9"/>
  <c r="A1128" i="9"/>
  <c r="E1127" i="9"/>
  <c r="A1127" i="9"/>
  <c r="E1126" i="9"/>
  <c r="A1126" i="9"/>
  <c r="E1125" i="9"/>
  <c r="A1125" i="9"/>
  <c r="E1124" i="9"/>
  <c r="A1124" i="9"/>
  <c r="E1123" i="9"/>
  <c r="A1123" i="9"/>
  <c r="E1122" i="9"/>
  <c r="A1122" i="9"/>
  <c r="E1121" i="9"/>
  <c r="A1121" i="9"/>
  <c r="E1120" i="9"/>
  <c r="A1120" i="9"/>
  <c r="E1119" i="9"/>
  <c r="A1119" i="9"/>
  <c r="E1118" i="9"/>
  <c r="A1118" i="9"/>
  <c r="E1117" i="9"/>
  <c r="A1117" i="9"/>
  <c r="E1116" i="9"/>
  <c r="A1116" i="9"/>
  <c r="E1115" i="9"/>
  <c r="A1115" i="9"/>
  <c r="E1114" i="9"/>
  <c r="A1114" i="9"/>
  <c r="E1113" i="9"/>
  <c r="A1113" i="9"/>
  <c r="E1112" i="9"/>
  <c r="A1112" i="9"/>
  <c r="E1111" i="9"/>
  <c r="A1111" i="9"/>
  <c r="E1110" i="9"/>
  <c r="A1110" i="9"/>
  <c r="E1109" i="9"/>
  <c r="A1109" i="9"/>
  <c r="E1108" i="9"/>
  <c r="A1108" i="9"/>
  <c r="E1107" i="9"/>
  <c r="A1107" i="9"/>
  <c r="E1106" i="9"/>
  <c r="A1106" i="9"/>
  <c r="E1105" i="9"/>
  <c r="A1105" i="9"/>
  <c r="E1104" i="9"/>
  <c r="A1104" i="9"/>
  <c r="E1103" i="9"/>
  <c r="A1103" i="9"/>
  <c r="E1102" i="9"/>
  <c r="A1102" i="9"/>
  <c r="E1101" i="9"/>
  <c r="A1101" i="9"/>
  <c r="E1100" i="9"/>
  <c r="A1100" i="9"/>
  <c r="E1099" i="9"/>
  <c r="A1099" i="9"/>
  <c r="E1098" i="9"/>
  <c r="A1098" i="9"/>
  <c r="E1097" i="9"/>
  <c r="A1097" i="9"/>
  <c r="E1096" i="9"/>
  <c r="A1096" i="9"/>
  <c r="E1095" i="9"/>
  <c r="A1095" i="9"/>
  <c r="E1094" i="9"/>
  <c r="A1094" i="9"/>
  <c r="E1093" i="9"/>
  <c r="A1093" i="9"/>
  <c r="E1092" i="9"/>
  <c r="A1092" i="9"/>
  <c r="E1091" i="9"/>
  <c r="A1091" i="9"/>
  <c r="E1090" i="9"/>
  <c r="A1090" i="9"/>
  <c r="E1089" i="9"/>
  <c r="A1089" i="9"/>
  <c r="E1088" i="9"/>
  <c r="A1088" i="9"/>
  <c r="E1087" i="9"/>
  <c r="A1087" i="9"/>
  <c r="E1086" i="9"/>
  <c r="A1086" i="9"/>
  <c r="E1085" i="9"/>
  <c r="A1085" i="9"/>
  <c r="E1084" i="9"/>
  <c r="A1084" i="9"/>
  <c r="E1083" i="9"/>
  <c r="A1083" i="9"/>
  <c r="E1082" i="9"/>
  <c r="A1082" i="9"/>
  <c r="E1081" i="9"/>
  <c r="A1081" i="9"/>
  <c r="E1080" i="9"/>
  <c r="A1080" i="9"/>
  <c r="E1079" i="9"/>
  <c r="A1079" i="9"/>
  <c r="E1078" i="9"/>
  <c r="A1078" i="9"/>
  <c r="E1077" i="9"/>
  <c r="A1077" i="9"/>
  <c r="E1076" i="9"/>
  <c r="A1076" i="9"/>
  <c r="E1075" i="9"/>
  <c r="A1075" i="9"/>
  <c r="E1074" i="9"/>
  <c r="A1074" i="9"/>
  <c r="E1073" i="9"/>
  <c r="A1073" i="9"/>
  <c r="E1072" i="9"/>
  <c r="A1072" i="9"/>
  <c r="E1071" i="9"/>
  <c r="A1071" i="9"/>
  <c r="E1070" i="9"/>
  <c r="A1070" i="9"/>
  <c r="E1069" i="9"/>
  <c r="A1069" i="9"/>
  <c r="E1068" i="9"/>
  <c r="A1068" i="9"/>
  <c r="E1067" i="9"/>
  <c r="A1067" i="9"/>
  <c r="E1066" i="9"/>
  <c r="A1066" i="9"/>
  <c r="E1065" i="9"/>
  <c r="A1065" i="9"/>
  <c r="E1064" i="9"/>
  <c r="A1064" i="9"/>
  <c r="E1063" i="9"/>
  <c r="A1063" i="9"/>
  <c r="E1062" i="9"/>
  <c r="A1062" i="9"/>
  <c r="E1061" i="9"/>
  <c r="A1061" i="9"/>
  <c r="E1060" i="9"/>
  <c r="A1060" i="9"/>
  <c r="E1059" i="9"/>
  <c r="A1059" i="9"/>
  <c r="E1058" i="9"/>
  <c r="A1058" i="9"/>
  <c r="E1057" i="9"/>
  <c r="A1057" i="9"/>
  <c r="E1056" i="9"/>
  <c r="A1056" i="9"/>
  <c r="E1055" i="9"/>
  <c r="A1055" i="9"/>
  <c r="E1054" i="9"/>
  <c r="A1054" i="9"/>
  <c r="E1053" i="9"/>
  <c r="A1053" i="9"/>
  <c r="E1052" i="9"/>
  <c r="A1052" i="9"/>
  <c r="E1051" i="9"/>
  <c r="A1051" i="9"/>
  <c r="E1050" i="9"/>
  <c r="A1050" i="9"/>
  <c r="E1049" i="9"/>
  <c r="A1049" i="9"/>
  <c r="E1048" i="9"/>
  <c r="A1048" i="9"/>
  <c r="E1047" i="9"/>
  <c r="A1047" i="9"/>
  <c r="E1046" i="9"/>
  <c r="A1046" i="9"/>
  <c r="E1045" i="9"/>
  <c r="A1045" i="9"/>
  <c r="E1044" i="9"/>
  <c r="A1044" i="9"/>
  <c r="E1043" i="9"/>
  <c r="A1043" i="9"/>
  <c r="E1042" i="9"/>
  <c r="A1042" i="9"/>
  <c r="E1041" i="9"/>
  <c r="A1041" i="9"/>
  <c r="E1040" i="9"/>
  <c r="A1040" i="9"/>
  <c r="E1039" i="9"/>
  <c r="A1039" i="9"/>
  <c r="E1038" i="9"/>
  <c r="A1038" i="9"/>
  <c r="E1037" i="9"/>
  <c r="A1037" i="9"/>
  <c r="E1036" i="9"/>
  <c r="A1036" i="9"/>
  <c r="E1035" i="9"/>
  <c r="A1035" i="9"/>
  <c r="E1034" i="9"/>
  <c r="A1034" i="9"/>
  <c r="E1033" i="9"/>
  <c r="A1033" i="9"/>
  <c r="E1032" i="9"/>
  <c r="A1032" i="9"/>
  <c r="E1031" i="9"/>
  <c r="A1031" i="9"/>
  <c r="E1030" i="9"/>
  <c r="A1030" i="9"/>
  <c r="E1029" i="9"/>
  <c r="A1029" i="9"/>
  <c r="E1028" i="9"/>
  <c r="A1028" i="9"/>
  <c r="E1027" i="9"/>
  <c r="A1027" i="9"/>
  <c r="E1026" i="9"/>
  <c r="A1026" i="9"/>
  <c r="E1025" i="9"/>
  <c r="A1025" i="9"/>
  <c r="E1024" i="9"/>
  <c r="A1024" i="9"/>
  <c r="E1023" i="9"/>
  <c r="A1023" i="9"/>
  <c r="E1022" i="9"/>
  <c r="A1022" i="9"/>
  <c r="E1021" i="9"/>
  <c r="A1021" i="9"/>
  <c r="E1020" i="9"/>
  <c r="A1020" i="9"/>
  <c r="E1019" i="9"/>
  <c r="A1019" i="9"/>
  <c r="E1018" i="9"/>
  <c r="A1018" i="9"/>
  <c r="E1017" i="9"/>
  <c r="A1017" i="9"/>
  <c r="E1016" i="9"/>
  <c r="A1016" i="9"/>
  <c r="E1015" i="9"/>
  <c r="A1015" i="9"/>
  <c r="E1014" i="9"/>
  <c r="A1014" i="9"/>
  <c r="E1013" i="9"/>
  <c r="A1013" i="9"/>
  <c r="E1012" i="9"/>
  <c r="A1012" i="9"/>
  <c r="E1011" i="9"/>
  <c r="A1011" i="9"/>
  <c r="E1010" i="9"/>
  <c r="A1010" i="9"/>
  <c r="E1009" i="9"/>
  <c r="A1009" i="9"/>
  <c r="E1008" i="9"/>
  <c r="A1008" i="9"/>
  <c r="E1007" i="9"/>
  <c r="A1007" i="9"/>
  <c r="E1006" i="9"/>
  <c r="A1006" i="9"/>
  <c r="E1005" i="9"/>
  <c r="A1005" i="9"/>
  <c r="E1004" i="9"/>
  <c r="A1004" i="9"/>
  <c r="E1003" i="9"/>
  <c r="A1003" i="9"/>
  <c r="E1002" i="9"/>
  <c r="A1002" i="9"/>
  <c r="E1001" i="9"/>
  <c r="A1001" i="9"/>
  <c r="E1000" i="9"/>
  <c r="A1000" i="9"/>
  <c r="E999" i="9"/>
  <c r="A999" i="9"/>
  <c r="E998" i="9"/>
  <c r="A998" i="9"/>
  <c r="E997" i="9"/>
  <c r="A997" i="9"/>
  <c r="E996" i="9"/>
  <c r="A996" i="9"/>
  <c r="E995" i="9"/>
  <c r="A995" i="9"/>
  <c r="E994" i="9"/>
  <c r="A994" i="9"/>
  <c r="E993" i="9"/>
  <c r="A993" i="9"/>
  <c r="E992" i="9"/>
  <c r="A992" i="9"/>
  <c r="E991" i="9"/>
  <c r="A991" i="9"/>
  <c r="E990" i="9"/>
  <c r="A990" i="9"/>
  <c r="E989" i="9"/>
  <c r="A989" i="9"/>
  <c r="E988" i="9"/>
  <c r="A988" i="9"/>
  <c r="E987" i="9"/>
  <c r="A987" i="9"/>
  <c r="E986" i="9"/>
  <c r="A986" i="9"/>
  <c r="E985" i="9"/>
  <c r="A985" i="9"/>
  <c r="E984" i="9"/>
  <c r="A984" i="9"/>
  <c r="E983" i="9"/>
  <c r="A983" i="9"/>
  <c r="E982" i="9"/>
  <c r="A982" i="9"/>
  <c r="E981" i="9"/>
  <c r="A981" i="9"/>
  <c r="E980" i="9"/>
  <c r="A980" i="9"/>
  <c r="E979" i="9"/>
  <c r="A979" i="9"/>
  <c r="E978" i="9"/>
  <c r="A978" i="9"/>
  <c r="E977" i="9"/>
  <c r="A977" i="9"/>
  <c r="E976" i="9"/>
  <c r="A976" i="9"/>
  <c r="E975" i="9"/>
  <c r="A975" i="9"/>
  <c r="E974" i="9"/>
  <c r="A974" i="9"/>
  <c r="E973" i="9"/>
  <c r="A973" i="9"/>
  <c r="E972" i="9"/>
  <c r="A972" i="9"/>
  <c r="E971" i="9"/>
  <c r="A971" i="9"/>
  <c r="E970" i="9"/>
  <c r="A970" i="9"/>
  <c r="E969" i="9"/>
  <c r="A969" i="9"/>
  <c r="E968" i="9"/>
  <c r="A968" i="9"/>
  <c r="E967" i="9"/>
  <c r="A967" i="9"/>
  <c r="E966" i="9"/>
  <c r="A966" i="9"/>
  <c r="E965" i="9"/>
  <c r="A965" i="9"/>
  <c r="E964" i="9"/>
  <c r="A964" i="9"/>
  <c r="E963" i="9"/>
  <c r="A963" i="9"/>
  <c r="E962" i="9"/>
  <c r="A962" i="9"/>
  <c r="E961" i="9"/>
  <c r="A961" i="9"/>
  <c r="E960" i="9"/>
  <c r="A960" i="9"/>
  <c r="E959" i="9"/>
  <c r="A959" i="9"/>
  <c r="E958" i="9"/>
  <c r="A958" i="9"/>
  <c r="E957" i="9"/>
  <c r="A957" i="9"/>
  <c r="E956" i="9"/>
  <c r="A956" i="9"/>
  <c r="E955" i="9"/>
  <c r="A955" i="9"/>
  <c r="E954" i="9"/>
  <c r="A954" i="9"/>
  <c r="E953" i="9"/>
  <c r="A953" i="9"/>
  <c r="E952" i="9"/>
  <c r="A952" i="9"/>
  <c r="E951" i="9"/>
  <c r="A951" i="9"/>
  <c r="E950" i="9"/>
  <c r="A950" i="9"/>
  <c r="E949" i="9"/>
  <c r="A949" i="9"/>
  <c r="E948" i="9"/>
  <c r="A948" i="9"/>
  <c r="E947" i="9"/>
  <c r="A947" i="9"/>
  <c r="E946" i="9"/>
  <c r="A946" i="9"/>
  <c r="E945" i="9"/>
  <c r="A945" i="9"/>
  <c r="E944" i="9"/>
  <c r="A944" i="9"/>
  <c r="E943" i="9"/>
  <c r="A943" i="9"/>
  <c r="E942" i="9"/>
  <c r="A942" i="9"/>
  <c r="E941" i="9"/>
  <c r="A941" i="9"/>
  <c r="E940" i="9"/>
  <c r="A940" i="9"/>
  <c r="E939" i="9"/>
  <c r="A939" i="9"/>
  <c r="E938" i="9"/>
  <c r="A938" i="9"/>
  <c r="E937" i="9"/>
  <c r="A937" i="9"/>
  <c r="E936" i="9"/>
  <c r="A936" i="9"/>
  <c r="E935" i="9"/>
  <c r="A935" i="9"/>
  <c r="E934" i="9"/>
  <c r="A934" i="9"/>
  <c r="E933" i="9"/>
  <c r="A933" i="9"/>
  <c r="E932" i="9"/>
  <c r="A932" i="9"/>
  <c r="E931" i="9"/>
  <c r="A931" i="9"/>
  <c r="E930" i="9"/>
  <c r="A930" i="9"/>
  <c r="E929" i="9"/>
  <c r="A929" i="9"/>
  <c r="E928" i="9"/>
  <c r="A928" i="9"/>
  <c r="E927" i="9"/>
  <c r="A927" i="9"/>
  <c r="E926" i="9"/>
  <c r="A926" i="9"/>
  <c r="E925" i="9"/>
  <c r="A925" i="9"/>
  <c r="E924" i="9"/>
  <c r="A924" i="9"/>
  <c r="E923" i="9"/>
  <c r="A923" i="9"/>
  <c r="E922" i="9"/>
  <c r="A922" i="9"/>
  <c r="E921" i="9"/>
  <c r="A921" i="9"/>
  <c r="E920" i="9"/>
  <c r="A920" i="9"/>
  <c r="E919" i="9"/>
  <c r="A919" i="9"/>
  <c r="E918" i="9"/>
  <c r="A918" i="9"/>
  <c r="E917" i="9"/>
  <c r="A917" i="9"/>
  <c r="E916" i="9"/>
  <c r="A916" i="9"/>
  <c r="E915" i="9"/>
  <c r="A915" i="9"/>
  <c r="E914" i="9"/>
  <c r="A914" i="9"/>
  <c r="E913" i="9"/>
  <c r="A913" i="9"/>
  <c r="E912" i="9"/>
  <c r="A912" i="9"/>
  <c r="E911" i="9"/>
  <c r="A911" i="9"/>
  <c r="E910" i="9"/>
  <c r="A910" i="9"/>
  <c r="E909" i="9"/>
  <c r="A909" i="9"/>
  <c r="E908" i="9"/>
  <c r="A908" i="9"/>
  <c r="E907" i="9"/>
  <c r="A907" i="9"/>
  <c r="E906" i="9"/>
  <c r="A906" i="9"/>
  <c r="E905" i="9"/>
  <c r="A905" i="9"/>
  <c r="E904" i="9"/>
  <c r="A904" i="9"/>
  <c r="E903" i="9"/>
  <c r="A903" i="9"/>
  <c r="E902" i="9"/>
  <c r="A902" i="9"/>
  <c r="E901" i="9"/>
  <c r="A901" i="9"/>
  <c r="E900" i="9"/>
  <c r="A900" i="9"/>
  <c r="E899" i="9"/>
  <c r="A899" i="9"/>
  <c r="E898" i="9"/>
  <c r="A898" i="9"/>
  <c r="E897" i="9"/>
  <c r="A897" i="9"/>
  <c r="E896" i="9"/>
  <c r="A896" i="9"/>
  <c r="E895" i="9"/>
  <c r="A895" i="9"/>
  <c r="E894" i="9"/>
  <c r="A894" i="9"/>
  <c r="E893" i="9"/>
  <c r="A893" i="9"/>
  <c r="E892" i="9"/>
  <c r="A892" i="9"/>
  <c r="E891" i="9"/>
  <c r="A891" i="9"/>
  <c r="E890" i="9"/>
  <c r="A890" i="9"/>
  <c r="E889" i="9"/>
  <c r="A889" i="9"/>
  <c r="E888" i="9"/>
  <c r="A888" i="9"/>
  <c r="E887" i="9"/>
  <c r="A887" i="9"/>
  <c r="E886" i="9"/>
  <c r="A886" i="9"/>
  <c r="E885" i="9"/>
  <c r="A885" i="9"/>
  <c r="E884" i="9"/>
  <c r="A884" i="9"/>
  <c r="E883" i="9"/>
  <c r="A883" i="9"/>
  <c r="E882" i="9"/>
  <c r="A882" i="9"/>
  <c r="E881" i="9"/>
  <c r="A881" i="9"/>
  <c r="E880" i="9"/>
  <c r="A880" i="9"/>
  <c r="E879" i="9"/>
  <c r="A879" i="9"/>
  <c r="E878" i="9"/>
  <c r="A878" i="9"/>
  <c r="E877" i="9"/>
  <c r="A877" i="9"/>
  <c r="E876" i="9"/>
  <c r="A876" i="9"/>
  <c r="E875" i="9"/>
  <c r="A875" i="9"/>
  <c r="E874" i="9"/>
  <c r="A874" i="9"/>
  <c r="E873" i="9"/>
  <c r="A873" i="9"/>
  <c r="E872" i="9"/>
  <c r="A872" i="9"/>
  <c r="E871" i="9"/>
  <c r="A871" i="9"/>
  <c r="E870" i="9"/>
  <c r="A870" i="9"/>
  <c r="E869" i="9"/>
  <c r="A869" i="9"/>
  <c r="E868" i="9"/>
  <c r="A868" i="9"/>
  <c r="E867" i="9"/>
  <c r="A867" i="9"/>
  <c r="E866" i="9"/>
  <c r="A866" i="9"/>
  <c r="E865" i="9"/>
  <c r="A865" i="9"/>
  <c r="E864" i="9"/>
  <c r="A864" i="9"/>
  <c r="E863" i="9"/>
  <c r="A863" i="9"/>
  <c r="E862" i="9"/>
  <c r="A862" i="9"/>
  <c r="E861" i="9"/>
  <c r="A861" i="9"/>
  <c r="E860" i="9"/>
  <c r="A860" i="9"/>
  <c r="E859" i="9"/>
  <c r="A859" i="9"/>
  <c r="E858" i="9"/>
  <c r="A858" i="9"/>
  <c r="E857" i="9"/>
  <c r="A857" i="9"/>
  <c r="E856" i="9"/>
  <c r="A856" i="9"/>
  <c r="E855" i="9"/>
  <c r="A855" i="9"/>
  <c r="E854" i="9"/>
  <c r="A854" i="9"/>
  <c r="E853" i="9"/>
  <c r="A853" i="9"/>
  <c r="E852" i="9"/>
  <c r="A852" i="9"/>
  <c r="E851" i="9"/>
  <c r="A851" i="9"/>
  <c r="E850" i="9"/>
  <c r="A850" i="9"/>
  <c r="E849" i="9"/>
  <c r="A849" i="9"/>
  <c r="E848" i="9"/>
  <c r="A848" i="9"/>
  <c r="E847" i="9"/>
  <c r="A847" i="9"/>
  <c r="E846" i="9"/>
  <c r="A846" i="9"/>
  <c r="E845" i="9"/>
  <c r="A845" i="9"/>
  <c r="E844" i="9"/>
  <c r="A844" i="9"/>
  <c r="E843" i="9"/>
  <c r="A843" i="9"/>
  <c r="E842" i="9"/>
  <c r="A842" i="9"/>
  <c r="E841" i="9"/>
  <c r="A841" i="9"/>
  <c r="E840" i="9"/>
  <c r="A840" i="9"/>
  <c r="E839" i="9"/>
  <c r="A839" i="9"/>
  <c r="E838" i="9"/>
  <c r="A838" i="9"/>
  <c r="E837" i="9"/>
  <c r="A837" i="9"/>
  <c r="E836" i="9"/>
  <c r="A836" i="9"/>
  <c r="E835" i="9"/>
  <c r="A835" i="9"/>
  <c r="E834" i="9"/>
  <c r="A834" i="9"/>
  <c r="E833" i="9"/>
  <c r="A833" i="9"/>
  <c r="E832" i="9"/>
  <c r="A832" i="9"/>
  <c r="E831" i="9"/>
  <c r="A831" i="9"/>
  <c r="E830" i="9"/>
  <c r="A830" i="9"/>
  <c r="E829" i="9"/>
  <c r="A829" i="9"/>
  <c r="E828" i="9"/>
  <c r="A828" i="9"/>
  <c r="E827" i="9"/>
  <c r="A827" i="9"/>
  <c r="E826" i="9"/>
  <c r="A826" i="9"/>
  <c r="E825" i="9"/>
  <c r="A825" i="9"/>
  <c r="E824" i="9"/>
  <c r="A824" i="9"/>
  <c r="E823" i="9"/>
  <c r="A823" i="9"/>
  <c r="E822" i="9"/>
  <c r="A822" i="9"/>
  <c r="E821" i="9"/>
  <c r="A821" i="9"/>
  <c r="E820" i="9"/>
  <c r="A820" i="9"/>
  <c r="E819" i="9"/>
  <c r="A819" i="9"/>
  <c r="E818" i="9"/>
  <c r="A818" i="9"/>
  <c r="E817" i="9"/>
  <c r="A817" i="9"/>
  <c r="E816" i="9"/>
  <c r="A816" i="9"/>
  <c r="E815" i="9"/>
  <c r="A815" i="9"/>
  <c r="E814" i="9"/>
  <c r="A814" i="9"/>
  <c r="E813" i="9"/>
  <c r="A813" i="9"/>
  <c r="E812" i="9"/>
  <c r="A812" i="9"/>
  <c r="E811" i="9"/>
  <c r="A811" i="9"/>
  <c r="E810" i="9"/>
  <c r="A810" i="9"/>
  <c r="E809" i="9"/>
  <c r="A809" i="9"/>
  <c r="E808" i="9"/>
  <c r="A808" i="9"/>
  <c r="E807" i="9"/>
  <c r="A807" i="9"/>
  <c r="E806" i="9"/>
  <c r="A806" i="9"/>
  <c r="E805" i="9"/>
  <c r="A805" i="9"/>
  <c r="E804" i="9"/>
  <c r="A804" i="9"/>
  <c r="E803" i="9"/>
  <c r="A803" i="9"/>
  <c r="E802" i="9"/>
  <c r="A802" i="9"/>
  <c r="E801" i="9"/>
  <c r="A801" i="9"/>
  <c r="E800" i="9"/>
  <c r="A800" i="9"/>
  <c r="E799" i="9"/>
  <c r="A799" i="9"/>
  <c r="E798" i="9"/>
  <c r="A798" i="9"/>
  <c r="E797" i="9"/>
  <c r="A797" i="9"/>
  <c r="E796" i="9"/>
  <c r="A796" i="9"/>
  <c r="E795" i="9"/>
  <c r="A795" i="9"/>
  <c r="E794" i="9"/>
  <c r="A794" i="9"/>
  <c r="E793" i="9"/>
  <c r="A793" i="9"/>
  <c r="E792" i="9"/>
  <c r="A792" i="9"/>
  <c r="E791" i="9"/>
  <c r="A791" i="9"/>
  <c r="E790" i="9"/>
  <c r="A790" i="9"/>
  <c r="E789" i="9"/>
  <c r="A789" i="9"/>
  <c r="E788" i="9"/>
  <c r="A788" i="9"/>
  <c r="E787" i="9"/>
  <c r="A787" i="9"/>
  <c r="E786" i="9"/>
  <c r="A786" i="9"/>
  <c r="E785" i="9"/>
  <c r="A785" i="9"/>
  <c r="E784" i="9"/>
  <c r="A784" i="9"/>
  <c r="E783" i="9"/>
  <c r="A783" i="9"/>
  <c r="E782" i="9"/>
  <c r="A782" i="9"/>
  <c r="E781" i="9"/>
  <c r="A781" i="9"/>
  <c r="E780" i="9"/>
  <c r="A780" i="9"/>
  <c r="E779" i="9"/>
  <c r="A779" i="9"/>
  <c r="E778" i="9"/>
  <c r="A778" i="9"/>
  <c r="E777" i="9"/>
  <c r="A777" i="9"/>
  <c r="E776" i="9"/>
  <c r="A776" i="9"/>
  <c r="E775" i="9"/>
  <c r="A775" i="9"/>
  <c r="E774" i="9"/>
  <c r="A774" i="9"/>
  <c r="E773" i="9"/>
  <c r="A773" i="9"/>
  <c r="E772" i="9"/>
  <c r="A772" i="9"/>
  <c r="E771" i="9"/>
  <c r="A771" i="9"/>
  <c r="E770" i="9"/>
  <c r="A770" i="9"/>
  <c r="E769" i="9"/>
  <c r="A769" i="9"/>
  <c r="E768" i="9"/>
  <c r="A768" i="9"/>
  <c r="E767" i="9"/>
  <c r="A767" i="9"/>
  <c r="E766" i="9"/>
  <c r="A766" i="9"/>
  <c r="E765" i="9"/>
  <c r="A765" i="9"/>
  <c r="E764" i="9"/>
  <c r="A764" i="9"/>
  <c r="E763" i="9"/>
  <c r="A763" i="9"/>
  <c r="E762" i="9"/>
  <c r="A762" i="9"/>
  <c r="E761" i="9"/>
  <c r="A761" i="9"/>
  <c r="E760" i="9"/>
  <c r="A760" i="9"/>
  <c r="E759" i="9"/>
  <c r="A759" i="9"/>
  <c r="E758" i="9"/>
  <c r="A758" i="9"/>
  <c r="E757" i="9"/>
  <c r="A757" i="9"/>
  <c r="E756" i="9"/>
  <c r="A756" i="9"/>
  <c r="E755" i="9"/>
  <c r="A755" i="9"/>
  <c r="E754" i="9"/>
  <c r="A754" i="9"/>
  <c r="E753" i="9"/>
  <c r="A753" i="9"/>
  <c r="E752" i="9"/>
  <c r="A752" i="9"/>
  <c r="E751" i="9"/>
  <c r="A751" i="9"/>
  <c r="E750" i="9"/>
  <c r="A750" i="9"/>
  <c r="E749" i="9"/>
  <c r="A749" i="9"/>
  <c r="E748" i="9"/>
  <c r="A748" i="9"/>
  <c r="E747" i="9"/>
  <c r="A747" i="9"/>
  <c r="E746" i="9"/>
  <c r="A746" i="9"/>
  <c r="E745" i="9"/>
  <c r="A745" i="9"/>
  <c r="E744" i="9"/>
  <c r="A744" i="9"/>
  <c r="E743" i="9"/>
  <c r="A743" i="9"/>
  <c r="E742" i="9"/>
  <c r="A742" i="9"/>
  <c r="E741" i="9"/>
  <c r="A741" i="9"/>
  <c r="E740" i="9"/>
  <c r="A740" i="9"/>
  <c r="E739" i="9"/>
  <c r="A739" i="9"/>
  <c r="E738" i="9"/>
  <c r="A738" i="9"/>
  <c r="E737" i="9"/>
  <c r="A737" i="9"/>
  <c r="E736" i="9"/>
  <c r="A736" i="9"/>
  <c r="E735" i="9"/>
  <c r="A735" i="9"/>
  <c r="E734" i="9"/>
  <c r="A734" i="9"/>
  <c r="E733" i="9"/>
  <c r="A733" i="9"/>
  <c r="E732" i="9"/>
  <c r="A732" i="9"/>
  <c r="E731" i="9"/>
  <c r="A731" i="9"/>
  <c r="E730" i="9"/>
  <c r="A730" i="9"/>
  <c r="E729" i="9"/>
  <c r="A729" i="9"/>
  <c r="E728" i="9"/>
  <c r="A728" i="9"/>
  <c r="E727" i="9"/>
  <c r="A727" i="9"/>
  <c r="E726" i="9"/>
  <c r="A726" i="9"/>
  <c r="E725" i="9"/>
  <c r="A725" i="9"/>
  <c r="E724" i="9"/>
  <c r="A724" i="9"/>
  <c r="E723" i="9"/>
  <c r="A723" i="9"/>
  <c r="E722" i="9"/>
  <c r="A722" i="9"/>
  <c r="E721" i="9"/>
  <c r="A721" i="9"/>
  <c r="E720" i="9"/>
  <c r="A720" i="9"/>
  <c r="E719" i="9"/>
  <c r="A719" i="9"/>
  <c r="E718" i="9"/>
  <c r="A718" i="9"/>
  <c r="E717" i="9"/>
  <c r="A717" i="9"/>
  <c r="E716" i="9"/>
  <c r="A716" i="9"/>
  <c r="E715" i="9"/>
  <c r="A715" i="9"/>
  <c r="E714" i="9"/>
  <c r="A714" i="9"/>
  <c r="E713" i="9"/>
  <c r="A713" i="9"/>
  <c r="E712" i="9"/>
  <c r="A712" i="9"/>
  <c r="E711" i="9"/>
  <c r="A711" i="9"/>
  <c r="E710" i="9"/>
  <c r="A710" i="9"/>
  <c r="E709" i="9"/>
  <c r="A709" i="9"/>
  <c r="E708" i="9"/>
  <c r="A708" i="9"/>
  <c r="E707" i="9"/>
  <c r="A707" i="9"/>
  <c r="E706" i="9"/>
  <c r="A706" i="9"/>
  <c r="E705" i="9"/>
  <c r="A705" i="9"/>
  <c r="E704" i="9"/>
  <c r="A704" i="9"/>
  <c r="E703" i="9"/>
  <c r="A703" i="9"/>
  <c r="E702" i="9"/>
  <c r="A702" i="9"/>
  <c r="E701" i="9"/>
  <c r="A701" i="9"/>
  <c r="E700" i="9"/>
  <c r="A700" i="9"/>
  <c r="E699" i="9"/>
  <c r="A699" i="9"/>
  <c r="E698" i="9"/>
  <c r="A698" i="9"/>
  <c r="E697" i="9"/>
  <c r="A697" i="9"/>
  <c r="E696" i="9"/>
  <c r="A696" i="9"/>
  <c r="E695" i="9"/>
  <c r="A695" i="9"/>
  <c r="E694" i="9"/>
  <c r="A694" i="9"/>
  <c r="E693" i="9"/>
  <c r="A693" i="9"/>
  <c r="E692" i="9"/>
  <c r="A692" i="9"/>
  <c r="E691" i="9"/>
  <c r="A691" i="9"/>
  <c r="E690" i="9"/>
  <c r="A690" i="9"/>
  <c r="E689" i="9"/>
  <c r="A689" i="9"/>
  <c r="E688" i="9"/>
  <c r="A688" i="9"/>
  <c r="E687" i="9"/>
  <c r="A687" i="9"/>
  <c r="E686" i="9"/>
  <c r="A686" i="9"/>
  <c r="E685" i="9"/>
  <c r="A685" i="9"/>
  <c r="E684" i="9"/>
  <c r="A684" i="9"/>
  <c r="E683" i="9"/>
  <c r="A683" i="9"/>
  <c r="E682" i="9"/>
  <c r="A682" i="9"/>
  <c r="E681" i="9"/>
  <c r="A681" i="9"/>
  <c r="E680" i="9"/>
  <c r="A680" i="9"/>
  <c r="E679" i="9"/>
  <c r="A679" i="9"/>
  <c r="E678" i="9"/>
  <c r="A678" i="9"/>
  <c r="E677" i="9"/>
  <c r="A677" i="9"/>
  <c r="E676" i="9"/>
  <c r="A676" i="9"/>
  <c r="E675" i="9"/>
  <c r="A675" i="9"/>
  <c r="E674" i="9"/>
  <c r="A674" i="9"/>
  <c r="E673" i="9"/>
  <c r="A673" i="9"/>
  <c r="E672" i="9"/>
  <c r="A672" i="9"/>
  <c r="E671" i="9"/>
  <c r="A671" i="9"/>
  <c r="E670" i="9"/>
  <c r="A670" i="9"/>
  <c r="E669" i="9"/>
  <c r="A669" i="9"/>
  <c r="E668" i="9"/>
  <c r="A668" i="9"/>
  <c r="E667" i="9"/>
  <c r="A667" i="9"/>
  <c r="E666" i="9"/>
  <c r="A666" i="9"/>
  <c r="E665" i="9"/>
  <c r="A665" i="9"/>
  <c r="E664" i="9"/>
  <c r="A664" i="9"/>
  <c r="E663" i="9"/>
  <c r="A663" i="9"/>
  <c r="E662" i="9"/>
  <c r="A662" i="9"/>
  <c r="E661" i="9"/>
  <c r="A661" i="9"/>
  <c r="E660" i="9"/>
  <c r="A660" i="9"/>
  <c r="E659" i="9"/>
  <c r="A659" i="9"/>
  <c r="E658" i="9"/>
  <c r="A658" i="9"/>
  <c r="E657" i="9"/>
  <c r="A657" i="9"/>
  <c r="E656" i="9"/>
  <c r="A656" i="9"/>
  <c r="E655" i="9"/>
  <c r="A655" i="9"/>
  <c r="E654" i="9"/>
  <c r="A654" i="9"/>
  <c r="E653" i="9"/>
  <c r="A653" i="9"/>
  <c r="E652" i="9"/>
  <c r="A652" i="9"/>
  <c r="E651" i="9"/>
  <c r="A651" i="9"/>
  <c r="E650" i="9"/>
  <c r="A650" i="9"/>
  <c r="E649" i="9"/>
  <c r="A649" i="9"/>
  <c r="E648" i="9"/>
  <c r="A648" i="9"/>
  <c r="E647" i="9"/>
  <c r="A647" i="9"/>
  <c r="E646" i="9"/>
  <c r="A646" i="9"/>
  <c r="E645" i="9"/>
  <c r="A645" i="9"/>
  <c r="E644" i="9"/>
  <c r="A644" i="9"/>
  <c r="E643" i="9"/>
  <c r="A643" i="9"/>
  <c r="E642" i="9"/>
  <c r="A642" i="9"/>
  <c r="E641" i="9"/>
  <c r="A641" i="9"/>
  <c r="E640" i="9"/>
  <c r="A640" i="9"/>
  <c r="E639" i="9"/>
  <c r="A639" i="9"/>
  <c r="E638" i="9"/>
  <c r="A638" i="9"/>
  <c r="E637" i="9"/>
  <c r="A637" i="9"/>
  <c r="E636" i="9"/>
  <c r="A636" i="9"/>
  <c r="E635" i="9"/>
  <c r="A635" i="9"/>
  <c r="E634" i="9"/>
  <c r="A634" i="9"/>
  <c r="E633" i="9"/>
  <c r="A633" i="9"/>
  <c r="E632" i="9"/>
  <c r="A632" i="9"/>
  <c r="E631" i="9"/>
  <c r="A631" i="9"/>
  <c r="E630" i="9"/>
  <c r="A630" i="9"/>
  <c r="E629" i="9"/>
  <c r="A629" i="9"/>
  <c r="E628" i="9"/>
  <c r="A628" i="9"/>
  <c r="E627" i="9"/>
  <c r="A627" i="9"/>
  <c r="E626" i="9"/>
  <c r="A626" i="9"/>
  <c r="E625" i="9"/>
  <c r="A625" i="9"/>
  <c r="E624" i="9"/>
  <c r="A624" i="9"/>
  <c r="E623" i="9"/>
  <c r="A623" i="9"/>
  <c r="E622" i="9"/>
  <c r="A622" i="9"/>
  <c r="E621" i="9"/>
  <c r="A621" i="9"/>
  <c r="E620" i="9"/>
  <c r="A620" i="9"/>
  <c r="E619" i="9"/>
  <c r="A619" i="9"/>
  <c r="E618" i="9"/>
  <c r="A618" i="9"/>
  <c r="E617" i="9"/>
  <c r="A617" i="9"/>
  <c r="E616" i="9"/>
  <c r="A616" i="9"/>
  <c r="E615" i="9"/>
  <c r="A615" i="9"/>
  <c r="E614" i="9"/>
  <c r="A614" i="9"/>
  <c r="E613" i="9"/>
  <c r="A613" i="9"/>
  <c r="E612" i="9"/>
  <c r="A612" i="9"/>
  <c r="E611" i="9"/>
  <c r="A611" i="9"/>
  <c r="E610" i="9"/>
  <c r="A610" i="9"/>
  <c r="E609" i="9"/>
  <c r="A609" i="9"/>
  <c r="E608" i="9"/>
  <c r="A608" i="9"/>
  <c r="E607" i="9"/>
  <c r="A607" i="9"/>
  <c r="E606" i="9"/>
  <c r="A606" i="9"/>
  <c r="E605" i="9"/>
  <c r="A605" i="9"/>
  <c r="E604" i="9"/>
  <c r="A604" i="9"/>
  <c r="E603" i="9"/>
  <c r="A603" i="9"/>
  <c r="E602" i="9"/>
  <c r="A602" i="9"/>
  <c r="E601" i="9"/>
  <c r="A601" i="9"/>
  <c r="E600" i="9"/>
  <c r="A600" i="9"/>
  <c r="E599" i="9"/>
  <c r="A599" i="9"/>
  <c r="E598" i="9"/>
  <c r="A598" i="9"/>
  <c r="E597" i="9"/>
  <c r="A597" i="9"/>
  <c r="E596" i="9"/>
  <c r="A596" i="9"/>
  <c r="E595" i="9"/>
  <c r="A595" i="9"/>
  <c r="E594" i="9"/>
  <c r="A594" i="9"/>
  <c r="E593" i="9"/>
  <c r="A593" i="9"/>
  <c r="E592" i="9"/>
  <c r="A592" i="9"/>
  <c r="E591" i="9"/>
  <c r="A591" i="9"/>
  <c r="E590" i="9"/>
  <c r="A590" i="9"/>
  <c r="E589" i="9"/>
  <c r="A589" i="9"/>
  <c r="E588" i="9"/>
  <c r="A588" i="9"/>
  <c r="E587" i="9"/>
  <c r="A587" i="9"/>
  <c r="E586" i="9"/>
  <c r="A586" i="9"/>
  <c r="E585" i="9"/>
  <c r="A585" i="9"/>
  <c r="E584" i="9"/>
  <c r="A584" i="9"/>
  <c r="E583" i="9"/>
  <c r="A583" i="9"/>
  <c r="E582" i="9"/>
  <c r="A582" i="9"/>
  <c r="E581" i="9"/>
  <c r="A581" i="9"/>
  <c r="E580" i="9"/>
  <c r="A580" i="9"/>
  <c r="E579" i="9"/>
  <c r="A579" i="9"/>
  <c r="E578" i="9"/>
  <c r="A578" i="9"/>
  <c r="E577" i="9"/>
  <c r="A577" i="9"/>
  <c r="E576" i="9"/>
  <c r="A576" i="9"/>
  <c r="E575" i="9"/>
  <c r="A575" i="9"/>
  <c r="E574" i="9"/>
  <c r="A574" i="9"/>
  <c r="E573" i="9"/>
  <c r="A573" i="9"/>
  <c r="E572" i="9"/>
  <c r="A572" i="9"/>
  <c r="E571" i="9"/>
  <c r="A571" i="9"/>
  <c r="E570" i="9"/>
  <c r="A570" i="9"/>
  <c r="E569" i="9"/>
  <c r="A569" i="9"/>
  <c r="E568" i="9"/>
  <c r="A568" i="9"/>
  <c r="E567" i="9"/>
  <c r="A567" i="9"/>
  <c r="E566" i="9"/>
  <c r="A566" i="9"/>
  <c r="E565" i="9"/>
  <c r="A565" i="9"/>
  <c r="E564" i="9"/>
  <c r="A564" i="9"/>
  <c r="E563" i="9"/>
  <c r="A563" i="9"/>
  <c r="E562" i="9"/>
  <c r="A562" i="9"/>
  <c r="E561" i="9"/>
  <c r="A561" i="9"/>
  <c r="E560" i="9"/>
  <c r="A560" i="9"/>
  <c r="E559" i="9"/>
  <c r="A559" i="9"/>
  <c r="E558" i="9"/>
  <c r="A558" i="9"/>
  <c r="E557" i="9"/>
  <c r="A557" i="9"/>
  <c r="E556" i="9"/>
  <c r="A556" i="9"/>
  <c r="E555" i="9"/>
  <c r="A555" i="9"/>
  <c r="E554" i="9"/>
  <c r="A554" i="9"/>
  <c r="E553" i="9"/>
  <c r="A553" i="9"/>
  <c r="E552" i="9"/>
  <c r="A552" i="9"/>
  <c r="E551" i="9"/>
  <c r="A551" i="9"/>
  <c r="E550" i="9"/>
  <c r="A550" i="9"/>
  <c r="E549" i="9"/>
  <c r="A549" i="9"/>
  <c r="E548" i="9"/>
  <c r="A548" i="9"/>
  <c r="E547" i="9"/>
  <c r="A547" i="9"/>
  <c r="E546" i="9"/>
  <c r="A546" i="9"/>
  <c r="E545" i="9"/>
  <c r="A545" i="9"/>
  <c r="E544" i="9"/>
  <c r="A544" i="9"/>
  <c r="E543" i="9"/>
  <c r="A543" i="9"/>
  <c r="E542" i="9"/>
  <c r="A542" i="9"/>
  <c r="E541" i="9"/>
  <c r="A541" i="9"/>
  <c r="E540" i="9"/>
  <c r="A540" i="9"/>
  <c r="E539" i="9"/>
  <c r="A539" i="9"/>
  <c r="E538" i="9"/>
  <c r="A538" i="9"/>
  <c r="E537" i="9"/>
  <c r="A537" i="9"/>
  <c r="E536" i="9"/>
  <c r="A536" i="9"/>
  <c r="E535" i="9"/>
  <c r="A535" i="9"/>
  <c r="E534" i="9"/>
  <c r="A534" i="9"/>
  <c r="E533" i="9"/>
  <c r="A533" i="9"/>
  <c r="E532" i="9"/>
  <c r="A532" i="9"/>
  <c r="E531" i="9"/>
  <c r="A531" i="9"/>
  <c r="E530" i="9"/>
  <c r="A530" i="9"/>
  <c r="E529" i="9"/>
  <c r="A529" i="9"/>
  <c r="E528" i="9"/>
  <c r="A528" i="9"/>
  <c r="E527" i="9"/>
  <c r="A527" i="9"/>
  <c r="E526" i="9"/>
  <c r="A526" i="9"/>
  <c r="E525" i="9"/>
  <c r="A525" i="9"/>
  <c r="E524" i="9"/>
  <c r="A524" i="9"/>
  <c r="E523" i="9"/>
  <c r="A523" i="9"/>
  <c r="E522" i="9"/>
  <c r="A522" i="9"/>
  <c r="E521" i="9"/>
  <c r="A521" i="9"/>
  <c r="E520" i="9"/>
  <c r="A520" i="9"/>
  <c r="E519" i="9"/>
  <c r="A519" i="9"/>
  <c r="E518" i="9"/>
  <c r="A518" i="9"/>
  <c r="E517" i="9"/>
  <c r="A517" i="9"/>
  <c r="E516" i="9"/>
  <c r="A516" i="9"/>
  <c r="E515" i="9"/>
  <c r="A515" i="9"/>
  <c r="E514" i="9"/>
  <c r="A514" i="9"/>
  <c r="E513" i="9"/>
  <c r="A513" i="9"/>
  <c r="E512" i="9"/>
  <c r="A512" i="9"/>
  <c r="E511" i="9"/>
  <c r="A511" i="9"/>
  <c r="E510" i="9"/>
  <c r="A510" i="9"/>
  <c r="E509" i="9"/>
  <c r="A509" i="9"/>
  <c r="E508" i="9"/>
  <c r="A508" i="9"/>
  <c r="E507" i="9"/>
  <c r="A507" i="9"/>
  <c r="E506" i="9"/>
  <c r="A506" i="9"/>
  <c r="E505" i="9"/>
  <c r="A505" i="9"/>
  <c r="E504" i="9"/>
  <c r="A504" i="9"/>
  <c r="E503" i="9"/>
  <c r="A503" i="9"/>
  <c r="E502" i="9"/>
  <c r="A502" i="9"/>
  <c r="E501" i="9"/>
  <c r="A501" i="9"/>
  <c r="E500" i="9"/>
  <c r="A500" i="9"/>
  <c r="E499" i="9"/>
  <c r="A499" i="9"/>
  <c r="E498" i="9"/>
  <c r="A498" i="9"/>
  <c r="E497" i="9"/>
  <c r="A497" i="9"/>
  <c r="E496" i="9"/>
  <c r="A496" i="9"/>
  <c r="E495" i="9"/>
  <c r="A495" i="9"/>
  <c r="E494" i="9"/>
  <c r="A494" i="9"/>
  <c r="E493" i="9"/>
  <c r="A493" i="9"/>
  <c r="E492" i="9"/>
  <c r="A492" i="9"/>
  <c r="E491" i="9"/>
  <c r="A491" i="9"/>
  <c r="E490" i="9"/>
  <c r="A490" i="9"/>
  <c r="E489" i="9"/>
  <c r="A489" i="9"/>
  <c r="E488" i="9"/>
  <c r="A488" i="9"/>
  <c r="E487" i="9"/>
  <c r="A487" i="9"/>
  <c r="E486" i="9"/>
  <c r="A486" i="9"/>
  <c r="E485" i="9"/>
  <c r="A485" i="9"/>
  <c r="E484" i="9"/>
  <c r="A484" i="9"/>
  <c r="E483" i="9"/>
  <c r="A483" i="9"/>
  <c r="E482" i="9"/>
  <c r="A482" i="9"/>
  <c r="E481" i="9"/>
  <c r="A481" i="9"/>
  <c r="E480" i="9"/>
  <c r="A480" i="9"/>
  <c r="E479" i="9"/>
  <c r="A479" i="9"/>
  <c r="E478" i="9"/>
  <c r="A478" i="9"/>
  <c r="E477" i="9"/>
  <c r="A477" i="9"/>
  <c r="E476" i="9"/>
  <c r="A476" i="9"/>
  <c r="E475" i="9"/>
  <c r="A475" i="9"/>
  <c r="E474" i="9"/>
  <c r="A474" i="9"/>
  <c r="E473" i="9"/>
  <c r="A473" i="9"/>
  <c r="E472" i="9"/>
  <c r="A472" i="9"/>
  <c r="E471" i="9"/>
  <c r="A471" i="9"/>
  <c r="E470" i="9"/>
  <c r="A470" i="9"/>
  <c r="E469" i="9"/>
  <c r="A469" i="9"/>
  <c r="E468" i="9"/>
  <c r="A468" i="9"/>
  <c r="E467" i="9"/>
  <c r="A467" i="9"/>
  <c r="E466" i="9"/>
  <c r="A466" i="9"/>
  <c r="E465" i="9"/>
  <c r="A465" i="9"/>
  <c r="E464" i="9"/>
  <c r="A464" i="9"/>
  <c r="E463" i="9"/>
  <c r="A463" i="9"/>
  <c r="E462" i="9"/>
  <c r="A462" i="9"/>
  <c r="E461" i="9"/>
  <c r="A461" i="9"/>
  <c r="E460" i="9"/>
  <c r="A460" i="9"/>
  <c r="E459" i="9"/>
  <c r="A459" i="9"/>
  <c r="E458" i="9"/>
  <c r="A458" i="9"/>
  <c r="E457" i="9"/>
  <c r="A457" i="9"/>
  <c r="E456" i="9"/>
  <c r="A456" i="9"/>
  <c r="E455" i="9"/>
  <c r="A455" i="9"/>
  <c r="E454" i="9"/>
  <c r="A454" i="9"/>
  <c r="E453" i="9"/>
  <c r="A453" i="9"/>
  <c r="E452" i="9"/>
  <c r="A452" i="9"/>
  <c r="E451" i="9"/>
  <c r="A451" i="9"/>
  <c r="E450" i="9"/>
  <c r="A450" i="9"/>
  <c r="E449" i="9"/>
  <c r="A449" i="9"/>
  <c r="E448" i="9"/>
  <c r="A448" i="9"/>
  <c r="E447" i="9"/>
  <c r="A447" i="9"/>
  <c r="E446" i="9"/>
  <c r="A446" i="9"/>
  <c r="E445" i="9"/>
  <c r="A445" i="9"/>
  <c r="E444" i="9"/>
  <c r="A444" i="9"/>
  <c r="E443" i="9"/>
  <c r="A443" i="9"/>
  <c r="E442" i="9"/>
  <c r="A442" i="9"/>
  <c r="E441" i="9"/>
  <c r="A441" i="9"/>
  <c r="E440" i="9"/>
  <c r="A440" i="9"/>
  <c r="E439" i="9"/>
  <c r="A439" i="9"/>
  <c r="E438" i="9"/>
  <c r="A438" i="9"/>
  <c r="E437" i="9"/>
  <c r="A437" i="9"/>
  <c r="E436" i="9"/>
  <c r="A436" i="9"/>
  <c r="E435" i="9"/>
  <c r="A435" i="9"/>
  <c r="E434" i="9"/>
  <c r="A434" i="9"/>
  <c r="E433" i="9"/>
  <c r="A433" i="9"/>
  <c r="E432" i="9"/>
  <c r="A432" i="9"/>
  <c r="E431" i="9"/>
  <c r="A431" i="9"/>
  <c r="E430" i="9"/>
  <c r="A430" i="9"/>
  <c r="E429" i="9"/>
  <c r="A429" i="9"/>
  <c r="E428" i="9"/>
  <c r="A428" i="9"/>
  <c r="E427" i="9"/>
  <c r="A427" i="9"/>
  <c r="E426" i="9"/>
  <c r="A426" i="9"/>
  <c r="E425" i="9"/>
  <c r="A425" i="9"/>
  <c r="E424" i="9"/>
  <c r="A424" i="9"/>
  <c r="E423" i="9"/>
  <c r="A423" i="9"/>
  <c r="E422" i="9"/>
  <c r="A422" i="9"/>
  <c r="E421" i="9"/>
  <c r="A421" i="9"/>
  <c r="E420" i="9"/>
  <c r="A420" i="9"/>
  <c r="E419" i="9"/>
  <c r="A419" i="9"/>
  <c r="E418" i="9"/>
  <c r="A418" i="9"/>
  <c r="E417" i="9"/>
  <c r="A417" i="9"/>
  <c r="E416" i="9"/>
  <c r="A416" i="9"/>
  <c r="E415" i="9"/>
  <c r="A415" i="9"/>
  <c r="E414" i="9"/>
  <c r="A414" i="9"/>
  <c r="E413" i="9"/>
  <c r="A413" i="9"/>
  <c r="E412" i="9"/>
  <c r="A412" i="9"/>
  <c r="E411" i="9"/>
  <c r="A411" i="9"/>
  <c r="E410" i="9"/>
  <c r="A410" i="9"/>
  <c r="E409" i="9"/>
  <c r="A409" i="9"/>
  <c r="E408" i="9"/>
  <c r="A408" i="9"/>
  <c r="E407" i="9"/>
  <c r="A407" i="9"/>
  <c r="E406" i="9"/>
  <c r="A406" i="9"/>
  <c r="E405" i="9"/>
  <c r="A405" i="9"/>
  <c r="E404" i="9"/>
  <c r="A404" i="9"/>
  <c r="E403" i="9"/>
  <c r="A403" i="9"/>
  <c r="E402" i="9"/>
  <c r="A402" i="9"/>
  <c r="E401" i="9"/>
  <c r="A401" i="9"/>
  <c r="E400" i="9"/>
  <c r="A400" i="9"/>
  <c r="E399" i="9"/>
  <c r="A399" i="9"/>
  <c r="E398" i="9"/>
  <c r="A398" i="9"/>
  <c r="E397" i="9"/>
  <c r="A397" i="9"/>
  <c r="E396" i="9"/>
  <c r="A396" i="9"/>
  <c r="E395" i="9"/>
  <c r="A395" i="9"/>
  <c r="E394" i="9"/>
  <c r="A394" i="9"/>
  <c r="E393" i="9"/>
  <c r="A393" i="9"/>
  <c r="E392" i="9"/>
  <c r="A392" i="9"/>
  <c r="E391" i="9"/>
  <c r="A391" i="9"/>
  <c r="E390" i="9"/>
  <c r="A390" i="9"/>
  <c r="E389" i="9"/>
  <c r="A389" i="9"/>
  <c r="E388" i="9"/>
  <c r="A388" i="9"/>
  <c r="E387" i="9"/>
  <c r="A387" i="9"/>
  <c r="E386" i="9"/>
  <c r="A386" i="9"/>
  <c r="E385" i="9"/>
  <c r="A385" i="9"/>
  <c r="E384" i="9"/>
  <c r="A384" i="9"/>
  <c r="E383" i="9"/>
  <c r="A383" i="9"/>
  <c r="E382" i="9"/>
  <c r="A382" i="9"/>
  <c r="E381" i="9"/>
  <c r="A381" i="9"/>
  <c r="E380" i="9"/>
  <c r="A380" i="9"/>
  <c r="E379" i="9"/>
  <c r="A379" i="9"/>
  <c r="E378" i="9"/>
  <c r="A378" i="9"/>
  <c r="E377" i="9"/>
  <c r="A377" i="9"/>
  <c r="E376" i="9"/>
  <c r="A376" i="9"/>
  <c r="E375" i="9"/>
  <c r="A375" i="9"/>
  <c r="E374" i="9"/>
  <c r="A374" i="9"/>
  <c r="E373" i="9"/>
  <c r="A373" i="9"/>
  <c r="E372" i="9"/>
  <c r="A372" i="9"/>
  <c r="E371" i="9"/>
  <c r="A371" i="9"/>
  <c r="E370" i="9"/>
  <c r="A370" i="9"/>
  <c r="E369" i="9"/>
  <c r="A369" i="9"/>
  <c r="E368" i="9"/>
  <c r="A368" i="9"/>
  <c r="E367" i="9"/>
  <c r="A367" i="9"/>
  <c r="E366" i="9"/>
  <c r="A366" i="9"/>
  <c r="E365" i="9"/>
  <c r="A365" i="9"/>
  <c r="E364" i="9"/>
  <c r="A364" i="9"/>
  <c r="E363" i="9"/>
  <c r="A363" i="9"/>
  <c r="E362" i="9"/>
  <c r="A362" i="9"/>
  <c r="E361" i="9"/>
  <c r="A361" i="9"/>
  <c r="E360" i="9"/>
  <c r="A360" i="9"/>
  <c r="E359" i="9"/>
  <c r="A359" i="9"/>
  <c r="E358" i="9"/>
  <c r="A358" i="9"/>
  <c r="E357" i="9"/>
  <c r="A357" i="9"/>
  <c r="E356" i="9"/>
  <c r="A356" i="9"/>
  <c r="E355" i="9"/>
  <c r="A355" i="9"/>
  <c r="E354" i="9"/>
  <c r="A354" i="9"/>
  <c r="E353" i="9"/>
  <c r="A353" i="9"/>
  <c r="E352" i="9"/>
  <c r="A352" i="9"/>
  <c r="E351" i="9"/>
  <c r="A351" i="9"/>
  <c r="E350" i="9"/>
  <c r="A350" i="9"/>
  <c r="E349" i="9"/>
  <c r="A349" i="9"/>
  <c r="E348" i="9"/>
  <c r="A348" i="9"/>
  <c r="E347" i="9"/>
  <c r="A347" i="9"/>
  <c r="E346" i="9"/>
  <c r="A346" i="9"/>
  <c r="E345" i="9"/>
  <c r="A345" i="9"/>
  <c r="E344" i="9"/>
  <c r="A344" i="9"/>
  <c r="E343" i="9"/>
  <c r="A343" i="9"/>
  <c r="E342" i="9"/>
  <c r="A342" i="9"/>
  <c r="E341" i="9"/>
  <c r="A341" i="9"/>
  <c r="E340" i="9"/>
  <c r="A340" i="9"/>
  <c r="E339" i="9"/>
  <c r="A339" i="9"/>
  <c r="E338" i="9"/>
  <c r="A338" i="9"/>
  <c r="E337" i="9"/>
  <c r="A337" i="9"/>
  <c r="E336" i="9"/>
  <c r="A336" i="9"/>
  <c r="E335" i="9"/>
  <c r="A335" i="9"/>
  <c r="E334" i="9"/>
  <c r="A334" i="9"/>
  <c r="E333" i="9"/>
  <c r="A333" i="9"/>
  <c r="E332" i="9"/>
  <c r="A332" i="9"/>
  <c r="E331" i="9"/>
  <c r="A331" i="9"/>
  <c r="E330" i="9"/>
  <c r="A330" i="9"/>
  <c r="E329" i="9"/>
  <c r="A329" i="9"/>
  <c r="E328" i="9"/>
  <c r="A328" i="9"/>
  <c r="E327" i="9"/>
  <c r="A327" i="9"/>
  <c r="E326" i="9"/>
  <c r="A326" i="9"/>
  <c r="E325" i="9"/>
  <c r="A325" i="9"/>
  <c r="E324" i="9"/>
  <c r="A324" i="9"/>
  <c r="E323" i="9"/>
  <c r="A323" i="9"/>
  <c r="E322" i="9"/>
  <c r="A322" i="9"/>
  <c r="E321" i="9"/>
  <c r="A321" i="9"/>
  <c r="E320" i="9"/>
  <c r="A320" i="9"/>
  <c r="E319" i="9"/>
  <c r="A319" i="9"/>
  <c r="E318" i="9"/>
  <c r="A318" i="9"/>
  <c r="E317" i="9"/>
  <c r="A317" i="9"/>
  <c r="E316" i="9"/>
  <c r="A316" i="9"/>
  <c r="E315" i="9"/>
  <c r="A315" i="9"/>
  <c r="E314" i="9"/>
  <c r="A314" i="9"/>
  <c r="E313" i="9"/>
  <c r="A313" i="9"/>
  <c r="E312" i="9"/>
  <c r="A312" i="9"/>
  <c r="E311" i="9"/>
  <c r="A311" i="9"/>
  <c r="E310" i="9"/>
  <c r="A310" i="9"/>
  <c r="E309" i="9"/>
  <c r="A309" i="9"/>
  <c r="E308" i="9"/>
  <c r="A308" i="9"/>
  <c r="E307" i="9"/>
  <c r="A307" i="9"/>
  <c r="E306" i="9"/>
  <c r="A306" i="9"/>
  <c r="E305" i="9"/>
  <c r="A305" i="9"/>
  <c r="E304" i="9"/>
  <c r="A304" i="9"/>
  <c r="E303" i="9"/>
  <c r="A303" i="9"/>
  <c r="E302" i="9"/>
  <c r="A302" i="9"/>
  <c r="E301" i="9"/>
  <c r="A301" i="9"/>
  <c r="E300" i="9"/>
  <c r="A300" i="9"/>
  <c r="E299" i="9"/>
  <c r="A299" i="9"/>
  <c r="E298" i="9"/>
  <c r="A298" i="9"/>
  <c r="E297" i="9"/>
  <c r="A297" i="9"/>
  <c r="E296" i="9"/>
  <c r="A296" i="9"/>
  <c r="E295" i="9"/>
  <c r="A295" i="9"/>
  <c r="E294" i="9"/>
  <c r="A294" i="9"/>
  <c r="E293" i="9"/>
  <c r="A293" i="9"/>
  <c r="E292" i="9"/>
  <c r="A292" i="9"/>
  <c r="E291" i="9"/>
  <c r="A291" i="9"/>
  <c r="E290" i="9"/>
  <c r="A290" i="9"/>
  <c r="E289" i="9"/>
  <c r="A289" i="9"/>
  <c r="E288" i="9"/>
  <c r="A288" i="9"/>
  <c r="E287" i="9"/>
  <c r="A287" i="9"/>
  <c r="E286" i="9"/>
  <c r="A286" i="9"/>
  <c r="E285" i="9"/>
  <c r="A285" i="9"/>
  <c r="E284" i="9"/>
  <c r="A284" i="9"/>
  <c r="E283" i="9"/>
  <c r="A283" i="9"/>
  <c r="E282" i="9"/>
  <c r="A282" i="9"/>
  <c r="E281" i="9"/>
  <c r="A281" i="9"/>
  <c r="E280" i="9"/>
  <c r="A280" i="9"/>
  <c r="E279" i="9"/>
  <c r="A279" i="9"/>
  <c r="E278" i="9"/>
  <c r="A278" i="9"/>
  <c r="E277" i="9"/>
  <c r="A277" i="9"/>
  <c r="E276" i="9"/>
  <c r="A276" i="9"/>
  <c r="E275" i="9"/>
  <c r="A275" i="9"/>
  <c r="E274" i="9"/>
  <c r="A274" i="9"/>
  <c r="E273" i="9"/>
  <c r="A273" i="9"/>
  <c r="E272" i="9"/>
  <c r="A272" i="9"/>
  <c r="E271" i="9"/>
  <c r="A271" i="9"/>
  <c r="E270" i="9"/>
  <c r="A270" i="9"/>
  <c r="E269" i="9"/>
  <c r="A269" i="9"/>
  <c r="E268" i="9"/>
  <c r="A268" i="9"/>
  <c r="E267" i="9"/>
  <c r="A267" i="9"/>
  <c r="E266" i="9"/>
  <c r="A266" i="9"/>
  <c r="E265" i="9"/>
  <c r="A265" i="9"/>
  <c r="E264" i="9"/>
  <c r="A264" i="9"/>
  <c r="E263" i="9"/>
  <c r="A263" i="9"/>
  <c r="E262" i="9"/>
  <c r="A262" i="9"/>
  <c r="E261" i="9"/>
  <c r="A261" i="9"/>
  <c r="E260" i="9"/>
  <c r="A260" i="9"/>
  <c r="E259" i="9"/>
  <c r="A259" i="9"/>
  <c r="E258" i="9"/>
  <c r="A258" i="9"/>
  <c r="E257" i="9"/>
  <c r="A257" i="9"/>
  <c r="E256" i="9"/>
  <c r="A256" i="9"/>
  <c r="E255" i="9"/>
  <c r="A255" i="9"/>
  <c r="E254" i="9"/>
  <c r="A254" i="9"/>
  <c r="E253" i="9"/>
  <c r="A253" i="9"/>
  <c r="E252" i="9"/>
  <c r="A252" i="9"/>
  <c r="E251" i="9"/>
  <c r="A251" i="9"/>
  <c r="E250" i="9"/>
  <c r="A250" i="9"/>
  <c r="E249" i="9"/>
  <c r="A249" i="9"/>
  <c r="E248" i="9"/>
  <c r="A248" i="9"/>
  <c r="E247" i="9"/>
  <c r="A247" i="9"/>
  <c r="E246" i="9"/>
  <c r="A246" i="9"/>
  <c r="E245" i="9"/>
  <c r="A245" i="9"/>
  <c r="E244" i="9"/>
  <c r="A244" i="9"/>
  <c r="E243" i="9"/>
  <c r="A243" i="9"/>
  <c r="E242" i="9"/>
  <c r="A242" i="9"/>
  <c r="E241" i="9"/>
  <c r="A241" i="9"/>
  <c r="E240" i="9"/>
  <c r="A240" i="9"/>
  <c r="E239" i="9"/>
  <c r="A239" i="9"/>
  <c r="E238" i="9"/>
  <c r="A238" i="9"/>
  <c r="E237" i="9"/>
  <c r="A237" i="9"/>
  <c r="E236" i="9"/>
  <c r="A236" i="9"/>
  <c r="E235" i="9"/>
  <c r="A235" i="9"/>
  <c r="E234" i="9"/>
  <c r="A234" i="9"/>
  <c r="E233" i="9"/>
  <c r="A233" i="9"/>
  <c r="E232" i="9"/>
  <c r="A232" i="9"/>
  <c r="E231" i="9"/>
  <c r="A231" i="9"/>
  <c r="E230" i="9"/>
  <c r="A230" i="9"/>
  <c r="E229" i="9"/>
  <c r="A229" i="9"/>
  <c r="E228" i="9"/>
  <c r="A228" i="9"/>
  <c r="E227" i="9"/>
  <c r="A227" i="9"/>
  <c r="E226" i="9"/>
  <c r="A226" i="9"/>
  <c r="E225" i="9"/>
  <c r="A225" i="9"/>
  <c r="E224" i="9"/>
  <c r="A224" i="9"/>
  <c r="E223" i="9"/>
  <c r="A223" i="9"/>
  <c r="E222" i="9"/>
  <c r="A222" i="9"/>
  <c r="E221" i="9"/>
  <c r="A221" i="9"/>
  <c r="E220" i="9"/>
  <c r="A220" i="9"/>
  <c r="E219" i="9"/>
  <c r="A219" i="9"/>
  <c r="E218" i="9"/>
  <c r="A218" i="9"/>
  <c r="E217" i="9"/>
  <c r="A217" i="9"/>
  <c r="E216" i="9"/>
  <c r="A216" i="9"/>
  <c r="E215" i="9"/>
  <c r="A215" i="9"/>
  <c r="E214" i="9"/>
  <c r="A214" i="9"/>
  <c r="E213" i="9"/>
  <c r="A213" i="9"/>
  <c r="E212" i="9"/>
  <c r="A212" i="9"/>
  <c r="E211" i="9"/>
  <c r="A211" i="9"/>
  <c r="E210" i="9"/>
  <c r="A210" i="9"/>
  <c r="E209" i="9"/>
  <c r="A209" i="9"/>
  <c r="E208" i="9"/>
  <c r="A208" i="9"/>
  <c r="E207" i="9"/>
  <c r="A207" i="9"/>
  <c r="E206" i="9"/>
  <c r="A206" i="9"/>
  <c r="E205" i="9"/>
  <c r="A205" i="9"/>
  <c r="E204" i="9"/>
  <c r="A204" i="9"/>
  <c r="E203" i="9"/>
  <c r="A203" i="9"/>
  <c r="E202" i="9"/>
  <c r="A202" i="9"/>
  <c r="E201" i="9"/>
  <c r="A201" i="9"/>
  <c r="E200" i="9"/>
  <c r="A200" i="9"/>
  <c r="E199" i="9"/>
  <c r="A199" i="9"/>
  <c r="E198" i="9"/>
  <c r="A198" i="9"/>
  <c r="E197" i="9"/>
  <c r="A197" i="9"/>
  <c r="E196" i="9"/>
  <c r="A196" i="9"/>
  <c r="E195" i="9"/>
  <c r="A195" i="9"/>
  <c r="E194" i="9"/>
  <c r="A194" i="9"/>
  <c r="E193" i="9"/>
  <c r="A193" i="9"/>
  <c r="E192" i="9"/>
  <c r="A192" i="9"/>
  <c r="E191" i="9"/>
  <c r="A191" i="9"/>
  <c r="E190" i="9"/>
  <c r="A190" i="9"/>
  <c r="E189" i="9"/>
  <c r="A189" i="9"/>
  <c r="E188" i="9"/>
  <c r="A188" i="9"/>
  <c r="E187" i="9"/>
  <c r="A187" i="9"/>
  <c r="E186" i="9"/>
  <c r="A186" i="9"/>
  <c r="E185" i="9"/>
  <c r="A185" i="9"/>
  <c r="E184" i="9"/>
  <c r="A184" i="9"/>
  <c r="E183" i="9"/>
  <c r="A183" i="9"/>
  <c r="E182" i="9"/>
  <c r="A182" i="9"/>
  <c r="E181" i="9"/>
  <c r="A181" i="9"/>
  <c r="E180" i="9"/>
  <c r="A180" i="9"/>
  <c r="E179" i="9"/>
  <c r="A179" i="9"/>
  <c r="E178" i="9"/>
  <c r="A178" i="9"/>
  <c r="E177" i="9"/>
  <c r="A177" i="9"/>
  <c r="E176" i="9"/>
  <c r="A176" i="9"/>
  <c r="E175" i="9"/>
  <c r="A175" i="9"/>
  <c r="E174" i="9"/>
  <c r="A174" i="9"/>
  <c r="E173" i="9"/>
  <c r="A173" i="9"/>
  <c r="E172" i="9"/>
  <c r="A172" i="9"/>
  <c r="E171" i="9"/>
  <c r="A171" i="9"/>
  <c r="E170" i="9"/>
  <c r="A170" i="9"/>
  <c r="E169" i="9"/>
  <c r="A169" i="9"/>
  <c r="E168" i="9"/>
  <c r="A168" i="9"/>
  <c r="E167" i="9"/>
  <c r="A167" i="9"/>
  <c r="E166" i="9"/>
  <c r="A166" i="9"/>
  <c r="E165" i="9"/>
  <c r="A165" i="9"/>
  <c r="E164" i="9"/>
  <c r="A164" i="9"/>
  <c r="E163" i="9"/>
  <c r="A163" i="9"/>
  <c r="E162" i="9"/>
  <c r="A162" i="9"/>
  <c r="E161" i="9"/>
  <c r="A161" i="9"/>
  <c r="E160" i="9"/>
  <c r="A160" i="9"/>
  <c r="E159" i="9"/>
  <c r="A159" i="9"/>
  <c r="E158" i="9"/>
  <c r="A158" i="9"/>
  <c r="E157" i="9"/>
  <c r="A157" i="9"/>
  <c r="E156" i="9"/>
  <c r="A156" i="9"/>
  <c r="E155" i="9"/>
  <c r="A155" i="9"/>
  <c r="E154" i="9"/>
  <c r="A154" i="9"/>
  <c r="E153" i="9"/>
  <c r="A153" i="9"/>
  <c r="E152" i="9"/>
  <c r="A152" i="9"/>
  <c r="E151" i="9"/>
  <c r="A151" i="9"/>
  <c r="E150" i="9"/>
  <c r="A150" i="9"/>
  <c r="E149" i="9"/>
  <c r="A149" i="9"/>
  <c r="E148" i="9"/>
  <c r="A148" i="9"/>
  <c r="E147" i="9"/>
  <c r="A147" i="9"/>
  <c r="E146" i="9"/>
  <c r="A146" i="9"/>
  <c r="E145" i="9"/>
  <c r="A145" i="9"/>
  <c r="E144" i="9"/>
  <c r="A144" i="9"/>
  <c r="E143" i="9"/>
  <c r="A143" i="9"/>
  <c r="E142" i="9"/>
  <c r="A142" i="9"/>
  <c r="E141" i="9"/>
  <c r="A141" i="9"/>
  <c r="E140" i="9"/>
  <c r="A140" i="9"/>
  <c r="E139" i="9"/>
  <c r="A139" i="9"/>
  <c r="E138" i="9"/>
  <c r="A138" i="9"/>
  <c r="E137" i="9"/>
  <c r="A137" i="9"/>
  <c r="E136" i="9"/>
  <c r="A136" i="9"/>
  <c r="E135" i="9"/>
  <c r="A135" i="9"/>
  <c r="E134" i="9"/>
  <c r="A134" i="9"/>
  <c r="E133" i="9"/>
  <c r="A133" i="9"/>
  <c r="E132" i="9"/>
  <c r="A132" i="9"/>
  <c r="E131" i="9"/>
  <c r="A131" i="9"/>
  <c r="E130" i="9"/>
  <c r="A130" i="9"/>
  <c r="E129" i="9"/>
  <c r="A129" i="9"/>
  <c r="E128" i="9"/>
  <c r="A128" i="9"/>
  <c r="E127" i="9"/>
  <c r="A127" i="9"/>
  <c r="E126" i="9"/>
  <c r="A126" i="9"/>
  <c r="E125" i="9"/>
  <c r="A125" i="9"/>
  <c r="E124" i="9"/>
  <c r="A124" i="9"/>
  <c r="E123" i="9"/>
  <c r="A123" i="9"/>
  <c r="E122" i="9"/>
  <c r="A122" i="9"/>
  <c r="E121" i="9"/>
  <c r="A121" i="9"/>
  <c r="E120" i="9"/>
  <c r="A120" i="9"/>
  <c r="E119" i="9"/>
  <c r="A119" i="9"/>
  <c r="E118" i="9"/>
  <c r="A118" i="9"/>
  <c r="E117" i="9"/>
  <c r="A117" i="9"/>
  <c r="E116" i="9"/>
  <c r="A116" i="9"/>
  <c r="E115" i="9"/>
  <c r="A115" i="9"/>
  <c r="E114" i="9"/>
  <c r="A114" i="9"/>
  <c r="E113" i="9"/>
  <c r="A113" i="9"/>
  <c r="E112" i="9"/>
  <c r="A112" i="9"/>
  <c r="E111" i="9"/>
  <c r="A111" i="9"/>
  <c r="E110" i="9"/>
  <c r="A110" i="9"/>
  <c r="E109" i="9"/>
  <c r="A109" i="9"/>
  <c r="E108" i="9"/>
  <c r="A108" i="9"/>
  <c r="E107" i="9"/>
  <c r="A107" i="9"/>
  <c r="E106" i="9"/>
  <c r="A106" i="9"/>
  <c r="E105" i="9"/>
  <c r="A105" i="9"/>
  <c r="E104" i="9"/>
  <c r="A104" i="9"/>
  <c r="E103" i="9"/>
  <c r="A103" i="9"/>
  <c r="E102" i="9"/>
  <c r="A102" i="9"/>
  <c r="E101" i="9"/>
  <c r="A101" i="9"/>
  <c r="E100" i="9"/>
  <c r="A100" i="9"/>
  <c r="E99" i="9"/>
  <c r="A99" i="9"/>
  <c r="E98" i="9"/>
  <c r="A98" i="9"/>
  <c r="E97" i="9"/>
  <c r="A97" i="9"/>
  <c r="E96" i="9"/>
  <c r="A96" i="9"/>
  <c r="E95" i="9"/>
  <c r="A95" i="9"/>
  <c r="E94" i="9"/>
  <c r="A94" i="9"/>
  <c r="E93" i="9"/>
  <c r="A93" i="9"/>
  <c r="E92" i="9"/>
  <c r="A92" i="9"/>
  <c r="E91" i="9"/>
  <c r="A91" i="9"/>
  <c r="E90" i="9"/>
  <c r="A90" i="9"/>
  <c r="E89" i="9"/>
  <c r="A89" i="9"/>
  <c r="E88" i="9"/>
  <c r="A88" i="9"/>
  <c r="E87" i="9"/>
  <c r="A87" i="9"/>
  <c r="E86" i="9"/>
  <c r="A86" i="9"/>
  <c r="E85" i="9"/>
  <c r="A85" i="9"/>
  <c r="E84" i="9"/>
  <c r="A84" i="9"/>
  <c r="E83" i="9"/>
  <c r="A83" i="9"/>
  <c r="E82" i="9"/>
  <c r="A82" i="9"/>
  <c r="E81" i="9"/>
  <c r="A81" i="9"/>
  <c r="E80" i="9"/>
  <c r="A80" i="9"/>
  <c r="E79" i="9"/>
  <c r="A79" i="9"/>
  <c r="E78" i="9"/>
  <c r="A78" i="9"/>
  <c r="E77" i="9"/>
  <c r="A77" i="9"/>
  <c r="E76" i="9"/>
  <c r="A76" i="9"/>
  <c r="E75" i="9"/>
  <c r="A75" i="9"/>
  <c r="E74" i="9"/>
  <c r="A74" i="9"/>
  <c r="E73" i="9"/>
  <c r="A73" i="9"/>
  <c r="E72" i="9"/>
  <c r="A72" i="9"/>
  <c r="E71" i="9"/>
  <c r="A71" i="9"/>
  <c r="E70" i="9"/>
  <c r="A70" i="9"/>
  <c r="E69" i="9"/>
  <c r="A69" i="9"/>
  <c r="E68" i="9"/>
  <c r="A68" i="9"/>
  <c r="E67" i="9"/>
  <c r="A67" i="9"/>
  <c r="E66" i="9"/>
  <c r="A66" i="9"/>
  <c r="E65" i="9"/>
  <c r="A65" i="9"/>
  <c r="E64" i="9"/>
  <c r="A64" i="9"/>
  <c r="E63" i="9"/>
  <c r="A63" i="9"/>
  <c r="E62" i="9"/>
  <c r="A62" i="9"/>
  <c r="E61" i="9"/>
  <c r="A61" i="9"/>
  <c r="E60" i="9"/>
  <c r="A60" i="9"/>
  <c r="E59" i="9"/>
  <c r="A59" i="9"/>
  <c r="E58" i="9"/>
  <c r="A58" i="9"/>
  <c r="E57" i="9"/>
  <c r="A57" i="9"/>
  <c r="E56" i="9"/>
  <c r="A56" i="9"/>
  <c r="E55" i="9"/>
  <c r="A55" i="9"/>
  <c r="E54" i="9"/>
  <c r="A54" i="9"/>
  <c r="E53" i="9"/>
  <c r="A53" i="9"/>
  <c r="E52" i="9"/>
  <c r="A52" i="9"/>
  <c r="E51" i="9"/>
  <c r="A51" i="9"/>
  <c r="E50" i="9"/>
  <c r="A50" i="9"/>
  <c r="E49" i="9"/>
  <c r="A49" i="9"/>
  <c r="E48" i="9"/>
  <c r="A48" i="9"/>
  <c r="E47" i="9"/>
  <c r="A47" i="9"/>
  <c r="E46" i="9"/>
  <c r="A46" i="9"/>
  <c r="E45" i="9"/>
  <c r="A45" i="9"/>
  <c r="E44" i="9"/>
  <c r="A44" i="9"/>
  <c r="E43" i="9"/>
  <c r="A43" i="9"/>
  <c r="E42" i="9"/>
  <c r="A42" i="9"/>
  <c r="E41" i="9"/>
  <c r="A41" i="9"/>
  <c r="E40" i="9"/>
  <c r="A40" i="9"/>
  <c r="E39" i="9"/>
  <c r="A39" i="9"/>
  <c r="E38" i="9"/>
  <c r="A38" i="9"/>
  <c r="E37" i="9"/>
  <c r="A37" i="9"/>
  <c r="E36" i="9"/>
  <c r="A36" i="9"/>
  <c r="E35" i="9"/>
  <c r="A35" i="9"/>
  <c r="E34" i="9"/>
  <c r="A34" i="9"/>
  <c r="E33" i="9"/>
  <c r="A33" i="9"/>
  <c r="E32" i="9"/>
  <c r="A32" i="9"/>
  <c r="E31" i="9"/>
  <c r="A31" i="9"/>
  <c r="E30" i="9"/>
  <c r="A30" i="9"/>
  <c r="E29" i="9"/>
  <c r="A29" i="9"/>
  <c r="E28" i="9"/>
  <c r="A28" i="9"/>
  <c r="E27" i="9"/>
  <c r="A27" i="9"/>
  <c r="E26" i="9"/>
  <c r="A26" i="9"/>
  <c r="E25" i="9"/>
  <c r="A25" i="9"/>
  <c r="E24" i="9"/>
  <c r="A24" i="9"/>
  <c r="E23" i="9"/>
  <c r="A23" i="9"/>
  <c r="E22" i="9"/>
  <c r="A22" i="9"/>
  <c r="E21" i="9"/>
  <c r="A21" i="9"/>
  <c r="E20" i="9"/>
  <c r="A20" i="9"/>
  <c r="E19" i="9"/>
  <c r="A19" i="9"/>
  <c r="E18" i="9"/>
  <c r="A18" i="9"/>
  <c r="E17" i="9"/>
  <c r="A17" i="9"/>
  <c r="E16" i="9"/>
  <c r="A16" i="9"/>
  <c r="E15" i="9"/>
  <c r="A15" i="9"/>
  <c r="E14" i="9"/>
  <c r="A14" i="9"/>
  <c r="E13" i="9"/>
  <c r="A13" i="9"/>
  <c r="E12" i="9"/>
  <c r="A12" i="9"/>
  <c r="E11" i="9"/>
  <c r="A11" i="9"/>
  <c r="E10" i="9"/>
  <c r="A10" i="9"/>
  <c r="E9" i="9"/>
  <c r="A9" i="9"/>
  <c r="E8" i="9"/>
  <c r="A8" i="9"/>
  <c r="E7" i="9"/>
  <c r="A7" i="9"/>
  <c r="E6" i="9"/>
  <c r="A6" i="9"/>
  <c r="E5" i="9"/>
  <c r="E2" i="9" s="1"/>
  <c r="A5" i="9"/>
  <c r="E4" i="9"/>
  <c r="A4" i="9"/>
  <c r="C11" i="8" s="1"/>
  <c r="E3" i="9"/>
  <c r="A3" i="9"/>
  <c r="F2" i="9"/>
  <c r="D13" i="8"/>
  <c r="D9" i="8"/>
  <c r="C8" i="8"/>
  <c r="C10" i="8" l="1"/>
  <c r="D10" i="8"/>
  <c r="D8" i="8"/>
  <c r="E1" i="9"/>
  <c r="C9" i="8"/>
  <c r="D11" i="8"/>
  <c r="C12" i="8"/>
  <c r="D12" i="8"/>
  <c r="C13" i="8"/>
</calcChain>
</file>

<file path=xl/comments1.xml><?xml version="1.0" encoding="utf-8"?>
<comments xmlns="http://schemas.openxmlformats.org/spreadsheetml/2006/main">
  <authors>
    <author>Автор</author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204"/>
          </rPr>
          <t>Необходимо воспользоваться справочником регионов GTAP</t>
        </r>
      </text>
    </comment>
  </commentList>
</comments>
</file>

<file path=xl/sharedStrings.xml><?xml version="1.0" encoding="utf-8"?>
<sst xmlns="http://schemas.openxmlformats.org/spreadsheetml/2006/main" count="34716" uniqueCount="588">
  <si>
    <t>Базовое равновесие</t>
  </si>
  <si>
    <t>Новое равновесие</t>
  </si>
  <si>
    <t>Цена (P)</t>
  </si>
  <si>
    <t>Количество (Q)</t>
  </si>
  <si>
    <t>Наименование переменной</t>
  </si>
  <si>
    <t>Обозначение</t>
  </si>
  <si>
    <t>Параметры</t>
  </si>
  <si>
    <t>Уравнения</t>
  </si>
  <si>
    <t>Отечественное производство A</t>
  </si>
  <si>
    <t>Отечественный экспорт A</t>
  </si>
  <si>
    <t>Мировое производство (без отечественного экспорта) A</t>
  </si>
  <si>
    <t>Мировое потребление A</t>
  </si>
  <si>
    <t>AXD</t>
  </si>
  <si>
    <t>AXW</t>
  </si>
  <si>
    <t>Отечественное промежуточное потребление A в B</t>
  </si>
  <si>
    <t>Отечественное потребление B</t>
  </si>
  <si>
    <t>BDD</t>
  </si>
  <si>
    <t>Изменение (%)</t>
  </si>
  <si>
    <t>Экспортный тариф на товар А</t>
  </si>
  <si>
    <t>TAXD</t>
  </si>
  <si>
    <t>Импортный тариф на товар A</t>
  </si>
  <si>
    <t>TAMD</t>
  </si>
  <si>
    <t>ER</t>
  </si>
  <si>
    <t>Импорт товара А</t>
  </si>
  <si>
    <t>AMD</t>
  </si>
  <si>
    <t>Курс RUB/USD</t>
  </si>
  <si>
    <t>WP</t>
  </si>
  <si>
    <t>Мировая цена товара A USD</t>
  </si>
  <si>
    <t>Изменение курса RUB/USD</t>
  </si>
  <si>
    <t>DER</t>
  </si>
  <si>
    <t>Управляющие воздействия модели</t>
  </si>
  <si>
    <t>APD</t>
  </si>
  <si>
    <t>ADW</t>
  </si>
  <si>
    <t>BID</t>
  </si>
  <si>
    <t>IXD</t>
  </si>
  <si>
    <t>Отечественное производство промежуточного товара I</t>
  </si>
  <si>
    <t>IPD</t>
  </si>
  <si>
    <t>Экспорт промежуточного товара I</t>
  </si>
  <si>
    <t>P_AXD_USD</t>
  </si>
  <si>
    <t>P_AMD_USD</t>
  </si>
  <si>
    <t>P_IXD_USD</t>
  </si>
  <si>
    <t>Цена импорта товара А USD (без тарифа)</t>
  </si>
  <si>
    <t>Цена экспорта товара А USD (без тарифа)</t>
  </si>
  <si>
    <t>Цена экспорта товара I USD (без тарифа)</t>
  </si>
  <si>
    <t>TIXD</t>
  </si>
  <si>
    <t>Экспортный тариф на промежуточный товар I</t>
  </si>
  <si>
    <t>http://cbr.ru/statistics/macro_itm/svs/#a_71520</t>
  </si>
  <si>
    <t>ЦБ // Основные производные показатели динамики обменного курса рубля в январе-декабре 2020 г. // Средний номинальный курс доллара США к рублю за период с начала года</t>
  </si>
  <si>
    <t>https://www.lme.com/Market-Data/Reports-and-data/Historical-data-for-cash-settled-futures</t>
  </si>
  <si>
    <t>LME Steel Rebar // M3 - среднее за 2020</t>
  </si>
  <si>
    <t>Арматура, Черное море ФОБ, среднее за 2020г</t>
  </si>
  <si>
    <t>https://www.worldbank.org/en/research/commodity-markets</t>
  </si>
  <si>
    <t>WB Pink Sheet - monthly prices -  Iron ore, cfr spot  - срденее за 2020г.</t>
  </si>
  <si>
    <t>https://www.worldsteel.org/steel-by-topic/statistics/annual-production-steel-data/T_exports_sf_f_total_pub/CHN/JPN</t>
  </si>
  <si>
    <t>Exports of semi-finished and finished steel products 2019</t>
  </si>
  <si>
    <t>https://rosstat.gov.ru/folder/313/document/112098</t>
  </si>
  <si>
    <t>https://fedstat.ru/indicator/37393</t>
  </si>
  <si>
    <t>http://www.eurasiancommission.org/ru/act/trade/catr/ett/Pages/default.aspx</t>
  </si>
  <si>
    <t>группа 73</t>
  </si>
  <si>
    <t>ССЫЛКА</t>
  </si>
  <si>
    <t>УТОЧНЕНИЕ</t>
  </si>
  <si>
    <t>Файл от Минэка</t>
  </si>
  <si>
    <t>Руды и концентраты железные - январь-декабрь 2020</t>
  </si>
  <si>
    <t>Сырьевой сектор - Добыча металлических руд в 2020</t>
  </si>
  <si>
    <t>ЕМИСС</t>
  </si>
  <si>
    <t>Средние цены производителей промышленных товаров с 2017 г.  -- Россия -- 24.10.21 Сталь нелегированная в слитках или в прочих первичных формах и полуфабрикаты из нелегированной стали -- среднее за 2020</t>
  </si>
  <si>
    <t xml:space="preserve">ЕМИСС </t>
  </si>
  <si>
    <t>Средние цены производителей промышленных товаров с 2017 г.  -- Россия -- 07.10.10.120 Руда железная товарная необогащенная -- среднее за 2020</t>
  </si>
  <si>
    <t>Производство основных видов продукции в натуральном выражении  с 2017 г. (оперативные данные в соответствии с ОКПД2)  -- Россия -- 24.10.21 Сталь нелегированная в слитках или в прочих первичных формах и полуфабрикаты из нелегированной стали -- 118 январь-декабрь 2020</t>
  </si>
  <si>
    <t>ФТС</t>
  </si>
  <si>
    <t>WEB_UTSA_01  -- 72 (кроме 7201-7204) -- ЧЕРНЫЕ МЕТАЛЛЫ (КРОМЕ ЧУГУНА, ФЕРРОСПЛАВОВ, ОТХОДОВ И ЛОМА), ТЫС.Т</t>
  </si>
  <si>
    <t>ФТС - стоимость импорта группы 72(кроме 7201-7204) к общему весу</t>
  </si>
  <si>
    <t>https://www2.deloitte.com/content/dam/Deloitte/ru/Documents/research-center/%D0%9E%D0%B1%D0%B7%D0%BE%D1%80%20%D1%80%D1%8B%D0%BD%D0%BA%D0%B0%20%D1%87%D0%B5%D1%80%D0%BD%D0%BE%D0%B9%20%D0%BC%D0%B5%D1%82%D0%B0%D0%BB%D0%BB%D1%83%D1%80%D0%B3%D0%B8%D0%B8%202020.pdf</t>
  </si>
  <si>
    <t>70% стали уходит в строительство, т.е. объемы внутреннего потребления умножаются на 0.7</t>
  </si>
  <si>
    <t>Цена равна цене стали для внутреннего потребления</t>
  </si>
  <si>
    <t>СВЯЗЬ В МОДЕЛИ</t>
  </si>
  <si>
    <t>Объем выпуска отрасли B равен объему используемой стали (нормировка)</t>
  </si>
  <si>
    <t>Цена добавленной стоимости дает 94% от выпуска (примерно 6% в затратах строительства - это сталь)</t>
  </si>
  <si>
    <t>Номер</t>
  </si>
  <si>
    <t>GTAP Код</t>
  </si>
  <si>
    <t>Наименование отрасли</t>
  </si>
  <si>
    <t>Эластичность замещения между импортом из отечественными товарами</t>
  </si>
  <si>
    <t>Эластичность замещения между импортом из разных стран</t>
  </si>
  <si>
    <t>pdr</t>
  </si>
  <si>
    <t>Неочищенный рис</t>
  </si>
  <si>
    <t>wht</t>
  </si>
  <si>
    <t>Пшеница и меслин</t>
  </si>
  <si>
    <t>gro</t>
  </si>
  <si>
    <t>Прочие злаки</t>
  </si>
  <si>
    <t>v_f</t>
  </si>
  <si>
    <t>Овощи и фрукты</t>
  </si>
  <si>
    <t>osd</t>
  </si>
  <si>
    <t>Семена и плоды масличных культур</t>
  </si>
  <si>
    <t>c_b</t>
  </si>
  <si>
    <t>Растения, используемые для производства сахара</t>
  </si>
  <si>
    <t>pfb</t>
  </si>
  <si>
    <t>Растения для производства различных волокон</t>
  </si>
  <si>
    <t>ocr</t>
  </si>
  <si>
    <t>Производство прочей продукции растениеводства</t>
  </si>
  <si>
    <t>ctl</t>
  </si>
  <si>
    <t>Коровы, овцы, козы и лошади</t>
  </si>
  <si>
    <t>oap</t>
  </si>
  <si>
    <t>Производство прочей продукции животноводства</t>
  </si>
  <si>
    <t>rmk</t>
  </si>
  <si>
    <t>Сырое молоко</t>
  </si>
  <si>
    <t>wol</t>
  </si>
  <si>
    <t>Шерсть и коконы шелкопряда</t>
  </si>
  <si>
    <t>frs</t>
  </si>
  <si>
    <t>Лесная промышленность</t>
  </si>
  <si>
    <t>fsh</t>
  </si>
  <si>
    <t>Рыбная промышленность</t>
  </si>
  <si>
    <t>coa</t>
  </si>
  <si>
    <t>Добыча угля</t>
  </si>
  <si>
    <t>oil</t>
  </si>
  <si>
    <t>Добыча нефти</t>
  </si>
  <si>
    <t>gas</t>
  </si>
  <si>
    <t>Добыча газа</t>
  </si>
  <si>
    <t>omn</t>
  </si>
  <si>
    <t>Прочая добывающая промышленность</t>
  </si>
  <si>
    <t>cmt</t>
  </si>
  <si>
    <t>Мясные продукты из говядины</t>
  </si>
  <si>
    <t>omt</t>
  </si>
  <si>
    <t>Прочие мясные продукты</t>
  </si>
  <si>
    <t>vol</t>
  </si>
  <si>
    <t>Растительные и животные жиры</t>
  </si>
  <si>
    <t>mil</t>
  </si>
  <si>
    <t>Молочные продукты</t>
  </si>
  <si>
    <t>pcr</t>
  </si>
  <si>
    <t>Очищенный рис</t>
  </si>
  <si>
    <t>sgr</t>
  </si>
  <si>
    <t>Сахар</t>
  </si>
  <si>
    <t>ofd</t>
  </si>
  <si>
    <t>Производство прочих пищевых продуктов</t>
  </si>
  <si>
    <t>b_t</t>
  </si>
  <si>
    <t>Производство напитков и табачных изделий</t>
  </si>
  <si>
    <t>tex</t>
  </si>
  <si>
    <t>Текстильная промышленность</t>
  </si>
  <si>
    <t>wap</t>
  </si>
  <si>
    <t>Производство одежды</t>
  </si>
  <si>
    <t>lea</t>
  </si>
  <si>
    <t>Производство изделий из кожи</t>
  </si>
  <si>
    <t>lum</t>
  </si>
  <si>
    <t>Деревообработка</t>
  </si>
  <si>
    <t>ppp</t>
  </si>
  <si>
    <t>Целлюлозно-бумажная промышленность</t>
  </si>
  <si>
    <t>p_c</t>
  </si>
  <si>
    <t>Производство нефтепродуктов</t>
  </si>
  <si>
    <t>crp</t>
  </si>
  <si>
    <t>Химическая промышленность, производство резины и пластмассы</t>
  </si>
  <si>
    <t>nmm</t>
  </si>
  <si>
    <t>Производство прочих неметаллических минеральных продуктов</t>
  </si>
  <si>
    <t>i_s</t>
  </si>
  <si>
    <t>Чёрная металлургия</t>
  </si>
  <si>
    <t>nfm</t>
  </si>
  <si>
    <t>Цветная металлургия</t>
  </si>
  <si>
    <t>fmp</t>
  </si>
  <si>
    <t>Производство металлических изделий</t>
  </si>
  <si>
    <t>mvh</t>
  </si>
  <si>
    <t>Производство автотранспорта</t>
  </si>
  <si>
    <t>otn</t>
  </si>
  <si>
    <t>Производство прочих видов транспорта</t>
  </si>
  <si>
    <t>ele</t>
  </si>
  <si>
    <t>Производство электроники</t>
  </si>
  <si>
    <t>ome</t>
  </si>
  <si>
    <t>Точное машиностроение</t>
  </si>
  <si>
    <t>omf</t>
  </si>
  <si>
    <t>Прочая обрабатывающая промышленность</t>
  </si>
  <si>
    <t>ely</t>
  </si>
  <si>
    <t>Производство и распределение электроэнергии</t>
  </si>
  <si>
    <t>gdt</t>
  </si>
  <si>
    <t>Распределение газа</t>
  </si>
  <si>
    <t>wtr</t>
  </si>
  <si>
    <t>Распределение воды</t>
  </si>
  <si>
    <t>cns</t>
  </si>
  <si>
    <t>Строительство</t>
  </si>
  <si>
    <t>trd</t>
  </si>
  <si>
    <t>Торговля и рестораны</t>
  </si>
  <si>
    <t>otp</t>
  </si>
  <si>
    <t>Прочие виды транспорта</t>
  </si>
  <si>
    <t>wtp</t>
  </si>
  <si>
    <t>Водный транспорт</t>
  </si>
  <si>
    <t>atp</t>
  </si>
  <si>
    <t>Воздушный транспорт</t>
  </si>
  <si>
    <t>cmn</t>
  </si>
  <si>
    <t>Услуги почты и связи</t>
  </si>
  <si>
    <t>ofi</t>
  </si>
  <si>
    <t>Финансовые услуги</t>
  </si>
  <si>
    <t>isr</t>
  </si>
  <si>
    <t>Страхование</t>
  </si>
  <si>
    <t>obs</t>
  </si>
  <si>
    <t>Бизнес-услуги</t>
  </si>
  <si>
    <t>ros</t>
  </si>
  <si>
    <t>Рекреационные и прочие услуги</t>
  </si>
  <si>
    <t>osg</t>
  </si>
  <si>
    <t>Гос. управление, образование, здравоохранение и оборона</t>
  </si>
  <si>
    <t>dwe</t>
  </si>
  <si>
    <t>Услуги домашних хозяйств</t>
  </si>
  <si>
    <t>Отгружено товаров собственного производства, выполнено работ и услуг собственными силами (по хозяйственным видам деятельности) с 2017 г.</t>
  </si>
  <si>
    <t/>
  </si>
  <si>
    <t>Классификатор видов экономической деятельности (ОКВЭД2)</t>
  </si>
  <si>
    <t>Классификатор объектов административно-территориального деления (ОКАТО)</t>
  </si>
  <si>
    <t>Единица измерения</t>
  </si>
  <si>
    <t>Период</t>
  </si>
  <si>
    <t>Типы сводов</t>
  </si>
  <si>
    <t>2017</t>
  </si>
  <si>
    <t>2018</t>
  </si>
  <si>
    <t>2019</t>
  </si>
  <si>
    <t>2020</t>
  </si>
  <si>
    <t>2021</t>
  </si>
  <si>
    <t xml:space="preserve">        07.1 Добыча и обогащение железных руд</t>
  </si>
  <si>
    <t>643 Российская Федерация</t>
  </si>
  <si>
    <t>384 тысяча рублей</t>
  </si>
  <si>
    <t>118 январь-декабрь</t>
  </si>
  <si>
    <t>53 Крупные, средние и малые организации</t>
  </si>
  <si>
    <t>251 Организации, не относящиеся к субъектам малого предпринимательства, средняя численность работников которых превышает 15 человек</t>
  </si>
  <si>
    <t xml:space="preserve">            07.10 Добыча и обогащение железных руд</t>
  </si>
  <si>
    <t xml:space="preserve">                07.10.1 Добыча железных руд подземным способом</t>
  </si>
  <si>
    <t xml:space="preserve">                07.10.2 Добыча железных руд открытым способом</t>
  </si>
  <si>
    <t xml:space="preserve">                07.10.3 Обогащение и агломерация железных руд</t>
  </si>
  <si>
    <t xml:space="preserve">                38.32.3 Обработка отходов и лома черных металлов</t>
  </si>
  <si>
    <t xml:space="preserve">    24 Производство металлургическое</t>
  </si>
  <si>
    <t xml:space="preserve">        24.1 Производство чугуна, стали и ферросплавов</t>
  </si>
  <si>
    <t xml:space="preserve">            24.10 Производство чугуна, стали и ферросплавов</t>
  </si>
  <si>
    <t xml:space="preserve">                24.10.2 Производство стали в слитках</t>
  </si>
  <si>
    <t xml:space="preserve">                24.10.3 Производство листового горячекатаного стального проката</t>
  </si>
  <si>
    <t xml:space="preserve">                24.10.4 Производство листового холоднокатаного стального проката</t>
  </si>
  <si>
    <t xml:space="preserve">                24.10.5 Производство листового холоднокатаного стального проката, плакированного, с гальваническим или иным покрытием</t>
  </si>
  <si>
    <t xml:space="preserve">                24.10.6 Производство сортового горячекатаного проката и катанки</t>
  </si>
  <si>
    <t xml:space="preserve">                24.10.9 Производство прочего проката из черных металлов, не включенного в другие группировки</t>
  </si>
  <si>
    <t xml:space="preserve">        24.2 Производство стальных труб, полых профилей и фитингов</t>
  </si>
  <si>
    <t xml:space="preserve">        24.5 Литье металлов</t>
  </si>
  <si>
    <t xml:space="preserve">            24.51 Литье чугуна</t>
  </si>
  <si>
    <t xml:space="preserve">            24.52 Литье стали</t>
  </si>
  <si>
    <t xml:space="preserve">    25 Производство готовых металлических изделий, кроме машин и оборудования</t>
  </si>
  <si>
    <t xml:space="preserve">Средние цены производителей промышленных товаров с 2017 г. </t>
  </si>
  <si>
    <t>Каналы реализации</t>
  </si>
  <si>
    <t>Классификатор единиц измерения</t>
  </si>
  <si>
    <t>Классификатор продукции по видам экономической деятельности (ОКПД2)</t>
  </si>
  <si>
    <t>20 Внутренний рынок</t>
  </si>
  <si>
    <t>168 Тонна;^метрическая тонна (1000 кг)</t>
  </si>
  <si>
    <t>07.10.10.120 Руда железная товарная необогащенная</t>
  </si>
  <si>
    <t>383 рубль</t>
  </si>
  <si>
    <t>115 январь</t>
  </si>
  <si>
    <t>114 февраль</t>
  </si>
  <si>
    <t>68 март</t>
  </si>
  <si>
    <t>61 апрель</t>
  </si>
  <si>
    <t>67 май</t>
  </si>
  <si>
    <t>66 июнь</t>
  </si>
  <si>
    <t>65 июль</t>
  </si>
  <si>
    <t>60 август</t>
  </si>
  <si>
    <t>108 сентябрь</t>
  </si>
  <si>
    <t>105 октябрь</t>
  </si>
  <si>
    <t>104 ноябрь</t>
  </si>
  <si>
    <t>62 декабрь</t>
  </si>
  <si>
    <t>07.10.10.130 Концентрат железорудный</t>
  </si>
  <si>
    <t xml:space="preserve">    07.10.10.141 Агломерат железорудный доменный</t>
  </si>
  <si>
    <t>07.10.10.150 Окатыши железорудные (окисленные)</t>
  </si>
  <si>
    <t>055 Квадратный метр</t>
  </si>
  <si>
    <t xml:space="preserve">    24.33.30.000 Панели многослойные из листового стального плакированного проката</t>
  </si>
  <si>
    <t>24.33.20 Профили листовые из нелегированной стали</t>
  </si>
  <si>
    <t>24.10.11 Чугун зеркальный и передельный в чушках, болванках или в прочих первичных формах</t>
  </si>
  <si>
    <t xml:space="preserve">    24.10.12.110 Ферросилиций</t>
  </si>
  <si>
    <t xml:space="preserve">    24.10.12.160 Ферромолибден</t>
  </si>
  <si>
    <t xml:space="preserve">    24.10.12.270 Феррохром</t>
  </si>
  <si>
    <t>24.10.21 Сталь нелегированная в слитках или в прочих первичных формах и полуфабрикаты из нелегированной стали</t>
  </si>
  <si>
    <t>24.10.22 Сталь нержавеющая в слитках или прочих первичных формах и полуфабрикаты из нержавеющей стали</t>
  </si>
  <si>
    <t>24.10.23 Сталь легированная прочая в слитках или в прочих первичных формах и полуфабрикаты из прочей легированной стали</t>
  </si>
  <si>
    <t>24.10.3 Прокат листовой горячекатаный стальной, без дополнительной обработки</t>
  </si>
  <si>
    <t xml:space="preserve">    24.10.62 Прокат сортовой и катанка стальные прочие, кованые, горячекатаные, горячетянутые или экструдированные, без дополнительной обработки, включая смотанные после прокатки, из нелегированных сталей</t>
  </si>
  <si>
    <t xml:space="preserve">    24.10.64 Прокат сортовой и катанка из нержавеющих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</si>
  <si>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24.10.66 Прокат сортовой и катанка из прочих легированных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</si>
  <si>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    24.10.67.000 Прутки пустотелые для буровых работ</t>
  </si>
  <si>
    <t xml:space="preserve">    24.10.71 Профили незамкнутые горячекатаные, горячетянутые или экструдированные, без дополнительной обработки, из нелегированных сталей</t>
  </si>
  <si>
    <t xml:space="preserve">    24.10.73 Профили незамкнутые горячекатаные, горячетянутые или экструдированные, без дополнительной обработки, из прочих легированных сталей</t>
  </si>
  <si>
    <t>24.10.75.111 Рельсы железнодорожные широкой колеи</t>
  </si>
  <si>
    <t>24.10.75.115 Накладки рельсовые двухголовые для железных дорог широкой колеи</t>
  </si>
  <si>
    <t>24.10.75.116 Подкладки раздельного скрепления железнодорожного пути</t>
  </si>
  <si>
    <t xml:space="preserve">            24.20.11.000 Трубы стальные для нефте- и газопроводов бесшовные</t>
  </si>
  <si>
    <t xml:space="preserve">            24.20.13.110 Трубы стальные бесшовные горячедеформированные</t>
  </si>
  <si>
    <t xml:space="preserve">            24.20.13.130 Трубы стальные электросварные</t>
  </si>
  <si>
    <t xml:space="preserve">            24.20.13.140 Трубы стальные бесшовные холоднодеформированные общего назначения</t>
  </si>
  <si>
    <t xml:space="preserve">            24.20.13.160 Трубы стальные водогазопроводные</t>
  </si>
  <si>
    <t xml:space="preserve">            24.20.13.190 Трубы круглого сечения прочие стальные</t>
  </si>
  <si>
    <t xml:space="preserve">            24.20.14.110 Трубы некруглого сечения стальные</t>
  </si>
  <si>
    <t xml:space="preserve">            24.20.21.000 Трубы для нефте- и газопроводов сварные, наружным диаметром более 406,4 мм, стальные</t>
  </si>
  <si>
    <t xml:space="preserve">        24.20.31 Трубы сварные для нефте-и газопроводов, наружным диаметром не более 406,4 мм, стальные</t>
  </si>
  <si>
    <t xml:space="preserve">            24.20.34.000 Трубы некруглого сечения сварные, наружным диаметром не более 406,4 мм, стальные</t>
  </si>
  <si>
    <t xml:space="preserve">            24.20.35.000 Трубы прочие, с открытым швом, клепаные или соединенные аналогичным способом, наружным диаметром не более 406,4 мм, стальные</t>
  </si>
  <si>
    <t xml:space="preserve">    24.20.40.000 Фитинги для труб стальные, кроме литых</t>
  </si>
  <si>
    <t>24.31 Прутки холоднотянутые</t>
  </si>
  <si>
    <t>24.32 Штрипс узкий холоднокатаный</t>
  </si>
  <si>
    <t>24.33.11 Профили незамкнутые холодной штамповки или гибки из нелегированных сталей</t>
  </si>
  <si>
    <t>24.34.1 Проволока холоднотянутая</t>
  </si>
  <si>
    <t>24.10.51 Прокат листовой из нелегированных сталей, шириной не менее 600 мм, плакированный, с гальваническим или иным покрытием</t>
  </si>
  <si>
    <t>24.10.53 Прокат листовой из электротехнической стали, шириной не менее 600 мм</t>
  </si>
  <si>
    <t>24.10.80.120 Колеса цельнокатаные</t>
  </si>
  <si>
    <t>24.20.12.110 Трубы обсадные бесшовные стальные</t>
  </si>
  <si>
    <t>24.20.12.120 Трубы насосно-компрессорные бесшовные стальные</t>
  </si>
  <si>
    <t>24.20.12.130 Трубы бурильные для бурения нефтяных и газовых скважин бесшовные стальные</t>
  </si>
  <si>
    <t>1 Всего</t>
  </si>
  <si>
    <t xml:space="preserve">    24.10.11.120 Чугун передельный в чушках, болванках или в прочих первичных формах</t>
  </si>
  <si>
    <t xml:space="preserve">    24.10.11.130 Чугун литейный</t>
  </si>
  <si>
    <t xml:space="preserve">    24.10.12.170 Феррованадий</t>
  </si>
  <si>
    <t xml:space="preserve">    24.10.12.220 Ферротитан</t>
  </si>
  <si>
    <t>16 Экспорт</t>
  </si>
  <si>
    <t>Производство основных видов продукции в натуральном выражении  с 2017 г. (оперативные данные в соответствии с ОКПД2)</t>
  </si>
  <si>
    <t>169 Тысяча тонн</t>
  </si>
  <si>
    <t>07.10.10.110 Руда железная сырая</t>
  </si>
  <si>
    <t>99.1.1 -</t>
  </si>
  <si>
    <t xml:space="preserve">    07.10.10.131 Концентрат железорудный с массовой долей железа не менее 69,5 %</t>
  </si>
  <si>
    <t xml:space="preserve">    07.10.10.132 Концентрат железорудный с массовой долей железа не менее 65 %</t>
  </si>
  <si>
    <t xml:space="preserve">    07.10.10.133 Концентрат железорудный с массовой долей железа от 63 % до 65 %</t>
  </si>
  <si>
    <t xml:space="preserve">    07.10.10.134 Концентрат железорудный с массовой долей железа менее 63 %</t>
  </si>
  <si>
    <t>07.10.10.140 Агломерат железорудный</t>
  </si>
  <si>
    <t xml:space="preserve">    24.10.12.130 Силикомарганец</t>
  </si>
  <si>
    <t xml:space="preserve">    24.10.12.180 Пятиокись ванадия</t>
  </si>
  <si>
    <t xml:space="preserve">    24.10.12.280 Ферросиликохром</t>
  </si>
  <si>
    <t>24.10.14 Гранулы и порошки из передельного и зеркального чугуна или стали</t>
  </si>
  <si>
    <t>24.10.4 Прокат листовой холоднокатаный стальной, без дополнительной обработки, шириной не менее 600 мм</t>
  </si>
  <si>
    <t>24.10.5 Прокат листовой стальной, плакированный, с гальваническим или иным покрытием, и прокат листовой из быстрорежущей и электротехнической стали</t>
  </si>
  <si>
    <t>24.10.6 Прокат сортовой и катанка горячекатаные стальные</t>
  </si>
  <si>
    <t>24.10.7 Профили незамкнутые горячей обработки стальные, прокат листовой стальной в пакетах и профиль рельсовый для железных дорог и трамвайных путей стальной</t>
  </si>
  <si>
    <t>24.10.8 Прокат черных металлов прочий, не включенный в другие группировки</t>
  </si>
  <si>
    <t>24.20 Трубы, профили пустотелые и их фитинги стальные</t>
  </si>
  <si>
    <t>24.10.03.001.АГ Прокат готовый</t>
  </si>
  <si>
    <t>млн. долл</t>
  </si>
  <si>
    <t>тыс. тонн</t>
  </si>
  <si>
    <t>доллар за тонну</t>
  </si>
  <si>
    <t>napr</t>
  </si>
  <si>
    <t>year</t>
  </si>
  <si>
    <t>tnved4</t>
  </si>
  <si>
    <t>product</t>
  </si>
  <si>
    <t>sum_tot</t>
  </si>
  <si>
    <t>netto_tot</t>
  </si>
  <si>
    <t>price</t>
  </si>
  <si>
    <t>EX</t>
  </si>
  <si>
    <t>руда</t>
  </si>
  <si>
    <t>IM</t>
  </si>
  <si>
    <t>лом</t>
  </si>
  <si>
    <t>сталь</t>
  </si>
  <si>
    <t>WB</t>
  </si>
  <si>
    <t>LME</t>
  </si>
  <si>
    <t>Iron ore, cfr spot</t>
  </si>
  <si>
    <t>арматура</t>
  </si>
  <si>
    <t>($/dmtu)</t>
  </si>
  <si>
    <t>IRON_ORE</t>
  </si>
  <si>
    <t>SC M3</t>
  </si>
  <si>
    <t>SR M3</t>
  </si>
  <si>
    <t>USD/mt</t>
  </si>
  <si>
    <t>M3</t>
  </si>
  <si>
    <t>Относительное качество</t>
  </si>
  <si>
    <t>rho</t>
  </si>
  <si>
    <t>SS_DS</t>
  </si>
  <si>
    <t>Страна (регион) GTAP</t>
  </si>
  <si>
    <t>Эластичность предложения</t>
  </si>
  <si>
    <t>Эластичность предложения из третьих стран</t>
  </si>
  <si>
    <t>ALB</t>
  </si>
  <si>
    <t>ARE</t>
  </si>
  <si>
    <t>ARG</t>
  </si>
  <si>
    <t>ARM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</si>
  <si>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</si>
  <si>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</si>
  <si>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</si>
  <si>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</si>
  <si>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</si>
  <si>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</si>
  <si>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</si>
  <si>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</si>
  <si>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</si>
  <si>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BLR</t>
  </si>
  <si>
    <t>BOL</t>
  </si>
  <si>
    <t>BRA</t>
  </si>
  <si>
    <t>BRN</t>
  </si>
  <si>
    <t>BWA</t>
  </si>
  <si>
    <t>CAN</t>
  </si>
  <si>
    <t>CHE</t>
  </si>
  <si>
    <t>CHL</t>
  </si>
  <si>
    <t>CHN</t>
  </si>
  <si>
    <t>CIV</t>
  </si>
  <si>
    <t>CMR</t>
  </si>
  <si>
    <t>COL</t>
  </si>
  <si>
    <t>CRI</t>
  </si>
  <si>
    <t>CYP</t>
  </si>
  <si>
    <t>CZE</t>
  </si>
  <si>
    <t>DEU</t>
  </si>
  <si>
    <t>DNK</t>
  </si>
  <si>
    <t>DOM</t>
  </si>
  <si>
    <t>ECU</t>
  </si>
  <si>
    <t>EGY</t>
  </si>
  <si>
    <t>ESP</t>
  </si>
  <si>
    <t>EST</t>
  </si>
  <si>
    <t>ETH</t>
  </si>
  <si>
    <t>FIN</t>
  </si>
  <si>
    <t>FRA</t>
  </si>
  <si>
    <t>GBR</t>
  </si>
  <si>
    <t>GEO</t>
  </si>
  <si>
    <t>GHA</t>
  </si>
  <si>
    <t>GIN</t>
  </si>
  <si>
    <t>GRC</t>
  </si>
  <si>
    <t>GTM</t>
  </si>
  <si>
    <t>HKG</t>
  </si>
  <si>
    <t>HND</t>
  </si>
  <si>
    <t>HRV</t>
  </si>
  <si>
    <t>HUN</t>
  </si>
  <si>
    <t>IDN</t>
  </si>
  <si>
    <t>IND</t>
  </si>
  <si>
    <t>IRL</t>
  </si>
  <si>
    <t>IRN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</si>
  <si>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</si>
  <si>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</si>
  <si>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</si>
  <si>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</si>
  <si>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</si>
  <si>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</si>
  <si>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</si>
  <si>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</si>
  <si>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</si>
  <si>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KOR</t>
  </si>
  <si>
    <t>KWT</t>
  </si>
  <si>
    <t>LAO</t>
  </si>
  <si>
    <t>LKA</t>
  </si>
  <si>
    <t>LTU</t>
  </si>
  <si>
    <t>LUX</t>
  </si>
  <si>
    <t>LVA</t>
  </si>
  <si>
    <t>MAR</t>
  </si>
  <si>
    <t>MDG</t>
  </si>
  <si>
    <t>MEX</t>
  </si>
  <si>
    <t>MLT</t>
  </si>
  <si>
    <t>MNG</t>
  </si>
  <si>
    <t>MOZ</t>
  </si>
  <si>
    <t>MUS</t>
  </si>
  <si>
    <t>MWI</t>
  </si>
  <si>
    <t>MYS</t>
  </si>
  <si>
    <t>NAM</t>
  </si>
  <si>
    <t>NGA</t>
  </si>
  <si>
    <t>NIC</t>
  </si>
  <si>
    <t>NLD</t>
  </si>
  <si>
    <t>NOR</t>
  </si>
  <si>
    <t>NPL</t>
  </si>
  <si>
    <t>NZL</t>
  </si>
  <si>
    <t>OMN</t>
  </si>
  <si>
    <t>PAK</t>
  </si>
  <si>
    <t>PAN</t>
  </si>
  <si>
    <t>PER</t>
  </si>
  <si>
    <t>PHL</t>
  </si>
  <si>
    <t>POL</t>
  </si>
  <si>
    <t>PRI</t>
  </si>
  <si>
    <t>PRT</t>
  </si>
  <si>
    <t>PRY</t>
  </si>
  <si>
    <t>QAT</t>
  </si>
  <si>
    <t>ROU</t>
  </si>
  <si>
    <t>RUS</t>
  </si>
  <si>
    <t>RWA</t>
  </si>
  <si>
    <t>SAU</t>
  </si>
  <si>
    <t>SEN</t>
  </si>
  <si>
    <t>SGP</t>
  </si>
  <si>
    <t>SLV</t>
  </si>
  <si>
    <t>SVK</t>
  </si>
  <si>
    <t>SVN</t>
  </si>
  <si>
    <t>SWE</t>
  </si>
  <si>
    <t>TGO</t>
  </si>
  <si>
    <t>THA</t>
  </si>
  <si>
    <t>TTO</t>
  </si>
  <si>
    <t>TUN</t>
  </si>
  <si>
    <t>TUR</t>
  </si>
  <si>
    <t>TWN</t>
  </si>
  <si>
    <t>TZA</t>
  </si>
  <si>
    <t>UGA</t>
  </si>
  <si>
    <t>UKR</t>
  </si>
  <si>
    <t>URY</t>
  </si>
  <si>
    <t>USA</t>
  </si>
  <si>
    <t>VEN</t>
  </si>
  <si>
    <t>VNM</t>
  </si>
  <si>
    <t>XAC</t>
  </si>
  <si>
    <t>XCA</t>
  </si>
  <si>
    <t>XCB</t>
  </si>
  <si>
    <t>XCF</t>
  </si>
  <si>
    <t>XEA</t>
  </si>
  <si>
    <t>XEC</t>
  </si>
  <si>
    <t>XEE</t>
  </si>
  <si>
    <t>XEF</t>
  </si>
  <si>
    <t>XER</t>
  </si>
  <si>
    <t>XNA</t>
  </si>
  <si>
    <t>XNF</t>
  </si>
  <si>
    <t>XOC</t>
  </si>
  <si>
    <t>XSA</t>
  </si>
  <si>
    <t>XSC</t>
  </si>
  <si>
    <t>XSE</t>
  </si>
  <si>
    <t>XSM</t>
  </si>
  <si>
    <t>XSU</t>
  </si>
  <si>
    <t>XTW</t>
  </si>
  <si>
    <t>XWF</t>
  </si>
  <si>
    <t>XWS</t>
  </si>
  <si>
    <t>ZAF</t>
  </si>
  <si>
    <t>ZMB</t>
  </si>
  <si>
    <t>ZWE</t>
  </si>
  <si>
    <t>KPD</t>
  </si>
  <si>
    <t>KXD</t>
  </si>
  <si>
    <t>KCD</t>
  </si>
  <si>
    <t>NPD</t>
  </si>
  <si>
    <t>NXD</t>
  </si>
  <si>
    <t>NCD</t>
  </si>
  <si>
    <t>FCD</t>
  </si>
  <si>
    <t>NXW</t>
  </si>
  <si>
    <t>KSW</t>
  </si>
  <si>
    <t>FCW</t>
  </si>
  <si>
    <t>NSW</t>
  </si>
  <si>
    <t>KXW</t>
  </si>
  <si>
    <t>Отечественное производство товара K</t>
  </si>
  <si>
    <t>Отечественное производство товара N</t>
  </si>
  <si>
    <t>Экспорт товара K</t>
  </si>
  <si>
    <t>Внутреннее потребление товара K</t>
  </si>
  <si>
    <t>Внутреннее потребление товара N</t>
  </si>
  <si>
    <t>Экспорт товара N</t>
  </si>
  <si>
    <t>Отечественное потребление товара F</t>
  </si>
  <si>
    <t>Мировой экспорт товара K</t>
  </si>
  <si>
    <t>Мировое потребление товара K</t>
  </si>
  <si>
    <t>Мировой экспорт товара N</t>
  </si>
  <si>
    <t>Мировое потребление товара N</t>
  </si>
  <si>
    <t>Мировое потребление товара F</t>
  </si>
  <si>
    <t>Мировая цена товара K USD</t>
  </si>
  <si>
    <t>Мировая цена товара N USD</t>
  </si>
  <si>
    <t>Изменение мировой цены товара K USD</t>
  </si>
  <si>
    <t>Изменение мировой цены товара N USD</t>
  </si>
  <si>
    <t>WPK</t>
  </si>
  <si>
    <t>DWPK</t>
  </si>
  <si>
    <t>WPN</t>
  </si>
  <si>
    <t>DWPN</t>
  </si>
  <si>
    <t>Цена экспорта товара K USD (без тарифа)</t>
  </si>
  <si>
    <t>Цена экспорта товара N USD (без тарифа)</t>
  </si>
  <si>
    <t>P_KXD_USD</t>
  </si>
  <si>
    <t>P_NXD_USD</t>
  </si>
  <si>
    <t>Экспортный тариф на товар K</t>
  </si>
  <si>
    <t>Экспортный тариф на товар N</t>
  </si>
  <si>
    <t>TKXD</t>
  </si>
  <si>
    <t>TNXD</t>
  </si>
  <si>
    <t>Шок предложения KPD_SUPPLY</t>
  </si>
  <si>
    <t>Шок предложения NPD_SUPPLY</t>
  </si>
  <si>
    <t>Шок предложения KXW_SUPPLY</t>
  </si>
  <si>
    <t>Шок предложения NSW_SUPPLY</t>
  </si>
  <si>
    <t>Шок спроса FCD_DEMAND</t>
  </si>
  <si>
    <t>Шок спроса FCW_DEMAND</t>
  </si>
  <si>
    <t>SS_KPD_SUPPLY</t>
  </si>
  <si>
    <t>SS_NPD_SUPPLY</t>
  </si>
  <si>
    <t>SS_KXW_SUPPLY</t>
  </si>
  <si>
    <t>DS_FCD_DEMAND</t>
  </si>
  <si>
    <t>DS_FCW_DEMAND</t>
  </si>
  <si>
    <t>Ω_KPD</t>
  </si>
  <si>
    <t>Ω_NPD</t>
  </si>
  <si>
    <t>σ_KSW</t>
  </si>
  <si>
    <t>σ_NSW</t>
  </si>
  <si>
    <t>σ_FCW</t>
  </si>
  <si>
    <r>
      <t>ε</t>
    </r>
    <r>
      <rPr>
        <sz val="11"/>
        <color theme="1"/>
        <rFont val="Calibri"/>
        <family val="2"/>
      </rPr>
      <t>_KPD</t>
    </r>
  </si>
  <si>
    <r>
      <t>ε</t>
    </r>
    <r>
      <rPr>
        <sz val="11"/>
        <color theme="1"/>
        <rFont val="Calibri"/>
        <family val="2"/>
      </rPr>
      <t>_NPD</t>
    </r>
  </si>
  <si>
    <r>
      <t>ε</t>
    </r>
    <r>
      <rPr>
        <sz val="11"/>
        <color theme="1"/>
        <rFont val="Calibri"/>
        <family val="2"/>
      </rPr>
      <t>_KXW</t>
    </r>
  </si>
  <si>
    <r>
      <t>ε</t>
    </r>
    <r>
      <rPr>
        <sz val="11"/>
        <color theme="1"/>
        <rFont val="Calibri"/>
        <family val="2"/>
      </rPr>
      <t>_NXW</t>
    </r>
  </si>
  <si>
    <r>
      <t>ε</t>
    </r>
    <r>
      <rPr>
        <sz val="11"/>
        <color theme="1"/>
        <rFont val="Calibri"/>
        <family val="2"/>
      </rPr>
      <t>_FCW</t>
    </r>
  </si>
  <si>
    <r>
      <t>ε</t>
    </r>
    <r>
      <rPr>
        <sz val="11"/>
        <color theme="1"/>
        <rFont val="Calibri"/>
        <family val="2"/>
      </rPr>
      <t>_FCD</t>
    </r>
  </si>
  <si>
    <t>σ_FCD</t>
  </si>
  <si>
    <t>KPD_SUPPLY</t>
  </si>
  <si>
    <t>KPD_BUD_CET</t>
  </si>
  <si>
    <t>KPD_CET</t>
  </si>
  <si>
    <t>KPD_BAL_CET</t>
  </si>
  <si>
    <t>NPD_SUPPLY</t>
  </si>
  <si>
    <t>NPD_BUD_CET</t>
  </si>
  <si>
    <t>NPD_CET</t>
  </si>
  <si>
    <t>NPD_BAL_CET</t>
  </si>
  <si>
    <t>FCD_BUD_CES</t>
  </si>
  <si>
    <t>FCD_CES</t>
  </si>
  <si>
    <t>FCD_BAL_CES</t>
  </si>
  <si>
    <t>FCD_DEMAND</t>
  </si>
  <si>
    <t>KSW_BUD_CES</t>
  </si>
  <si>
    <t>KSW_CES</t>
  </si>
  <si>
    <t>KSW_BAL_CES</t>
  </si>
  <si>
    <t>KXW_SUPPLY</t>
  </si>
  <si>
    <t>NSW_BUD_CES</t>
  </si>
  <si>
    <t>NSW_CES</t>
  </si>
  <si>
    <t>NSW_BAL_CES</t>
  </si>
  <si>
    <t>NXW_SUPPLY</t>
  </si>
  <si>
    <t>FCW_BUD_CES</t>
  </si>
  <si>
    <t>FCW_CES</t>
  </si>
  <si>
    <t>FCW_BAL_CES</t>
  </si>
  <si>
    <t>FCW_DEMAND</t>
  </si>
  <si>
    <t>SS_NXW_SUPPLY</t>
  </si>
  <si>
    <t>Количество (Q), тонн п.в.</t>
  </si>
  <si>
    <t>Относительная сложность</t>
  </si>
  <si>
    <t>TOT_BAL</t>
  </si>
  <si>
    <t>Цена (P), руб за тонну п.в.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</si>
</sst>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0.0"/>
    <numFmt numFmtId="165" formatCode="0.0%"/>
    <numFmt numFmtId="166" formatCode="#,##0.####"/>
    <numFmt numFmtId="167" formatCode="0.000"/>
    <numFmt numFmtId="168" formatCode="_-* #,##0\ _₽_-;\-* #,##0\ _₽_-;_-* &quot;-&quot;??\ _₽_-;_-@_-"/>
    <numFmt numFmtId="169" formatCode="0.00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E9D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0" fontId="10" fillId="0" borderId="0"/>
    <xf numFmtId="43" fontId="4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/>
    <xf numFmtId="1" fontId="0" fillId="0" borderId="0" xfId="0" applyNumberFormat="1"/>
    <xf numFmtId="0" fontId="3" fillId="0" borderId="0" xfId="0" applyFont="1"/>
    <xf numFmtId="0" fontId="5" fillId="2" borderId="0" xfId="0" applyFont="1" applyFill="1" applyAlignment="1">
      <alignment horizontal="center"/>
    </xf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9" fontId="0" fillId="0" borderId="1" xfId="1" applyFont="1" applyFill="1" applyBorder="1"/>
    <xf numFmtId="1" fontId="0" fillId="0" borderId="2" xfId="0" applyNumberFormat="1" applyBorder="1"/>
    <xf numFmtId="0" fontId="0" fillId="0" borderId="2" xfId="0" applyBorder="1"/>
    <xf numFmtId="2" fontId="0" fillId="0" borderId="1" xfId="0" applyNumberFormat="1" applyBorder="1"/>
    <xf numFmtId="164" fontId="0" fillId="0" borderId="1" xfId="0" applyNumberFormat="1" applyBorder="1"/>
    <xf numFmtId="9" fontId="0" fillId="0" borderId="0" xfId="1" applyFont="1" applyFill="1" applyBorder="1"/>
    <xf numFmtId="1" fontId="0" fillId="0" borderId="1" xfId="0" applyNumberFormat="1" applyBorder="1" applyAlignment="1">
      <alignment wrapText="1"/>
    </xf>
    <xf numFmtId="1" fontId="0" fillId="0" borderId="2" xfId="0" applyNumberFormat="1" applyBorder="1" applyAlignment="1">
      <alignment wrapText="1"/>
    </xf>
    <xf numFmtId="44" fontId="7" fillId="3" borderId="1" xfId="3" applyNumberFormat="1" applyFill="1" applyBorder="1" applyAlignment="1">
      <alignment wrapText="1"/>
    </xf>
    <xf numFmtId="0" fontId="0" fillId="0" borderId="0" xfId="0" applyAlignment="1">
      <alignment wrapText="1"/>
    </xf>
    <xf numFmtId="9" fontId="0" fillId="0" borderId="1" xfId="1" applyFont="1" applyBorder="1" applyAlignment="1">
      <alignment wrapText="1"/>
    </xf>
    <xf numFmtId="44" fontId="0" fillId="4" borderId="1" xfId="2" applyFont="1" applyFill="1" applyBorder="1"/>
    <xf numFmtId="9" fontId="0" fillId="4" borderId="1" xfId="1" applyFont="1" applyFill="1" applyBorder="1"/>
    <xf numFmtId="9" fontId="0" fillId="5" borderId="1" xfId="1" applyFont="1" applyFill="1" applyBorder="1"/>
    <xf numFmtId="44" fontId="7" fillId="0" borderId="1" xfId="3" applyNumberFormat="1" applyFill="1" applyBorder="1" applyAlignment="1">
      <alignment wrapText="1"/>
    </xf>
    <xf numFmtId="0" fontId="6" fillId="0" borderId="0" xfId="0" applyFont="1" applyAlignment="1">
      <alignment wrapText="1"/>
    </xf>
    <xf numFmtId="9" fontId="0" fillId="0" borderId="1" xfId="1" applyFont="1" applyFill="1" applyBorder="1" applyAlignment="1">
      <alignment wrapText="1"/>
    </xf>
    <xf numFmtId="0" fontId="0" fillId="0" borderId="1" xfId="0" applyBorder="1" applyAlignment="1">
      <alignment wrapText="1"/>
    </xf>
    <xf numFmtId="9" fontId="0" fillId="3" borderId="1" xfId="1" applyFont="1" applyFill="1" applyBorder="1" applyAlignment="1">
      <alignment wrapText="1"/>
    </xf>
    <xf numFmtId="9" fontId="0" fillId="0" borderId="0" xfId="1" applyFont="1" applyFill="1" applyBorder="1" applyAlignment="1">
      <alignment wrapText="1"/>
    </xf>
    <xf numFmtId="2" fontId="7" fillId="3" borderId="1" xfId="3" applyNumberFormat="1" applyFill="1" applyBorder="1" applyAlignment="1">
      <alignment wrapText="1"/>
    </xf>
    <xf numFmtId="2" fontId="0" fillId="0" borderId="1" xfId="0" applyNumberFormat="1" applyBorder="1" applyAlignment="1">
      <alignment wrapText="1"/>
    </xf>
    <xf numFmtId="2" fontId="0" fillId="3" borderId="1" xfId="0" applyNumberFormat="1" applyFill="1" applyBorder="1" applyAlignment="1">
      <alignment wrapText="1"/>
    </xf>
    <xf numFmtId="2" fontId="3" fillId="3" borderId="1" xfId="0" applyNumberFormat="1" applyFont="1" applyFill="1" applyBorder="1" applyAlignment="1">
      <alignment wrapText="1"/>
    </xf>
    <xf numFmtId="2" fontId="3" fillId="0" borderId="1" xfId="0" applyNumberFormat="1" applyFont="1" applyBorder="1" applyAlignment="1">
      <alignment wrapText="1"/>
    </xf>
    <xf numFmtId="164" fontId="0" fillId="3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7" fillId="3" borderId="1" xfId="3" applyFill="1" applyBorder="1" applyAlignment="1">
      <alignment wrapText="1"/>
    </xf>
    <xf numFmtId="0" fontId="7" fillId="0" borderId="1" xfId="3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 applyAlignment="1">
      <alignment wrapText="1"/>
    </xf>
    <xf numFmtId="0" fontId="3" fillId="3" borderId="0" xfId="0" applyFont="1" applyFill="1" applyAlignment="1">
      <alignment wrapText="1"/>
    </xf>
    <xf numFmtId="44" fontId="0" fillId="5" borderId="1" xfId="2" applyFont="1" applyFill="1" applyBorder="1"/>
    <xf numFmtId="0" fontId="9" fillId="0" borderId="3" xfId="0" applyFont="1" applyBorder="1" applyAlignment="1">
      <alignment horizontal="left" vertical="top" wrapText="1"/>
    </xf>
    <xf numFmtId="3" fontId="0" fillId="0" borderId="3" xfId="0" applyNumberFormat="1" applyBorder="1" applyAlignment="1">
      <alignment horizontal="right" vertical="top"/>
    </xf>
    <xf numFmtId="166" fontId="0" fillId="0" borderId="0" xfId="0" applyNumberFormat="1" applyAlignment="1">
      <alignment horizontal="right" vertical="top"/>
    </xf>
    <xf numFmtId="0" fontId="8" fillId="0" borderId="0" xfId="4" applyFont="1"/>
    <xf numFmtId="0" fontId="10" fillId="0" borderId="0" xfId="4" applyAlignment="1">
      <alignment wrapText="1"/>
    </xf>
    <xf numFmtId="0" fontId="10" fillId="0" borderId="0" xfId="4"/>
    <xf numFmtId="0" fontId="10" fillId="0" borderId="0" xfId="5"/>
    <xf numFmtId="0" fontId="10" fillId="7" borderId="0" xfId="4" applyFill="1"/>
    <xf numFmtId="2" fontId="10" fillId="7" borderId="0" xfId="4" applyNumberFormat="1" applyFill="1" applyAlignment="1">
      <alignment horizontal="right"/>
    </xf>
    <xf numFmtId="2" fontId="10" fillId="0" borderId="0" xfId="4" applyNumberFormat="1" applyAlignment="1">
      <alignment horizontal="right"/>
    </xf>
    <xf numFmtId="2" fontId="10" fillId="0" borderId="0" xfId="4" applyNumberFormat="1"/>
    <xf numFmtId="2" fontId="0" fillId="6" borderId="0" xfId="0" applyNumberFormat="1" applyFill="1"/>
    <xf numFmtId="2" fontId="0" fillId="0" borderId="0" xfId="0" applyNumberFormat="1"/>
    <xf numFmtId="2" fontId="10" fillId="7" borderId="0" xfId="4" applyNumberFormat="1" applyFill="1"/>
    <xf numFmtId="0" fontId="6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165" fontId="0" fillId="0" borderId="0" xfId="1" applyNumberFormat="1" applyFont="1"/>
    <xf numFmtId="14" fontId="0" fillId="0" borderId="0" xfId="0" applyNumberFormat="1"/>
    <xf numFmtId="2" fontId="0" fillId="5" borderId="1" xfId="0" applyNumberFormat="1" applyFill="1" applyBorder="1"/>
    <xf numFmtId="1" fontId="0" fillId="4" borderId="1" xfId="0" applyNumberFormat="1" applyFill="1" applyBorder="1"/>
    <xf numFmtId="166" fontId="0" fillId="0" borderId="0" xfId="0" applyNumberFormat="1"/>
    <xf numFmtId="165" fontId="0" fillId="0" borderId="1" xfId="1" applyNumberFormat="1" applyFont="1" applyBorder="1"/>
    <xf numFmtId="0" fontId="1" fillId="0" borderId="1" xfId="0" applyFont="1" applyBorder="1"/>
    <xf numFmtId="44" fontId="0" fillId="0" borderId="0" xfId="2" applyFont="1" applyFill="1" applyBorder="1"/>
    <xf numFmtId="165" fontId="0" fillId="0" borderId="0" xfId="1" applyNumberFormat="1" applyFont="1" applyFill="1" applyBorder="1"/>
    <xf numFmtId="0" fontId="0" fillId="0" borderId="4" xfId="0" applyBorder="1"/>
    <xf numFmtId="165" fontId="0" fillId="0" borderId="0" xfId="1" applyNumberFormat="1" applyFont="1" applyBorder="1"/>
    <xf numFmtId="9" fontId="0" fillId="5" borderId="2" xfId="1" applyFont="1" applyFill="1" applyBorder="1"/>
    <xf numFmtId="9" fontId="0" fillId="5" borderId="5" xfId="1" applyFont="1" applyFill="1" applyBorder="1"/>
    <xf numFmtId="10" fontId="0" fillId="0" borderId="4" xfId="1" applyNumberFormat="1" applyFont="1" applyFill="1" applyBorder="1"/>
    <xf numFmtId="10" fontId="0" fillId="0" borderId="1" xfId="1" applyNumberFormat="1" applyFont="1" applyFill="1" applyBorder="1"/>
    <xf numFmtId="164" fontId="0" fillId="4" borderId="1" xfId="0" applyNumberFormat="1" applyFill="1" applyBorder="1"/>
    <xf numFmtId="167" fontId="0" fillId="0" borderId="1" xfId="0" applyNumberFormat="1" applyBorder="1"/>
    <xf numFmtId="2" fontId="0" fillId="6" borderId="1" xfId="0" applyNumberFormat="1" applyFill="1" applyBorder="1"/>
    <xf numFmtId="2" fontId="0" fillId="9" borderId="1" xfId="0" applyNumberFormat="1" applyFill="1" applyBorder="1"/>
    <xf numFmtId="168" fontId="0" fillId="8" borderId="1" xfId="6" applyNumberFormat="1" applyFont="1" applyFill="1" applyBorder="1"/>
    <xf numFmtId="168" fontId="0" fillId="0" borderId="1" xfId="6" applyNumberFormat="1" applyFont="1" applyFill="1" applyBorder="1"/>
    <xf numFmtId="169" fontId="0" fillId="0" borderId="0" xfId="0" applyNumberFormat="1"/>
    <xf numFmtId="0" fontId="8" fillId="0" borderId="0" xfId="0" applyFont="1"/>
    <xf numFmtId="0" fontId="0" fillId="0" borderId="0" xfId="0"/>
  </cellXfs>
  <cellStyles count="7">
    <cellStyle name="Normal 2" xfId="4"/>
    <cellStyle name="Гиперссылка" xfId="3" builtinId="8"/>
    <cellStyle name="Денежный" xfId="2" builtinId="4"/>
    <cellStyle name="Обычный" xfId="0" builtinId="0"/>
    <cellStyle name="Обычный 2" xfId="5"/>
    <cellStyle name="Процентный" xfId="1" builtinId="5"/>
    <cellStyle name="Финансовый" xfId="6" builtinId="3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7620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1240973</xdr:colOff>
      <xdr:row>41</xdr:row>
      <xdr:rowOff>10886</xdr:rowOff>
    </xdr:from>
    <xdr:to>
      <xdr:col>10</xdr:col>
      <xdr:colOff>859973</xdr:colOff>
      <xdr:row>81</xdr:row>
      <xdr:rowOff>116879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2" y="7598229"/>
          <a:ext cx="10058400" cy="73232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research/commodity-markets" TargetMode="External"/><Relationship Id="rId2" Type="http://schemas.openxmlformats.org/officeDocument/2006/relationships/hyperlink" Target="https://www.lme.com/Market-Data/Reports-and-data/Historical-data-for-cash-settled-futures" TargetMode="External"/><Relationship Id="rId1" Type="http://schemas.openxmlformats.org/officeDocument/2006/relationships/hyperlink" Target="http://cbr.ru/statistics/macro_itm/svs/" TargetMode="External"/><Relationship Id="rId5" Type="http://schemas.openxmlformats.org/officeDocument/2006/relationships/hyperlink" Target="https://www2.deloitte.com/content/dam/Deloitte/ru/Documents/research-center/%D0%9E%D0%B1%D0%B7%D0%BE%D1%80%20%D1%80%D1%8B%D0%BD%D0%BA%D0%B0%20%D1%87%D0%B5%D1%80%D0%BD%D0%BE%D0%B9%20%D0%BC%D0%B5%D1%82%D0%B0%D0%BB%D0%BB%D1%83%D1%80%D0%B3%D0%B8%D0%B8%202020.pdf" TargetMode="External"/><Relationship Id="rId4" Type="http://schemas.openxmlformats.org/officeDocument/2006/relationships/hyperlink" Target="https://rosstat.gov.ru/folder/313/document/1120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73"/>
  <sheetViews>
    <sheetView tabSelected="1" zoomScale="70" zoomScaleNormal="70" workbookViewId="0">
      <selection activeCell="C26" sqref="C26"/>
    </sheetView>
  </sheetViews>
  <sheetFormatPr defaultRowHeight="14.4" x14ac:dyDescent="0.3"/>
  <cols>
    <col min="1" max="1" width="59.6640625" bestFit="1" customWidth="1"/>
    <col min="2" max="2" width="18" bestFit="1" customWidth="1"/>
    <col min="3" max="3" width="19.88671875" bestFit="1" customWidth="1"/>
    <col min="4" max="4" width="24.109375" bestFit="1" customWidth="1"/>
    <col min="5" max="5" width="24.109375" customWidth="1"/>
    <col min="6" max="6" width="22.6640625" customWidth="1"/>
    <col min="7" max="7" width="24" bestFit="1" customWidth="1"/>
    <col min="8" max="8" width="24.109375" bestFit="1" customWidth="1"/>
    <col min="9" max="9" width="18.109375" bestFit="1" customWidth="1"/>
    <col min="10" max="10" width="15" bestFit="1" customWidth="1"/>
    <col min="11" max="11" width="26.77734375" customWidth="1"/>
    <col min="12" max="12" width="17.33203125" bestFit="1" customWidth="1"/>
    <col min="13" max="13" width="14.44140625" customWidth="1"/>
    <col min="14" max="14" width="12" bestFit="1" customWidth="1"/>
    <col min="15" max="15" width="15" customWidth="1"/>
    <col min="16" max="16" width="12.88671875" customWidth="1"/>
    <col min="17" max="18" width="11.44140625" customWidth="1"/>
    <col min="19" max="19" width="12.6640625" customWidth="1"/>
    <col min="20" max="20" width="12.6640625" bestFit="1" customWidth="1"/>
    <col min="21" max="21" width="14.44140625" bestFit="1" customWidth="1"/>
    <col min="22" max="22" width="12.6640625" customWidth="1"/>
    <col min="23" max="23" width="15" bestFit="1" customWidth="1"/>
  </cols>
  <sheetData>
    <row r="1" spans="1:12" x14ac:dyDescent="0.3">
      <c r="A1" s="6" t="s">
        <v>30</v>
      </c>
      <c r="B1" s="6"/>
      <c r="C1" s="6"/>
      <c r="D1" s="6"/>
      <c r="I1" s="6" t="s">
        <v>6</v>
      </c>
      <c r="J1" s="6"/>
      <c r="K1" s="6" t="s">
        <v>351</v>
      </c>
    </row>
    <row r="2" spans="1:12" x14ac:dyDescent="0.3">
      <c r="A2" s="6"/>
      <c r="B2" s="6" t="s">
        <v>5</v>
      </c>
      <c r="C2" s="6"/>
      <c r="D2" s="6"/>
      <c r="E2" s="54"/>
      <c r="I2" s="64" t="s">
        <v>547</v>
      </c>
      <c r="J2" s="73">
        <v>5</v>
      </c>
      <c r="K2" s="12">
        <f>(Ω_KPD+1)/Ω_KPD</f>
        <v>1.2</v>
      </c>
      <c r="L2">
        <f>1/(r_Ω_KPD-1)</f>
        <v>5.0000000000000009</v>
      </c>
    </row>
    <row r="3" spans="1:12" x14ac:dyDescent="0.3">
      <c r="A3" s="5" t="s">
        <v>25</v>
      </c>
      <c r="B3" s="5" t="s">
        <v>22</v>
      </c>
      <c r="C3" s="19">
        <v>73.650000000000006</v>
      </c>
      <c r="D3" s="41">
        <f>ER_0*1.05</f>
        <v>77.33250000000001</v>
      </c>
      <c r="E3" s="54"/>
      <c r="F3" s="65"/>
      <c r="I3" s="64" t="s">
        <v>548</v>
      </c>
      <c r="J3" s="73">
        <v>5</v>
      </c>
      <c r="K3" s="12">
        <f>(Ω_NPD+1)/Ω_NPD</f>
        <v>1.2</v>
      </c>
    </row>
    <row r="4" spans="1:12" x14ac:dyDescent="0.3">
      <c r="A4" s="6" t="s">
        <v>28</v>
      </c>
      <c r="B4" s="6" t="s">
        <v>29</v>
      </c>
      <c r="C4" s="7">
        <v>0</v>
      </c>
      <c r="D4" s="63">
        <f>ER_1/ER_0-1</f>
        <v>5.0000000000000044E-2</v>
      </c>
      <c r="E4" s="54"/>
      <c r="F4" s="66"/>
      <c r="I4" s="6" t="s">
        <v>558</v>
      </c>
      <c r="J4" s="73">
        <v>2</v>
      </c>
      <c r="K4" s="12">
        <f>(σ_FCD-1)/σ_FCD</f>
        <v>0.5</v>
      </c>
    </row>
    <row r="5" spans="1:12" x14ac:dyDescent="0.3">
      <c r="A5" s="6" t="s">
        <v>520</v>
      </c>
      <c r="B5" s="6" t="s">
        <v>524</v>
      </c>
      <c r="C5" s="61">
        <f>(356/0.607)*1.7</f>
        <v>997.03459637561775</v>
      </c>
      <c r="D5" s="60">
        <f>WPK_0</f>
        <v>997.03459637561775</v>
      </c>
      <c r="E5" s="54"/>
      <c r="F5" s="54"/>
      <c r="I5" s="6" t="s">
        <v>549</v>
      </c>
      <c r="J5" s="73">
        <v>5</v>
      </c>
      <c r="K5" s="12">
        <f>(σ_KSW-1)/σ_KSW</f>
        <v>0.8</v>
      </c>
    </row>
    <row r="6" spans="1:12" x14ac:dyDescent="0.3">
      <c r="A6" s="6" t="s">
        <v>522</v>
      </c>
      <c r="B6" s="6" t="s">
        <v>525</v>
      </c>
      <c r="C6" s="8">
        <v>0</v>
      </c>
      <c r="D6" s="63">
        <f>WPK_1/WPK_0-1</f>
        <v>0</v>
      </c>
      <c r="E6" s="54"/>
      <c r="F6" s="54"/>
      <c r="I6" s="6" t="s">
        <v>550</v>
      </c>
      <c r="J6" s="73">
        <v>5</v>
      </c>
      <c r="K6" s="12">
        <f>(σ_NSW-1)/σ_NSW</f>
        <v>0.8</v>
      </c>
    </row>
    <row r="7" spans="1:12" x14ac:dyDescent="0.3">
      <c r="A7" s="6" t="s">
        <v>521</v>
      </c>
      <c r="B7" s="6" t="s">
        <v>526</v>
      </c>
      <c r="C7" s="61">
        <f>(429/0.425)*1.6</f>
        <v>1615.0588235294119</v>
      </c>
      <c r="D7" s="60">
        <f>WPN_0</f>
        <v>1615.0588235294119</v>
      </c>
      <c r="E7" s="54"/>
      <c r="F7" s="54"/>
      <c r="I7" s="6" t="s">
        <v>551</v>
      </c>
      <c r="J7" s="73">
        <v>3</v>
      </c>
      <c r="K7" s="12">
        <f>(σ_FCW-1)/σ_FCW</f>
        <v>0.66666666666666663</v>
      </c>
    </row>
    <row r="8" spans="1:12" x14ac:dyDescent="0.3">
      <c r="A8" s="6" t="s">
        <v>523</v>
      </c>
      <c r="B8" s="6" t="s">
        <v>527</v>
      </c>
      <c r="C8" s="8">
        <v>0</v>
      </c>
      <c r="D8" s="63">
        <f>WPN_1/WPN_0-1</f>
        <v>0</v>
      </c>
      <c r="E8" s="54"/>
      <c r="F8" s="66"/>
      <c r="I8" s="6"/>
      <c r="J8" s="6"/>
      <c r="K8" s="6" t="s">
        <v>352</v>
      </c>
    </row>
    <row r="9" spans="1:12" x14ac:dyDescent="0.3">
      <c r="A9" s="6" t="s">
        <v>528</v>
      </c>
      <c r="B9" s="6" t="s">
        <v>530</v>
      </c>
      <c r="C9" s="61">
        <v>779</v>
      </c>
      <c r="D9" s="12">
        <f>P_KXD_1/ER_1</f>
        <v>774.27987652594118</v>
      </c>
      <c r="E9" s="54"/>
      <c r="F9" s="68"/>
      <c r="I9" s="64" t="s">
        <v>552</v>
      </c>
      <c r="J9" s="73">
        <v>0.3</v>
      </c>
      <c r="K9" s="74">
        <f>((K_KCD*Q_KCD_0^r_Ω_KPD+K_KXD*Q_KXD_0^r_Ω_KPD)^(1/r_Ω_KPD))/((K_KCD*(P_KCD_0/K_KCD)^(1+Ω_KPD)+K_KXD*(P_KXD_0/K_KXD)^(1+Ω_KPD))^(1/(1+Ω_KPD))^ε_KPD)</f>
        <v>1830408.3412328884</v>
      </c>
    </row>
    <row r="10" spans="1:12" x14ac:dyDescent="0.3">
      <c r="A10" s="6" t="s">
        <v>529</v>
      </c>
      <c r="B10" s="6" t="s">
        <v>531</v>
      </c>
      <c r="C10" s="61">
        <v>1167</v>
      </c>
      <c r="D10" s="11">
        <f>P_NXD_1/ER_1</f>
        <v>1159.3301862012825</v>
      </c>
      <c r="E10" s="54"/>
      <c r="F10" s="68"/>
      <c r="I10" s="64" t="s">
        <v>553</v>
      </c>
      <c r="J10" s="73">
        <v>0.3</v>
      </c>
      <c r="K10" s="74">
        <f>((K_NCD*Q_NCD_0^r_Ω_NPD+K_NXD*Q_NXD_0^r_Ω_NPD)^(1/r_Ω_NPD))/((K_NCD*(P_NCD_0/K_KCD)^(1+Ω_NPD)+K_NXD*(P_NXD_0/K_NXD)^(1+Ω_NPD))^(1/(1+Ω_NPD))^ε_NPD)</f>
        <v>776444.68341685203</v>
      </c>
    </row>
    <row r="11" spans="1:12" x14ac:dyDescent="0.3">
      <c r="A11" s="6" t="s">
        <v>532</v>
      </c>
      <c r="B11" s="6" t="s">
        <v>534</v>
      </c>
      <c r="C11" s="20">
        <v>0</v>
      </c>
      <c r="D11" s="21">
        <v>0</v>
      </c>
      <c r="E11" s="54"/>
      <c r="F11" s="68"/>
      <c r="I11" s="64" t="s">
        <v>554</v>
      </c>
      <c r="J11" s="73">
        <v>0.7</v>
      </c>
      <c r="K11" s="74">
        <f>Q_KXW_0/((P_KXW_0/ER_0)^ε_KXW)</f>
        <v>209544.30886671977</v>
      </c>
    </row>
    <row r="12" spans="1:12" x14ac:dyDescent="0.3">
      <c r="A12" s="5" t="s">
        <v>533</v>
      </c>
      <c r="B12" s="5" t="s">
        <v>535</v>
      </c>
      <c r="C12" s="20">
        <v>0</v>
      </c>
      <c r="D12" s="21">
        <v>0</v>
      </c>
      <c r="E12" s="54"/>
      <c r="F12" s="13"/>
      <c r="I12" s="64" t="s">
        <v>555</v>
      </c>
      <c r="J12" s="73">
        <v>0.7</v>
      </c>
      <c r="K12" s="74">
        <f>Q_NXW_0/((P_NXW_0/ER_0)^ε_NXW)</f>
        <v>182070.26180987616</v>
      </c>
    </row>
    <row r="13" spans="1:12" x14ac:dyDescent="0.3">
      <c r="E13" s="54"/>
      <c r="F13" s="13"/>
      <c r="I13" s="64" t="s">
        <v>557</v>
      </c>
      <c r="J13" s="73">
        <v>-0.15</v>
      </c>
      <c r="K13" s="74">
        <f>((B_KCD*Q_KCD_0^r_σ_FCD+B_NCD*Q_NCD_0^r_σ_FCD)^(1/r_σ_FCD))/((B_KCD*(P_KCD_0/B_KCD)^(1-σ_FCD)+B_NCD*(P_NCD_0/B_NCD)^(1-σ_FCD))^(1/(1-σ_FCD))^ε_FCD)</f>
        <v>360248686.72997725</v>
      </c>
    </row>
    <row r="14" spans="1:12" x14ac:dyDescent="0.3">
      <c r="A14" s="5" t="s">
        <v>536</v>
      </c>
      <c r="B14" s="5" t="s">
        <v>542</v>
      </c>
      <c r="C14" s="8">
        <v>0</v>
      </c>
      <c r="D14" s="69">
        <v>0</v>
      </c>
      <c r="E14" s="54"/>
      <c r="F14" s="13"/>
      <c r="I14" s="64" t="s">
        <v>556</v>
      </c>
      <c r="J14" s="73">
        <v>-0.3</v>
      </c>
      <c r="K14" s="74">
        <f>((B_KSW*Q_KSW_0^r_σ_FCW+B_NSW*Q_NSW_0^r_σ_FCW)^(1/r_σ_FCW))/((((B_KSW*(P_KSW_0/B_KSW)^(1-σ_FCW)+B_NSW*(P_NSW_0/B_NSW)^(1-σ_FCW))^(1/(1-σ_FCW)))/ER_0)^ε_FCW)</f>
        <v>1125066960.209255</v>
      </c>
    </row>
    <row r="15" spans="1:12" x14ac:dyDescent="0.3">
      <c r="A15" s="5" t="s">
        <v>537</v>
      </c>
      <c r="B15" s="5" t="s">
        <v>543</v>
      </c>
      <c r="C15" s="8">
        <v>0</v>
      </c>
      <c r="D15" s="69">
        <v>0</v>
      </c>
      <c r="E15" s="54"/>
      <c r="F15" s="13"/>
    </row>
    <row r="16" spans="1:12" x14ac:dyDescent="0.3">
      <c r="A16" s="5" t="s">
        <v>538</v>
      </c>
      <c r="B16" s="5" t="s">
        <v>544</v>
      </c>
      <c r="C16" s="8">
        <v>0</v>
      </c>
      <c r="D16" s="70">
        <v>0</v>
      </c>
      <c r="E16" s="54"/>
    </row>
    <row r="17" spans="1:14" x14ac:dyDescent="0.3">
      <c r="A17" s="5" t="s">
        <v>539</v>
      </c>
      <c r="B17" s="5" t="s">
        <v>583</v>
      </c>
      <c r="C17" s="8">
        <v>0</v>
      </c>
      <c r="D17" s="69">
        <v>0</v>
      </c>
      <c r="E17" s="54"/>
    </row>
    <row r="18" spans="1:14" x14ac:dyDescent="0.3">
      <c r="A18" s="5" t="s">
        <v>540</v>
      </c>
      <c r="B18" s="5" t="s">
        <v>545</v>
      </c>
      <c r="C18" s="8">
        <v>0</v>
      </c>
      <c r="D18" s="69">
        <v>0</v>
      </c>
      <c r="E18" s="54"/>
    </row>
    <row r="19" spans="1:14" x14ac:dyDescent="0.3">
      <c r="A19" s="5" t="s">
        <v>541</v>
      </c>
      <c r="B19" s="5" t="s">
        <v>546</v>
      </c>
      <c r="C19" s="8">
        <v>0</v>
      </c>
      <c r="D19" s="69">
        <v>0</v>
      </c>
      <c r="E19" s="54"/>
    </row>
    <row r="22" spans="1:14" x14ac:dyDescent="0.3">
      <c r="A22" s="2"/>
      <c r="B22" s="2"/>
      <c r="C22" s="13"/>
      <c r="D22" s="13"/>
      <c r="E22" s="13"/>
      <c r="F22" s="13"/>
      <c r="G22" s="13"/>
      <c r="I22" s="2"/>
      <c r="N22" s="1"/>
    </row>
    <row r="23" spans="1:14" x14ac:dyDescent="0.3">
      <c r="A23" s="4" t="str">
        <f>IF(SUMSQ($B$39:$B$59)&lt;0.000001,"Решение найдено","Решение не найдено")</f>
        <v>Решение найдено</v>
      </c>
      <c r="B23" s="2"/>
      <c r="C23" s="13"/>
      <c r="D23" s="13"/>
      <c r="E23" s="13"/>
      <c r="F23" s="13"/>
      <c r="G23" s="13"/>
      <c r="N23" s="1"/>
    </row>
    <row r="24" spans="1:14" x14ac:dyDescent="0.3">
      <c r="A24" s="6"/>
      <c r="B24" s="6"/>
      <c r="C24" s="6" t="s">
        <v>0</v>
      </c>
      <c r="D24" s="6"/>
      <c r="E24" s="6" t="s">
        <v>350</v>
      </c>
      <c r="F24" s="6" t="s">
        <v>585</v>
      </c>
      <c r="G24" s="6" t="s">
        <v>1</v>
      </c>
      <c r="H24" s="6"/>
      <c r="I24" s="67" t="s">
        <v>17</v>
      </c>
      <c r="J24" s="6"/>
      <c r="M24" s="1"/>
    </row>
    <row r="25" spans="1:14" x14ac:dyDescent="0.3">
      <c r="A25" s="6" t="s">
        <v>4</v>
      </c>
      <c r="B25" s="6" t="s">
        <v>5</v>
      </c>
      <c r="C25" s="6" t="s">
        <v>587</v>
      </c>
      <c r="D25" s="6" t="s">
        <v>584</v>
      </c>
      <c r="E25" s="6"/>
      <c r="F25" s="6"/>
      <c r="G25" s="6" t="s">
        <v>587</v>
      </c>
      <c r="H25" s="6" t="s">
        <v>584</v>
      </c>
      <c r="I25" s="67" t="s">
        <v>2</v>
      </c>
      <c r="J25" s="6" t="s">
        <v>3</v>
      </c>
    </row>
    <row r="26" spans="1:14" x14ac:dyDescent="0.3">
      <c r="A26" s="6" t="s">
        <v>508</v>
      </c>
      <c r="B26" s="6" t="s">
        <v>496</v>
      </c>
      <c r="C26" s="77">
        <v>41700</v>
      </c>
      <c r="D26" s="77">
        <v>10670000</v>
      </c>
      <c r="E26" s="11"/>
      <c r="F26" s="11"/>
      <c r="G26" s="78">
        <v>43741.010729898655</v>
      </c>
      <c r="H26" s="78">
        <v>10748877.625183297</v>
      </c>
      <c r="I26" s="71">
        <f>P_KPD_1/P_KPD_0-1</f>
        <v>4.8945101436418614E-2</v>
      </c>
      <c r="J26" s="72">
        <f>Q_KPD_1/Q_KPD_0-1</f>
        <v>7.3924672149294768E-3</v>
      </c>
      <c r="L26" s="58"/>
      <c r="M26" s="58"/>
      <c r="N26" s="79"/>
    </row>
    <row r="27" spans="1:14" x14ac:dyDescent="0.3">
      <c r="A27" s="6" t="s">
        <v>510</v>
      </c>
      <c r="B27" s="6" t="s">
        <v>497</v>
      </c>
      <c r="C27" s="78">
        <f>P_KXD_USD_0*ER_0</f>
        <v>57373.350000000006</v>
      </c>
      <c r="D27" s="77">
        <v>7220000</v>
      </c>
      <c r="E27" s="75">
        <v>1</v>
      </c>
      <c r="F27" s="76">
        <f>((Q_KXD_0/Q_KCD_0)^(1-r_Ω_KPD))*(P_KXD_0/P_KCD_0)*K_KCD</f>
        <v>5.5615907608941004</v>
      </c>
      <c r="G27" s="78">
        <v>59876.998551442353</v>
      </c>
      <c r="H27" s="78">
        <v>7323058.9731916152</v>
      </c>
      <c r="I27" s="71">
        <f>P_KXD_1/P_KXD_0-1</f>
        <v>4.3637831004156968E-2</v>
      </c>
      <c r="J27" s="72">
        <f>H27/Q_KXD_0-1</f>
        <v>1.4274096009919024E-2</v>
      </c>
      <c r="K27" s="2"/>
      <c r="L27" s="58"/>
      <c r="M27" s="66"/>
      <c r="N27" s="79"/>
    </row>
    <row r="28" spans="1:14" x14ac:dyDescent="0.3">
      <c r="A28" s="6" t="s">
        <v>511</v>
      </c>
      <c r="B28" s="6" t="s">
        <v>498</v>
      </c>
      <c r="C28" s="78">
        <f>(P_KPD_0*Q_KPD_0-P_KXD_0*Q_KXD_0)/Q_KCD_0</f>
        <v>8899.5399999999827</v>
      </c>
      <c r="D28" s="78">
        <f>Q_KPD_0-Q_KXD_0</f>
        <v>3450000</v>
      </c>
      <c r="E28" s="75">
        <v>1</v>
      </c>
      <c r="F28" s="75">
        <v>1</v>
      </c>
      <c r="G28" s="78">
        <v>9248.5864624412079</v>
      </c>
      <c r="H28" s="78">
        <v>3425818.6519916821</v>
      </c>
      <c r="I28" s="71">
        <f>P_KCD_1/P_KCD_0-1</f>
        <v>3.9220730783976032E-2</v>
      </c>
      <c r="J28" s="72">
        <f>Q_KCD_1/Q_KCD_0-1</f>
        <v>-7.0090863792225955E-3</v>
      </c>
      <c r="L28" s="58"/>
      <c r="M28" s="66"/>
      <c r="N28" s="79"/>
    </row>
    <row r="29" spans="1:14" x14ac:dyDescent="0.3">
      <c r="A29" s="6" t="s">
        <v>509</v>
      </c>
      <c r="B29" s="6" t="s">
        <v>499</v>
      </c>
      <c r="C29" s="77">
        <v>59833</v>
      </c>
      <c r="D29" s="77">
        <v>11350000</v>
      </c>
      <c r="E29" s="11"/>
      <c r="F29" s="11"/>
      <c r="G29" s="78">
        <v>62685.033586317935</v>
      </c>
      <c r="H29" s="78">
        <v>11429653.539297042</v>
      </c>
      <c r="I29" s="71">
        <f>P_NPD_1/P_NPD_0-1</f>
        <v>4.7666565044673259E-2</v>
      </c>
      <c r="J29" s="72">
        <f>H29/Q_NPD_0-1</f>
        <v>7.0179329777129151E-3</v>
      </c>
      <c r="L29" s="58"/>
      <c r="M29" s="58"/>
      <c r="N29" s="79"/>
    </row>
    <row r="30" spans="1:14" x14ac:dyDescent="0.3">
      <c r="A30" s="6" t="s">
        <v>513</v>
      </c>
      <c r="B30" s="6" t="s">
        <v>500</v>
      </c>
      <c r="C30" s="78">
        <f>P_NXD_USD_0*ER_0</f>
        <v>85949.55</v>
      </c>
      <c r="D30" s="77">
        <v>6150000</v>
      </c>
      <c r="E30" s="75">
        <v>1</v>
      </c>
      <c r="F30" s="76">
        <f>((Q_NXD_0/Q_NCD_0)^(1-r_Ω_NPD))*(P_NXD_0/P_NCD_0)*K_NCD</f>
        <v>2.8713976464600579</v>
      </c>
      <c r="G30" s="78">
        <v>89653.90162441069</v>
      </c>
      <c r="H30" s="78">
        <v>6257605.2212657062</v>
      </c>
      <c r="I30" s="71">
        <f>P_NXD_1/P_NXD_0-1</f>
        <v>4.3099139255652785E-2</v>
      </c>
      <c r="J30" s="72">
        <f>Q_NXD_1/Q_NXD_0-1</f>
        <v>1.7496783945643246E-2</v>
      </c>
      <c r="K30" s="2"/>
      <c r="L30" s="58"/>
      <c r="M30" s="66"/>
      <c r="N30" s="79"/>
    </row>
    <row r="31" spans="1:14" x14ac:dyDescent="0.3">
      <c r="A31" s="6" t="s">
        <v>512</v>
      </c>
      <c r="B31" s="6" t="s">
        <v>501</v>
      </c>
      <c r="C31" s="78">
        <f>(P_NPD_0*Q_NPD_0-P_NXD_0*Q_NXD_0)/Q_NCD_0</f>
        <v>28945.157211538462</v>
      </c>
      <c r="D31" s="78">
        <f>Q_NPD_0-Q_NXD_0</f>
        <v>5200000</v>
      </c>
      <c r="E31" s="76">
        <f>(Q_NCD_0/Q_KCD_0)^(1-r_σ_FCD)*(P_NCD_0/P_KCD_0)*B_KCD</f>
        <v>3.9930107335439602</v>
      </c>
      <c r="F31" s="75">
        <v>1</v>
      </c>
      <c r="G31" s="78">
        <v>30055.692352508417</v>
      </c>
      <c r="H31" s="78">
        <v>5172048.3180313371</v>
      </c>
      <c r="I31" s="71">
        <f>P_NCD_1/P_NCD_0-1</f>
        <v>3.8366871972879135E-2</v>
      </c>
      <c r="J31" s="72">
        <f>Q_NCD_1/Q_NCD_0-1</f>
        <v>-5.3753234555120599E-3</v>
      </c>
      <c r="L31" s="58"/>
      <c r="M31" s="66"/>
      <c r="N31" s="79"/>
    </row>
    <row r="32" spans="1:14" x14ac:dyDescent="0.3">
      <c r="A32" s="6" t="s">
        <v>514</v>
      </c>
      <c r="B32" s="6" t="s">
        <v>502</v>
      </c>
      <c r="C32" s="78">
        <f>(P_KCD_0*Q_KCD_0+P_NCD_0*Q_NCD_0)/Q_FCD_0</f>
        <v>20950.084450867045</v>
      </c>
      <c r="D32" s="78">
        <f>Q_NCD_0+Q_KCD_0</f>
        <v>8650000</v>
      </c>
      <c r="E32" s="11"/>
      <c r="F32" s="11"/>
      <c r="G32" s="78">
        <v>21765.104500813919</v>
      </c>
      <c r="H32" s="78">
        <v>8597866.9700230192</v>
      </c>
      <c r="I32" s="71">
        <f>P_FCD_1/P_FCD_0-1</f>
        <v>3.8902948188981767E-2</v>
      </c>
      <c r="J32" s="72">
        <f>Q_FCD_1/Q_FCD_0-1</f>
        <v>-6.0269398817318631E-3</v>
      </c>
      <c r="L32" s="58"/>
      <c r="M32" s="66"/>
      <c r="N32" s="79"/>
    </row>
    <row r="33" spans="1:14" x14ac:dyDescent="0.3">
      <c r="A33" s="6" t="s">
        <v>515</v>
      </c>
      <c r="B33" s="6" t="s">
        <v>507</v>
      </c>
      <c r="C33" s="78">
        <f>(P_KSW_0*Q_KSW_0-P_KXD_0*(1+TKXD_0)*Q_KXD_0)/Q_KXW_0</f>
        <v>77666.250520471905</v>
      </c>
      <c r="D33" s="78">
        <f>Q_KSW_0-Q_KXD_0</f>
        <v>27379000</v>
      </c>
      <c r="E33" s="76">
        <f>((Q_KXW_0/Q_KXD_0)^(1-r_σ_KSW))*(P_KXW_0/(P_KXD_0*(1+TKXD_0)))*B_KXD</f>
        <v>1.767250882860647</v>
      </c>
      <c r="F33" s="11"/>
      <c r="G33" s="78">
        <v>81317.905372714289</v>
      </c>
      <c r="H33" s="78">
        <v>27324533.945286892</v>
      </c>
      <c r="I33" s="71">
        <f>P_KXW_1/P_KXW_0-1</f>
        <v>4.7017267188401934E-2</v>
      </c>
      <c r="J33" s="72">
        <f>Q_KXW_1/Q_KXW_0-1</f>
        <v>-1.9893368900656405E-3</v>
      </c>
      <c r="L33" s="58"/>
      <c r="M33" s="66"/>
      <c r="N33" s="79"/>
    </row>
    <row r="34" spans="1:14" x14ac:dyDescent="0.3">
      <c r="A34" s="6" t="s">
        <v>516</v>
      </c>
      <c r="B34" s="6" t="s">
        <v>504</v>
      </c>
      <c r="C34" s="78">
        <f>WPK_0*ER_0</f>
        <v>73431.59802306426</v>
      </c>
      <c r="D34" s="77">
        <f>57000000*0.607</f>
        <v>34599000</v>
      </c>
      <c r="E34" s="75">
        <v>1</v>
      </c>
      <c r="F34" s="11"/>
      <c r="G34" s="78">
        <v>76786.190125992463</v>
      </c>
      <c r="H34" s="78">
        <v>34647592.918478511</v>
      </c>
      <c r="I34" s="71">
        <f>P_KSW_1/P_KSW_0-1</f>
        <v>4.5683223479278778E-2</v>
      </c>
      <c r="J34" s="72">
        <f>Q_KSW_1/Q_KSW_0-1</f>
        <v>1.4044602005407469E-3</v>
      </c>
      <c r="L34" s="58"/>
      <c r="M34" s="66"/>
      <c r="N34" s="79"/>
    </row>
    <row r="35" spans="1:14" x14ac:dyDescent="0.3">
      <c r="A35" s="6" t="s">
        <v>517</v>
      </c>
      <c r="B35" s="6" t="s">
        <v>503</v>
      </c>
      <c r="C35" s="78">
        <f>(P_NSW_0*Q_NSW_0-P_NXD_0*(1+TNXD_0)*Q_NXD_0)/Q_NXW_0</f>
        <v>125061.02705917787</v>
      </c>
      <c r="D35" s="78">
        <f>Q_NSW_0-Q_NXD_0</f>
        <v>33205000</v>
      </c>
      <c r="E35" s="76">
        <f>(Q_NXW_0/Q_NXD_0)^(1-r_σ_NSW)*(P_NXW_0/(P_NXD_0*(1+TNXD_0)))*B_NXD</f>
        <v>2.0386565060994823</v>
      </c>
      <c r="F35" s="11"/>
      <c r="G35" s="78">
        <v>130954.62728275954</v>
      </c>
      <c r="H35" s="78">
        <v>33141348.508612242</v>
      </c>
      <c r="I35" s="71">
        <f>P_NXW_1/P_NXW_0-1</f>
        <v>4.7125794199601945E-2</v>
      </c>
      <c r="J35" s="72">
        <f>Q_NXW_1/Q_NXW_0-1</f>
        <v>-1.9169249025073887E-3</v>
      </c>
      <c r="L35" s="58"/>
      <c r="M35" s="66"/>
      <c r="N35" s="79"/>
    </row>
    <row r="36" spans="1:14" x14ac:dyDescent="0.3">
      <c r="A36" s="6" t="s">
        <v>518</v>
      </c>
      <c r="B36" s="6" t="s">
        <v>506</v>
      </c>
      <c r="C36" s="78">
        <f>WPN_0*ER_0</f>
        <v>118949.0823529412</v>
      </c>
      <c r="D36" s="77">
        <f>92600000*0.425</f>
        <v>39355000</v>
      </c>
      <c r="E36" s="76">
        <f>((Q_NSW_0/Q_KSW_0)^(1-r_σ_FCW))*(P_NSW_0/P_KSW_0)*B_KSW</f>
        <v>1.6909219943442413</v>
      </c>
      <c r="F36" s="11"/>
      <c r="G36" s="78">
        <v>124394.96993008831</v>
      </c>
      <c r="H36" s="78">
        <v>39398953.729877949</v>
      </c>
      <c r="I36" s="71">
        <f>P_NSW_1/P_NSW_0-1</f>
        <v>4.5783350904618825E-2</v>
      </c>
      <c r="J36" s="72">
        <f>Q_NSW_1/Q_NSW_0-1</f>
        <v>1.116852493404874E-3</v>
      </c>
      <c r="L36" s="58"/>
      <c r="M36" s="66"/>
      <c r="N36" s="79"/>
    </row>
    <row r="37" spans="1:14" x14ac:dyDescent="0.3">
      <c r="A37" s="6" t="s">
        <v>519</v>
      </c>
      <c r="B37" s="6" t="s">
        <v>505</v>
      </c>
      <c r="C37" s="78">
        <f>(P_NSW_0*Q_NSW_0+P_KSW_0*Q_KSW_0)/Q_FCW_0</f>
        <v>97653.960515996456</v>
      </c>
      <c r="D37" s="78">
        <f>Q_NSW_0+Q_KSW_0</f>
        <v>73954000</v>
      </c>
      <c r="E37" s="11"/>
      <c r="F37" s="11"/>
      <c r="G37" s="78">
        <v>102118.04147545921</v>
      </c>
      <c r="H37" s="78">
        <v>74046546.648356467</v>
      </c>
      <c r="I37" s="71">
        <f>P_FCW_1/P_FCW_0-1</f>
        <v>4.5713260741037764E-2</v>
      </c>
      <c r="J37" s="72">
        <f>Q_FCW_1/Q_FCW_0-1</f>
        <v>1.2514082856434072E-3</v>
      </c>
      <c r="L37" s="58"/>
      <c r="M37" s="66"/>
      <c r="N37" s="79"/>
    </row>
    <row r="38" spans="1:14" x14ac:dyDescent="0.3">
      <c r="A38" t="s">
        <v>7</v>
      </c>
      <c r="F38" s="3"/>
      <c r="G38" s="3"/>
    </row>
    <row r="39" spans="1:14" x14ac:dyDescent="0.3">
      <c r="A39" t="s">
        <v>559</v>
      </c>
      <c r="B39">
        <f>(K_KCD*Q_KCD_1^r_Ω_KPD+K_KXD*Q_KXD_1^r_Ω_KPD)^(1/r_Ω_KPD)-Z_KPD*(1+SS_KPD_SUPPLY_1)*((K_KCD*(P_KCD_1/K_KCD)^(1+Ω_KPD)+K_KXD*(P_KXD_1/K_KXD)^(1+Ω_KPD))^(1/(1+Ω_KPD)))^ε_KPD</f>
        <v>0</v>
      </c>
    </row>
    <row r="40" spans="1:14" x14ac:dyDescent="0.3">
      <c r="A40" t="s">
        <v>560</v>
      </c>
      <c r="B40">
        <f>P_KPD_1*Q_KPD_1-P_KXD_1*Q_KXD_1-P_KCD_1*Q_KCD_1</f>
        <v>6.866455078125E-5</v>
      </c>
    </row>
    <row r="41" spans="1:14" x14ac:dyDescent="0.3">
      <c r="A41" t="s">
        <v>561</v>
      </c>
      <c r="B41">
        <f>Q_KXD_1/Q_KCD_1-((P_KXD_1/P_KCD_1)*(K_KCD/K_KXD))^(1/(r_Ω_KPD-1))</f>
        <v>0</v>
      </c>
    </row>
    <row r="42" spans="1:14" x14ac:dyDescent="0.3">
      <c r="A42" t="s">
        <v>562</v>
      </c>
      <c r="B42">
        <f>Q_KPD_1-Q_KCD_1-Q_KXD_1</f>
        <v>0</v>
      </c>
    </row>
    <row r="43" spans="1:14" x14ac:dyDescent="0.3">
      <c r="A43" t="s">
        <v>563</v>
      </c>
      <c r="B43">
        <f>(K_NCD*Q_NCD_1^r_Ω_NPD+K_NXD*Q_NXD_1^r_Ω_NPD)^(1/r_Ω_NPD)-Z_NPD*(1+SS_NPD_SUPPLY_1)*((K_NCD*(P_NCD_1/K_KCD)^(1+Ω_NPD)+K_NXD*(P_NXD_1/K_NXD)^(1+Ω_NPD))^(1/(1+Ω_NPD)))^ε_NPD</f>
        <v>0</v>
      </c>
    </row>
    <row r="44" spans="1:14" x14ac:dyDescent="0.3">
      <c r="A44" t="s">
        <v>564</v>
      </c>
      <c r="B44">
        <f>P_NPD_1*Q_NPD_1-P_NXD_1*Q_NXD_1-P_NCD_1*Q_NCD_1</f>
        <v>0</v>
      </c>
    </row>
    <row r="45" spans="1:14" x14ac:dyDescent="0.3">
      <c r="A45" t="s">
        <v>565</v>
      </c>
      <c r="B45">
        <f>Q_NXD_1/Q_NCD_1-((P_NXD_1/(P_NCD_1))*(K_NCD/K_NXD))^(1/(r_Ω_NPD-1))</f>
        <v>0</v>
      </c>
    </row>
    <row r="46" spans="1:14" x14ac:dyDescent="0.3">
      <c r="A46" t="s">
        <v>566</v>
      </c>
      <c r="B46">
        <f>Q_KPD_1-Q_KCD_1-Q_KXD_1</f>
        <v>0</v>
      </c>
    </row>
    <row r="47" spans="1:14" x14ac:dyDescent="0.3">
      <c r="A47" t="s">
        <v>567</v>
      </c>
      <c r="B47">
        <f>P_FCD_1*Q_FCD_1-P_KCD_1*Q_KCD_1-P_NCD_1*Q_NCD_1</f>
        <v>0</v>
      </c>
    </row>
    <row r="48" spans="1:14" x14ac:dyDescent="0.3">
      <c r="A48" t="s">
        <v>568</v>
      </c>
      <c r="B48">
        <f>Q_KCD_1/Q_NCD_1-((P_KCD_1/(P_NCD_1))*(B_NCD/B_KCD))^(1/(r_σ_FCD-1))</f>
        <v>0</v>
      </c>
    </row>
    <row r="49" spans="1:2" x14ac:dyDescent="0.3">
      <c r="A49" t="s">
        <v>569</v>
      </c>
      <c r="B49">
        <f>Q_FCD_1-Q_KCD_1-Q_NCD_1</f>
        <v>0</v>
      </c>
    </row>
    <row r="50" spans="1:2" x14ac:dyDescent="0.3">
      <c r="A50" t="s">
        <v>570</v>
      </c>
      <c r="B50">
        <f>(B_KCD*Q_KCD_1^r_σ_FCD+B_NCD*Q_NCD_1^r_σ_FCD)^(1/r_σ_FCD)-Z_FCD*(1+DS_FCD_DEMAND_1)*(((B_KCD*(P_KCD_1/B_KCD)^(1-σ_FCD)+B_NCD*(P_NCD_1/B_NCD)^(1-σ_FCD))^(1/(1-σ_FCD)))^ε_FCD)</f>
        <v>0</v>
      </c>
    </row>
    <row r="51" spans="1:2" x14ac:dyDescent="0.3">
      <c r="A51" t="s">
        <v>571</v>
      </c>
      <c r="B51">
        <f>P_KSW_1*Q_KSW_1-P_KXD_1*(1+TKXD_1)*Q_KXD_1-P_KXW_1*Q_KXW_1</f>
        <v>0</v>
      </c>
    </row>
    <row r="52" spans="1:2" x14ac:dyDescent="0.3">
      <c r="A52" t="s">
        <v>572</v>
      </c>
      <c r="B52">
        <f>Q_KXW_1/Q_KXD_1-((P_KXW_1/(P_KXD_1*(1+TKXD_1)))*(B_KXD/B_KXW))^(1/(r_σ_KSW-1))</f>
        <v>0</v>
      </c>
    </row>
    <row r="53" spans="1:2" x14ac:dyDescent="0.3">
      <c r="A53" t="s">
        <v>573</v>
      </c>
      <c r="B53">
        <f>Q_KSW_1-Q_KXD_1-Q_KXW_1</f>
        <v>0</v>
      </c>
    </row>
    <row r="54" spans="1:2" x14ac:dyDescent="0.3">
      <c r="A54" t="s">
        <v>574</v>
      </c>
      <c r="B54">
        <f>Q_KXW_1-Z_KXW*(1+SS_KXW_SUPPLY_1)*(P_KXW_1/ER_1)^ε_KXW</f>
        <v>0</v>
      </c>
    </row>
    <row r="55" spans="1:2" x14ac:dyDescent="0.3">
      <c r="A55" t="s">
        <v>575</v>
      </c>
      <c r="B55">
        <f>P_NSW_1*Q_NSW_1-P_NXD_1*(1+TNXD_1)*Q_NXD_1-P_NXW_1*Q_NXW_1</f>
        <v>0</v>
      </c>
    </row>
    <row r="56" spans="1:2" x14ac:dyDescent="0.3">
      <c r="A56" t="s">
        <v>576</v>
      </c>
      <c r="B56">
        <f>Q_NXW_1/Q_NXD_1-(((P_NXW_1)/(P_NXD_1*(1+TNXD_1)))*(B_NXD/B_NXW))^(1/(r_σ_NSW-1))</f>
        <v>2.4868995751603507E-14</v>
      </c>
    </row>
    <row r="57" spans="1:2" x14ac:dyDescent="0.3">
      <c r="A57" t="s">
        <v>577</v>
      </c>
      <c r="B57">
        <f>Q_NSW_1-Q_NXD_1-Q_NXW_1</f>
        <v>0</v>
      </c>
    </row>
    <row r="58" spans="1:2" x14ac:dyDescent="0.3">
      <c r="A58" t="s">
        <v>578</v>
      </c>
      <c r="B58">
        <f>Q_NXW_1-Z_NXW*(1+SS_NXW_SUPPLY_1)*(P_NXW_1/ER_1)^ε_NXW</f>
        <v>0</v>
      </c>
    </row>
    <row r="59" spans="1:2" x14ac:dyDescent="0.3">
      <c r="A59" t="s">
        <v>579</v>
      </c>
      <c r="B59">
        <f>P_FCW_1*Q_FCW_1-P_KSW_1*Q_KSW_1-P_NSW_1*Q_NSW_1</f>
        <v>0</v>
      </c>
    </row>
    <row r="60" spans="1:2" x14ac:dyDescent="0.3">
      <c r="A60" t="s">
        <v>580</v>
      </c>
      <c r="B60">
        <f>Q_KSW_1/Q_NSW_1-((P_KSW_1/(P_NSW_1))*(B_NSW/B_KSW))^(1/(r_σ_FCW-1))</f>
        <v>0</v>
      </c>
    </row>
    <row r="61" spans="1:2" x14ac:dyDescent="0.3">
      <c r="A61" t="s">
        <v>581</v>
      </c>
      <c r="B61">
        <f>Q_FCW_1-Q_NSW_1-Q_KSW_1</f>
        <v>0</v>
      </c>
    </row>
    <row r="62" spans="1:2" x14ac:dyDescent="0.3">
      <c r="A62" t="s">
        <v>582</v>
      </c>
      <c r="B62">
        <f>(B_KSW*Q_KSW_1^r_σ_FCW+B_NSW*Q_NSW_1^r_σ_FCW)^(1/r_σ_FCW)-Z_FCW*(1+DS_FCW_DEMAND_1)*((B_KSW*(P_KSW_1/B_KSW)^(1-σ_FCW)+B_NSW*(P_NSW_1/B_NSW)^(1-σ_FCW))^(1/(1-σ_FCW))/ER_1)^ε_FCW</f>
        <v>0</v>
      </c>
    </row>
    <row r="63" spans="1:2" x14ac:dyDescent="0.3">
      <c r="A63" t="s">
        <v>586</v>
      </c>
      <c r="B63">
        <f>Q_KPD_1+Q_NPD_1+Q_KXW_1+Q_NXW_1-Q_FCD_1-Q_FCW_1</f>
        <v>0</v>
      </c>
    </row>
    <row r="65" spans="2:2" x14ac:dyDescent="0.3">
      <c r="B65">
        <f>Q_KPD_1*P_KPD_1+Q_NPD_1*P_NPD_1+Q_KXW_1*P_KXW_1+Q_NXW_1*P_NXW_1+Q_KXD_1*P_KXD_1*TKXD_1+Q_NXD_1*P_NXD_1*TNXD_1-Q_FCD_1*P_FCD_1-Q_FCW_1*P_FCW_1</f>
        <v>0</v>
      </c>
    </row>
    <row r="73" spans="2:2" hidden="1" x14ac:dyDescent="0.3"/>
  </sheetData>
  <scenarios current="0">
    <scenario name="Сцен1" count="2" user="Автор" comment="Автор: Автор , 6/18/2021">
      <inputCells r="G32" val="13873.0998770416" numFmtId="1"/>
      <inputCells r="H32" undone="1" val="88388.2784782817" numFmtId="1"/>
    </scenario>
  </scenarios>
  <conditionalFormatting sqref="A23">
    <cfRule type="cellIs" dxfId="2" priority="3" operator="equal">
      <formula>"Решение найдено"</formula>
    </cfRule>
  </conditionalFormatting>
  <conditionalFormatting sqref="I26:J28 I32:J37">
    <cfRule type="cellIs" dxfId="1" priority="2" operator="greaterThan">
      <formula>0</formula>
    </cfRule>
  </conditionalFormatting>
  <conditionalFormatting sqref="I29:J31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 sizeWithCells="1">
              <from>
                <xdr:col>1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58"/>
  <sheetViews>
    <sheetView zoomScale="85" zoomScaleNormal="85" workbookViewId="0">
      <selection activeCell="D34" sqref="D34"/>
    </sheetView>
  </sheetViews>
  <sheetFormatPr defaultRowHeight="14.4" x14ac:dyDescent="0.3"/>
  <cols>
    <col min="1" max="1" width="8.33203125" bestFit="1" customWidth="1"/>
    <col min="2" max="2" width="9.5546875" bestFit="1" customWidth="1"/>
    <col min="3" max="3" width="63.88671875" bestFit="1" customWidth="1"/>
    <col min="4" max="4" width="69.88671875" bestFit="1" customWidth="1"/>
    <col min="5" max="5" width="56.88671875" bestFit="1" customWidth="1"/>
  </cols>
  <sheetData>
    <row r="1" spans="1:5" x14ac:dyDescent="0.3">
      <c r="A1" s="6" t="s">
        <v>78</v>
      </c>
      <c r="B1" s="6" t="s">
        <v>79</v>
      </c>
      <c r="C1" s="6" t="s">
        <v>80</v>
      </c>
      <c r="D1" s="6" t="s">
        <v>81</v>
      </c>
      <c r="E1" s="6" t="s">
        <v>82</v>
      </c>
    </row>
    <row r="2" spans="1:5" x14ac:dyDescent="0.3">
      <c r="A2" s="6">
        <v>1</v>
      </c>
      <c r="B2" s="6" t="s">
        <v>83</v>
      </c>
      <c r="C2" s="6" t="s">
        <v>84</v>
      </c>
      <c r="D2" s="6">
        <v>5.05</v>
      </c>
      <c r="E2" s="6">
        <v>10.1</v>
      </c>
    </row>
    <row r="3" spans="1:5" x14ac:dyDescent="0.3">
      <c r="A3" s="6">
        <v>2</v>
      </c>
      <c r="B3" s="6" t="s">
        <v>85</v>
      </c>
      <c r="C3" s="6" t="s">
        <v>86</v>
      </c>
      <c r="D3" s="6">
        <v>4.45</v>
      </c>
      <c r="E3" s="6">
        <v>8.9</v>
      </c>
    </row>
    <row r="4" spans="1:5" x14ac:dyDescent="0.3">
      <c r="A4" s="6">
        <v>3</v>
      </c>
      <c r="B4" s="6" t="s">
        <v>87</v>
      </c>
      <c r="C4" s="6" t="s">
        <v>88</v>
      </c>
      <c r="D4" s="6">
        <v>1.3</v>
      </c>
      <c r="E4" s="6">
        <v>2.6</v>
      </c>
    </row>
    <row r="5" spans="1:5" x14ac:dyDescent="0.3">
      <c r="A5" s="6">
        <v>4</v>
      </c>
      <c r="B5" s="6" t="s">
        <v>89</v>
      </c>
      <c r="C5" s="6" t="s">
        <v>90</v>
      </c>
      <c r="D5" s="6">
        <v>1.85</v>
      </c>
      <c r="E5" s="6">
        <v>3.7</v>
      </c>
    </row>
    <row r="6" spans="1:5" x14ac:dyDescent="0.3">
      <c r="A6" s="6">
        <v>5</v>
      </c>
      <c r="B6" s="6" t="s">
        <v>91</v>
      </c>
      <c r="C6" s="6" t="s">
        <v>92</v>
      </c>
      <c r="D6" s="6">
        <v>2.4500000000000002</v>
      </c>
      <c r="E6" s="6">
        <v>4.9000000000000004</v>
      </c>
    </row>
    <row r="7" spans="1:5" x14ac:dyDescent="0.3">
      <c r="A7" s="6">
        <v>6</v>
      </c>
      <c r="B7" s="6" t="s">
        <v>93</v>
      </c>
      <c r="C7" s="6" t="s">
        <v>94</v>
      </c>
      <c r="D7" s="6">
        <v>2.7</v>
      </c>
      <c r="E7" s="6">
        <v>5.4</v>
      </c>
    </row>
    <row r="8" spans="1:5" x14ac:dyDescent="0.3">
      <c r="A8" s="6">
        <v>7</v>
      </c>
      <c r="B8" s="6" t="s">
        <v>95</v>
      </c>
      <c r="C8" s="6" t="s">
        <v>96</v>
      </c>
      <c r="D8" s="6">
        <v>2.5</v>
      </c>
      <c r="E8" s="6">
        <v>5</v>
      </c>
    </row>
    <row r="9" spans="1:5" x14ac:dyDescent="0.3">
      <c r="A9" s="6">
        <v>8</v>
      </c>
      <c r="B9" s="6" t="s">
        <v>97</v>
      </c>
      <c r="C9" s="6" t="s">
        <v>98</v>
      </c>
      <c r="D9" s="6">
        <v>3.25</v>
      </c>
      <c r="E9" s="6">
        <v>6.5</v>
      </c>
    </row>
    <row r="10" spans="1:5" x14ac:dyDescent="0.3">
      <c r="A10" s="6">
        <v>9</v>
      </c>
      <c r="B10" s="6" t="s">
        <v>99</v>
      </c>
      <c r="C10" s="6" t="s">
        <v>100</v>
      </c>
      <c r="D10" s="6">
        <v>2</v>
      </c>
      <c r="E10" s="6">
        <v>4</v>
      </c>
    </row>
    <row r="11" spans="1:5" x14ac:dyDescent="0.3">
      <c r="A11" s="6">
        <v>10</v>
      </c>
      <c r="B11" s="6" t="s">
        <v>101</v>
      </c>
      <c r="C11" s="6" t="s">
        <v>102</v>
      </c>
      <c r="D11" s="6">
        <v>1.3</v>
      </c>
      <c r="E11" s="6">
        <v>2.6</v>
      </c>
    </row>
    <row r="12" spans="1:5" x14ac:dyDescent="0.3">
      <c r="A12" s="6">
        <v>11</v>
      </c>
      <c r="B12" s="6" t="s">
        <v>103</v>
      </c>
      <c r="C12" s="6" t="s">
        <v>104</v>
      </c>
      <c r="D12" s="6">
        <v>3.65</v>
      </c>
      <c r="E12" s="6">
        <v>7.3</v>
      </c>
    </row>
    <row r="13" spans="1:5" x14ac:dyDescent="0.3">
      <c r="A13" s="6">
        <v>12</v>
      </c>
      <c r="B13" s="6" t="s">
        <v>105</v>
      </c>
      <c r="C13" s="6" t="s">
        <v>106</v>
      </c>
      <c r="D13" s="6">
        <v>6.45</v>
      </c>
      <c r="E13" s="6">
        <v>12.9</v>
      </c>
    </row>
    <row r="14" spans="1:5" x14ac:dyDescent="0.3">
      <c r="A14" s="6">
        <v>13</v>
      </c>
      <c r="B14" s="6" t="s">
        <v>107</v>
      </c>
      <c r="C14" s="6" t="s">
        <v>108</v>
      </c>
      <c r="D14" s="6">
        <v>2.5</v>
      </c>
      <c r="E14" s="6">
        <v>5</v>
      </c>
    </row>
    <row r="15" spans="1:5" x14ac:dyDescent="0.3">
      <c r="A15" s="6">
        <v>14</v>
      </c>
      <c r="B15" s="6" t="s">
        <v>109</v>
      </c>
      <c r="C15" s="6" t="s">
        <v>110</v>
      </c>
      <c r="D15" s="6">
        <v>1.25</v>
      </c>
      <c r="E15" s="6">
        <v>2.5</v>
      </c>
    </row>
    <row r="16" spans="1:5" x14ac:dyDescent="0.3">
      <c r="A16" s="6">
        <v>15</v>
      </c>
      <c r="B16" s="6" t="s">
        <v>111</v>
      </c>
      <c r="C16" s="6" t="s">
        <v>112</v>
      </c>
      <c r="D16" s="6">
        <v>3.05</v>
      </c>
      <c r="E16" s="6">
        <v>6.1</v>
      </c>
    </row>
    <row r="17" spans="1:5" x14ac:dyDescent="0.3">
      <c r="A17" s="6">
        <v>16</v>
      </c>
      <c r="B17" s="6" t="s">
        <v>113</v>
      </c>
      <c r="C17" s="6" t="s">
        <v>114</v>
      </c>
      <c r="D17" s="6">
        <v>5.2</v>
      </c>
      <c r="E17" s="6">
        <v>10.4</v>
      </c>
    </row>
    <row r="18" spans="1:5" x14ac:dyDescent="0.3">
      <c r="A18" s="6">
        <v>17</v>
      </c>
      <c r="B18" s="6" t="s">
        <v>115</v>
      </c>
      <c r="C18" s="6" t="s">
        <v>116</v>
      </c>
      <c r="D18" s="6">
        <v>17.2</v>
      </c>
      <c r="E18" s="6">
        <v>34.4</v>
      </c>
    </row>
    <row r="19" spans="1:5" x14ac:dyDescent="0.3">
      <c r="A19" s="6">
        <v>18</v>
      </c>
      <c r="B19" s="6" t="s">
        <v>117</v>
      </c>
      <c r="C19" s="6" t="s">
        <v>118</v>
      </c>
      <c r="D19" s="6">
        <v>0.9</v>
      </c>
      <c r="E19" s="6">
        <v>1.8</v>
      </c>
    </row>
    <row r="20" spans="1:5" x14ac:dyDescent="0.3">
      <c r="A20" s="6">
        <v>19</v>
      </c>
      <c r="B20" s="6" t="s">
        <v>119</v>
      </c>
      <c r="C20" s="6" t="s">
        <v>120</v>
      </c>
      <c r="D20" s="6">
        <v>3.85</v>
      </c>
      <c r="E20" s="6">
        <v>7.7</v>
      </c>
    </row>
    <row r="21" spans="1:5" x14ac:dyDescent="0.3">
      <c r="A21" s="6">
        <v>20</v>
      </c>
      <c r="B21" s="6" t="s">
        <v>121</v>
      </c>
      <c r="C21" s="6" t="s">
        <v>122</v>
      </c>
      <c r="D21" s="6">
        <v>4.4000000000000004</v>
      </c>
      <c r="E21" s="6">
        <v>8.8000000000000007</v>
      </c>
    </row>
    <row r="22" spans="1:5" x14ac:dyDescent="0.3">
      <c r="A22" s="6">
        <v>21</v>
      </c>
      <c r="B22" s="6" t="s">
        <v>123</v>
      </c>
      <c r="C22" s="6" t="s">
        <v>124</v>
      </c>
      <c r="D22" s="6">
        <v>3.3</v>
      </c>
      <c r="E22" s="6">
        <v>6.6</v>
      </c>
    </row>
    <row r="23" spans="1:5" x14ac:dyDescent="0.3">
      <c r="A23" s="6">
        <v>22</v>
      </c>
      <c r="B23" s="6" t="s">
        <v>125</v>
      </c>
      <c r="C23" s="6" t="s">
        <v>126</v>
      </c>
      <c r="D23" s="6">
        <v>3.65</v>
      </c>
      <c r="E23" s="6">
        <v>7.3</v>
      </c>
    </row>
    <row r="24" spans="1:5" x14ac:dyDescent="0.3">
      <c r="A24" s="6">
        <v>23</v>
      </c>
      <c r="B24" s="6" t="s">
        <v>127</v>
      </c>
      <c r="C24" s="6" t="s">
        <v>128</v>
      </c>
      <c r="D24" s="6">
        <v>2.6</v>
      </c>
      <c r="E24" s="6">
        <v>5.2</v>
      </c>
    </row>
    <row r="25" spans="1:5" x14ac:dyDescent="0.3">
      <c r="A25" s="6">
        <v>24</v>
      </c>
      <c r="B25" s="6" t="s">
        <v>129</v>
      </c>
      <c r="C25" s="6" t="s">
        <v>130</v>
      </c>
      <c r="D25" s="6">
        <v>2.7</v>
      </c>
      <c r="E25" s="6">
        <v>5.4</v>
      </c>
    </row>
    <row r="26" spans="1:5" x14ac:dyDescent="0.3">
      <c r="A26" s="6">
        <v>25</v>
      </c>
      <c r="B26" s="6" t="s">
        <v>131</v>
      </c>
      <c r="C26" s="6" t="s">
        <v>132</v>
      </c>
      <c r="D26" s="6">
        <v>2</v>
      </c>
      <c r="E26" s="6">
        <v>4</v>
      </c>
    </row>
    <row r="27" spans="1:5" x14ac:dyDescent="0.3">
      <c r="A27" s="6">
        <v>26</v>
      </c>
      <c r="B27" s="6" t="s">
        <v>133</v>
      </c>
      <c r="C27" s="6" t="s">
        <v>134</v>
      </c>
      <c r="D27" s="6">
        <v>1.1499999999999999</v>
      </c>
      <c r="E27" s="6">
        <v>2.2999999999999998</v>
      </c>
    </row>
    <row r="28" spans="1:5" x14ac:dyDescent="0.3">
      <c r="A28" s="6">
        <v>27</v>
      </c>
      <c r="B28" s="6" t="s">
        <v>135</v>
      </c>
      <c r="C28" s="6" t="s">
        <v>136</v>
      </c>
      <c r="D28" s="6">
        <v>3.75</v>
      </c>
      <c r="E28" s="6">
        <v>7.5</v>
      </c>
    </row>
    <row r="29" spans="1:5" x14ac:dyDescent="0.3">
      <c r="A29" s="6">
        <v>28</v>
      </c>
      <c r="B29" s="6" t="s">
        <v>137</v>
      </c>
      <c r="C29" s="6" t="s">
        <v>138</v>
      </c>
      <c r="D29" s="6">
        <v>3.7</v>
      </c>
      <c r="E29" s="6">
        <v>7.4</v>
      </c>
    </row>
    <row r="30" spans="1:5" x14ac:dyDescent="0.3">
      <c r="A30" s="6">
        <v>29</v>
      </c>
      <c r="B30" s="6" t="s">
        <v>139</v>
      </c>
      <c r="C30" s="6" t="s">
        <v>140</v>
      </c>
      <c r="D30" s="6">
        <v>4.05</v>
      </c>
      <c r="E30" s="6">
        <v>8.1</v>
      </c>
    </row>
    <row r="31" spans="1:5" x14ac:dyDescent="0.3">
      <c r="A31" s="6">
        <v>30</v>
      </c>
      <c r="B31" s="6" t="s">
        <v>141</v>
      </c>
      <c r="C31" s="6" t="s">
        <v>142</v>
      </c>
      <c r="D31" s="6">
        <v>3.4</v>
      </c>
      <c r="E31" s="6">
        <v>6.8</v>
      </c>
    </row>
    <row r="32" spans="1:5" x14ac:dyDescent="0.3">
      <c r="A32" s="6">
        <v>31</v>
      </c>
      <c r="B32" s="6" t="s">
        <v>143</v>
      </c>
      <c r="C32" s="6" t="s">
        <v>144</v>
      </c>
      <c r="D32" s="6">
        <v>2.95</v>
      </c>
      <c r="E32" s="6">
        <v>5.9</v>
      </c>
    </row>
    <row r="33" spans="1:5" x14ac:dyDescent="0.3">
      <c r="A33" s="6">
        <v>32</v>
      </c>
      <c r="B33" s="6" t="s">
        <v>145</v>
      </c>
      <c r="C33" s="6" t="s">
        <v>146</v>
      </c>
      <c r="D33" s="6">
        <v>2.1</v>
      </c>
      <c r="E33" s="6">
        <v>4.2</v>
      </c>
    </row>
    <row r="34" spans="1:5" x14ac:dyDescent="0.3">
      <c r="A34" s="6">
        <v>33</v>
      </c>
      <c r="B34" s="6" t="s">
        <v>147</v>
      </c>
      <c r="C34" s="6" t="s">
        <v>148</v>
      </c>
      <c r="D34" s="6">
        <v>3.3</v>
      </c>
      <c r="E34" s="6">
        <v>6.6</v>
      </c>
    </row>
    <row r="35" spans="1:5" x14ac:dyDescent="0.3">
      <c r="A35" s="6">
        <v>34</v>
      </c>
      <c r="B35" s="6" t="s">
        <v>149</v>
      </c>
      <c r="C35" s="6" t="s">
        <v>150</v>
      </c>
      <c r="D35" s="6">
        <v>2.9</v>
      </c>
      <c r="E35" s="6">
        <v>5.8</v>
      </c>
    </row>
    <row r="36" spans="1:5" x14ac:dyDescent="0.3">
      <c r="A36" s="6">
        <v>35</v>
      </c>
      <c r="B36" s="6" t="s">
        <v>151</v>
      </c>
      <c r="C36" s="6" t="s">
        <v>152</v>
      </c>
      <c r="D36" s="6">
        <v>2.95</v>
      </c>
      <c r="E36" s="6">
        <v>5.9</v>
      </c>
    </row>
    <row r="37" spans="1:5" x14ac:dyDescent="0.3">
      <c r="A37" s="6">
        <v>36</v>
      </c>
      <c r="B37" s="6" t="s">
        <v>153</v>
      </c>
      <c r="C37" s="6" t="s">
        <v>154</v>
      </c>
      <c r="D37" s="6">
        <v>4.2</v>
      </c>
      <c r="E37" s="6">
        <v>8.4</v>
      </c>
    </row>
    <row r="38" spans="1:5" x14ac:dyDescent="0.3">
      <c r="A38" s="6">
        <v>37</v>
      </c>
      <c r="B38" s="6" t="s">
        <v>155</v>
      </c>
      <c r="C38" s="6" t="s">
        <v>156</v>
      </c>
      <c r="D38" s="6">
        <v>3.75</v>
      </c>
      <c r="E38" s="6">
        <v>7.5</v>
      </c>
    </row>
    <row r="39" spans="1:5" x14ac:dyDescent="0.3">
      <c r="A39" s="6">
        <v>38</v>
      </c>
      <c r="B39" s="6" t="s">
        <v>157</v>
      </c>
      <c r="C39" s="6" t="s">
        <v>158</v>
      </c>
      <c r="D39" s="6">
        <v>2.8</v>
      </c>
      <c r="E39" s="6">
        <v>5.6</v>
      </c>
    </row>
    <row r="40" spans="1:5" x14ac:dyDescent="0.3">
      <c r="A40" s="6">
        <v>39</v>
      </c>
      <c r="B40" s="6" t="s">
        <v>159</v>
      </c>
      <c r="C40" s="6" t="s">
        <v>160</v>
      </c>
      <c r="D40" s="6">
        <v>4.3</v>
      </c>
      <c r="E40" s="6">
        <v>8.6</v>
      </c>
    </row>
    <row r="41" spans="1:5" x14ac:dyDescent="0.3">
      <c r="A41" s="6">
        <v>40</v>
      </c>
      <c r="B41" s="6" t="s">
        <v>161</v>
      </c>
      <c r="C41" s="6" t="s">
        <v>162</v>
      </c>
      <c r="D41" s="6">
        <v>4.4000000000000004</v>
      </c>
      <c r="E41" s="6">
        <v>8.8000000000000007</v>
      </c>
    </row>
    <row r="42" spans="1:5" x14ac:dyDescent="0.3">
      <c r="A42" s="6">
        <v>41</v>
      </c>
      <c r="B42" s="6" t="s">
        <v>163</v>
      </c>
      <c r="C42" s="6" t="s">
        <v>164</v>
      </c>
      <c r="D42" s="6">
        <v>4.05</v>
      </c>
      <c r="E42" s="6">
        <v>8.1</v>
      </c>
    </row>
    <row r="43" spans="1:5" x14ac:dyDescent="0.3">
      <c r="A43" s="6">
        <v>42</v>
      </c>
      <c r="B43" s="6" t="s">
        <v>165</v>
      </c>
      <c r="C43" s="6" t="s">
        <v>166</v>
      </c>
      <c r="D43" s="6">
        <v>3.75</v>
      </c>
      <c r="E43" s="6">
        <v>7.5</v>
      </c>
    </row>
    <row r="44" spans="1:5" x14ac:dyDescent="0.3">
      <c r="A44" s="6">
        <v>43</v>
      </c>
      <c r="B44" s="6" t="s">
        <v>167</v>
      </c>
      <c r="C44" s="6" t="s">
        <v>168</v>
      </c>
      <c r="D44" s="6">
        <v>2.8</v>
      </c>
      <c r="E44" s="6">
        <v>5.6</v>
      </c>
    </row>
    <row r="45" spans="1:5" x14ac:dyDescent="0.3">
      <c r="A45" s="6">
        <v>44</v>
      </c>
      <c r="B45" s="6" t="s">
        <v>169</v>
      </c>
      <c r="C45" s="6" t="s">
        <v>170</v>
      </c>
      <c r="D45" s="6">
        <v>2.8</v>
      </c>
      <c r="E45" s="6">
        <v>5.6</v>
      </c>
    </row>
    <row r="46" spans="1:5" x14ac:dyDescent="0.3">
      <c r="A46" s="6">
        <v>45</v>
      </c>
      <c r="B46" s="6" t="s">
        <v>171</v>
      </c>
      <c r="C46" s="6" t="s">
        <v>172</v>
      </c>
      <c r="D46" s="6">
        <v>2.8</v>
      </c>
      <c r="E46" s="6">
        <v>5.6</v>
      </c>
    </row>
    <row r="47" spans="1:5" x14ac:dyDescent="0.3">
      <c r="A47" s="6">
        <v>46</v>
      </c>
      <c r="B47" s="6" t="s">
        <v>173</v>
      </c>
      <c r="C47" s="6" t="s">
        <v>174</v>
      </c>
      <c r="D47" s="6">
        <v>1.9</v>
      </c>
      <c r="E47" s="6">
        <v>3.8</v>
      </c>
    </row>
    <row r="48" spans="1:5" x14ac:dyDescent="0.3">
      <c r="A48" s="6">
        <v>47</v>
      </c>
      <c r="B48" s="6" t="s">
        <v>175</v>
      </c>
      <c r="C48" s="6" t="s">
        <v>176</v>
      </c>
      <c r="D48" s="6">
        <v>1.9</v>
      </c>
      <c r="E48" s="6">
        <v>3.8</v>
      </c>
    </row>
    <row r="49" spans="1:5" x14ac:dyDescent="0.3">
      <c r="A49" s="6">
        <v>48</v>
      </c>
      <c r="B49" s="6" t="s">
        <v>177</v>
      </c>
      <c r="C49" s="6" t="s">
        <v>178</v>
      </c>
      <c r="D49" s="6">
        <v>1.9</v>
      </c>
      <c r="E49" s="6">
        <v>3.8</v>
      </c>
    </row>
    <row r="50" spans="1:5" x14ac:dyDescent="0.3">
      <c r="A50" s="6">
        <v>49</v>
      </c>
      <c r="B50" s="6" t="s">
        <v>179</v>
      </c>
      <c r="C50" s="6" t="s">
        <v>180</v>
      </c>
      <c r="D50" s="6">
        <v>1.9</v>
      </c>
      <c r="E50" s="6">
        <v>3.8</v>
      </c>
    </row>
    <row r="51" spans="1:5" x14ac:dyDescent="0.3">
      <c r="A51" s="6">
        <v>50</v>
      </c>
      <c r="B51" s="6" t="s">
        <v>181</v>
      </c>
      <c r="C51" s="6" t="s">
        <v>182</v>
      </c>
      <c r="D51" s="6">
        <v>1.9</v>
      </c>
      <c r="E51" s="6">
        <v>3.8</v>
      </c>
    </row>
    <row r="52" spans="1:5" x14ac:dyDescent="0.3">
      <c r="A52" s="6">
        <v>51</v>
      </c>
      <c r="B52" s="6" t="s">
        <v>183</v>
      </c>
      <c r="C52" s="6" t="s">
        <v>184</v>
      </c>
      <c r="D52" s="6">
        <v>1.9</v>
      </c>
      <c r="E52" s="6">
        <v>3.8</v>
      </c>
    </row>
    <row r="53" spans="1:5" x14ac:dyDescent="0.3">
      <c r="A53" s="6">
        <v>52</v>
      </c>
      <c r="B53" s="6" t="s">
        <v>185</v>
      </c>
      <c r="C53" s="6" t="s">
        <v>186</v>
      </c>
      <c r="D53" s="6">
        <v>1.9</v>
      </c>
      <c r="E53" s="6">
        <v>3.8</v>
      </c>
    </row>
    <row r="54" spans="1:5" x14ac:dyDescent="0.3">
      <c r="A54" s="6">
        <v>53</v>
      </c>
      <c r="B54" s="6" t="s">
        <v>187</v>
      </c>
      <c r="C54" s="6" t="s">
        <v>188</v>
      </c>
      <c r="D54" s="6">
        <v>1.9</v>
      </c>
      <c r="E54" s="6">
        <v>3.8</v>
      </c>
    </row>
    <row r="55" spans="1:5" x14ac:dyDescent="0.3">
      <c r="A55" s="6">
        <v>54</v>
      </c>
      <c r="B55" s="6" t="s">
        <v>189</v>
      </c>
      <c r="C55" s="6" t="s">
        <v>190</v>
      </c>
      <c r="D55" s="6">
        <v>1.9</v>
      </c>
      <c r="E55" s="6">
        <v>3.8</v>
      </c>
    </row>
    <row r="56" spans="1:5" x14ac:dyDescent="0.3">
      <c r="A56" s="6">
        <v>55</v>
      </c>
      <c r="B56" s="6" t="s">
        <v>191</v>
      </c>
      <c r="C56" s="6" t="s">
        <v>192</v>
      </c>
      <c r="D56" s="6">
        <v>1.9</v>
      </c>
      <c r="E56" s="6">
        <v>3.8</v>
      </c>
    </row>
    <row r="57" spans="1:5" x14ac:dyDescent="0.3">
      <c r="A57" s="6">
        <v>56</v>
      </c>
      <c r="B57" s="6" t="s">
        <v>193</v>
      </c>
      <c r="C57" s="6" t="s">
        <v>194</v>
      </c>
      <c r="D57" s="6">
        <v>1.9</v>
      </c>
      <c r="E57" s="6">
        <v>3.8</v>
      </c>
    </row>
    <row r="58" spans="1:5" x14ac:dyDescent="0.3">
      <c r="A58" s="6">
        <v>57</v>
      </c>
      <c r="B58" s="6" t="s">
        <v>195</v>
      </c>
      <c r="C58" s="6" t="s">
        <v>196</v>
      </c>
      <c r="D58" s="6">
        <v>1.9</v>
      </c>
      <c r="E58" s="6">
        <v>3.8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 filterMode="1"/>
  <dimension ref="A1:F7981"/>
  <sheetViews>
    <sheetView zoomScale="85" zoomScaleNormal="85" workbookViewId="0">
      <selection activeCell="D28" sqref="D28"/>
    </sheetView>
  </sheetViews>
  <sheetFormatPr defaultColWidth="8.88671875" defaultRowHeight="14.4" x14ac:dyDescent="0.3"/>
  <cols>
    <col min="1" max="1" width="7.44140625" bestFit="1" customWidth="1"/>
    <col min="2" max="2" width="9.6640625" bestFit="1" customWidth="1"/>
    <col min="3" max="3" width="21" bestFit="1" customWidth="1"/>
    <col min="4" max="4" width="63.88671875" bestFit="1" customWidth="1"/>
    <col min="5" max="5" width="26.88671875" bestFit="1" customWidth="1"/>
    <col min="6" max="6" width="42.88671875" bestFit="1" customWidth="1"/>
  </cols>
  <sheetData>
    <row r="1" spans="1:6" x14ac:dyDescent="0.3">
      <c r="A1" s="6" t="s">
        <v>78</v>
      </c>
      <c r="B1" s="6" t="s">
        <v>79</v>
      </c>
      <c r="C1" s="6" t="s">
        <v>353</v>
      </c>
      <c r="D1" s="6" t="s">
        <v>80</v>
      </c>
      <c r="E1" s="6" t="s">
        <v>354</v>
      </c>
      <c r="F1" s="6" t="s">
        <v>355</v>
      </c>
    </row>
    <row r="2" spans="1:6" hidden="1" x14ac:dyDescent="0.3">
      <c r="A2" s="6">
        <v>1</v>
      </c>
      <c r="B2" s="6" t="s">
        <v>83</v>
      </c>
      <c r="C2" s="6" t="s">
        <v>356</v>
      </c>
      <c r="D2" s="6" t="s">
        <v>84</v>
      </c>
      <c r="E2" s="11">
        <v>0.82217144966125488</v>
      </c>
      <c r="F2" s="11">
        <v>0.84153616428375244</v>
      </c>
    </row>
    <row r="3" spans="1:6" hidden="1" x14ac:dyDescent="0.3">
      <c r="A3" s="6">
        <v>1</v>
      </c>
      <c r="B3" s="6" t="s">
        <v>83</v>
      </c>
      <c r="C3" s="6" t="s">
        <v>357</v>
      </c>
      <c r="D3" s="6" t="s">
        <v>84</v>
      </c>
      <c r="E3" s="11">
        <v>7.8480253219604492</v>
      </c>
      <c r="F3" s="11">
        <v>0.84153616428375244</v>
      </c>
    </row>
    <row r="4" spans="1:6" hidden="1" x14ac:dyDescent="0.3">
      <c r="A4" s="6">
        <v>1</v>
      </c>
      <c r="B4" s="6" t="s">
        <v>83</v>
      </c>
      <c r="C4" s="6" t="s">
        <v>358</v>
      </c>
      <c r="D4" s="6" t="s">
        <v>84</v>
      </c>
      <c r="E4" s="11">
        <v>0.90218049287796021</v>
      </c>
      <c r="F4" s="11">
        <v>0.84153616428375244</v>
      </c>
    </row>
    <row r="5" spans="1:6" hidden="1" x14ac:dyDescent="0.3">
      <c r="A5" s="6">
        <v>1</v>
      </c>
      <c r="B5" s="6" t="s">
        <v>83</v>
      </c>
      <c r="C5" s="6" t="s">
        <v>359</v>
      </c>
      <c r="D5" s="6" t="s">
        <v>84</v>
      </c>
      <c r="E5" s="11">
        <v>3.2376666069030762</v>
      </c>
      <c r="F5" s="11">
        <v>0.84153616428375244</v>
      </c>
    </row>
    <row r="6" spans="1:6" hidden="1" x14ac:dyDescent="0.3">
      <c r="A6" s="6">
        <v>1</v>
      </c>
      <c r="B6" s="6" t="s">
        <v>83</v>
      </c>
      <c r="C6" s="6" t="s">
        <v>360</v>
      </c>
      <c r="D6" s="6" t="s">
        <v>84</v>
      </c>
      <c r="E6" s="11">
        <v>0.85354840755462646</v>
      </c>
      <c r="F6" s="11">
        <v>0.84153616428375244</v>
      </c>
    </row>
    <row r="7" spans="1:6" hidden="1" x14ac:dyDescent="0.3">
      <c r="A7" s="6">
        <v>1</v>
      </c>
      <c r="B7" s="6" t="s">
        <v>83</v>
      </c>
      <c r="C7" s="6" t="s">
        <v>361</v>
      </c>
      <c r="D7" s="6" t="s">
        <v>84</v>
      </c>
      <c r="E7" s="11">
        <v>1.8102021217346191</v>
      </c>
      <c r="F7" s="11">
        <v>0.84153616428375244</v>
      </c>
    </row>
    <row r="8" spans="1:6" hidden="1" x14ac:dyDescent="0.3">
      <c r="A8" s="6">
        <v>1</v>
      </c>
      <c r="B8" s="6" t="s">
        <v>83</v>
      </c>
      <c r="C8" s="6" t="s">
        <v>362</v>
      </c>
      <c r="D8" s="6" t="s">
        <v>84</v>
      </c>
      <c r="E8" s="11">
        <v>1.1399953365325928</v>
      </c>
      <c r="F8" s="11">
        <v>0.84153616428375244</v>
      </c>
    </row>
    <row r="9" spans="1:6" hidden="1" x14ac:dyDescent="0.3">
      <c r="A9" s="6">
        <v>1</v>
      </c>
      <c r="B9" s="6" t="s">
        <v>83</v>
      </c>
      <c r="C9" s="6" t="s">
        <v>363</v>
      </c>
      <c r="D9" s="6" t="s">
        <v>84</v>
      </c>
      <c r="E9" s="11">
        <v>10.354496002197266</v>
      </c>
      <c r="F9" s="11">
        <v>0.84153616428375244</v>
      </c>
    </row>
    <row r="10" spans="1:6" hidden="1" x14ac:dyDescent="0.3">
      <c r="A10" s="6">
        <v>1</v>
      </c>
      <c r="B10" s="6" t="s">
        <v>83</v>
      </c>
      <c r="C10" s="6" t="s">
        <v>364</v>
      </c>
      <c r="D10" s="6" t="s">
        <v>84</v>
      </c>
      <c r="E10" s="11">
        <v>1.4394066333770752</v>
      </c>
      <c r="F10" s="11">
        <v>0.84153616428375244</v>
      </c>
    </row>
    <row r="11" spans="1:6" hidden="1" x14ac:dyDescent="0.3">
      <c r="A11" s="6">
        <v>1</v>
      </c>
      <c r="B11" s="6" t="s">
        <v>83</v>
      </c>
      <c r="C11" s="6" t="s">
        <v>365</v>
      </c>
      <c r="D11" s="6" t="s">
        <v>84</v>
      </c>
      <c r="E11" s="11">
        <v>1.1692814826965332</v>
      </c>
      <c r="F11" s="11">
        <v>0.84153616428375244</v>
      </c>
    </row>
    <row r="12" spans="1:6" hidden="1" x14ac:dyDescent="0.3">
      <c r="A12" s="6">
        <v>1</v>
      </c>
      <c r="B12" s="6" t="s">
        <v>83</v>
      </c>
      <c r="C12" s="6" t="s">
        <v>366</v>
      </c>
      <c r="D12" s="6" t="s">
        <v>84</v>
      </c>
      <c r="E12" s="11">
        <v>0.95961964130401611</v>
      </c>
      <c r="F12" s="11">
        <v>0.84153616428375244</v>
      </c>
    </row>
    <row r="13" spans="1:6" hidden="1" x14ac:dyDescent="0.3">
      <c r="A13" s="6">
        <v>1</v>
      </c>
      <c r="B13" s="6" t="s">
        <v>83</v>
      </c>
      <c r="C13" s="6" t="s">
        <v>367</v>
      </c>
      <c r="D13" s="6" t="s">
        <v>84</v>
      </c>
      <c r="E13" s="11">
        <v>0.76333069801330566</v>
      </c>
      <c r="F13" s="11">
        <v>0.84153616428375244</v>
      </c>
    </row>
    <row r="14" spans="1:6" hidden="1" x14ac:dyDescent="0.3">
      <c r="A14" s="6">
        <v>1</v>
      </c>
      <c r="B14" s="6" t="s">
        <v>83</v>
      </c>
      <c r="C14" s="6" t="s">
        <v>368</v>
      </c>
      <c r="D14" s="6" t="s">
        <v>84</v>
      </c>
      <c r="E14" s="11">
        <v>0.9417109489440918</v>
      </c>
      <c r="F14" s="11">
        <v>0.84153616428375244</v>
      </c>
    </row>
    <row r="15" spans="1:6" hidden="1" x14ac:dyDescent="0.3">
      <c r="A15" s="6">
        <v>1</v>
      </c>
      <c r="B15" s="6" t="s">
        <v>83</v>
      </c>
      <c r="C15" s="6" t="s">
        <v>369</v>
      </c>
      <c r="D15" s="6" t="s">
        <v>84</v>
      </c>
      <c r="E15" s="11">
        <v>1.3103578090667725</v>
      </c>
      <c r="F15" s="11">
        <v>0.84153616428375244</v>
      </c>
    </row>
    <row r="16" spans="1:6" hidden="1" x14ac:dyDescent="0.3">
      <c r="A16" s="6">
        <v>1</v>
      </c>
      <c r="B16" s="6" t="s">
        <v>83</v>
      </c>
      <c r="C16" s="6" t="s">
        <v>370</v>
      </c>
      <c r="D16" s="6" t="s">
        <v>84</v>
      </c>
      <c r="E16" s="11">
        <v>0.92800527811050415</v>
      </c>
      <c r="F16" s="11">
        <v>0.84153616428375244</v>
      </c>
    </row>
    <row r="17" spans="1:6" hidden="1" x14ac:dyDescent="0.3">
      <c r="A17" s="6">
        <v>1</v>
      </c>
      <c r="B17" s="6" t="s">
        <v>83</v>
      </c>
      <c r="C17" s="6" t="s">
        <v>371</v>
      </c>
      <c r="D17" s="6" t="s">
        <v>84</v>
      </c>
      <c r="E17" s="11">
        <v>0.77331596612930298</v>
      </c>
      <c r="F17" s="11">
        <v>0.84153616428375244</v>
      </c>
    </row>
    <row r="18" spans="1:6" hidden="1" x14ac:dyDescent="0.3">
      <c r="A18" s="6">
        <v>1</v>
      </c>
      <c r="B18" s="6" t="s">
        <v>83</v>
      </c>
      <c r="C18" s="6" t="s">
        <v>372</v>
      </c>
      <c r="D18" s="6" t="s">
        <v>84</v>
      </c>
      <c r="E18" s="11">
        <v>1.6028571128845215</v>
      </c>
      <c r="F18" s="11">
        <v>0.84153616428375244</v>
      </c>
    </row>
    <row r="19" spans="1:6" hidden="1" x14ac:dyDescent="0.3">
      <c r="A19" s="6">
        <v>1</v>
      </c>
      <c r="B19" s="6" t="s">
        <v>83</v>
      </c>
      <c r="C19" s="6" t="s">
        <v>373</v>
      </c>
      <c r="D19" s="6" t="s">
        <v>84</v>
      </c>
      <c r="E19" s="11">
        <v>0.73985445499420166</v>
      </c>
      <c r="F19" s="11">
        <v>0.84153616428375244</v>
      </c>
    </row>
    <row r="20" spans="1:6" hidden="1" x14ac:dyDescent="0.3">
      <c r="A20" s="6">
        <v>1</v>
      </c>
      <c r="B20" s="6" t="s">
        <v>83</v>
      </c>
      <c r="C20" s="6" t="s">
        <v>374</v>
      </c>
      <c r="D20" s="6" t="s">
        <v>84</v>
      </c>
      <c r="E20" s="11">
        <v>1.3054846525192261</v>
      </c>
      <c r="F20" s="11">
        <v>0.84153616428375244</v>
      </c>
    </row>
    <row r="21" spans="1:6" hidden="1" x14ac:dyDescent="0.3">
      <c r="A21" s="6">
        <v>1</v>
      </c>
      <c r="B21" s="6" t="s">
        <v>83</v>
      </c>
      <c r="C21" s="6" t="s">
        <v>375</v>
      </c>
      <c r="D21" s="6" t="s">
        <v>84</v>
      </c>
      <c r="E21" s="11">
        <v>0.73293441534042358</v>
      </c>
      <c r="F21" s="11">
        <v>0.84153616428375244</v>
      </c>
    </row>
    <row r="22" spans="1:6" hidden="1" x14ac:dyDescent="0.3">
      <c r="A22" s="6">
        <v>1</v>
      </c>
      <c r="B22" s="6" t="s">
        <v>83</v>
      </c>
      <c r="C22" s="6" t="s">
        <v>376</v>
      </c>
      <c r="D22" s="6" t="s">
        <v>84</v>
      </c>
      <c r="E22" s="11">
        <v>0.98674732446670532</v>
      </c>
      <c r="F22" s="11">
        <v>0.84153616428375244</v>
      </c>
    </row>
    <row r="23" spans="1:6" hidden="1" x14ac:dyDescent="0.3">
      <c r="A23" s="6">
        <v>1</v>
      </c>
      <c r="B23" s="6" t="s">
        <v>83</v>
      </c>
      <c r="C23" s="6" t="s">
        <v>377</v>
      </c>
      <c r="D23" s="6" t="s">
        <v>84</v>
      </c>
      <c r="E23" s="11">
        <v>0.90068542957305908</v>
      </c>
      <c r="F23" s="11">
        <v>0.84153616428375244</v>
      </c>
    </row>
    <row r="24" spans="1:6" hidden="1" x14ac:dyDescent="0.3">
      <c r="A24" s="6">
        <v>1</v>
      </c>
      <c r="B24" s="6" t="s">
        <v>83</v>
      </c>
      <c r="C24" s="6" t="s">
        <v>378</v>
      </c>
      <c r="D24" s="6" t="s">
        <v>84</v>
      </c>
      <c r="E24" s="11">
        <v>1.6135468482971191</v>
      </c>
      <c r="F24" s="11">
        <v>0.84153616428375244</v>
      </c>
    </row>
    <row r="25" spans="1:6" hidden="1" x14ac:dyDescent="0.3">
      <c r="A25" s="6">
        <v>1</v>
      </c>
      <c r="B25" s="6" t="s">
        <v>83</v>
      </c>
      <c r="C25" s="6" t="s">
        <v>379</v>
      </c>
      <c r="D25" s="6" t="s">
        <v>84</v>
      </c>
      <c r="E25" s="11">
        <v>1.0881586074829102</v>
      </c>
      <c r="F25" s="11">
        <v>0.84153616428375244</v>
      </c>
    </row>
    <row r="26" spans="1:6" hidden="1" x14ac:dyDescent="0.3">
      <c r="A26" s="6">
        <v>1</v>
      </c>
      <c r="B26" s="6" t="s">
        <v>83</v>
      </c>
      <c r="C26" s="6" t="s">
        <v>380</v>
      </c>
      <c r="D26" s="6" t="s">
        <v>84</v>
      </c>
      <c r="E26" s="11">
        <v>0.80460834503173828</v>
      </c>
      <c r="F26" s="11">
        <v>0.84153616428375244</v>
      </c>
    </row>
    <row r="27" spans="1:6" hidden="1" x14ac:dyDescent="0.3">
      <c r="A27" s="6">
        <v>1</v>
      </c>
      <c r="B27" s="6" t="s">
        <v>83</v>
      </c>
      <c r="C27" s="6" t="s">
        <v>381</v>
      </c>
      <c r="D27" s="6" t="s">
        <v>84</v>
      </c>
      <c r="E27" s="11">
        <v>0.93448430299758911</v>
      </c>
      <c r="F27" s="11">
        <v>0.84153616428375244</v>
      </c>
    </row>
    <row r="28" spans="1:6" hidden="1" x14ac:dyDescent="0.3">
      <c r="A28" s="6">
        <v>1</v>
      </c>
      <c r="B28" s="6" t="s">
        <v>83</v>
      </c>
      <c r="C28" s="6" t="s">
        <v>382</v>
      </c>
      <c r="D28" s="6" t="s">
        <v>84</v>
      </c>
      <c r="E28" s="11">
        <v>1.5929023027420044</v>
      </c>
      <c r="F28" s="11">
        <v>0.84153616428375244</v>
      </c>
    </row>
    <row r="29" spans="1:6" hidden="1" x14ac:dyDescent="0.3">
      <c r="A29" s="6">
        <v>1</v>
      </c>
      <c r="B29" s="6" t="s">
        <v>83</v>
      </c>
      <c r="C29" s="6" t="s">
        <v>383</v>
      </c>
      <c r="D29" s="6" t="s">
        <v>84</v>
      </c>
      <c r="E29" s="11">
        <v>5.1420450210571289</v>
      </c>
      <c r="F29" s="11">
        <v>0.84153616428375244</v>
      </c>
    </row>
    <row r="30" spans="1:6" hidden="1" x14ac:dyDescent="0.3">
      <c r="A30" s="6">
        <v>1</v>
      </c>
      <c r="B30" s="6" t="s">
        <v>83</v>
      </c>
      <c r="C30" s="6" t="s">
        <v>384</v>
      </c>
      <c r="D30" s="6" t="s">
        <v>84</v>
      </c>
      <c r="E30" s="11">
        <v>1.4649835824966431</v>
      </c>
      <c r="F30" s="11">
        <v>0.84153616428375244</v>
      </c>
    </row>
    <row r="31" spans="1:6" hidden="1" x14ac:dyDescent="0.3">
      <c r="A31" s="6">
        <v>1</v>
      </c>
      <c r="B31" s="6" t="s">
        <v>83</v>
      </c>
      <c r="C31" s="6" t="s">
        <v>385</v>
      </c>
      <c r="D31" s="6" t="s">
        <v>84</v>
      </c>
      <c r="E31" s="11">
        <v>1.3551043272018433</v>
      </c>
      <c r="F31" s="11">
        <v>0.84153616428375244</v>
      </c>
    </row>
    <row r="32" spans="1:6" hidden="1" x14ac:dyDescent="0.3">
      <c r="A32" s="6">
        <v>1</v>
      </c>
      <c r="B32" s="6" t="s">
        <v>83</v>
      </c>
      <c r="C32" s="6" t="s">
        <v>386</v>
      </c>
      <c r="D32" s="6" t="s">
        <v>84</v>
      </c>
      <c r="E32" s="11">
        <v>1.084026575088501</v>
      </c>
      <c r="F32" s="11">
        <v>0.84153616428375244</v>
      </c>
    </row>
    <row r="33" spans="1:6" hidden="1" x14ac:dyDescent="0.3">
      <c r="A33" s="6">
        <v>1</v>
      </c>
      <c r="B33" s="6" t="s">
        <v>83</v>
      </c>
      <c r="C33" s="6" t="s">
        <v>387</v>
      </c>
      <c r="D33" s="6" t="s">
        <v>84</v>
      </c>
      <c r="E33" s="11">
        <v>1.0105351209640503</v>
      </c>
      <c r="F33" s="11">
        <v>0.84153616428375244</v>
      </c>
    </row>
    <row r="34" spans="1:6" hidden="1" x14ac:dyDescent="0.3">
      <c r="A34" s="6">
        <v>1</v>
      </c>
      <c r="B34" s="6" t="s">
        <v>83</v>
      </c>
      <c r="C34" s="6" t="s">
        <v>388</v>
      </c>
      <c r="D34" s="6" t="s">
        <v>84</v>
      </c>
      <c r="E34" s="11">
        <v>0.88770723342895508</v>
      </c>
      <c r="F34" s="11">
        <v>0.84153616428375244</v>
      </c>
    </row>
    <row r="35" spans="1:6" hidden="1" x14ac:dyDescent="0.3">
      <c r="A35" s="6">
        <v>1</v>
      </c>
      <c r="B35" s="6" t="s">
        <v>83</v>
      </c>
      <c r="C35" s="6" t="s">
        <v>389</v>
      </c>
      <c r="D35" s="6" t="s">
        <v>84</v>
      </c>
      <c r="E35" s="11">
        <v>0.97517913579940796</v>
      </c>
      <c r="F35" s="11">
        <v>0.84153616428375244</v>
      </c>
    </row>
    <row r="36" spans="1:6" hidden="1" x14ac:dyDescent="0.3">
      <c r="A36" s="6">
        <v>1</v>
      </c>
      <c r="B36" s="6" t="s">
        <v>83</v>
      </c>
      <c r="C36" s="6" t="s">
        <v>390</v>
      </c>
      <c r="D36" s="6" t="s">
        <v>84</v>
      </c>
      <c r="E36" s="11">
        <v>1.8388571739196777</v>
      </c>
      <c r="F36" s="11">
        <v>0.84153616428375244</v>
      </c>
    </row>
    <row r="37" spans="1:6" hidden="1" x14ac:dyDescent="0.3">
      <c r="A37" s="6">
        <v>1</v>
      </c>
      <c r="B37" s="6" t="s">
        <v>83</v>
      </c>
      <c r="C37" s="6" t="s">
        <v>391</v>
      </c>
      <c r="D37" s="6" t="s">
        <v>84</v>
      </c>
      <c r="E37" s="11">
        <v>1.5267699956893921</v>
      </c>
      <c r="F37" s="11">
        <v>0.84153616428375244</v>
      </c>
    </row>
    <row r="38" spans="1:6" hidden="1" x14ac:dyDescent="0.3">
      <c r="A38" s="6">
        <v>1</v>
      </c>
      <c r="B38" s="6" t="s">
        <v>83</v>
      </c>
      <c r="C38" s="6" t="s">
        <v>392</v>
      </c>
      <c r="D38" s="6" t="s">
        <v>84</v>
      </c>
      <c r="E38" s="11">
        <v>1.7927662134170532</v>
      </c>
      <c r="F38" s="11">
        <v>0.84153616428375244</v>
      </c>
    </row>
    <row r="39" spans="1:6" hidden="1" x14ac:dyDescent="0.3">
      <c r="A39" s="6">
        <v>1</v>
      </c>
      <c r="B39" s="6" t="s">
        <v>83</v>
      </c>
      <c r="C39" s="6" t="s">
        <v>393</v>
      </c>
      <c r="D39" s="6" t="s">
        <v>84</v>
      </c>
      <c r="E39" s="11">
        <v>1.0868412256240845</v>
      </c>
      <c r="F39" s="11">
        <v>0.84153616428375244</v>
      </c>
    </row>
    <row r="40" spans="1:6" hidden="1" x14ac:dyDescent="0.3">
      <c r="A40" s="6">
        <v>1</v>
      </c>
      <c r="B40" s="6" t="s">
        <v>83</v>
      </c>
      <c r="C40" s="6" t="s">
        <v>394</v>
      </c>
      <c r="D40" s="6" t="s">
        <v>84</v>
      </c>
      <c r="E40" s="11">
        <v>1.5082343816757202</v>
      </c>
      <c r="F40" s="11">
        <v>0.84153616428375244</v>
      </c>
    </row>
    <row r="41" spans="1:6" hidden="1" x14ac:dyDescent="0.3">
      <c r="A41" s="6">
        <v>1</v>
      </c>
      <c r="B41" s="6" t="s">
        <v>83</v>
      </c>
      <c r="C41" s="6" t="s">
        <v>395</v>
      </c>
      <c r="D41" s="6" t="s">
        <v>84</v>
      </c>
      <c r="E41" s="11">
        <v>16.434000015258789</v>
      </c>
      <c r="F41" s="11">
        <v>0.84153616428375244</v>
      </c>
    </row>
    <row r="42" spans="1:6" hidden="1" x14ac:dyDescent="0.3">
      <c r="A42" s="6">
        <v>1</v>
      </c>
      <c r="B42" s="6" t="s">
        <v>83</v>
      </c>
      <c r="C42" s="6" t="s">
        <v>396</v>
      </c>
      <c r="D42" s="6" t="s">
        <v>84</v>
      </c>
      <c r="E42" s="11">
        <v>1.3306047916412354</v>
      </c>
      <c r="F42" s="11">
        <v>0.84153616428375244</v>
      </c>
    </row>
    <row r="43" spans="1:6" hidden="1" x14ac:dyDescent="0.3">
      <c r="A43" s="6">
        <v>1</v>
      </c>
      <c r="B43" s="6" t="s">
        <v>83</v>
      </c>
      <c r="C43" s="6" t="s">
        <v>397</v>
      </c>
      <c r="D43" s="6" t="s">
        <v>84</v>
      </c>
      <c r="E43" s="11">
        <v>1.1805061101913452</v>
      </c>
      <c r="F43" s="11">
        <v>0.84153616428375244</v>
      </c>
    </row>
    <row r="44" spans="1:6" hidden="1" x14ac:dyDescent="0.3">
      <c r="A44" s="6">
        <v>1</v>
      </c>
      <c r="B44" s="6" t="s">
        <v>83</v>
      </c>
      <c r="C44" s="6" t="s">
        <v>398</v>
      </c>
      <c r="D44" s="6" t="s">
        <v>84</v>
      </c>
      <c r="E44" s="11">
        <v>1.1768860816955566</v>
      </c>
      <c r="F44" s="11">
        <v>0.84153616428375244</v>
      </c>
    </row>
    <row r="45" spans="1:6" hidden="1" x14ac:dyDescent="0.3">
      <c r="A45" s="6">
        <v>1</v>
      </c>
      <c r="B45" s="6" t="s">
        <v>83</v>
      </c>
      <c r="C45" s="6" t="s">
        <v>399</v>
      </c>
      <c r="D45" s="6" t="s">
        <v>84</v>
      </c>
      <c r="E45" s="11">
        <v>0.8418891429901123</v>
      </c>
      <c r="F45" s="11">
        <v>0.84153616428375244</v>
      </c>
    </row>
    <row r="46" spans="1:6" hidden="1" x14ac:dyDescent="0.3">
      <c r="A46" s="6">
        <v>1</v>
      </c>
      <c r="B46" s="6" t="s">
        <v>83</v>
      </c>
      <c r="C46" s="6" t="s">
        <v>400</v>
      </c>
      <c r="D46" s="6" t="s">
        <v>84</v>
      </c>
      <c r="E46" s="11">
        <v>0.96764916181564331</v>
      </c>
      <c r="F46" s="11">
        <v>0.84153616428375244</v>
      </c>
    </row>
    <row r="47" spans="1:6" hidden="1" x14ac:dyDescent="0.3">
      <c r="A47" s="6">
        <v>1</v>
      </c>
      <c r="B47" s="6" t="s">
        <v>83</v>
      </c>
      <c r="C47" s="6" t="s">
        <v>401</v>
      </c>
      <c r="D47" s="6" t="s">
        <v>84</v>
      </c>
      <c r="E47" s="11">
        <v>1.0556325912475586</v>
      </c>
      <c r="F47" s="11">
        <v>0.84153616428375244</v>
      </c>
    </row>
    <row r="48" spans="1:6" hidden="1" x14ac:dyDescent="0.3">
      <c r="A48" s="6">
        <v>1</v>
      </c>
      <c r="B48" s="6" t="s">
        <v>83</v>
      </c>
      <c r="C48" s="6" t="s">
        <v>402</v>
      </c>
      <c r="D48" s="6" t="s">
        <v>84</v>
      </c>
      <c r="E48" s="11">
        <v>0.9806399941444397</v>
      </c>
      <c r="F48" s="11">
        <v>0.84153616428375244</v>
      </c>
    </row>
    <row r="49" spans="1:6" hidden="1" x14ac:dyDescent="0.3">
      <c r="A49" s="6">
        <v>1</v>
      </c>
      <c r="B49" s="6" t="s">
        <v>83</v>
      </c>
      <c r="C49" s="6" t="s">
        <v>403</v>
      </c>
      <c r="D49" s="6" t="s">
        <v>84</v>
      </c>
      <c r="E49" s="11">
        <v>0.77181345224380493</v>
      </c>
      <c r="F49" s="11">
        <v>0.84153616428375244</v>
      </c>
    </row>
    <row r="50" spans="1:6" hidden="1" x14ac:dyDescent="0.3">
      <c r="A50" s="6">
        <v>1</v>
      </c>
      <c r="B50" s="6" t="s">
        <v>83</v>
      </c>
      <c r="C50" s="6" t="s">
        <v>404</v>
      </c>
      <c r="D50" s="6" t="s">
        <v>84</v>
      </c>
      <c r="E50" s="11">
        <v>0.7927517294883728</v>
      </c>
      <c r="F50" s="11">
        <v>0.84153616428375244</v>
      </c>
    </row>
    <row r="51" spans="1:6" hidden="1" x14ac:dyDescent="0.3">
      <c r="A51" s="6">
        <v>1</v>
      </c>
      <c r="B51" s="6" t="s">
        <v>83</v>
      </c>
      <c r="C51" s="6" t="s">
        <v>405</v>
      </c>
      <c r="D51" s="6" t="s">
        <v>84</v>
      </c>
      <c r="E51" s="11">
        <v>0.75301820039749146</v>
      </c>
      <c r="F51" s="11">
        <v>0.84153616428375244</v>
      </c>
    </row>
    <row r="52" spans="1:6" hidden="1" x14ac:dyDescent="0.3">
      <c r="A52" s="6">
        <v>1</v>
      </c>
      <c r="B52" s="6" t="s">
        <v>83</v>
      </c>
      <c r="C52" s="6" t="s">
        <v>406</v>
      </c>
      <c r="D52" s="6" t="s">
        <v>84</v>
      </c>
      <c r="E52" s="11">
        <v>1.3883715867996216</v>
      </c>
      <c r="F52" s="11">
        <v>0.84153616428375244</v>
      </c>
    </row>
    <row r="53" spans="1:6" hidden="1" x14ac:dyDescent="0.3">
      <c r="A53" s="6">
        <v>1</v>
      </c>
      <c r="B53" s="6" t="s">
        <v>83</v>
      </c>
      <c r="C53" s="6" t="s">
        <v>407</v>
      </c>
      <c r="D53" s="6" t="s">
        <v>84</v>
      </c>
      <c r="E53" s="11">
        <v>0.87725585699081421</v>
      </c>
      <c r="F53" s="11">
        <v>0.84153616428375244</v>
      </c>
    </row>
    <row r="54" spans="1:6" hidden="1" x14ac:dyDescent="0.3">
      <c r="A54" s="6">
        <v>1</v>
      </c>
      <c r="B54" s="6" t="s">
        <v>83</v>
      </c>
      <c r="C54" s="6" t="s">
        <v>408</v>
      </c>
      <c r="D54" s="6" t="s">
        <v>84</v>
      </c>
      <c r="E54" s="11">
        <v>1.5655884742736816</v>
      </c>
      <c r="F54" s="11">
        <v>0.84153616428375244</v>
      </c>
    </row>
    <row r="55" spans="1:6" hidden="1" x14ac:dyDescent="0.3">
      <c r="A55" s="6">
        <v>1</v>
      </c>
      <c r="B55" s="6" t="s">
        <v>83</v>
      </c>
      <c r="C55" s="6" t="s">
        <v>409</v>
      </c>
      <c r="D55" s="6" t="s">
        <v>84</v>
      </c>
      <c r="E55" s="11">
        <v>0.78985089063644409</v>
      </c>
      <c r="F55" s="11">
        <v>0.84153616428375244</v>
      </c>
    </row>
    <row r="56" spans="1:6" hidden="1" x14ac:dyDescent="0.3">
      <c r="A56" s="6">
        <v>1</v>
      </c>
      <c r="B56" s="6" t="s">
        <v>83</v>
      </c>
      <c r="C56" s="6" t="s">
        <v>410</v>
      </c>
      <c r="D56" s="6" t="s">
        <v>84</v>
      </c>
      <c r="E56" s="11">
        <v>0.97489213943481445</v>
      </c>
      <c r="F56" s="11">
        <v>0.84153616428375244</v>
      </c>
    </row>
    <row r="57" spans="1:6" hidden="1" x14ac:dyDescent="0.3">
      <c r="A57" s="6">
        <v>1</v>
      </c>
      <c r="B57" s="6" t="s">
        <v>83</v>
      </c>
      <c r="C57" s="6" t="s">
        <v>411</v>
      </c>
      <c r="D57" s="6" t="s">
        <v>84</v>
      </c>
      <c r="E57" s="11">
        <v>2.7647294998168945</v>
      </c>
      <c r="F57" s="11">
        <v>0.84153616428375244</v>
      </c>
    </row>
    <row r="58" spans="1:6" hidden="1" x14ac:dyDescent="0.3">
      <c r="A58" s="6">
        <v>1</v>
      </c>
      <c r="B58" s="6" t="s">
        <v>83</v>
      </c>
      <c r="C58" s="6" t="s">
        <v>412</v>
      </c>
      <c r="D58" s="6" t="s">
        <v>84</v>
      </c>
      <c r="E58" s="11">
        <v>0.7594866156578064</v>
      </c>
      <c r="F58" s="11">
        <v>0.84153616428375244</v>
      </c>
    </row>
    <row r="59" spans="1:6" hidden="1" x14ac:dyDescent="0.3">
      <c r="A59" s="6">
        <v>1</v>
      </c>
      <c r="B59" s="6" t="s">
        <v>83</v>
      </c>
      <c r="C59" s="6" t="s">
        <v>413</v>
      </c>
      <c r="D59" s="6" t="s">
        <v>84</v>
      </c>
      <c r="E59" s="11">
        <v>1.25335693359375</v>
      </c>
      <c r="F59" s="11">
        <v>0.84153616428375244</v>
      </c>
    </row>
    <row r="60" spans="1:6" hidden="1" x14ac:dyDescent="0.3">
      <c r="A60" s="6">
        <v>1</v>
      </c>
      <c r="B60" s="6" t="s">
        <v>83</v>
      </c>
      <c r="C60" s="6" t="s">
        <v>414</v>
      </c>
      <c r="D60" s="6" t="s">
        <v>84</v>
      </c>
      <c r="E60" s="11">
        <v>1.4673258066177368</v>
      </c>
      <c r="F60" s="11">
        <v>0.84153616428375244</v>
      </c>
    </row>
    <row r="61" spans="1:6" hidden="1" x14ac:dyDescent="0.3">
      <c r="A61" s="6">
        <v>1</v>
      </c>
      <c r="B61" s="6" t="s">
        <v>83</v>
      </c>
      <c r="C61" s="6" t="s">
        <v>415</v>
      </c>
      <c r="D61" s="6" t="s">
        <v>84</v>
      </c>
      <c r="E61" s="11">
        <v>1.1430155038833618</v>
      </c>
      <c r="F61" s="11">
        <v>0.84153616428375244</v>
      </c>
    </row>
    <row r="62" spans="1:6" hidden="1" x14ac:dyDescent="0.3">
      <c r="A62" s="6">
        <v>1</v>
      </c>
      <c r="B62" s="6" t="s">
        <v>83</v>
      </c>
      <c r="C62" s="6" t="s">
        <v>416</v>
      </c>
      <c r="D62" s="6" t="s">
        <v>84</v>
      </c>
      <c r="E62" s="11">
        <v>0.83481258153915405</v>
      </c>
      <c r="F62" s="11">
        <v>0.84153616428375244</v>
      </c>
    </row>
    <row r="63" spans="1:6" hidden="1" x14ac:dyDescent="0.3">
      <c r="A63" s="6">
        <v>1</v>
      </c>
      <c r="B63" s="6" t="s">
        <v>83</v>
      </c>
      <c r="C63" s="6" t="s">
        <v>417</v>
      </c>
      <c r="D63" s="6" t="s">
        <v>84</v>
      </c>
      <c r="E63" s="11">
        <v>0.72072523832321167</v>
      </c>
      <c r="F63" s="11">
        <v>0.84153616428375244</v>
      </c>
    </row>
    <row r="64" spans="1:6" hidden="1" x14ac:dyDescent="0.3">
      <c r="A64" s="6">
        <v>1</v>
      </c>
      <c r="B64" s="6" t="s">
        <v>83</v>
      </c>
      <c r="C64" s="6" t="s">
        <v>418</v>
      </c>
      <c r="D64" s="6" t="s">
        <v>84</v>
      </c>
      <c r="E64" s="11">
        <v>13.728000640869141</v>
      </c>
      <c r="F64" s="11">
        <v>0.84153616428375244</v>
      </c>
    </row>
    <row r="65" spans="1:6" hidden="1" x14ac:dyDescent="0.3">
      <c r="A65" s="6">
        <v>1</v>
      </c>
      <c r="B65" s="6" t="s">
        <v>83</v>
      </c>
      <c r="C65" s="6" t="s">
        <v>419</v>
      </c>
      <c r="D65" s="6" t="s">
        <v>84</v>
      </c>
      <c r="E65" s="11">
        <v>0.73767673969268799</v>
      </c>
      <c r="F65" s="11">
        <v>0.84153616428375244</v>
      </c>
    </row>
    <row r="66" spans="1:6" hidden="1" x14ac:dyDescent="0.3">
      <c r="A66" s="6">
        <v>1</v>
      </c>
      <c r="B66" s="6" t="s">
        <v>83</v>
      </c>
      <c r="C66" s="6" t="s">
        <v>420</v>
      </c>
      <c r="D66" s="6" t="s">
        <v>84</v>
      </c>
      <c r="E66" s="11">
        <v>0.73797237873077393</v>
      </c>
      <c r="F66" s="11">
        <v>0.84153616428375244</v>
      </c>
    </row>
    <row r="67" spans="1:6" hidden="1" x14ac:dyDescent="0.3">
      <c r="A67" s="6">
        <v>1</v>
      </c>
      <c r="B67" s="6" t="s">
        <v>83</v>
      </c>
      <c r="C67" s="6" t="s">
        <v>421</v>
      </c>
      <c r="D67" s="6" t="s">
        <v>84</v>
      </c>
      <c r="E67" s="11">
        <v>39.798000335693359</v>
      </c>
      <c r="F67" s="11">
        <v>0.84153616428375244</v>
      </c>
    </row>
    <row r="68" spans="1:6" hidden="1" x14ac:dyDescent="0.3">
      <c r="A68" s="6">
        <v>1</v>
      </c>
      <c r="B68" s="6" t="s">
        <v>83</v>
      </c>
      <c r="C68" s="6" t="s">
        <v>422</v>
      </c>
      <c r="D68" s="6" t="s">
        <v>84</v>
      </c>
      <c r="E68" s="11">
        <v>2.7390000820159912</v>
      </c>
      <c r="F68" s="11">
        <v>0.84153616428375244</v>
      </c>
    </row>
    <row r="69" spans="1:6" hidden="1" x14ac:dyDescent="0.3">
      <c r="A69" s="6">
        <v>1</v>
      </c>
      <c r="B69" s="6" t="s">
        <v>83</v>
      </c>
      <c r="C69" s="6" t="s">
        <v>423</v>
      </c>
      <c r="D69" s="6" t="s">
        <v>84</v>
      </c>
      <c r="E69" s="11">
        <v>1.5020018815994263</v>
      </c>
      <c r="F69" s="11">
        <v>0.84153616428375244</v>
      </c>
    </row>
    <row r="70" spans="1:6" hidden="1" x14ac:dyDescent="0.3">
      <c r="A70" s="6">
        <v>1</v>
      </c>
      <c r="B70" s="6" t="s">
        <v>83</v>
      </c>
      <c r="C70" s="6" t="s">
        <v>424</v>
      </c>
      <c r="D70" s="6" t="s">
        <v>84</v>
      </c>
      <c r="E70" s="11">
        <v>0.88120341300964355</v>
      </c>
      <c r="F70" s="11">
        <v>0.84153616428375244</v>
      </c>
    </row>
    <row r="71" spans="1:6" hidden="1" x14ac:dyDescent="0.3">
      <c r="A71" s="6">
        <v>1</v>
      </c>
      <c r="B71" s="6" t="s">
        <v>83</v>
      </c>
      <c r="C71" s="6" t="s">
        <v>425</v>
      </c>
      <c r="D71" s="6" t="s">
        <v>84</v>
      </c>
      <c r="E71" s="11">
        <v>1.1227720975875854</v>
      </c>
      <c r="F71" s="11">
        <v>0.84153616428375244</v>
      </c>
    </row>
    <row r="72" spans="1:6" hidden="1" x14ac:dyDescent="0.3">
      <c r="A72" s="6">
        <v>1</v>
      </c>
      <c r="B72" s="6" t="s">
        <v>83</v>
      </c>
      <c r="C72" s="6" t="s">
        <v>426</v>
      </c>
      <c r="D72" s="6" t="s">
        <v>84</v>
      </c>
      <c r="E72" s="11">
        <v>0.7747495174407959</v>
      </c>
      <c r="F72" s="11">
        <v>0.84153616428375244</v>
      </c>
    </row>
    <row r="73" spans="1:6" hidden="1" x14ac:dyDescent="0.3">
      <c r="A73" s="6">
        <v>1</v>
      </c>
      <c r="B73" s="6" t="s">
        <v>83</v>
      </c>
      <c r="C73" s="6" t="s">
        <v>427</v>
      </c>
      <c r="D73" s="6" t="s">
        <v>84</v>
      </c>
      <c r="E73" s="11">
        <v>2.652571439743042</v>
      </c>
      <c r="F73" s="11">
        <v>0.84153616428375244</v>
      </c>
    </row>
    <row r="74" spans="1:6" hidden="1" x14ac:dyDescent="0.3">
      <c r="A74" s="6">
        <v>1</v>
      </c>
      <c r="B74" s="6" t="s">
        <v>83</v>
      </c>
      <c r="C74" s="6" t="s">
        <v>428</v>
      </c>
      <c r="D74" s="6" t="s">
        <v>84</v>
      </c>
      <c r="E74" s="11"/>
      <c r="F74" s="11">
        <v>0.84153616428375244</v>
      </c>
    </row>
    <row r="75" spans="1:6" hidden="1" x14ac:dyDescent="0.3">
      <c r="A75" s="6">
        <v>1</v>
      </c>
      <c r="B75" s="6" t="s">
        <v>83</v>
      </c>
      <c r="C75" s="6" t="s">
        <v>429</v>
      </c>
      <c r="D75" s="6" t="s">
        <v>84</v>
      </c>
      <c r="E75" s="11">
        <v>1.0864179134368896</v>
      </c>
      <c r="F75" s="11">
        <v>0.84153616428375244</v>
      </c>
    </row>
    <row r="76" spans="1:6" hidden="1" x14ac:dyDescent="0.3">
      <c r="A76" s="6">
        <v>1</v>
      </c>
      <c r="B76" s="6" t="s">
        <v>83</v>
      </c>
      <c r="C76" s="6" t="s">
        <v>430</v>
      </c>
      <c r="D76" s="6" t="s">
        <v>84</v>
      </c>
      <c r="E76" s="11">
        <v>1.6720000505447388</v>
      </c>
      <c r="F76" s="11">
        <v>0.84153616428375244</v>
      </c>
    </row>
    <row r="77" spans="1:6" hidden="1" x14ac:dyDescent="0.3">
      <c r="A77" s="6">
        <v>1</v>
      </c>
      <c r="B77" s="6" t="s">
        <v>83</v>
      </c>
      <c r="C77" s="6" t="s">
        <v>431</v>
      </c>
      <c r="D77" s="6" t="s">
        <v>84</v>
      </c>
      <c r="E77" s="11">
        <v>0.90651166439056396</v>
      </c>
      <c r="F77" s="11">
        <v>0.84153616428375244</v>
      </c>
    </row>
    <row r="78" spans="1:6" hidden="1" x14ac:dyDescent="0.3">
      <c r="A78" s="6">
        <v>1</v>
      </c>
      <c r="B78" s="6" t="s">
        <v>83</v>
      </c>
      <c r="C78" s="6" t="s">
        <v>432</v>
      </c>
      <c r="D78" s="6" t="s">
        <v>84</v>
      </c>
      <c r="E78" s="11">
        <v>0.65782332420349121</v>
      </c>
      <c r="F78" s="11">
        <v>0.84153616428375244</v>
      </c>
    </row>
    <row r="79" spans="1:6" hidden="1" x14ac:dyDescent="0.3">
      <c r="A79" s="6">
        <v>1</v>
      </c>
      <c r="B79" s="6" t="s">
        <v>83</v>
      </c>
      <c r="C79" s="6" t="s">
        <v>433</v>
      </c>
      <c r="D79" s="6" t="s">
        <v>84</v>
      </c>
      <c r="E79" s="11">
        <v>1.9139999151229858</v>
      </c>
      <c r="F79" s="11">
        <v>0.84153616428375244</v>
      </c>
    </row>
    <row r="80" spans="1:6" hidden="1" x14ac:dyDescent="0.3">
      <c r="A80" s="6">
        <v>1</v>
      </c>
      <c r="B80" s="6" t="s">
        <v>83</v>
      </c>
      <c r="C80" s="6" t="s">
        <v>434</v>
      </c>
      <c r="D80" s="6" t="s">
        <v>84</v>
      </c>
      <c r="E80" s="11">
        <v>1.1208764314651489</v>
      </c>
      <c r="F80" s="11">
        <v>0.84153616428375244</v>
      </c>
    </row>
    <row r="81" spans="1:6" hidden="1" x14ac:dyDescent="0.3">
      <c r="A81" s="6">
        <v>1</v>
      </c>
      <c r="B81" s="6" t="s">
        <v>83</v>
      </c>
      <c r="C81" s="6" t="s">
        <v>435</v>
      </c>
      <c r="D81" s="6" t="s">
        <v>84</v>
      </c>
      <c r="E81" s="11">
        <v>0.81519532203674316</v>
      </c>
      <c r="F81" s="11">
        <v>0.84153616428375244</v>
      </c>
    </row>
    <row r="82" spans="1:6" hidden="1" x14ac:dyDescent="0.3">
      <c r="A82" s="6">
        <v>1</v>
      </c>
      <c r="B82" s="6" t="s">
        <v>83</v>
      </c>
      <c r="C82" s="6" t="s">
        <v>436</v>
      </c>
      <c r="D82" s="6" t="s">
        <v>84</v>
      </c>
      <c r="E82" s="11">
        <v>1.6894919872283936</v>
      </c>
      <c r="F82" s="11">
        <v>0.84153616428375244</v>
      </c>
    </row>
    <row r="83" spans="1:6" hidden="1" x14ac:dyDescent="0.3">
      <c r="A83" s="6">
        <v>1</v>
      </c>
      <c r="B83" s="6" t="s">
        <v>83</v>
      </c>
      <c r="C83" s="6" t="s">
        <v>437</v>
      </c>
      <c r="D83" s="6" t="s">
        <v>84</v>
      </c>
      <c r="E83" s="11">
        <v>0.58037734031677246</v>
      </c>
      <c r="F83" s="11">
        <v>0.84153616428375244</v>
      </c>
    </row>
    <row r="84" spans="1:6" hidden="1" x14ac:dyDescent="0.3">
      <c r="A84" s="6">
        <v>1</v>
      </c>
      <c r="B84" s="6" t="s">
        <v>83</v>
      </c>
      <c r="C84" s="6" t="s">
        <v>438</v>
      </c>
      <c r="D84" s="6" t="s">
        <v>84</v>
      </c>
      <c r="E84" s="11">
        <v>0.92802333831787109</v>
      </c>
      <c r="F84" s="11">
        <v>0.84153616428375244</v>
      </c>
    </row>
    <row r="85" spans="1:6" hidden="1" x14ac:dyDescent="0.3">
      <c r="A85" s="6">
        <v>1</v>
      </c>
      <c r="B85" s="6" t="s">
        <v>83</v>
      </c>
      <c r="C85" s="6" t="s">
        <v>439</v>
      </c>
      <c r="D85" s="6" t="s">
        <v>84</v>
      </c>
      <c r="E85" s="11">
        <v>1.32115638256073</v>
      </c>
      <c r="F85" s="11">
        <v>0.84153616428375244</v>
      </c>
    </row>
    <row r="86" spans="1:6" hidden="1" x14ac:dyDescent="0.3">
      <c r="A86" s="6">
        <v>1</v>
      </c>
      <c r="B86" s="6" t="s">
        <v>83</v>
      </c>
      <c r="C86" s="6" t="s">
        <v>440</v>
      </c>
      <c r="D86" s="6" t="s">
        <v>84</v>
      </c>
      <c r="E86" s="11">
        <v>1.2234206199645996</v>
      </c>
      <c r="F86" s="11">
        <v>0.84153616428375244</v>
      </c>
    </row>
    <row r="87" spans="1:6" hidden="1" x14ac:dyDescent="0.3">
      <c r="A87" s="6">
        <v>1</v>
      </c>
      <c r="B87" s="6" t="s">
        <v>83</v>
      </c>
      <c r="C87" s="6" t="s">
        <v>441</v>
      </c>
      <c r="D87" s="6" t="s">
        <v>84</v>
      </c>
      <c r="E87" s="11">
        <v>0.94824296236038208</v>
      </c>
      <c r="F87" s="11">
        <v>0.84153616428375244</v>
      </c>
    </row>
    <row r="88" spans="1:6" hidden="1" x14ac:dyDescent="0.3">
      <c r="A88" s="6">
        <v>1</v>
      </c>
      <c r="B88" s="6" t="s">
        <v>83</v>
      </c>
      <c r="C88" s="6" t="s">
        <v>442</v>
      </c>
      <c r="D88" s="6" t="s">
        <v>84</v>
      </c>
      <c r="E88" s="11">
        <v>0.87124449014663696</v>
      </c>
      <c r="F88" s="11">
        <v>0.84153616428375244</v>
      </c>
    </row>
    <row r="89" spans="1:6" hidden="1" x14ac:dyDescent="0.3">
      <c r="A89" s="6">
        <v>1</v>
      </c>
      <c r="B89" s="6" t="s">
        <v>83</v>
      </c>
      <c r="C89" s="6" t="s">
        <v>443</v>
      </c>
      <c r="D89" s="6" t="s">
        <v>84</v>
      </c>
      <c r="E89" s="11">
        <v>0.95322543382644653</v>
      </c>
      <c r="F89" s="11">
        <v>0.84153616428375244</v>
      </c>
    </row>
    <row r="90" spans="1:6" hidden="1" x14ac:dyDescent="0.3">
      <c r="A90" s="6">
        <v>1</v>
      </c>
      <c r="B90" s="6" t="s">
        <v>83</v>
      </c>
      <c r="C90" s="6" t="s">
        <v>444</v>
      </c>
      <c r="D90" s="6" t="s">
        <v>84</v>
      </c>
      <c r="E90" s="11">
        <v>0.83516556024551392</v>
      </c>
      <c r="F90" s="11">
        <v>0.84153616428375244</v>
      </c>
    </row>
    <row r="91" spans="1:6" hidden="1" x14ac:dyDescent="0.3">
      <c r="A91" s="6">
        <v>1</v>
      </c>
      <c r="B91" s="6" t="s">
        <v>83</v>
      </c>
      <c r="C91" s="6" t="s">
        <v>445</v>
      </c>
      <c r="D91" s="6" t="s">
        <v>84</v>
      </c>
      <c r="E91" s="11">
        <v>1.5871326923370361</v>
      </c>
      <c r="F91" s="11">
        <v>0.84153616428375244</v>
      </c>
    </row>
    <row r="92" spans="1:6" hidden="1" x14ac:dyDescent="0.3">
      <c r="A92" s="6">
        <v>1</v>
      </c>
      <c r="B92" s="6" t="s">
        <v>83</v>
      </c>
      <c r="C92" s="6" t="s">
        <v>446</v>
      </c>
      <c r="D92" s="6" t="s">
        <v>84</v>
      </c>
      <c r="E92" s="11">
        <v>0.83300405740737915</v>
      </c>
      <c r="F92" s="11">
        <v>0.84153616428375244</v>
      </c>
    </row>
    <row r="93" spans="1:6" hidden="1" x14ac:dyDescent="0.3">
      <c r="A93" s="6">
        <v>1</v>
      </c>
      <c r="B93" s="6" t="s">
        <v>83</v>
      </c>
      <c r="C93" s="6" t="s">
        <v>447</v>
      </c>
      <c r="D93" s="6" t="s">
        <v>84</v>
      </c>
      <c r="E93" s="11">
        <v>0.9776008129119873</v>
      </c>
      <c r="F93" s="11">
        <v>0.84153616428375244</v>
      </c>
    </row>
    <row r="94" spans="1:6" hidden="1" x14ac:dyDescent="0.3">
      <c r="A94" s="6">
        <v>1</v>
      </c>
      <c r="B94" s="6" t="s">
        <v>83</v>
      </c>
      <c r="C94" s="6" t="s">
        <v>448</v>
      </c>
      <c r="D94" s="6" t="s">
        <v>84</v>
      </c>
      <c r="E94" s="11">
        <v>0.73587864637374878</v>
      </c>
      <c r="F94" s="11">
        <v>0.84153616428375244</v>
      </c>
    </row>
    <row r="95" spans="1:6" hidden="1" x14ac:dyDescent="0.3">
      <c r="A95" s="6">
        <v>1</v>
      </c>
      <c r="B95" s="6" t="s">
        <v>83</v>
      </c>
      <c r="C95" s="6" t="s">
        <v>449</v>
      </c>
      <c r="D95" s="6" t="s">
        <v>84</v>
      </c>
      <c r="E95" s="11">
        <v>0.83784973621368408</v>
      </c>
      <c r="F95" s="11">
        <v>0.84153616428375244</v>
      </c>
    </row>
    <row r="96" spans="1:6" hidden="1" x14ac:dyDescent="0.3">
      <c r="A96" s="6">
        <v>1</v>
      </c>
      <c r="B96" s="6" t="s">
        <v>83</v>
      </c>
      <c r="C96" s="6" t="s">
        <v>450</v>
      </c>
      <c r="D96" s="6" t="s">
        <v>84</v>
      </c>
      <c r="E96" s="11">
        <v>0.81020557880401611</v>
      </c>
      <c r="F96" s="11">
        <v>0.84153616428375244</v>
      </c>
    </row>
    <row r="97" spans="1:6" hidden="1" x14ac:dyDescent="0.3">
      <c r="A97" s="6">
        <v>1</v>
      </c>
      <c r="B97" s="6" t="s">
        <v>83</v>
      </c>
      <c r="C97" s="6" t="s">
        <v>451</v>
      </c>
      <c r="D97" s="6" t="s">
        <v>84</v>
      </c>
      <c r="E97" s="11">
        <v>0.93962579965591431</v>
      </c>
      <c r="F97" s="11">
        <v>0.84153616428375244</v>
      </c>
    </row>
    <row r="98" spans="1:6" hidden="1" x14ac:dyDescent="0.3">
      <c r="A98" s="6">
        <v>1</v>
      </c>
      <c r="B98" s="6" t="s">
        <v>83</v>
      </c>
      <c r="C98" s="6" t="s">
        <v>452</v>
      </c>
      <c r="D98" s="6" t="s">
        <v>84</v>
      </c>
      <c r="E98" s="11">
        <v>1.0887857675552368</v>
      </c>
      <c r="F98" s="11">
        <v>0.84153616428375244</v>
      </c>
    </row>
    <row r="99" spans="1:6" hidden="1" x14ac:dyDescent="0.3">
      <c r="A99" s="6">
        <v>1</v>
      </c>
      <c r="B99" s="6" t="s">
        <v>83</v>
      </c>
      <c r="C99" s="6" t="s">
        <v>453</v>
      </c>
      <c r="D99" s="6" t="s">
        <v>84</v>
      </c>
      <c r="E99" s="11">
        <v>4.4557523727416992</v>
      </c>
      <c r="F99" s="11">
        <v>0.84153616428375244</v>
      </c>
    </row>
    <row r="100" spans="1:6" hidden="1" x14ac:dyDescent="0.3">
      <c r="A100" s="6">
        <v>1</v>
      </c>
      <c r="B100" s="6" t="s">
        <v>83</v>
      </c>
      <c r="C100" s="6" t="s">
        <v>454</v>
      </c>
      <c r="D100" s="6" t="s">
        <v>84</v>
      </c>
      <c r="E100" s="11">
        <v>1.1809337139129639</v>
      </c>
      <c r="F100" s="11">
        <v>0.84153616428375244</v>
      </c>
    </row>
    <row r="101" spans="1:6" hidden="1" x14ac:dyDescent="0.3">
      <c r="A101" s="6">
        <v>1</v>
      </c>
      <c r="B101" s="6" t="s">
        <v>83</v>
      </c>
      <c r="C101" s="6" t="s">
        <v>455</v>
      </c>
      <c r="D101" s="6" t="s">
        <v>84</v>
      </c>
      <c r="E101" s="11">
        <v>0.82485520839691162</v>
      </c>
      <c r="F101" s="11">
        <v>0.84153616428375244</v>
      </c>
    </row>
    <row r="102" spans="1:6" hidden="1" x14ac:dyDescent="0.3">
      <c r="A102" s="6">
        <v>1</v>
      </c>
      <c r="B102" s="6" t="s">
        <v>83</v>
      </c>
      <c r="C102" s="6" t="s">
        <v>456</v>
      </c>
      <c r="D102" s="6" t="s">
        <v>84</v>
      </c>
      <c r="E102" s="11">
        <v>0.87581777572631836</v>
      </c>
      <c r="F102" s="11">
        <v>0.84153616428375244</v>
      </c>
    </row>
    <row r="103" spans="1:6" hidden="1" x14ac:dyDescent="0.3">
      <c r="A103" s="6">
        <v>1</v>
      </c>
      <c r="B103" s="6" t="s">
        <v>83</v>
      </c>
      <c r="C103" s="6" t="s">
        <v>457</v>
      </c>
      <c r="D103" s="6" t="s">
        <v>84</v>
      </c>
      <c r="E103" s="11">
        <v>2.3241901397705078</v>
      </c>
      <c r="F103" s="11">
        <v>0.84153616428375244</v>
      </c>
    </row>
    <row r="104" spans="1:6" hidden="1" x14ac:dyDescent="0.3">
      <c r="A104" s="6">
        <v>1</v>
      </c>
      <c r="B104" s="6" t="s">
        <v>83</v>
      </c>
      <c r="C104" s="6" t="s">
        <v>458</v>
      </c>
      <c r="D104" s="6" t="s">
        <v>84</v>
      </c>
      <c r="E104" s="11">
        <v>1.6507481336593628</v>
      </c>
      <c r="F104" s="11">
        <v>0.84153616428375244</v>
      </c>
    </row>
    <row r="105" spans="1:6" hidden="1" x14ac:dyDescent="0.3">
      <c r="A105" s="6">
        <v>1</v>
      </c>
      <c r="B105" s="6" t="s">
        <v>83</v>
      </c>
      <c r="C105" s="6" t="s">
        <v>459</v>
      </c>
      <c r="D105" s="6" t="s">
        <v>84</v>
      </c>
      <c r="E105" s="11">
        <v>1.8532843589782715</v>
      </c>
      <c r="F105" s="11">
        <v>0.84153616428375244</v>
      </c>
    </row>
    <row r="106" spans="1:6" hidden="1" x14ac:dyDescent="0.3">
      <c r="A106" s="6">
        <v>1</v>
      </c>
      <c r="B106" s="6" t="s">
        <v>83</v>
      </c>
      <c r="C106" s="6" t="s">
        <v>460</v>
      </c>
      <c r="D106" s="6" t="s">
        <v>84</v>
      </c>
      <c r="E106" s="11">
        <v>1.4177824258804321</v>
      </c>
      <c r="F106" s="11">
        <v>0.84153616428375244</v>
      </c>
    </row>
    <row r="107" spans="1:6" hidden="1" x14ac:dyDescent="0.3">
      <c r="A107" s="6">
        <v>1</v>
      </c>
      <c r="B107" s="6" t="s">
        <v>83</v>
      </c>
      <c r="C107" s="6" t="s">
        <v>461</v>
      </c>
      <c r="D107" s="6" t="s">
        <v>84</v>
      </c>
      <c r="E107" s="11">
        <v>0.85702788829803467</v>
      </c>
      <c r="F107" s="11">
        <v>0.84153616428375244</v>
      </c>
    </row>
    <row r="108" spans="1:6" hidden="1" x14ac:dyDescent="0.3">
      <c r="A108" s="6">
        <v>1</v>
      </c>
      <c r="B108" s="6" t="s">
        <v>83</v>
      </c>
      <c r="C108" s="6" t="s">
        <v>462</v>
      </c>
      <c r="D108" s="6" t="s">
        <v>84</v>
      </c>
      <c r="E108" s="11">
        <v>3.2942380905151367</v>
      </c>
      <c r="F108" s="11">
        <v>0.84153616428375244</v>
      </c>
    </row>
    <row r="109" spans="1:6" hidden="1" x14ac:dyDescent="0.3">
      <c r="A109" s="6">
        <v>1</v>
      </c>
      <c r="B109" s="6" t="s">
        <v>83</v>
      </c>
      <c r="C109" s="6" t="s">
        <v>463</v>
      </c>
      <c r="D109" s="6" t="s">
        <v>84</v>
      </c>
      <c r="E109" s="11">
        <v>2.893251895904541</v>
      </c>
      <c r="F109" s="11">
        <v>0.84153616428375244</v>
      </c>
    </row>
    <row r="110" spans="1:6" hidden="1" x14ac:dyDescent="0.3">
      <c r="A110" s="6">
        <v>1</v>
      </c>
      <c r="B110" s="6" t="s">
        <v>83</v>
      </c>
      <c r="C110" s="6" t="s">
        <v>464</v>
      </c>
      <c r="D110" s="6" t="s">
        <v>84</v>
      </c>
      <c r="E110" s="11">
        <v>0.97637134790420532</v>
      </c>
      <c r="F110" s="11">
        <v>0.84153616428375244</v>
      </c>
    </row>
    <row r="111" spans="1:6" hidden="1" x14ac:dyDescent="0.3">
      <c r="A111" s="6">
        <v>1</v>
      </c>
      <c r="B111" s="6" t="s">
        <v>83</v>
      </c>
      <c r="C111" s="6" t="s">
        <v>465</v>
      </c>
      <c r="D111" s="6" t="s">
        <v>84</v>
      </c>
      <c r="E111" s="11">
        <v>1.149603009223938</v>
      </c>
      <c r="F111" s="11">
        <v>0.84153616428375244</v>
      </c>
    </row>
    <row r="112" spans="1:6" hidden="1" x14ac:dyDescent="0.3">
      <c r="A112" s="6">
        <v>1</v>
      </c>
      <c r="B112" s="6" t="s">
        <v>83</v>
      </c>
      <c r="C112" s="6" t="s">
        <v>466</v>
      </c>
      <c r="D112" s="6" t="s">
        <v>84</v>
      </c>
      <c r="E112" s="11">
        <v>0.98646634817123413</v>
      </c>
      <c r="F112" s="11">
        <v>0.84153616428375244</v>
      </c>
    </row>
    <row r="113" spans="1:6" hidden="1" x14ac:dyDescent="0.3">
      <c r="A113" s="6">
        <v>1</v>
      </c>
      <c r="B113" s="6" t="s">
        <v>83</v>
      </c>
      <c r="C113" s="6" t="s">
        <v>467</v>
      </c>
      <c r="D113" s="6" t="s">
        <v>84</v>
      </c>
      <c r="E113" s="11">
        <v>1.0918669700622559</v>
      </c>
      <c r="F113" s="11">
        <v>0.84153616428375244</v>
      </c>
    </row>
    <row r="114" spans="1:6" hidden="1" x14ac:dyDescent="0.3">
      <c r="A114" s="6">
        <v>1</v>
      </c>
      <c r="B114" s="6" t="s">
        <v>83</v>
      </c>
      <c r="C114" s="6" t="s">
        <v>468</v>
      </c>
      <c r="D114" s="6" t="s">
        <v>84</v>
      </c>
      <c r="E114" s="11">
        <v>1.1062649488449097</v>
      </c>
      <c r="F114" s="11">
        <v>0.84153616428375244</v>
      </c>
    </row>
    <row r="115" spans="1:6" hidden="1" x14ac:dyDescent="0.3">
      <c r="A115" s="6">
        <v>1</v>
      </c>
      <c r="B115" s="6" t="s">
        <v>83</v>
      </c>
      <c r="C115" s="6" t="s">
        <v>469</v>
      </c>
      <c r="D115" s="6" t="s">
        <v>84</v>
      </c>
      <c r="E115" s="11">
        <v>0.86355584859848022</v>
      </c>
      <c r="F115" s="11">
        <v>0.84153616428375244</v>
      </c>
    </row>
    <row r="116" spans="1:6" hidden="1" x14ac:dyDescent="0.3">
      <c r="A116" s="6">
        <v>1</v>
      </c>
      <c r="B116" s="6" t="s">
        <v>83</v>
      </c>
      <c r="C116" s="6" t="s">
        <v>470</v>
      </c>
      <c r="D116" s="6" t="s">
        <v>84</v>
      </c>
      <c r="E116" s="11">
        <v>0.76081329584121704</v>
      </c>
      <c r="F116" s="11">
        <v>0.84153616428375244</v>
      </c>
    </row>
    <row r="117" spans="1:6" hidden="1" x14ac:dyDescent="0.3">
      <c r="A117" s="6">
        <v>1</v>
      </c>
      <c r="B117" s="6" t="s">
        <v>83</v>
      </c>
      <c r="C117" s="6" t="s">
        <v>471</v>
      </c>
      <c r="D117" s="6" t="s">
        <v>84</v>
      </c>
      <c r="E117" s="11">
        <v>0.89458268880844116</v>
      </c>
      <c r="F117" s="11">
        <v>0.84153616428375244</v>
      </c>
    </row>
    <row r="118" spans="1:6" hidden="1" x14ac:dyDescent="0.3">
      <c r="A118" s="6">
        <v>1</v>
      </c>
      <c r="B118" s="6" t="s">
        <v>83</v>
      </c>
      <c r="C118" s="6" t="s">
        <v>472</v>
      </c>
      <c r="D118" s="6" t="s">
        <v>84</v>
      </c>
      <c r="E118" s="11">
        <v>0.83709478378295898</v>
      </c>
      <c r="F118" s="11">
        <v>0.84153616428375244</v>
      </c>
    </row>
    <row r="119" spans="1:6" hidden="1" x14ac:dyDescent="0.3">
      <c r="A119" s="6">
        <v>1</v>
      </c>
      <c r="B119" s="6" t="s">
        <v>83</v>
      </c>
      <c r="C119" s="6" t="s">
        <v>473</v>
      </c>
      <c r="D119" s="6" t="s">
        <v>84</v>
      </c>
      <c r="E119" s="11">
        <v>1.0299168825149536</v>
      </c>
      <c r="F119" s="11">
        <v>0.84153616428375244</v>
      </c>
    </row>
    <row r="120" spans="1:6" hidden="1" x14ac:dyDescent="0.3">
      <c r="A120" s="6">
        <v>1</v>
      </c>
      <c r="B120" s="6" t="s">
        <v>83</v>
      </c>
      <c r="C120" s="6" t="s">
        <v>474</v>
      </c>
      <c r="D120" s="6" t="s">
        <v>84</v>
      </c>
      <c r="E120" s="11">
        <v>1.0884793996810913</v>
      </c>
      <c r="F120" s="11">
        <v>0.84153616428375244</v>
      </c>
    </row>
    <row r="121" spans="1:6" hidden="1" x14ac:dyDescent="0.3">
      <c r="A121" s="6">
        <v>1</v>
      </c>
      <c r="B121" s="6" t="s">
        <v>83</v>
      </c>
      <c r="C121" s="6" t="s">
        <v>475</v>
      </c>
      <c r="D121" s="6" t="s">
        <v>84</v>
      </c>
      <c r="E121" s="11">
        <v>0.80982828140258789</v>
      </c>
      <c r="F121" s="11">
        <v>0.84153616428375244</v>
      </c>
    </row>
    <row r="122" spans="1:6" hidden="1" x14ac:dyDescent="0.3">
      <c r="A122" s="6">
        <v>1</v>
      </c>
      <c r="B122" s="6" t="s">
        <v>83</v>
      </c>
      <c r="C122" s="6" t="s">
        <v>476</v>
      </c>
      <c r="D122" s="6" t="s">
        <v>84</v>
      </c>
      <c r="E122" s="11">
        <v>1.1406203508377075</v>
      </c>
      <c r="F122" s="11">
        <v>0.84153616428375244</v>
      </c>
    </row>
    <row r="123" spans="1:6" hidden="1" x14ac:dyDescent="0.3">
      <c r="A123" s="6">
        <v>1</v>
      </c>
      <c r="B123" s="6" t="s">
        <v>83</v>
      </c>
      <c r="C123" s="6" t="s">
        <v>477</v>
      </c>
      <c r="D123" s="6" t="s">
        <v>84</v>
      </c>
      <c r="E123" s="11">
        <v>0.9479791522026062</v>
      </c>
      <c r="F123" s="11">
        <v>0.84153616428375244</v>
      </c>
    </row>
    <row r="124" spans="1:6" hidden="1" x14ac:dyDescent="0.3">
      <c r="A124" s="6">
        <v>1</v>
      </c>
      <c r="B124" s="6" t="s">
        <v>83</v>
      </c>
      <c r="C124" s="6" t="s">
        <v>478</v>
      </c>
      <c r="D124" s="6" t="s">
        <v>84</v>
      </c>
      <c r="E124" s="11">
        <v>0.995849609375</v>
      </c>
      <c r="F124" s="11">
        <v>0.84153616428375244</v>
      </c>
    </row>
    <row r="125" spans="1:6" hidden="1" x14ac:dyDescent="0.3">
      <c r="A125" s="6">
        <v>1</v>
      </c>
      <c r="B125" s="6" t="s">
        <v>83</v>
      </c>
      <c r="C125" s="6" t="s">
        <v>479</v>
      </c>
      <c r="D125" s="6" t="s">
        <v>84</v>
      </c>
      <c r="E125" s="11">
        <v>1.1162300109863281</v>
      </c>
      <c r="F125" s="11">
        <v>0.84153616428375244</v>
      </c>
    </row>
    <row r="126" spans="1:6" hidden="1" x14ac:dyDescent="0.3">
      <c r="A126" s="6">
        <v>1</v>
      </c>
      <c r="B126" s="6" t="s">
        <v>83</v>
      </c>
      <c r="C126" s="6" t="s">
        <v>480</v>
      </c>
      <c r="D126" s="6" t="s">
        <v>84</v>
      </c>
      <c r="E126" s="11">
        <v>1.889559268951416</v>
      </c>
      <c r="F126" s="11">
        <v>0.84153616428375244</v>
      </c>
    </row>
    <row r="127" spans="1:6" hidden="1" x14ac:dyDescent="0.3">
      <c r="A127" s="6">
        <v>1</v>
      </c>
      <c r="B127" s="6" t="s">
        <v>83</v>
      </c>
      <c r="C127" s="6" t="s">
        <v>481</v>
      </c>
      <c r="D127" s="6" t="s">
        <v>84</v>
      </c>
      <c r="E127" s="11">
        <v>0.78607791662216187</v>
      </c>
      <c r="F127" s="11">
        <v>0.84153616428375244</v>
      </c>
    </row>
    <row r="128" spans="1:6" hidden="1" x14ac:dyDescent="0.3">
      <c r="A128" s="6">
        <v>1</v>
      </c>
      <c r="B128" s="6" t="s">
        <v>83</v>
      </c>
      <c r="C128" s="6" t="s">
        <v>482</v>
      </c>
      <c r="D128" s="6" t="s">
        <v>84</v>
      </c>
      <c r="E128" s="11">
        <v>1.0950189828872681</v>
      </c>
      <c r="F128" s="11">
        <v>0.84153616428375244</v>
      </c>
    </row>
    <row r="129" spans="1:6" hidden="1" x14ac:dyDescent="0.3">
      <c r="A129" s="6">
        <v>1</v>
      </c>
      <c r="B129" s="6" t="s">
        <v>83</v>
      </c>
      <c r="C129" s="6" t="s">
        <v>483</v>
      </c>
      <c r="D129" s="6" t="s">
        <v>84</v>
      </c>
      <c r="E129" s="11">
        <v>1.1701948642730713</v>
      </c>
      <c r="F129" s="11">
        <v>0.84153616428375244</v>
      </c>
    </row>
    <row r="130" spans="1:6" hidden="1" x14ac:dyDescent="0.3">
      <c r="A130" s="6">
        <v>1</v>
      </c>
      <c r="B130" s="6" t="s">
        <v>83</v>
      </c>
      <c r="C130" s="6" t="s">
        <v>484</v>
      </c>
      <c r="D130" s="6" t="s">
        <v>84</v>
      </c>
      <c r="E130" s="11">
        <v>1.4923940896987915</v>
      </c>
      <c r="F130" s="11">
        <v>0.84153616428375244</v>
      </c>
    </row>
    <row r="131" spans="1:6" hidden="1" x14ac:dyDescent="0.3">
      <c r="A131" s="6">
        <v>1</v>
      </c>
      <c r="B131" s="6" t="s">
        <v>83</v>
      </c>
      <c r="C131" s="6" t="s">
        <v>485</v>
      </c>
      <c r="D131" s="6" t="s">
        <v>84</v>
      </c>
      <c r="E131" s="11">
        <v>0.7545807957649231</v>
      </c>
      <c r="F131" s="11">
        <v>0.84153616428375244</v>
      </c>
    </row>
    <row r="132" spans="1:6" hidden="1" x14ac:dyDescent="0.3">
      <c r="A132" s="6">
        <v>1</v>
      </c>
      <c r="B132" s="6" t="s">
        <v>83</v>
      </c>
      <c r="C132" s="6" t="s">
        <v>486</v>
      </c>
      <c r="D132" s="6" t="s">
        <v>84</v>
      </c>
      <c r="E132" s="11">
        <v>0.68649953603744507</v>
      </c>
      <c r="F132" s="11">
        <v>0.84153616428375244</v>
      </c>
    </row>
    <row r="133" spans="1:6" hidden="1" x14ac:dyDescent="0.3">
      <c r="A133" s="6">
        <v>1</v>
      </c>
      <c r="B133" s="6" t="s">
        <v>83</v>
      </c>
      <c r="C133" s="6" t="s">
        <v>487</v>
      </c>
      <c r="D133" s="6" t="s">
        <v>84</v>
      </c>
      <c r="E133" s="11">
        <v>0.73715341091156006</v>
      </c>
      <c r="F133" s="11">
        <v>0.84153616428375244</v>
      </c>
    </row>
    <row r="134" spans="1:6" hidden="1" x14ac:dyDescent="0.3">
      <c r="A134" s="6">
        <v>1</v>
      </c>
      <c r="B134" s="6" t="s">
        <v>83</v>
      </c>
      <c r="C134" s="6" t="s">
        <v>488</v>
      </c>
      <c r="D134" s="6" t="s">
        <v>84</v>
      </c>
      <c r="E134" s="11">
        <v>0.97232925891876221</v>
      </c>
      <c r="F134" s="11">
        <v>0.84153616428375244</v>
      </c>
    </row>
    <row r="135" spans="1:6" hidden="1" x14ac:dyDescent="0.3">
      <c r="A135" s="6">
        <v>1</v>
      </c>
      <c r="B135" s="6" t="s">
        <v>83</v>
      </c>
      <c r="C135" s="6" t="s">
        <v>489</v>
      </c>
      <c r="D135" s="6" t="s">
        <v>84</v>
      </c>
      <c r="E135" s="11">
        <v>1.2781764268875122</v>
      </c>
      <c r="F135" s="11">
        <v>0.84153616428375244</v>
      </c>
    </row>
    <row r="136" spans="1:6" hidden="1" x14ac:dyDescent="0.3">
      <c r="A136" s="6">
        <v>1</v>
      </c>
      <c r="B136" s="6" t="s">
        <v>83</v>
      </c>
      <c r="C136" s="6" t="s">
        <v>490</v>
      </c>
      <c r="D136" s="6" t="s">
        <v>84</v>
      </c>
      <c r="E136" s="11">
        <v>0.85386466979980469</v>
      </c>
      <c r="F136" s="11">
        <v>0.84153616428375244</v>
      </c>
    </row>
    <row r="137" spans="1:6" hidden="1" x14ac:dyDescent="0.3">
      <c r="A137" s="6">
        <v>1</v>
      </c>
      <c r="B137" s="6" t="s">
        <v>83</v>
      </c>
      <c r="C137" s="6" t="s">
        <v>491</v>
      </c>
      <c r="D137" s="6" t="s">
        <v>84</v>
      </c>
      <c r="E137" s="11">
        <v>1.0762354135513306</v>
      </c>
      <c r="F137" s="11">
        <v>0.84153616428375244</v>
      </c>
    </row>
    <row r="138" spans="1:6" hidden="1" x14ac:dyDescent="0.3">
      <c r="A138" s="6">
        <v>1</v>
      </c>
      <c r="B138" s="6" t="s">
        <v>83</v>
      </c>
      <c r="C138" s="6" t="s">
        <v>492</v>
      </c>
      <c r="D138" s="6" t="s">
        <v>84</v>
      </c>
      <c r="E138" s="11">
        <v>1.0810046195983887</v>
      </c>
      <c r="F138" s="11">
        <v>0.84153616428375244</v>
      </c>
    </row>
    <row r="139" spans="1:6" hidden="1" x14ac:dyDescent="0.3">
      <c r="A139" s="6">
        <v>1</v>
      </c>
      <c r="B139" s="6" t="s">
        <v>83</v>
      </c>
      <c r="C139" s="6" t="s">
        <v>493</v>
      </c>
      <c r="D139" s="6" t="s">
        <v>84</v>
      </c>
      <c r="E139" s="11">
        <v>0.88041508197784424</v>
      </c>
      <c r="F139" s="11">
        <v>0.84153616428375244</v>
      </c>
    </row>
    <row r="140" spans="1:6" hidden="1" x14ac:dyDescent="0.3">
      <c r="A140" s="6">
        <v>1</v>
      </c>
      <c r="B140" s="6" t="s">
        <v>83</v>
      </c>
      <c r="C140" s="6" t="s">
        <v>494</v>
      </c>
      <c r="D140" s="6" t="s">
        <v>84</v>
      </c>
      <c r="E140" s="11">
        <v>1.2024186849594116</v>
      </c>
      <c r="F140" s="11">
        <v>0.84153616428375244</v>
      </c>
    </row>
    <row r="141" spans="1:6" hidden="1" x14ac:dyDescent="0.3">
      <c r="A141" s="6">
        <v>1</v>
      </c>
      <c r="B141" s="6" t="s">
        <v>83</v>
      </c>
      <c r="C141" s="6" t="s">
        <v>495</v>
      </c>
      <c r="D141" s="6" t="s">
        <v>84</v>
      </c>
      <c r="E141" s="11">
        <v>1.2751537561416626</v>
      </c>
      <c r="F141" s="11">
        <v>0.84153616428375244</v>
      </c>
    </row>
    <row r="142" spans="1:6" hidden="1" x14ac:dyDescent="0.3">
      <c r="A142" s="6">
        <v>2</v>
      </c>
      <c r="B142" s="6" t="s">
        <v>85</v>
      </c>
      <c r="C142" s="6" t="s">
        <v>356</v>
      </c>
      <c r="D142" s="6" t="s">
        <v>86</v>
      </c>
      <c r="E142" s="11">
        <v>0.78566426038742065</v>
      </c>
      <c r="F142" s="11">
        <v>0.9498971700668335</v>
      </c>
    </row>
    <row r="143" spans="1:6" hidden="1" x14ac:dyDescent="0.3">
      <c r="A143" s="6">
        <v>2</v>
      </c>
      <c r="B143" s="6" t="s">
        <v>85</v>
      </c>
      <c r="C143" s="6" t="s">
        <v>357</v>
      </c>
      <c r="D143" s="6" t="s">
        <v>86</v>
      </c>
      <c r="E143" s="11">
        <v>1.1841956377029419</v>
      </c>
      <c r="F143" s="11">
        <v>0.9498971700668335</v>
      </c>
    </row>
    <row r="144" spans="1:6" hidden="1" x14ac:dyDescent="0.3">
      <c r="A144" s="6">
        <v>2</v>
      </c>
      <c r="B144" s="6" t="s">
        <v>85</v>
      </c>
      <c r="C144" s="6" t="s">
        <v>358</v>
      </c>
      <c r="D144" s="6" t="s">
        <v>86</v>
      </c>
      <c r="E144" s="11">
        <v>0.8652758002281189</v>
      </c>
      <c r="F144" s="11">
        <v>0.9498971700668335</v>
      </c>
    </row>
    <row r="145" spans="1:6" hidden="1" x14ac:dyDescent="0.3">
      <c r="A145" s="6">
        <v>2</v>
      </c>
      <c r="B145" s="6" t="s">
        <v>85</v>
      </c>
      <c r="C145" s="6" t="s">
        <v>359</v>
      </c>
      <c r="D145" s="6" t="s">
        <v>86</v>
      </c>
      <c r="E145" s="11">
        <v>1.4001179933547974</v>
      </c>
      <c r="F145" s="11">
        <v>0.9498971700668335</v>
      </c>
    </row>
    <row r="146" spans="1:6" hidden="1" x14ac:dyDescent="0.3">
      <c r="A146" s="6">
        <v>2</v>
      </c>
      <c r="B146" s="6" t="s">
        <v>85</v>
      </c>
      <c r="C146" s="6" t="s">
        <v>360</v>
      </c>
      <c r="D146" s="6" t="s">
        <v>86</v>
      </c>
      <c r="E146" s="11">
        <v>0.75617516040802002</v>
      </c>
      <c r="F146" s="11">
        <v>0.9498971700668335</v>
      </c>
    </row>
    <row r="147" spans="1:6" hidden="1" x14ac:dyDescent="0.3">
      <c r="A147" s="6">
        <v>2</v>
      </c>
      <c r="B147" s="6" t="s">
        <v>85</v>
      </c>
      <c r="C147" s="6" t="s">
        <v>361</v>
      </c>
      <c r="D147" s="6" t="s">
        <v>86</v>
      </c>
      <c r="E147" s="11">
        <v>0.98448759317398071</v>
      </c>
      <c r="F147" s="11">
        <v>0.9498971700668335</v>
      </c>
    </row>
    <row r="148" spans="1:6" hidden="1" x14ac:dyDescent="0.3">
      <c r="A148" s="6">
        <v>2</v>
      </c>
      <c r="B148" s="6" t="s">
        <v>85</v>
      </c>
      <c r="C148" s="6" t="s">
        <v>362</v>
      </c>
      <c r="D148" s="6" t="s">
        <v>86</v>
      </c>
      <c r="E148" s="11">
        <v>1.1732406616210938</v>
      </c>
      <c r="F148" s="11">
        <v>0.9498971700668335</v>
      </c>
    </row>
    <row r="149" spans="1:6" hidden="1" x14ac:dyDescent="0.3">
      <c r="A149" s="6">
        <v>2</v>
      </c>
      <c r="B149" s="6" t="s">
        <v>85</v>
      </c>
      <c r="C149" s="6" t="s">
        <v>363</v>
      </c>
      <c r="D149" s="6" t="s">
        <v>86</v>
      </c>
      <c r="E149" s="11">
        <v>1.2133880853652954</v>
      </c>
      <c r="F149" s="11">
        <v>0.9498971700668335</v>
      </c>
    </row>
    <row r="150" spans="1:6" hidden="1" x14ac:dyDescent="0.3">
      <c r="A150" s="6">
        <v>2</v>
      </c>
      <c r="B150" s="6" t="s">
        <v>85</v>
      </c>
      <c r="C150" s="6" t="s">
        <v>364</v>
      </c>
      <c r="D150" s="6" t="s">
        <v>86</v>
      </c>
      <c r="E150" s="11"/>
      <c r="F150" s="11">
        <v>0.9498971700668335</v>
      </c>
    </row>
    <row r="151" spans="1:6" hidden="1" x14ac:dyDescent="0.3">
      <c r="A151" s="6">
        <v>2</v>
      </c>
      <c r="B151" s="6" t="s">
        <v>85</v>
      </c>
      <c r="C151" s="6" t="s">
        <v>365</v>
      </c>
      <c r="D151" s="6" t="s">
        <v>86</v>
      </c>
      <c r="E151" s="11">
        <v>1.1429069042205811</v>
      </c>
      <c r="F151" s="11">
        <v>0.9498971700668335</v>
      </c>
    </row>
    <row r="152" spans="1:6" hidden="1" x14ac:dyDescent="0.3">
      <c r="A152" s="6">
        <v>2</v>
      </c>
      <c r="B152" s="6" t="s">
        <v>85</v>
      </c>
      <c r="C152" s="6" t="s">
        <v>366</v>
      </c>
      <c r="D152" s="6" t="s">
        <v>86</v>
      </c>
      <c r="E152" s="11">
        <v>1.5259708166122437</v>
      </c>
      <c r="F152" s="11">
        <v>0.9498971700668335</v>
      </c>
    </row>
    <row r="153" spans="1:6" hidden="1" x14ac:dyDescent="0.3">
      <c r="A153" s="6">
        <v>2</v>
      </c>
      <c r="B153" s="6" t="s">
        <v>85</v>
      </c>
      <c r="C153" s="6" t="s">
        <v>367</v>
      </c>
      <c r="D153" s="6" t="s">
        <v>86</v>
      </c>
      <c r="E153" s="11">
        <v>3.7932512760162354</v>
      </c>
      <c r="F153" s="11">
        <v>0.9498971700668335</v>
      </c>
    </row>
    <row r="154" spans="1:6" hidden="1" x14ac:dyDescent="0.3">
      <c r="A154" s="6">
        <v>2</v>
      </c>
      <c r="B154" s="6" t="s">
        <v>85</v>
      </c>
      <c r="C154" s="6" t="s">
        <v>368</v>
      </c>
      <c r="D154" s="6" t="s">
        <v>86</v>
      </c>
      <c r="E154" s="11">
        <v>0.97787845134735107</v>
      </c>
      <c r="F154" s="11">
        <v>0.9498971700668335</v>
      </c>
    </row>
    <row r="155" spans="1:6" hidden="1" x14ac:dyDescent="0.3">
      <c r="A155" s="6">
        <v>2</v>
      </c>
      <c r="B155" s="6" t="s">
        <v>85</v>
      </c>
      <c r="C155" s="6" t="s">
        <v>369</v>
      </c>
      <c r="D155" s="6" t="s">
        <v>86</v>
      </c>
      <c r="E155" s="11">
        <v>1.7260372638702393</v>
      </c>
      <c r="F155" s="11">
        <v>0.9498971700668335</v>
      </c>
    </row>
    <row r="156" spans="1:6" hidden="1" x14ac:dyDescent="0.3">
      <c r="A156" s="6">
        <v>2</v>
      </c>
      <c r="B156" s="6" t="s">
        <v>85</v>
      </c>
      <c r="C156" s="6" t="s">
        <v>370</v>
      </c>
      <c r="D156" s="6" t="s">
        <v>86</v>
      </c>
      <c r="E156" s="11">
        <v>1.4422595500946045</v>
      </c>
      <c r="F156" s="11">
        <v>0.9498971700668335</v>
      </c>
    </row>
    <row r="157" spans="1:6" hidden="1" x14ac:dyDescent="0.3">
      <c r="A157" s="6">
        <v>2</v>
      </c>
      <c r="B157" s="6" t="s">
        <v>85</v>
      </c>
      <c r="C157" s="6" t="s">
        <v>371</v>
      </c>
      <c r="D157" s="6" t="s">
        <v>86</v>
      </c>
      <c r="E157" s="11">
        <v>0.75957721471786499</v>
      </c>
      <c r="F157" s="11">
        <v>0.9498971700668335</v>
      </c>
    </row>
    <row r="158" spans="1:6" hidden="1" x14ac:dyDescent="0.3">
      <c r="A158" s="6">
        <v>2</v>
      </c>
      <c r="B158" s="6" t="s">
        <v>85</v>
      </c>
      <c r="C158" s="6" t="s">
        <v>372</v>
      </c>
      <c r="D158" s="6" t="s">
        <v>86</v>
      </c>
      <c r="E158" s="11">
        <v>3.6959998607635498</v>
      </c>
      <c r="F158" s="11">
        <v>0.9498971700668335</v>
      </c>
    </row>
    <row r="159" spans="1:6" hidden="1" x14ac:dyDescent="0.3">
      <c r="A159" s="6">
        <v>2</v>
      </c>
      <c r="B159" s="6" t="s">
        <v>85</v>
      </c>
      <c r="C159" s="6" t="s">
        <v>373</v>
      </c>
      <c r="D159" s="6" t="s">
        <v>86</v>
      </c>
      <c r="E159" s="11">
        <v>0.79463571310043335</v>
      </c>
      <c r="F159" s="11">
        <v>0.9498971700668335</v>
      </c>
    </row>
    <row r="160" spans="1:6" hidden="1" x14ac:dyDescent="0.3">
      <c r="A160" s="6">
        <v>2</v>
      </c>
      <c r="B160" s="6" t="s">
        <v>85</v>
      </c>
      <c r="C160" s="6" t="s">
        <v>374</v>
      </c>
      <c r="D160" s="6" t="s">
        <v>86</v>
      </c>
      <c r="E160" s="11">
        <v>0.99446380138397217</v>
      </c>
      <c r="F160" s="11">
        <v>0.9498971700668335</v>
      </c>
    </row>
    <row r="161" spans="1:6" hidden="1" x14ac:dyDescent="0.3">
      <c r="A161" s="6">
        <v>2</v>
      </c>
      <c r="B161" s="6" t="s">
        <v>85</v>
      </c>
      <c r="C161" s="6" t="s">
        <v>375</v>
      </c>
      <c r="D161" s="6" t="s">
        <v>86</v>
      </c>
      <c r="E161" s="11">
        <v>0.67706418037414551</v>
      </c>
      <c r="F161" s="11">
        <v>0.9498971700668335</v>
      </c>
    </row>
    <row r="162" spans="1:6" hidden="1" x14ac:dyDescent="0.3">
      <c r="A162" s="6">
        <v>2</v>
      </c>
      <c r="B162" s="6" t="s">
        <v>85</v>
      </c>
      <c r="C162" s="6" t="s">
        <v>376</v>
      </c>
      <c r="D162" s="6" t="s">
        <v>86</v>
      </c>
      <c r="E162" s="11">
        <v>1.0775713920593262</v>
      </c>
      <c r="F162" s="11">
        <v>0.9498971700668335</v>
      </c>
    </row>
    <row r="163" spans="1:6" hidden="1" x14ac:dyDescent="0.3">
      <c r="A163" s="6">
        <v>2</v>
      </c>
      <c r="B163" s="6" t="s">
        <v>85</v>
      </c>
      <c r="C163" s="6" t="s">
        <v>377</v>
      </c>
      <c r="D163" s="6" t="s">
        <v>86</v>
      </c>
      <c r="E163" s="11">
        <v>0.98619794845581055</v>
      </c>
      <c r="F163" s="11">
        <v>0.9498971700668335</v>
      </c>
    </row>
    <row r="164" spans="1:6" hidden="1" x14ac:dyDescent="0.3">
      <c r="A164" s="6">
        <v>2</v>
      </c>
      <c r="B164" s="6" t="s">
        <v>85</v>
      </c>
      <c r="C164" s="6" t="s">
        <v>378</v>
      </c>
      <c r="D164" s="6" t="s">
        <v>86</v>
      </c>
      <c r="E164" s="11"/>
      <c r="F164" s="11">
        <v>0.9498971700668335</v>
      </c>
    </row>
    <row r="165" spans="1:6" hidden="1" x14ac:dyDescent="0.3">
      <c r="A165" s="6">
        <v>2</v>
      </c>
      <c r="B165" s="6" t="s">
        <v>85</v>
      </c>
      <c r="C165" s="6" t="s">
        <v>379</v>
      </c>
      <c r="D165" s="6" t="s">
        <v>86</v>
      </c>
      <c r="E165" s="11"/>
      <c r="F165" s="11">
        <v>0.9498971700668335</v>
      </c>
    </row>
    <row r="166" spans="1:6" hidden="1" x14ac:dyDescent="0.3">
      <c r="A166" s="6">
        <v>2</v>
      </c>
      <c r="B166" s="6" t="s">
        <v>85</v>
      </c>
      <c r="C166" s="6" t="s">
        <v>380</v>
      </c>
      <c r="D166" s="6" t="s">
        <v>86</v>
      </c>
      <c r="E166" s="11">
        <v>0.71309453248977661</v>
      </c>
      <c r="F166" s="11">
        <v>0.9498971700668335</v>
      </c>
    </row>
    <row r="167" spans="1:6" hidden="1" x14ac:dyDescent="0.3">
      <c r="A167" s="6">
        <v>2</v>
      </c>
      <c r="B167" s="6" t="s">
        <v>85</v>
      </c>
      <c r="C167" s="6" t="s">
        <v>381</v>
      </c>
      <c r="D167" s="6" t="s">
        <v>86</v>
      </c>
      <c r="E167" s="11">
        <v>7.6022219657897949</v>
      </c>
      <c r="F167" s="11">
        <v>0.9498971700668335</v>
      </c>
    </row>
    <row r="168" spans="1:6" hidden="1" x14ac:dyDescent="0.3">
      <c r="A168" s="6">
        <v>2</v>
      </c>
      <c r="B168" s="6" t="s">
        <v>85</v>
      </c>
      <c r="C168" s="6" t="s">
        <v>382</v>
      </c>
      <c r="D168" s="6" t="s">
        <v>86</v>
      </c>
      <c r="E168" s="11">
        <v>0.9162372350692749</v>
      </c>
      <c r="F168" s="11">
        <v>0.9498971700668335</v>
      </c>
    </row>
    <row r="169" spans="1:6" hidden="1" x14ac:dyDescent="0.3">
      <c r="A169" s="6">
        <v>2</v>
      </c>
      <c r="B169" s="6" t="s">
        <v>85</v>
      </c>
      <c r="C169" s="6" t="s">
        <v>383</v>
      </c>
      <c r="D169" s="6" t="s">
        <v>86</v>
      </c>
      <c r="E169" s="11">
        <v>0.96517425775527954</v>
      </c>
      <c r="F169" s="11">
        <v>0.9498971700668335</v>
      </c>
    </row>
    <row r="170" spans="1:6" hidden="1" x14ac:dyDescent="0.3">
      <c r="A170" s="6">
        <v>2</v>
      </c>
      <c r="B170" s="6" t="s">
        <v>85</v>
      </c>
      <c r="C170" s="6" t="s">
        <v>384</v>
      </c>
      <c r="D170" s="6" t="s">
        <v>86</v>
      </c>
      <c r="E170" s="11">
        <v>1.0717830657958984</v>
      </c>
      <c r="F170" s="11">
        <v>0.9498971700668335</v>
      </c>
    </row>
    <row r="171" spans="1:6" hidden="1" x14ac:dyDescent="0.3">
      <c r="A171" s="6">
        <v>2</v>
      </c>
      <c r="B171" s="6" t="s">
        <v>85</v>
      </c>
      <c r="C171" s="6" t="s">
        <v>385</v>
      </c>
      <c r="D171" s="6" t="s">
        <v>86</v>
      </c>
      <c r="E171" s="11">
        <v>0.98791098594665527</v>
      </c>
      <c r="F171" s="11">
        <v>0.9498971700668335</v>
      </c>
    </row>
    <row r="172" spans="1:6" hidden="1" x14ac:dyDescent="0.3">
      <c r="A172" s="6">
        <v>2</v>
      </c>
      <c r="B172" s="6" t="s">
        <v>85</v>
      </c>
      <c r="C172" s="6" t="s">
        <v>386</v>
      </c>
      <c r="D172" s="6" t="s">
        <v>86</v>
      </c>
      <c r="E172" s="11">
        <v>15.558856964111328</v>
      </c>
      <c r="F172" s="11">
        <v>0.9498971700668335</v>
      </c>
    </row>
    <row r="173" spans="1:6" hidden="1" x14ac:dyDescent="0.3">
      <c r="A173" s="6">
        <v>2</v>
      </c>
      <c r="B173" s="6" t="s">
        <v>85</v>
      </c>
      <c r="C173" s="6" t="s">
        <v>387</v>
      </c>
      <c r="D173" s="6" t="s">
        <v>86</v>
      </c>
      <c r="E173" s="11">
        <v>196.65776062011719</v>
      </c>
      <c r="F173" s="11">
        <v>0.9498971700668335</v>
      </c>
    </row>
    <row r="174" spans="1:6" hidden="1" x14ac:dyDescent="0.3">
      <c r="A174" s="6">
        <v>2</v>
      </c>
      <c r="B174" s="6" t="s">
        <v>85</v>
      </c>
      <c r="C174" s="6" t="s">
        <v>388</v>
      </c>
      <c r="D174" s="6" t="s">
        <v>86</v>
      </c>
      <c r="E174" s="11">
        <v>0.96973437070846558</v>
      </c>
      <c r="F174" s="11">
        <v>0.9498971700668335</v>
      </c>
    </row>
    <row r="175" spans="1:6" hidden="1" x14ac:dyDescent="0.3">
      <c r="A175" s="6">
        <v>2</v>
      </c>
      <c r="B175" s="6" t="s">
        <v>85</v>
      </c>
      <c r="C175" s="6" t="s">
        <v>389</v>
      </c>
      <c r="D175" s="6" t="s">
        <v>86</v>
      </c>
      <c r="E175" s="11">
        <v>1.0013065338134766</v>
      </c>
      <c r="F175" s="11">
        <v>0.9498971700668335</v>
      </c>
    </row>
    <row r="176" spans="1:6" hidden="1" x14ac:dyDescent="0.3">
      <c r="A176" s="6">
        <v>2</v>
      </c>
      <c r="B176" s="6" t="s">
        <v>85</v>
      </c>
      <c r="C176" s="6" t="s">
        <v>390</v>
      </c>
      <c r="D176" s="6" t="s">
        <v>86</v>
      </c>
      <c r="E176" s="11">
        <v>0.92940247058868408</v>
      </c>
      <c r="F176" s="11">
        <v>0.9498971700668335</v>
      </c>
    </row>
    <row r="177" spans="1:6" hidden="1" x14ac:dyDescent="0.3">
      <c r="A177" s="6">
        <v>2</v>
      </c>
      <c r="B177" s="6" t="s">
        <v>85</v>
      </c>
      <c r="C177" s="6" t="s">
        <v>391</v>
      </c>
      <c r="D177" s="6" t="s">
        <v>86</v>
      </c>
      <c r="E177" s="11">
        <v>1.2615662813186646</v>
      </c>
      <c r="F177" s="11">
        <v>0.9498971700668335</v>
      </c>
    </row>
    <row r="178" spans="1:6" hidden="1" x14ac:dyDescent="0.3">
      <c r="A178" s="6">
        <v>2</v>
      </c>
      <c r="B178" s="6" t="s">
        <v>85</v>
      </c>
      <c r="C178" s="6" t="s">
        <v>392</v>
      </c>
      <c r="D178" s="6" t="s">
        <v>86</v>
      </c>
      <c r="E178" s="11">
        <v>1.5270471572875977</v>
      </c>
      <c r="F178" s="11">
        <v>0.9498971700668335</v>
      </c>
    </row>
    <row r="179" spans="1:6" hidden="1" x14ac:dyDescent="0.3">
      <c r="A179" s="6">
        <v>2</v>
      </c>
      <c r="B179" s="6" t="s">
        <v>85</v>
      </c>
      <c r="C179" s="6" t="s">
        <v>393</v>
      </c>
      <c r="D179" s="6" t="s">
        <v>86</v>
      </c>
      <c r="E179" s="11">
        <v>1.3333570957183838</v>
      </c>
      <c r="F179" s="11">
        <v>0.9498971700668335</v>
      </c>
    </row>
    <row r="180" spans="1:6" hidden="1" x14ac:dyDescent="0.3">
      <c r="A180" s="6">
        <v>2</v>
      </c>
      <c r="B180" s="6" t="s">
        <v>85</v>
      </c>
      <c r="C180" s="6" t="s">
        <v>394</v>
      </c>
      <c r="D180" s="6" t="s">
        <v>86</v>
      </c>
      <c r="E180" s="11">
        <v>1.2303885221481323</v>
      </c>
      <c r="F180" s="11">
        <v>0.9498971700668335</v>
      </c>
    </row>
    <row r="181" spans="1:6" hidden="1" x14ac:dyDescent="0.3">
      <c r="A181" s="6">
        <v>2</v>
      </c>
      <c r="B181" s="6" t="s">
        <v>85</v>
      </c>
      <c r="C181" s="6" t="s">
        <v>395</v>
      </c>
      <c r="D181" s="6" t="s">
        <v>86</v>
      </c>
      <c r="E181" s="11">
        <v>1.558071494102478</v>
      </c>
      <c r="F181" s="11">
        <v>0.9498971700668335</v>
      </c>
    </row>
    <row r="182" spans="1:6" hidden="1" x14ac:dyDescent="0.3">
      <c r="A182" s="6">
        <v>2</v>
      </c>
      <c r="B182" s="6" t="s">
        <v>85</v>
      </c>
      <c r="C182" s="6" t="s">
        <v>396</v>
      </c>
      <c r="D182" s="6" t="s">
        <v>86</v>
      </c>
      <c r="E182" s="11">
        <v>1.6061214208602905</v>
      </c>
      <c r="F182" s="11">
        <v>0.9498971700668335</v>
      </c>
    </row>
    <row r="183" spans="1:6" hidden="1" x14ac:dyDescent="0.3">
      <c r="A183" s="6">
        <v>2</v>
      </c>
      <c r="B183" s="6" t="s">
        <v>85</v>
      </c>
      <c r="C183" s="6" t="s">
        <v>397</v>
      </c>
      <c r="D183" s="6" t="s">
        <v>86</v>
      </c>
      <c r="E183" s="11"/>
      <c r="F183" s="11">
        <v>0.9498971700668335</v>
      </c>
    </row>
    <row r="184" spans="1:6" hidden="1" x14ac:dyDescent="0.3">
      <c r="A184" s="6">
        <v>2</v>
      </c>
      <c r="B184" s="6" t="s">
        <v>85</v>
      </c>
      <c r="C184" s="6" t="s">
        <v>398</v>
      </c>
      <c r="D184" s="6" t="s">
        <v>86</v>
      </c>
      <c r="E184" s="11">
        <v>1.3239558935165405</v>
      </c>
      <c r="F184" s="11">
        <v>0.9498971700668335</v>
      </c>
    </row>
    <row r="185" spans="1:6" hidden="1" x14ac:dyDescent="0.3">
      <c r="A185" s="6">
        <v>2</v>
      </c>
      <c r="B185" s="6" t="s">
        <v>85</v>
      </c>
      <c r="C185" s="6" t="s">
        <v>399</v>
      </c>
      <c r="D185" s="6" t="s">
        <v>86</v>
      </c>
      <c r="E185" s="11">
        <v>1.1202840805053711</v>
      </c>
      <c r="F185" s="11">
        <v>0.9498971700668335</v>
      </c>
    </row>
    <row r="186" spans="1:6" hidden="1" x14ac:dyDescent="0.3">
      <c r="A186" s="6">
        <v>2</v>
      </c>
      <c r="B186" s="6" t="s">
        <v>85</v>
      </c>
      <c r="C186" s="6" t="s">
        <v>400</v>
      </c>
      <c r="D186" s="6" t="s">
        <v>86</v>
      </c>
      <c r="E186" s="11">
        <v>1.3050695657730103</v>
      </c>
      <c r="F186" s="11">
        <v>0.9498971700668335</v>
      </c>
    </row>
    <row r="187" spans="1:6" hidden="1" x14ac:dyDescent="0.3">
      <c r="A187" s="6">
        <v>2</v>
      </c>
      <c r="B187" s="6" t="s">
        <v>85</v>
      </c>
      <c r="C187" s="6" t="s">
        <v>401</v>
      </c>
      <c r="D187" s="6" t="s">
        <v>86</v>
      </c>
      <c r="E187" s="11">
        <v>35.652572631835938</v>
      </c>
      <c r="F187" s="11">
        <v>0.9498971700668335</v>
      </c>
    </row>
    <row r="188" spans="1:6" hidden="1" x14ac:dyDescent="0.3">
      <c r="A188" s="6">
        <v>2</v>
      </c>
      <c r="B188" s="6" t="s">
        <v>85</v>
      </c>
      <c r="C188" s="6" t="s">
        <v>402</v>
      </c>
      <c r="D188" s="6" t="s">
        <v>86</v>
      </c>
      <c r="E188" s="11">
        <v>1.022924542427063</v>
      </c>
      <c r="F188" s="11">
        <v>0.9498971700668335</v>
      </c>
    </row>
    <row r="189" spans="1:6" hidden="1" x14ac:dyDescent="0.3">
      <c r="A189" s="6">
        <v>2</v>
      </c>
      <c r="B189" s="6" t="s">
        <v>85</v>
      </c>
      <c r="C189" s="6" t="s">
        <v>403</v>
      </c>
      <c r="D189" s="6" t="s">
        <v>86</v>
      </c>
      <c r="E189" s="11">
        <v>0.95626580715179443</v>
      </c>
      <c r="F189" s="11">
        <v>0.9498971700668335</v>
      </c>
    </row>
    <row r="190" spans="1:6" hidden="1" x14ac:dyDescent="0.3">
      <c r="A190" s="6">
        <v>2</v>
      </c>
      <c r="B190" s="6" t="s">
        <v>85</v>
      </c>
      <c r="C190" s="6" t="s">
        <v>404</v>
      </c>
      <c r="D190" s="6" t="s">
        <v>86</v>
      </c>
      <c r="E190" s="11">
        <v>2.6342477798461914</v>
      </c>
      <c r="F190" s="11">
        <v>0.9498971700668335</v>
      </c>
    </row>
    <row r="191" spans="1:6" hidden="1" x14ac:dyDescent="0.3">
      <c r="A191" s="6">
        <v>2</v>
      </c>
      <c r="B191" s="6" t="s">
        <v>85</v>
      </c>
      <c r="C191" s="6" t="s">
        <v>405</v>
      </c>
      <c r="D191" s="6" t="s">
        <v>86</v>
      </c>
      <c r="E191" s="11">
        <v>0.91654282808303833</v>
      </c>
      <c r="F191" s="11">
        <v>0.9498971700668335</v>
      </c>
    </row>
    <row r="192" spans="1:6" hidden="1" x14ac:dyDescent="0.3">
      <c r="A192" s="6">
        <v>2</v>
      </c>
      <c r="B192" s="6" t="s">
        <v>85</v>
      </c>
      <c r="C192" s="6" t="s">
        <v>406</v>
      </c>
      <c r="D192" s="6" t="s">
        <v>86</v>
      </c>
      <c r="E192" s="11">
        <v>0.73772710561752319</v>
      </c>
      <c r="F192" s="11">
        <v>0.9498971700668335</v>
      </c>
    </row>
    <row r="193" spans="1:6" hidden="1" x14ac:dyDescent="0.3">
      <c r="A193" s="6">
        <v>2</v>
      </c>
      <c r="B193" s="6" t="s">
        <v>85</v>
      </c>
      <c r="C193" s="6" t="s">
        <v>407</v>
      </c>
      <c r="D193" s="6" t="s">
        <v>86</v>
      </c>
      <c r="E193" s="11">
        <v>0.93690061569213867</v>
      </c>
      <c r="F193" s="11">
        <v>0.9498971700668335</v>
      </c>
    </row>
    <row r="194" spans="1:6" hidden="1" x14ac:dyDescent="0.3">
      <c r="A194" s="6">
        <v>2</v>
      </c>
      <c r="B194" s="6" t="s">
        <v>85</v>
      </c>
      <c r="C194" s="6" t="s">
        <v>408</v>
      </c>
      <c r="D194" s="6" t="s">
        <v>86</v>
      </c>
      <c r="E194" s="11">
        <v>1.1582236289978027</v>
      </c>
      <c r="F194" s="11">
        <v>0.9498971700668335</v>
      </c>
    </row>
    <row r="195" spans="1:6" hidden="1" x14ac:dyDescent="0.3">
      <c r="A195" s="6">
        <v>2</v>
      </c>
      <c r="B195" s="6" t="s">
        <v>85</v>
      </c>
      <c r="C195" s="6" t="s">
        <v>409</v>
      </c>
      <c r="D195" s="6" t="s">
        <v>86</v>
      </c>
      <c r="E195" s="11">
        <v>0.92336177825927734</v>
      </c>
      <c r="F195" s="11">
        <v>0.9498971700668335</v>
      </c>
    </row>
    <row r="196" spans="1:6" hidden="1" x14ac:dyDescent="0.3">
      <c r="A196" s="6">
        <v>2</v>
      </c>
      <c r="B196" s="6" t="s">
        <v>85</v>
      </c>
      <c r="C196" s="6" t="s">
        <v>410</v>
      </c>
      <c r="D196" s="6" t="s">
        <v>86</v>
      </c>
      <c r="E196" s="11">
        <v>1.1408684253692627</v>
      </c>
      <c r="F196" s="11">
        <v>0.9498971700668335</v>
      </c>
    </row>
    <row r="197" spans="1:6" hidden="1" x14ac:dyDescent="0.3">
      <c r="A197" s="6">
        <v>2</v>
      </c>
      <c r="B197" s="6" t="s">
        <v>85</v>
      </c>
      <c r="C197" s="6" t="s">
        <v>411</v>
      </c>
      <c r="D197" s="6" t="s">
        <v>86</v>
      </c>
      <c r="E197" s="11">
        <v>1.5898241996765137</v>
      </c>
      <c r="F197" s="11">
        <v>0.9498971700668335</v>
      </c>
    </row>
    <row r="198" spans="1:6" hidden="1" x14ac:dyDescent="0.3">
      <c r="A198" s="6">
        <v>2</v>
      </c>
      <c r="B198" s="6" t="s">
        <v>85</v>
      </c>
      <c r="C198" s="6" t="s">
        <v>412</v>
      </c>
      <c r="D198" s="6" t="s">
        <v>86</v>
      </c>
      <c r="E198" s="11">
        <v>0.885242760181427</v>
      </c>
      <c r="F198" s="11">
        <v>0.9498971700668335</v>
      </c>
    </row>
    <row r="199" spans="1:6" hidden="1" x14ac:dyDescent="0.3">
      <c r="A199" s="6">
        <v>2</v>
      </c>
      <c r="B199" s="6" t="s">
        <v>85</v>
      </c>
      <c r="C199" s="6" t="s">
        <v>413</v>
      </c>
      <c r="D199" s="6" t="s">
        <v>86</v>
      </c>
      <c r="E199" s="11">
        <v>1.442617654800415</v>
      </c>
      <c r="F199" s="11">
        <v>0.9498971700668335</v>
      </c>
    </row>
    <row r="200" spans="1:6" hidden="1" x14ac:dyDescent="0.3">
      <c r="A200" s="6">
        <v>2</v>
      </c>
      <c r="B200" s="6" t="s">
        <v>85</v>
      </c>
      <c r="C200" s="6" t="s">
        <v>414</v>
      </c>
      <c r="D200" s="6" t="s">
        <v>86</v>
      </c>
      <c r="E200" s="11">
        <v>21.409143447875977</v>
      </c>
      <c r="F200" s="11">
        <v>0.9498971700668335</v>
      </c>
    </row>
    <row r="201" spans="1:6" hidden="1" x14ac:dyDescent="0.3">
      <c r="A201" s="6">
        <v>2</v>
      </c>
      <c r="B201" s="6" t="s">
        <v>85</v>
      </c>
      <c r="C201" s="6" t="s">
        <v>415</v>
      </c>
      <c r="D201" s="6" t="s">
        <v>86</v>
      </c>
      <c r="E201" s="11">
        <v>1.6813238859176636</v>
      </c>
      <c r="F201" s="11">
        <v>0.9498971700668335</v>
      </c>
    </row>
    <row r="202" spans="1:6" hidden="1" x14ac:dyDescent="0.3">
      <c r="A202" s="6">
        <v>2</v>
      </c>
      <c r="B202" s="6" t="s">
        <v>85</v>
      </c>
      <c r="C202" s="6" t="s">
        <v>416</v>
      </c>
      <c r="D202" s="6" t="s">
        <v>86</v>
      </c>
      <c r="E202" s="11">
        <v>6.2039999961853027</v>
      </c>
      <c r="F202" s="11">
        <v>0.9498971700668335</v>
      </c>
    </row>
    <row r="203" spans="1:6" hidden="1" x14ac:dyDescent="0.3">
      <c r="A203" s="6">
        <v>2</v>
      </c>
      <c r="B203" s="6" t="s">
        <v>85</v>
      </c>
      <c r="C203" s="6" t="s">
        <v>417</v>
      </c>
      <c r="D203" s="6" t="s">
        <v>86</v>
      </c>
      <c r="E203" s="11">
        <v>0.87230587005615234</v>
      </c>
      <c r="F203" s="11">
        <v>0.9498971700668335</v>
      </c>
    </row>
    <row r="204" spans="1:6" hidden="1" x14ac:dyDescent="0.3">
      <c r="A204" s="6">
        <v>2</v>
      </c>
      <c r="B204" s="6" t="s">
        <v>85</v>
      </c>
      <c r="C204" s="6" t="s">
        <v>418</v>
      </c>
      <c r="D204" s="6" t="s">
        <v>86</v>
      </c>
      <c r="E204" s="11">
        <v>0.99942857027053833</v>
      </c>
      <c r="F204" s="11">
        <v>0.9498971700668335</v>
      </c>
    </row>
    <row r="205" spans="1:6" hidden="1" x14ac:dyDescent="0.3">
      <c r="A205" s="6">
        <v>2</v>
      </c>
      <c r="B205" s="6" t="s">
        <v>85</v>
      </c>
      <c r="C205" s="6" t="s">
        <v>419</v>
      </c>
      <c r="D205" s="6" t="s">
        <v>86</v>
      </c>
      <c r="E205" s="11"/>
      <c r="F205" s="11">
        <v>0.9498971700668335</v>
      </c>
    </row>
    <row r="206" spans="1:6" hidden="1" x14ac:dyDescent="0.3">
      <c r="A206" s="6">
        <v>2</v>
      </c>
      <c r="B206" s="6" t="s">
        <v>85</v>
      </c>
      <c r="C206" s="6" t="s">
        <v>420</v>
      </c>
      <c r="D206" s="6" t="s">
        <v>86</v>
      </c>
      <c r="E206" s="11"/>
      <c r="F206" s="11">
        <v>0.9498971700668335</v>
      </c>
    </row>
    <row r="207" spans="1:6" hidden="1" x14ac:dyDescent="0.3">
      <c r="A207" s="6">
        <v>2</v>
      </c>
      <c r="B207" s="6" t="s">
        <v>85</v>
      </c>
      <c r="C207" s="6" t="s">
        <v>421</v>
      </c>
      <c r="D207" s="6" t="s">
        <v>86</v>
      </c>
      <c r="E207" s="11">
        <v>1.1820837259292603</v>
      </c>
      <c r="F207" s="11">
        <v>0.9498971700668335</v>
      </c>
    </row>
    <row r="208" spans="1:6" hidden="1" x14ac:dyDescent="0.3">
      <c r="A208" s="6">
        <v>2</v>
      </c>
      <c r="B208" s="6" t="s">
        <v>85</v>
      </c>
      <c r="C208" s="6" t="s">
        <v>422</v>
      </c>
      <c r="D208" s="6" t="s">
        <v>86</v>
      </c>
      <c r="E208" s="11">
        <v>0.87367850542068481</v>
      </c>
      <c r="F208" s="11">
        <v>0.9498971700668335</v>
      </c>
    </row>
    <row r="209" spans="1:6" hidden="1" x14ac:dyDescent="0.3">
      <c r="A209" s="6">
        <v>2</v>
      </c>
      <c r="B209" s="6" t="s">
        <v>85</v>
      </c>
      <c r="C209" s="6" t="s">
        <v>423</v>
      </c>
      <c r="D209" s="6" t="s">
        <v>86</v>
      </c>
      <c r="E209" s="11">
        <v>1.0320188999176025</v>
      </c>
      <c r="F209" s="11">
        <v>0.9498971700668335</v>
      </c>
    </row>
    <row r="210" spans="1:6" hidden="1" x14ac:dyDescent="0.3">
      <c r="A210" s="6">
        <v>2</v>
      </c>
      <c r="B210" s="6" t="s">
        <v>85</v>
      </c>
      <c r="C210" s="6" t="s">
        <v>424</v>
      </c>
      <c r="D210" s="6" t="s">
        <v>86</v>
      </c>
      <c r="E210" s="11">
        <v>0.95631158351898193</v>
      </c>
      <c r="F210" s="11">
        <v>0.9498971700668335</v>
      </c>
    </row>
    <row r="211" spans="1:6" hidden="1" x14ac:dyDescent="0.3">
      <c r="A211" s="6">
        <v>2</v>
      </c>
      <c r="B211" s="6" t="s">
        <v>85</v>
      </c>
      <c r="C211" s="6" t="s">
        <v>425</v>
      </c>
      <c r="D211" s="6" t="s">
        <v>86</v>
      </c>
      <c r="E211" s="11"/>
      <c r="F211" s="11">
        <v>0.9498971700668335</v>
      </c>
    </row>
    <row r="212" spans="1:6" hidden="1" x14ac:dyDescent="0.3">
      <c r="A212" s="6">
        <v>2</v>
      </c>
      <c r="B212" s="6" t="s">
        <v>85</v>
      </c>
      <c r="C212" s="6" t="s">
        <v>426</v>
      </c>
      <c r="D212" s="6" t="s">
        <v>86</v>
      </c>
      <c r="E212" s="11">
        <v>0.87319356203079224</v>
      </c>
      <c r="F212" s="11">
        <v>0.9498971700668335</v>
      </c>
    </row>
    <row r="213" spans="1:6" hidden="1" x14ac:dyDescent="0.3">
      <c r="A213" s="6">
        <v>2</v>
      </c>
      <c r="B213" s="6" t="s">
        <v>85</v>
      </c>
      <c r="C213" s="6" t="s">
        <v>427</v>
      </c>
      <c r="D213" s="6" t="s">
        <v>86</v>
      </c>
      <c r="E213" s="11">
        <v>1.0273878574371338</v>
      </c>
      <c r="F213" s="11">
        <v>0.9498971700668335</v>
      </c>
    </row>
    <row r="214" spans="1:6" hidden="1" x14ac:dyDescent="0.3">
      <c r="A214" s="6">
        <v>2</v>
      </c>
      <c r="B214" s="6" t="s">
        <v>85</v>
      </c>
      <c r="C214" s="6" t="s">
        <v>428</v>
      </c>
      <c r="D214" s="6" t="s">
        <v>86</v>
      </c>
      <c r="E214" s="11">
        <v>1.3977266550064087</v>
      </c>
      <c r="F214" s="11">
        <v>0.9498971700668335</v>
      </c>
    </row>
    <row r="215" spans="1:6" hidden="1" x14ac:dyDescent="0.3">
      <c r="A215" s="6">
        <v>2</v>
      </c>
      <c r="B215" s="6" t="s">
        <v>85</v>
      </c>
      <c r="C215" s="6" t="s">
        <v>429</v>
      </c>
      <c r="D215" s="6" t="s">
        <v>86</v>
      </c>
      <c r="E215" s="11">
        <v>39.866798400878906</v>
      </c>
      <c r="F215" s="11">
        <v>0.9498971700668335</v>
      </c>
    </row>
    <row r="216" spans="1:6" hidden="1" x14ac:dyDescent="0.3">
      <c r="A216" s="6">
        <v>2</v>
      </c>
      <c r="B216" s="6" t="s">
        <v>85</v>
      </c>
      <c r="C216" s="6" t="s">
        <v>430</v>
      </c>
      <c r="D216" s="6" t="s">
        <v>86</v>
      </c>
      <c r="E216" s="11"/>
      <c r="F216" s="11">
        <v>0.9498971700668335</v>
      </c>
    </row>
    <row r="217" spans="1:6" hidden="1" x14ac:dyDescent="0.3">
      <c r="A217" s="6">
        <v>2</v>
      </c>
      <c r="B217" s="6" t="s">
        <v>85</v>
      </c>
      <c r="C217" s="6" t="s">
        <v>431</v>
      </c>
      <c r="D217" s="6" t="s">
        <v>86</v>
      </c>
      <c r="E217" s="11">
        <v>10.62132740020752</v>
      </c>
      <c r="F217" s="11">
        <v>0.9498971700668335</v>
      </c>
    </row>
    <row r="218" spans="1:6" hidden="1" x14ac:dyDescent="0.3">
      <c r="A218" s="6">
        <v>2</v>
      </c>
      <c r="B218" s="6" t="s">
        <v>85</v>
      </c>
      <c r="C218" s="6" t="s">
        <v>432</v>
      </c>
      <c r="D218" s="6" t="s">
        <v>86</v>
      </c>
      <c r="E218" s="11">
        <v>49.113430023193359</v>
      </c>
      <c r="F218" s="11">
        <v>0.9498971700668335</v>
      </c>
    </row>
    <row r="219" spans="1:6" hidden="1" x14ac:dyDescent="0.3">
      <c r="A219" s="6">
        <v>2</v>
      </c>
      <c r="B219" s="6" t="s">
        <v>85</v>
      </c>
      <c r="C219" s="6" t="s">
        <v>433</v>
      </c>
      <c r="D219" s="6" t="s">
        <v>86</v>
      </c>
      <c r="E219" s="11">
        <v>1.4381436109542847</v>
      </c>
      <c r="F219" s="11">
        <v>0.9498971700668335</v>
      </c>
    </row>
    <row r="220" spans="1:6" hidden="1" x14ac:dyDescent="0.3">
      <c r="A220" s="6">
        <v>2</v>
      </c>
      <c r="B220" s="6" t="s">
        <v>85</v>
      </c>
      <c r="C220" s="6" t="s">
        <v>434</v>
      </c>
      <c r="D220" s="6" t="s">
        <v>86</v>
      </c>
      <c r="E220" s="11">
        <v>1.1454027891159058</v>
      </c>
      <c r="F220" s="11">
        <v>0.9498971700668335</v>
      </c>
    </row>
    <row r="221" spans="1:6" hidden="1" x14ac:dyDescent="0.3">
      <c r="A221" s="6">
        <v>2</v>
      </c>
      <c r="B221" s="6" t="s">
        <v>85</v>
      </c>
      <c r="C221" s="6" t="s">
        <v>435</v>
      </c>
      <c r="D221" s="6" t="s">
        <v>86</v>
      </c>
      <c r="E221" s="11">
        <v>15.003999710083008</v>
      </c>
      <c r="F221" s="11">
        <v>0.9498971700668335</v>
      </c>
    </row>
    <row r="222" spans="1:6" hidden="1" x14ac:dyDescent="0.3">
      <c r="A222" s="6">
        <v>2</v>
      </c>
      <c r="B222" s="6" t="s">
        <v>85</v>
      </c>
      <c r="C222" s="6" t="s">
        <v>436</v>
      </c>
      <c r="D222" s="6" t="s">
        <v>86</v>
      </c>
      <c r="E222" s="11">
        <v>1.1749190092086792</v>
      </c>
      <c r="F222" s="11">
        <v>0.9498971700668335</v>
      </c>
    </row>
    <row r="223" spans="1:6" hidden="1" x14ac:dyDescent="0.3">
      <c r="A223" s="6">
        <v>2</v>
      </c>
      <c r="B223" s="6" t="s">
        <v>85</v>
      </c>
      <c r="C223" s="6" t="s">
        <v>437</v>
      </c>
      <c r="D223" s="6" t="s">
        <v>86</v>
      </c>
      <c r="E223" s="11">
        <v>0.62134182453155518</v>
      </c>
      <c r="F223" s="11">
        <v>0.9498971700668335</v>
      </c>
    </row>
    <row r="224" spans="1:6" hidden="1" x14ac:dyDescent="0.3">
      <c r="A224" s="6">
        <v>2</v>
      </c>
      <c r="B224" s="6" t="s">
        <v>85</v>
      </c>
      <c r="C224" s="6" t="s">
        <v>438</v>
      </c>
      <c r="D224" s="6" t="s">
        <v>86</v>
      </c>
      <c r="E224" s="11">
        <v>0.94386970996856689</v>
      </c>
      <c r="F224" s="11">
        <v>0.9498971700668335</v>
      </c>
    </row>
    <row r="225" spans="1:6" hidden="1" x14ac:dyDescent="0.3">
      <c r="A225" s="6">
        <v>2</v>
      </c>
      <c r="B225" s="6" t="s">
        <v>85</v>
      </c>
      <c r="C225" s="6" t="s">
        <v>439</v>
      </c>
      <c r="D225" s="6" t="s">
        <v>86</v>
      </c>
      <c r="E225" s="11">
        <v>1.0126829147338867</v>
      </c>
      <c r="F225" s="11">
        <v>0.9498971700668335</v>
      </c>
    </row>
    <row r="226" spans="1:6" hidden="1" x14ac:dyDescent="0.3">
      <c r="A226" s="6">
        <v>2</v>
      </c>
      <c r="B226" s="6" t="s">
        <v>85</v>
      </c>
      <c r="C226" s="6" t="s">
        <v>440</v>
      </c>
      <c r="D226" s="6" t="s">
        <v>86</v>
      </c>
      <c r="E226" s="11">
        <v>1.3580548763275146</v>
      </c>
      <c r="F226" s="11">
        <v>0.9498971700668335</v>
      </c>
    </row>
    <row r="227" spans="1:6" hidden="1" x14ac:dyDescent="0.3">
      <c r="A227" s="6">
        <v>2</v>
      </c>
      <c r="B227" s="6" t="s">
        <v>85</v>
      </c>
      <c r="C227" s="6" t="s">
        <v>441</v>
      </c>
      <c r="D227" s="6" t="s">
        <v>86</v>
      </c>
      <c r="E227" s="11">
        <v>0.77921867370605469</v>
      </c>
      <c r="F227" s="11">
        <v>0.9498971700668335</v>
      </c>
    </row>
    <row r="228" spans="1:6" hidden="1" x14ac:dyDescent="0.3">
      <c r="A228" s="6">
        <v>2</v>
      </c>
      <c r="B228" s="6" t="s">
        <v>85</v>
      </c>
      <c r="C228" s="6" t="s">
        <v>442</v>
      </c>
      <c r="D228" s="6" t="s">
        <v>86</v>
      </c>
      <c r="E228" s="11">
        <v>81.547714233398438</v>
      </c>
      <c r="F228" s="11">
        <v>0.9498971700668335</v>
      </c>
    </row>
    <row r="229" spans="1:6" hidden="1" x14ac:dyDescent="0.3">
      <c r="A229" s="6">
        <v>2</v>
      </c>
      <c r="B229" s="6" t="s">
        <v>85</v>
      </c>
      <c r="C229" s="6" t="s">
        <v>443</v>
      </c>
      <c r="D229" s="6" t="s">
        <v>86</v>
      </c>
      <c r="E229" s="11">
        <v>0.98867952823638916</v>
      </c>
      <c r="F229" s="11">
        <v>0.9498971700668335</v>
      </c>
    </row>
    <row r="230" spans="1:6" hidden="1" x14ac:dyDescent="0.3">
      <c r="A230" s="6">
        <v>2</v>
      </c>
      <c r="B230" s="6" t="s">
        <v>85</v>
      </c>
      <c r="C230" s="6" t="s">
        <v>444</v>
      </c>
      <c r="D230" s="6" t="s">
        <v>86</v>
      </c>
      <c r="E230" s="11">
        <v>1.5722066164016724</v>
      </c>
      <c r="F230" s="11">
        <v>0.9498971700668335</v>
      </c>
    </row>
    <row r="231" spans="1:6" hidden="1" x14ac:dyDescent="0.3">
      <c r="A231" s="6">
        <v>2</v>
      </c>
      <c r="B231" s="6" t="s">
        <v>85</v>
      </c>
      <c r="C231" s="6" t="s">
        <v>445</v>
      </c>
      <c r="D231" s="6" t="s">
        <v>86</v>
      </c>
      <c r="E231" s="11">
        <v>1.1452043056488037</v>
      </c>
      <c r="F231" s="11">
        <v>0.9498971700668335</v>
      </c>
    </row>
    <row r="232" spans="1:6" hidden="1" x14ac:dyDescent="0.3">
      <c r="A232" s="6">
        <v>2</v>
      </c>
      <c r="B232" s="6" t="s">
        <v>85</v>
      </c>
      <c r="C232" s="6" t="s">
        <v>446</v>
      </c>
      <c r="D232" s="6" t="s">
        <v>86</v>
      </c>
      <c r="E232" s="11">
        <v>0.93809199333190918</v>
      </c>
      <c r="F232" s="11">
        <v>0.9498971700668335</v>
      </c>
    </row>
    <row r="233" spans="1:6" hidden="1" x14ac:dyDescent="0.3">
      <c r="A233" s="6">
        <v>2</v>
      </c>
      <c r="B233" s="6" t="s">
        <v>85</v>
      </c>
      <c r="C233" s="6" t="s">
        <v>447</v>
      </c>
      <c r="D233" s="6" t="s">
        <v>86</v>
      </c>
      <c r="E233" s="11">
        <v>0.95004051923751831</v>
      </c>
      <c r="F233" s="11">
        <v>0.9498971700668335</v>
      </c>
    </row>
    <row r="234" spans="1:6" hidden="1" x14ac:dyDescent="0.3">
      <c r="A234" s="6">
        <v>2</v>
      </c>
      <c r="B234" s="6" t="s">
        <v>85</v>
      </c>
      <c r="C234" s="6" t="s">
        <v>448</v>
      </c>
      <c r="D234" s="6" t="s">
        <v>86</v>
      </c>
      <c r="E234" s="11">
        <v>0.81914186477661133</v>
      </c>
      <c r="F234" s="11">
        <v>0.9498971700668335</v>
      </c>
    </row>
    <row r="235" spans="1:6" hidden="1" x14ac:dyDescent="0.3">
      <c r="A235" s="6">
        <v>2</v>
      </c>
      <c r="B235" s="6" t="s">
        <v>85</v>
      </c>
      <c r="C235" s="6" t="s">
        <v>449</v>
      </c>
      <c r="D235" s="6" t="s">
        <v>86</v>
      </c>
      <c r="E235" s="11">
        <v>0.83335608243942261</v>
      </c>
      <c r="F235" s="11">
        <v>0.9498971700668335</v>
      </c>
    </row>
    <row r="236" spans="1:6" hidden="1" x14ac:dyDescent="0.3">
      <c r="A236" s="6">
        <v>2</v>
      </c>
      <c r="B236" s="6" t="s">
        <v>85</v>
      </c>
      <c r="C236" s="6" t="s">
        <v>450</v>
      </c>
      <c r="D236" s="6" t="s">
        <v>86</v>
      </c>
      <c r="E236" s="11">
        <v>0.93730151653289795</v>
      </c>
      <c r="F236" s="11">
        <v>0.9498971700668335</v>
      </c>
    </row>
    <row r="237" spans="1:6" hidden="1" x14ac:dyDescent="0.3">
      <c r="A237" s="6">
        <v>2</v>
      </c>
      <c r="B237" s="6" t="s">
        <v>85</v>
      </c>
      <c r="C237" s="6" t="s">
        <v>451</v>
      </c>
      <c r="D237" s="6" t="s">
        <v>86</v>
      </c>
      <c r="E237" s="11">
        <v>0.94743061065673828</v>
      </c>
      <c r="F237" s="11">
        <v>0.9498971700668335</v>
      </c>
    </row>
    <row r="238" spans="1:6" hidden="1" x14ac:dyDescent="0.3">
      <c r="A238" s="6">
        <v>2</v>
      </c>
      <c r="B238" s="6" t="s">
        <v>85</v>
      </c>
      <c r="C238" s="6" t="s">
        <v>452</v>
      </c>
      <c r="D238" s="6" t="s">
        <v>86</v>
      </c>
      <c r="E238" s="11">
        <v>1.1198896169662476</v>
      </c>
      <c r="F238" s="11">
        <v>0.9498971700668335</v>
      </c>
    </row>
    <row r="239" spans="1:6" hidden="1" x14ac:dyDescent="0.3">
      <c r="A239" s="6">
        <v>2</v>
      </c>
      <c r="B239" s="6" t="s">
        <v>85</v>
      </c>
      <c r="C239" s="6" t="s">
        <v>453</v>
      </c>
      <c r="D239" s="6" t="s">
        <v>86</v>
      </c>
      <c r="E239" s="11">
        <v>0.93549549579620361</v>
      </c>
      <c r="F239" s="11">
        <v>0.9498971700668335</v>
      </c>
    </row>
    <row r="240" spans="1:6" hidden="1" x14ac:dyDescent="0.3">
      <c r="A240" s="6">
        <v>2</v>
      </c>
      <c r="B240" s="6" t="s">
        <v>85</v>
      </c>
      <c r="C240" s="6" t="s">
        <v>454</v>
      </c>
      <c r="D240" s="6" t="s">
        <v>86</v>
      </c>
      <c r="E240" s="11">
        <v>4.3818821907043457</v>
      </c>
      <c r="F240" s="11">
        <v>0.9498971700668335</v>
      </c>
    </row>
    <row r="241" spans="1:6" hidden="1" x14ac:dyDescent="0.3">
      <c r="A241" s="6">
        <v>2</v>
      </c>
      <c r="B241" s="6" t="s">
        <v>85</v>
      </c>
      <c r="C241" s="6" t="s">
        <v>455</v>
      </c>
      <c r="D241" s="6" t="s">
        <v>86</v>
      </c>
      <c r="E241" s="11">
        <v>0.86330312490463257</v>
      </c>
      <c r="F241" s="11">
        <v>0.9498971700668335</v>
      </c>
    </row>
    <row r="242" spans="1:6" hidden="1" x14ac:dyDescent="0.3">
      <c r="A242" s="6">
        <v>2</v>
      </c>
      <c r="B242" s="6" t="s">
        <v>85</v>
      </c>
      <c r="C242" s="6" t="s">
        <v>456</v>
      </c>
      <c r="D242" s="6" t="s">
        <v>86</v>
      </c>
      <c r="E242" s="11">
        <v>22.10999870300293</v>
      </c>
      <c r="F242" s="11">
        <v>0.9498971700668335</v>
      </c>
    </row>
    <row r="243" spans="1:6" hidden="1" x14ac:dyDescent="0.3">
      <c r="A243" s="6">
        <v>2</v>
      </c>
      <c r="B243" s="6" t="s">
        <v>85</v>
      </c>
      <c r="C243" s="6" t="s">
        <v>457</v>
      </c>
      <c r="D243" s="6" t="s">
        <v>86</v>
      </c>
      <c r="E243" s="11">
        <v>1.1354893445968628</v>
      </c>
      <c r="F243" s="11">
        <v>0.9498971700668335</v>
      </c>
    </row>
    <row r="244" spans="1:6" hidden="1" x14ac:dyDescent="0.3">
      <c r="A244" s="6">
        <v>2</v>
      </c>
      <c r="B244" s="6" t="s">
        <v>85</v>
      </c>
      <c r="C244" s="6" t="s">
        <v>458</v>
      </c>
      <c r="D244" s="6" t="s">
        <v>86</v>
      </c>
      <c r="E244" s="11">
        <v>0.96677160263061523</v>
      </c>
      <c r="F244" s="11">
        <v>0.9498971700668335</v>
      </c>
    </row>
    <row r="245" spans="1:6" hidden="1" x14ac:dyDescent="0.3">
      <c r="A245" s="6">
        <v>2</v>
      </c>
      <c r="B245" s="6" t="s">
        <v>85</v>
      </c>
      <c r="C245" s="6" t="s">
        <v>459</v>
      </c>
      <c r="D245" s="6" t="s">
        <v>86</v>
      </c>
      <c r="E245" s="11">
        <v>1.3948090076446533</v>
      </c>
      <c r="F245" s="11">
        <v>0.9498971700668335</v>
      </c>
    </row>
    <row r="246" spans="1:6" hidden="1" x14ac:dyDescent="0.3">
      <c r="A246" s="6">
        <v>2</v>
      </c>
      <c r="B246" s="6" t="s">
        <v>85</v>
      </c>
      <c r="C246" s="6" t="s">
        <v>460</v>
      </c>
      <c r="D246" s="6" t="s">
        <v>86</v>
      </c>
      <c r="E246" s="11">
        <v>1.2768199443817139</v>
      </c>
      <c r="F246" s="11">
        <v>0.9498971700668335</v>
      </c>
    </row>
    <row r="247" spans="1:6" hidden="1" x14ac:dyDescent="0.3">
      <c r="A247" s="6">
        <v>2</v>
      </c>
      <c r="B247" s="6" t="s">
        <v>85</v>
      </c>
      <c r="C247" s="6" t="s">
        <v>461</v>
      </c>
      <c r="D247" s="6" t="s">
        <v>86</v>
      </c>
      <c r="E247" s="11">
        <v>0.87412732839584351</v>
      </c>
      <c r="F247" s="11">
        <v>0.9498971700668335</v>
      </c>
    </row>
    <row r="248" spans="1:6" hidden="1" x14ac:dyDescent="0.3">
      <c r="A248" s="6">
        <v>2</v>
      </c>
      <c r="B248" s="6" t="s">
        <v>85</v>
      </c>
      <c r="C248" s="6" t="s">
        <v>462</v>
      </c>
      <c r="D248" s="6" t="s">
        <v>86</v>
      </c>
      <c r="E248" s="11">
        <v>0.71775001287460327</v>
      </c>
      <c r="F248" s="11">
        <v>0.9498971700668335</v>
      </c>
    </row>
    <row r="249" spans="1:6" hidden="1" x14ac:dyDescent="0.3">
      <c r="A249" s="6">
        <v>2</v>
      </c>
      <c r="B249" s="6" t="s">
        <v>85</v>
      </c>
      <c r="C249" s="6" t="s">
        <v>463</v>
      </c>
      <c r="D249" s="6" t="s">
        <v>86</v>
      </c>
      <c r="E249" s="11">
        <v>2.3030407428741455</v>
      </c>
      <c r="F249" s="11">
        <v>0.9498971700668335</v>
      </c>
    </row>
    <row r="250" spans="1:6" hidden="1" x14ac:dyDescent="0.3">
      <c r="A250" s="6">
        <v>2</v>
      </c>
      <c r="B250" s="6" t="s">
        <v>85</v>
      </c>
      <c r="C250" s="6" t="s">
        <v>464</v>
      </c>
      <c r="D250" s="6" t="s">
        <v>86</v>
      </c>
      <c r="E250" s="11">
        <v>1.0474361181259155</v>
      </c>
      <c r="F250" s="11">
        <v>0.9498971700668335</v>
      </c>
    </row>
    <row r="251" spans="1:6" hidden="1" x14ac:dyDescent="0.3">
      <c r="A251" s="6">
        <v>2</v>
      </c>
      <c r="B251" s="6" t="s">
        <v>85</v>
      </c>
      <c r="C251" s="6" t="s">
        <v>465</v>
      </c>
      <c r="D251" s="6" t="s">
        <v>86</v>
      </c>
      <c r="E251" s="11">
        <v>0.79320544004440308</v>
      </c>
      <c r="F251" s="11">
        <v>0.9498971700668335</v>
      </c>
    </row>
    <row r="252" spans="1:6" hidden="1" x14ac:dyDescent="0.3">
      <c r="A252" s="6">
        <v>2</v>
      </c>
      <c r="B252" s="6" t="s">
        <v>85</v>
      </c>
      <c r="C252" s="6" t="s">
        <v>466</v>
      </c>
      <c r="D252" s="6" t="s">
        <v>86</v>
      </c>
      <c r="E252" s="11">
        <v>1.3041493892669678</v>
      </c>
      <c r="F252" s="11">
        <v>0.9498971700668335</v>
      </c>
    </row>
    <row r="253" spans="1:6" hidden="1" x14ac:dyDescent="0.3">
      <c r="A253" s="6">
        <v>2</v>
      </c>
      <c r="B253" s="6" t="s">
        <v>85</v>
      </c>
      <c r="C253" s="6" t="s">
        <v>467</v>
      </c>
      <c r="D253" s="6" t="s">
        <v>86</v>
      </c>
      <c r="E253" s="11">
        <v>25.800081253051758</v>
      </c>
      <c r="F253" s="11">
        <v>0.9498971700668335</v>
      </c>
    </row>
    <row r="254" spans="1:6" hidden="1" x14ac:dyDescent="0.3">
      <c r="A254" s="6">
        <v>2</v>
      </c>
      <c r="B254" s="6" t="s">
        <v>85</v>
      </c>
      <c r="C254" s="6" t="s">
        <v>468</v>
      </c>
      <c r="D254" s="6" t="s">
        <v>86</v>
      </c>
      <c r="E254" s="11">
        <v>1.1088314056396484</v>
      </c>
      <c r="F254" s="11">
        <v>0.9498971700668335</v>
      </c>
    </row>
    <row r="255" spans="1:6" hidden="1" x14ac:dyDescent="0.3">
      <c r="A255" s="6">
        <v>2</v>
      </c>
      <c r="B255" s="6" t="s">
        <v>85</v>
      </c>
      <c r="C255" s="6" t="s">
        <v>469</v>
      </c>
      <c r="D255" s="6" t="s">
        <v>86</v>
      </c>
      <c r="E255" s="11">
        <v>1.3208432197570801</v>
      </c>
      <c r="F255" s="11">
        <v>0.9498971700668335</v>
      </c>
    </row>
    <row r="256" spans="1:6" hidden="1" x14ac:dyDescent="0.3">
      <c r="A256" s="6">
        <v>2</v>
      </c>
      <c r="B256" s="6" t="s">
        <v>85</v>
      </c>
      <c r="C256" s="6" t="s">
        <v>470</v>
      </c>
      <c r="D256" s="6" t="s">
        <v>86</v>
      </c>
      <c r="E256" s="11">
        <v>0.74563604593276978</v>
      </c>
      <c r="F256" s="11">
        <v>0.9498971700668335</v>
      </c>
    </row>
    <row r="257" spans="1:6" hidden="1" x14ac:dyDescent="0.3">
      <c r="A257" s="6">
        <v>2</v>
      </c>
      <c r="B257" s="6" t="s">
        <v>85</v>
      </c>
      <c r="C257" s="6" t="s">
        <v>471</v>
      </c>
      <c r="D257" s="6" t="s">
        <v>86</v>
      </c>
      <c r="E257" s="11">
        <v>0.91243952512741089</v>
      </c>
      <c r="F257" s="11">
        <v>0.9498971700668335</v>
      </c>
    </row>
    <row r="258" spans="1:6" hidden="1" x14ac:dyDescent="0.3">
      <c r="A258" s="6">
        <v>2</v>
      </c>
      <c r="B258" s="6" t="s">
        <v>85</v>
      </c>
      <c r="C258" s="6" t="s">
        <v>472</v>
      </c>
      <c r="D258" s="6" t="s">
        <v>86</v>
      </c>
      <c r="E258" s="11">
        <v>12.831042289733887</v>
      </c>
      <c r="F258" s="11">
        <v>0.9498971700668335</v>
      </c>
    </row>
    <row r="259" spans="1:6" hidden="1" x14ac:dyDescent="0.3">
      <c r="A259" s="6">
        <v>2</v>
      </c>
      <c r="B259" s="6" t="s">
        <v>85</v>
      </c>
      <c r="C259" s="6" t="s">
        <v>473</v>
      </c>
      <c r="D259" s="6" t="s">
        <v>86</v>
      </c>
      <c r="E259" s="11">
        <v>1.7128239870071411</v>
      </c>
      <c r="F259" s="11">
        <v>0.9498971700668335</v>
      </c>
    </row>
    <row r="260" spans="1:6" hidden="1" x14ac:dyDescent="0.3">
      <c r="A260" s="6">
        <v>2</v>
      </c>
      <c r="B260" s="6" t="s">
        <v>85</v>
      </c>
      <c r="C260" s="6" t="s">
        <v>474</v>
      </c>
      <c r="D260" s="6" t="s">
        <v>86</v>
      </c>
      <c r="E260" s="11">
        <v>1.5055688619613647</v>
      </c>
      <c r="F260" s="11">
        <v>0.9498971700668335</v>
      </c>
    </row>
    <row r="261" spans="1:6" hidden="1" x14ac:dyDescent="0.3">
      <c r="A261" s="6">
        <v>2</v>
      </c>
      <c r="B261" s="6" t="s">
        <v>85</v>
      </c>
      <c r="C261" s="6" t="s">
        <v>475</v>
      </c>
      <c r="D261" s="6" t="s">
        <v>86</v>
      </c>
      <c r="E261" s="11">
        <v>0.82596355676651001</v>
      </c>
      <c r="F261" s="11">
        <v>0.9498971700668335</v>
      </c>
    </row>
    <row r="262" spans="1:6" hidden="1" x14ac:dyDescent="0.3">
      <c r="A262" s="6">
        <v>2</v>
      </c>
      <c r="B262" s="6" t="s">
        <v>85</v>
      </c>
      <c r="C262" s="6" t="s">
        <v>476</v>
      </c>
      <c r="D262" s="6" t="s">
        <v>86</v>
      </c>
      <c r="E262" s="11">
        <v>1.9531660079956055</v>
      </c>
      <c r="F262" s="11">
        <v>0.9498971700668335</v>
      </c>
    </row>
    <row r="263" spans="1:6" hidden="1" x14ac:dyDescent="0.3">
      <c r="A263" s="6">
        <v>2</v>
      </c>
      <c r="B263" s="6" t="s">
        <v>85</v>
      </c>
      <c r="C263" s="6" t="s">
        <v>477</v>
      </c>
      <c r="D263" s="6" t="s">
        <v>86</v>
      </c>
      <c r="E263" s="11">
        <v>1.099770188331604</v>
      </c>
      <c r="F263" s="11">
        <v>0.9498971700668335</v>
      </c>
    </row>
    <row r="264" spans="1:6" hidden="1" x14ac:dyDescent="0.3">
      <c r="A264" s="6">
        <v>2</v>
      </c>
      <c r="B264" s="6" t="s">
        <v>85</v>
      </c>
      <c r="C264" s="6" t="s">
        <v>478</v>
      </c>
      <c r="D264" s="6" t="s">
        <v>86</v>
      </c>
      <c r="E264" s="11">
        <v>1.1271634101867676</v>
      </c>
      <c r="F264" s="11">
        <v>0.9498971700668335</v>
      </c>
    </row>
    <row r="265" spans="1:6" hidden="1" x14ac:dyDescent="0.3">
      <c r="A265" s="6">
        <v>2</v>
      </c>
      <c r="B265" s="6" t="s">
        <v>85</v>
      </c>
      <c r="C265" s="6" t="s">
        <v>479</v>
      </c>
      <c r="D265" s="6" t="s">
        <v>86</v>
      </c>
      <c r="E265" s="11">
        <v>1.0935759544372559</v>
      </c>
      <c r="F265" s="11">
        <v>0.9498971700668335</v>
      </c>
    </row>
    <row r="266" spans="1:6" hidden="1" x14ac:dyDescent="0.3">
      <c r="A266" s="6">
        <v>2</v>
      </c>
      <c r="B266" s="6" t="s">
        <v>85</v>
      </c>
      <c r="C266" s="6" t="s">
        <v>480</v>
      </c>
      <c r="D266" s="6" t="s">
        <v>86</v>
      </c>
      <c r="E266" s="11">
        <v>1.4252220392227173</v>
      </c>
      <c r="F266" s="11">
        <v>0.9498971700668335</v>
      </c>
    </row>
    <row r="267" spans="1:6" hidden="1" x14ac:dyDescent="0.3">
      <c r="A267" s="6">
        <v>2</v>
      </c>
      <c r="B267" s="6" t="s">
        <v>85</v>
      </c>
      <c r="C267" s="6" t="s">
        <v>481</v>
      </c>
      <c r="D267" s="6" t="s">
        <v>86</v>
      </c>
      <c r="E267" s="11">
        <v>1.0777333974838257</v>
      </c>
      <c r="F267" s="11">
        <v>0.9498971700668335</v>
      </c>
    </row>
    <row r="268" spans="1:6" hidden="1" x14ac:dyDescent="0.3">
      <c r="A268" s="6">
        <v>2</v>
      </c>
      <c r="B268" s="6" t="s">
        <v>85</v>
      </c>
      <c r="C268" s="6" t="s">
        <v>482</v>
      </c>
      <c r="D268" s="6" t="s">
        <v>86</v>
      </c>
      <c r="E268" s="11">
        <v>1.1114882230758667</v>
      </c>
      <c r="F268" s="11">
        <v>0.9498971700668335</v>
      </c>
    </row>
    <row r="269" spans="1:6" hidden="1" x14ac:dyDescent="0.3">
      <c r="A269" s="6">
        <v>2</v>
      </c>
      <c r="B269" s="6" t="s">
        <v>85</v>
      </c>
      <c r="C269" s="6" t="s">
        <v>483</v>
      </c>
      <c r="D269" s="6" t="s">
        <v>86</v>
      </c>
      <c r="E269" s="11">
        <v>2.3002767562866211</v>
      </c>
      <c r="F269" s="11">
        <v>0.9498971700668335</v>
      </c>
    </row>
    <row r="270" spans="1:6" hidden="1" x14ac:dyDescent="0.3">
      <c r="A270" s="6">
        <v>2</v>
      </c>
      <c r="B270" s="6" t="s">
        <v>85</v>
      </c>
      <c r="C270" s="6" t="s">
        <v>484</v>
      </c>
      <c r="D270" s="6" t="s">
        <v>86</v>
      </c>
      <c r="E270" s="11">
        <v>0.9967876672744751</v>
      </c>
      <c r="F270" s="11">
        <v>0.9498971700668335</v>
      </c>
    </row>
    <row r="271" spans="1:6" hidden="1" x14ac:dyDescent="0.3">
      <c r="A271" s="6">
        <v>2</v>
      </c>
      <c r="B271" s="6" t="s">
        <v>85</v>
      </c>
      <c r="C271" s="6" t="s">
        <v>485</v>
      </c>
      <c r="D271" s="6" t="s">
        <v>86</v>
      </c>
      <c r="E271" s="11">
        <v>0.76721775531768799</v>
      </c>
      <c r="F271" s="11">
        <v>0.9498971700668335</v>
      </c>
    </row>
    <row r="272" spans="1:6" hidden="1" x14ac:dyDescent="0.3">
      <c r="A272" s="6">
        <v>2</v>
      </c>
      <c r="B272" s="6" t="s">
        <v>85</v>
      </c>
      <c r="C272" s="6" t="s">
        <v>486</v>
      </c>
      <c r="D272" s="6" t="s">
        <v>86</v>
      </c>
      <c r="E272" s="11">
        <v>1.2479532957077026</v>
      </c>
      <c r="F272" s="11">
        <v>0.9498971700668335</v>
      </c>
    </row>
    <row r="273" spans="1:6" hidden="1" x14ac:dyDescent="0.3">
      <c r="A273" s="6">
        <v>2</v>
      </c>
      <c r="B273" s="6" t="s">
        <v>85</v>
      </c>
      <c r="C273" s="6" t="s">
        <v>487</v>
      </c>
      <c r="D273" s="6" t="s">
        <v>86</v>
      </c>
      <c r="E273" s="11">
        <v>2.8131692409515381</v>
      </c>
      <c r="F273" s="11">
        <v>0.9498971700668335</v>
      </c>
    </row>
    <row r="274" spans="1:6" hidden="1" x14ac:dyDescent="0.3">
      <c r="A274" s="6">
        <v>2</v>
      </c>
      <c r="B274" s="6" t="s">
        <v>85</v>
      </c>
      <c r="C274" s="6" t="s">
        <v>488</v>
      </c>
      <c r="D274" s="6" t="s">
        <v>86</v>
      </c>
      <c r="E274" s="11">
        <v>1.2136993408203125</v>
      </c>
      <c r="F274" s="11">
        <v>0.9498971700668335</v>
      </c>
    </row>
    <row r="275" spans="1:6" hidden="1" x14ac:dyDescent="0.3">
      <c r="A275" s="6">
        <v>2</v>
      </c>
      <c r="B275" s="6" t="s">
        <v>85</v>
      </c>
      <c r="C275" s="6" t="s">
        <v>489</v>
      </c>
      <c r="D275" s="6" t="s">
        <v>86</v>
      </c>
      <c r="E275" s="11">
        <v>2.0301012992858887</v>
      </c>
      <c r="F275" s="11">
        <v>0.9498971700668335</v>
      </c>
    </row>
    <row r="276" spans="1:6" hidden="1" x14ac:dyDescent="0.3">
      <c r="A276" s="6">
        <v>2</v>
      </c>
      <c r="B276" s="6" t="s">
        <v>85</v>
      </c>
      <c r="C276" s="6" t="s">
        <v>490</v>
      </c>
      <c r="D276" s="6" t="s">
        <v>86</v>
      </c>
      <c r="E276" s="11">
        <v>1.1396415233612061</v>
      </c>
      <c r="F276" s="11">
        <v>0.9498971700668335</v>
      </c>
    </row>
    <row r="277" spans="1:6" hidden="1" x14ac:dyDescent="0.3">
      <c r="A277" s="6">
        <v>2</v>
      </c>
      <c r="B277" s="6" t="s">
        <v>85</v>
      </c>
      <c r="C277" s="6" t="s">
        <v>491</v>
      </c>
      <c r="D277" s="6" t="s">
        <v>86</v>
      </c>
      <c r="E277" s="11">
        <v>1.7138632535934448</v>
      </c>
      <c r="F277" s="11">
        <v>0.9498971700668335</v>
      </c>
    </row>
    <row r="278" spans="1:6" hidden="1" x14ac:dyDescent="0.3">
      <c r="A278" s="6">
        <v>2</v>
      </c>
      <c r="B278" s="6" t="s">
        <v>85</v>
      </c>
      <c r="C278" s="6" t="s">
        <v>492</v>
      </c>
      <c r="D278" s="6" t="s">
        <v>86</v>
      </c>
      <c r="E278" s="11">
        <v>1.1553709506988525</v>
      </c>
      <c r="F278" s="11">
        <v>0.9498971700668335</v>
      </c>
    </row>
    <row r="279" spans="1:6" hidden="1" x14ac:dyDescent="0.3">
      <c r="A279" s="6">
        <v>2</v>
      </c>
      <c r="B279" s="6" t="s">
        <v>85</v>
      </c>
      <c r="C279" s="6" t="s">
        <v>493</v>
      </c>
      <c r="D279" s="6" t="s">
        <v>86</v>
      </c>
      <c r="E279" s="11">
        <v>1.2243127822875977</v>
      </c>
      <c r="F279" s="11">
        <v>0.9498971700668335</v>
      </c>
    </row>
    <row r="280" spans="1:6" hidden="1" x14ac:dyDescent="0.3">
      <c r="A280" s="6">
        <v>2</v>
      </c>
      <c r="B280" s="6" t="s">
        <v>85</v>
      </c>
      <c r="C280" s="6" t="s">
        <v>494</v>
      </c>
      <c r="D280" s="6" t="s">
        <v>86</v>
      </c>
      <c r="E280" s="11">
        <v>2.1137068271636963</v>
      </c>
      <c r="F280" s="11">
        <v>0.9498971700668335</v>
      </c>
    </row>
    <row r="281" spans="1:6" hidden="1" x14ac:dyDescent="0.3">
      <c r="A281" s="6">
        <v>2</v>
      </c>
      <c r="B281" s="6" t="s">
        <v>85</v>
      </c>
      <c r="C281" s="6" t="s">
        <v>495</v>
      </c>
      <c r="D281" s="6" t="s">
        <v>86</v>
      </c>
      <c r="E281" s="11">
        <v>1.0116586685180664</v>
      </c>
      <c r="F281" s="11">
        <v>0.9498971700668335</v>
      </c>
    </row>
    <row r="282" spans="1:6" hidden="1" x14ac:dyDescent="0.3">
      <c r="A282" s="6">
        <v>3</v>
      </c>
      <c r="B282" s="6" t="s">
        <v>87</v>
      </c>
      <c r="C282" s="6" t="s">
        <v>356</v>
      </c>
      <c r="D282" s="6" t="s">
        <v>88</v>
      </c>
      <c r="E282" s="11">
        <v>0.79803764820098877</v>
      </c>
      <c r="F282" s="11">
        <v>0.89471268653869629</v>
      </c>
    </row>
    <row r="283" spans="1:6" hidden="1" x14ac:dyDescent="0.3">
      <c r="A283" s="6">
        <v>3</v>
      </c>
      <c r="B283" s="6" t="s">
        <v>87</v>
      </c>
      <c r="C283" s="6" t="s">
        <v>357</v>
      </c>
      <c r="D283" s="6" t="s">
        <v>88</v>
      </c>
      <c r="E283" s="11">
        <v>7.9224462509155273</v>
      </c>
      <c r="F283" s="11">
        <v>0.89471268653869629</v>
      </c>
    </row>
    <row r="284" spans="1:6" hidden="1" x14ac:dyDescent="0.3">
      <c r="A284" s="6">
        <v>3</v>
      </c>
      <c r="B284" s="6" t="s">
        <v>87</v>
      </c>
      <c r="C284" s="6" t="s">
        <v>358</v>
      </c>
      <c r="D284" s="6" t="s">
        <v>88</v>
      </c>
      <c r="E284" s="11">
        <v>0.91690391302108765</v>
      </c>
      <c r="F284" s="11">
        <v>0.89471268653869629</v>
      </c>
    </row>
    <row r="285" spans="1:6" hidden="1" x14ac:dyDescent="0.3">
      <c r="A285" s="6">
        <v>3</v>
      </c>
      <c r="B285" s="6" t="s">
        <v>87</v>
      </c>
      <c r="C285" s="6" t="s">
        <v>359</v>
      </c>
      <c r="D285" s="6" t="s">
        <v>88</v>
      </c>
      <c r="E285" s="11">
        <v>1.0781745910644531</v>
      </c>
      <c r="F285" s="11">
        <v>0.89471268653869629</v>
      </c>
    </row>
    <row r="286" spans="1:6" hidden="1" x14ac:dyDescent="0.3">
      <c r="A286" s="6">
        <v>3</v>
      </c>
      <c r="B286" s="6" t="s">
        <v>87</v>
      </c>
      <c r="C286" s="6" t="s">
        <v>360</v>
      </c>
      <c r="D286" s="6" t="s">
        <v>88</v>
      </c>
      <c r="E286" s="11">
        <v>0.96429800987243652</v>
      </c>
      <c r="F286" s="11">
        <v>0.89471268653869629</v>
      </c>
    </row>
    <row r="287" spans="1:6" hidden="1" x14ac:dyDescent="0.3">
      <c r="A287" s="6">
        <v>3</v>
      </c>
      <c r="B287" s="6" t="s">
        <v>87</v>
      </c>
      <c r="C287" s="6" t="s">
        <v>361</v>
      </c>
      <c r="D287" s="6" t="s">
        <v>88</v>
      </c>
      <c r="E287" s="11">
        <v>1.2133630514144897</v>
      </c>
      <c r="F287" s="11">
        <v>0.89471268653869629</v>
      </c>
    </row>
    <row r="288" spans="1:6" hidden="1" x14ac:dyDescent="0.3">
      <c r="A288" s="6">
        <v>3</v>
      </c>
      <c r="B288" s="6" t="s">
        <v>87</v>
      </c>
      <c r="C288" s="6" t="s">
        <v>362</v>
      </c>
      <c r="D288" s="6" t="s">
        <v>88</v>
      </c>
      <c r="E288" s="11">
        <v>0.92417699098587036</v>
      </c>
      <c r="F288" s="11">
        <v>0.89471268653869629</v>
      </c>
    </row>
    <row r="289" spans="1:6" hidden="1" x14ac:dyDescent="0.3">
      <c r="A289" s="6">
        <v>3</v>
      </c>
      <c r="B289" s="6" t="s">
        <v>87</v>
      </c>
      <c r="C289" s="6" t="s">
        <v>363</v>
      </c>
      <c r="D289" s="6" t="s">
        <v>88</v>
      </c>
      <c r="E289" s="11">
        <v>1.2634371519088745</v>
      </c>
      <c r="F289" s="11">
        <v>0.89471268653869629</v>
      </c>
    </row>
    <row r="290" spans="1:6" hidden="1" x14ac:dyDescent="0.3">
      <c r="A290" s="6">
        <v>3</v>
      </c>
      <c r="B290" s="6" t="s">
        <v>87</v>
      </c>
      <c r="C290" s="6" t="s">
        <v>364</v>
      </c>
      <c r="D290" s="6" t="s">
        <v>88</v>
      </c>
      <c r="E290" s="11">
        <v>1.2528262138366699</v>
      </c>
      <c r="F290" s="11">
        <v>0.89471268653869629</v>
      </c>
    </row>
    <row r="291" spans="1:6" hidden="1" x14ac:dyDescent="0.3">
      <c r="A291" s="6">
        <v>3</v>
      </c>
      <c r="B291" s="6" t="s">
        <v>87</v>
      </c>
      <c r="C291" s="6" t="s">
        <v>365</v>
      </c>
      <c r="D291" s="6" t="s">
        <v>88</v>
      </c>
      <c r="E291" s="11">
        <v>1.1852397918701172</v>
      </c>
      <c r="F291" s="11">
        <v>0.89471268653869629</v>
      </c>
    </row>
    <row r="292" spans="1:6" hidden="1" x14ac:dyDescent="0.3">
      <c r="A292" s="6">
        <v>3</v>
      </c>
      <c r="B292" s="6" t="s">
        <v>87</v>
      </c>
      <c r="C292" s="6" t="s">
        <v>366</v>
      </c>
      <c r="D292" s="6" t="s">
        <v>88</v>
      </c>
      <c r="E292" s="11">
        <v>0.89781224727630615</v>
      </c>
      <c r="F292" s="11">
        <v>0.89471268653869629</v>
      </c>
    </row>
    <row r="293" spans="1:6" hidden="1" x14ac:dyDescent="0.3">
      <c r="A293" s="6">
        <v>3</v>
      </c>
      <c r="B293" s="6" t="s">
        <v>87</v>
      </c>
      <c r="C293" s="6" t="s">
        <v>367</v>
      </c>
      <c r="D293" s="6" t="s">
        <v>88</v>
      </c>
      <c r="E293" s="11">
        <v>1.8579093217849731</v>
      </c>
      <c r="F293" s="11">
        <v>0.89471268653869629</v>
      </c>
    </row>
    <row r="294" spans="1:6" hidden="1" x14ac:dyDescent="0.3">
      <c r="A294" s="6">
        <v>3</v>
      </c>
      <c r="B294" s="6" t="s">
        <v>87</v>
      </c>
      <c r="C294" s="6" t="s">
        <v>368</v>
      </c>
      <c r="D294" s="6" t="s">
        <v>88</v>
      </c>
      <c r="E294" s="11">
        <v>0.95497006177902222</v>
      </c>
      <c r="F294" s="11">
        <v>0.89471268653869629</v>
      </c>
    </row>
    <row r="295" spans="1:6" hidden="1" x14ac:dyDescent="0.3">
      <c r="A295" s="6">
        <v>3</v>
      </c>
      <c r="B295" s="6" t="s">
        <v>87</v>
      </c>
      <c r="C295" s="6" t="s">
        <v>369</v>
      </c>
      <c r="D295" s="6" t="s">
        <v>88</v>
      </c>
      <c r="E295" s="11">
        <v>1.6185221672058105</v>
      </c>
      <c r="F295" s="11">
        <v>0.89471268653869629</v>
      </c>
    </row>
    <row r="296" spans="1:6" hidden="1" x14ac:dyDescent="0.3">
      <c r="A296" s="6">
        <v>3</v>
      </c>
      <c r="B296" s="6" t="s">
        <v>87</v>
      </c>
      <c r="C296" s="6" t="s">
        <v>370</v>
      </c>
      <c r="D296" s="6" t="s">
        <v>88</v>
      </c>
      <c r="E296" s="11">
        <v>0.93208003044128418</v>
      </c>
      <c r="F296" s="11">
        <v>0.89471268653869629</v>
      </c>
    </row>
    <row r="297" spans="1:6" hidden="1" x14ac:dyDescent="0.3">
      <c r="A297" s="6">
        <v>3</v>
      </c>
      <c r="B297" s="6" t="s">
        <v>87</v>
      </c>
      <c r="C297" s="6" t="s">
        <v>371</v>
      </c>
      <c r="D297" s="6" t="s">
        <v>88</v>
      </c>
      <c r="E297" s="11">
        <v>0.8049737811088562</v>
      </c>
      <c r="F297" s="11">
        <v>0.89471268653869629</v>
      </c>
    </row>
    <row r="298" spans="1:6" hidden="1" x14ac:dyDescent="0.3">
      <c r="A298" s="6">
        <v>3</v>
      </c>
      <c r="B298" s="6" t="s">
        <v>87</v>
      </c>
      <c r="C298" s="6" t="s">
        <v>372</v>
      </c>
      <c r="D298" s="6" t="s">
        <v>88</v>
      </c>
      <c r="E298" s="11"/>
      <c r="F298" s="11">
        <v>0.89471268653869629</v>
      </c>
    </row>
    <row r="299" spans="1:6" hidden="1" x14ac:dyDescent="0.3">
      <c r="A299" s="6">
        <v>3</v>
      </c>
      <c r="B299" s="6" t="s">
        <v>87</v>
      </c>
      <c r="C299" s="6" t="s">
        <v>373</v>
      </c>
      <c r="D299" s="6" t="s">
        <v>88</v>
      </c>
      <c r="E299" s="11">
        <v>0.8096807599067688</v>
      </c>
      <c r="F299" s="11">
        <v>0.89471268653869629</v>
      </c>
    </row>
    <row r="300" spans="1:6" hidden="1" x14ac:dyDescent="0.3">
      <c r="A300" s="6">
        <v>3</v>
      </c>
      <c r="B300" s="6" t="s">
        <v>87</v>
      </c>
      <c r="C300" s="6" t="s">
        <v>374</v>
      </c>
      <c r="D300" s="6" t="s">
        <v>88</v>
      </c>
      <c r="E300" s="11">
        <v>1.131455659866333</v>
      </c>
      <c r="F300" s="11">
        <v>0.89471268653869629</v>
      </c>
    </row>
    <row r="301" spans="1:6" hidden="1" x14ac:dyDescent="0.3">
      <c r="A301" s="6">
        <v>3</v>
      </c>
      <c r="B301" s="6" t="s">
        <v>87</v>
      </c>
      <c r="C301" s="6" t="s">
        <v>375</v>
      </c>
      <c r="D301" s="6" t="s">
        <v>88</v>
      </c>
      <c r="E301" s="11">
        <v>0.78139442205429077</v>
      </c>
      <c r="F301" s="11">
        <v>0.89471268653869629</v>
      </c>
    </row>
    <row r="302" spans="1:6" hidden="1" x14ac:dyDescent="0.3">
      <c r="A302" s="6">
        <v>3</v>
      </c>
      <c r="B302" s="6" t="s">
        <v>87</v>
      </c>
      <c r="C302" s="6" t="s">
        <v>376</v>
      </c>
      <c r="D302" s="6" t="s">
        <v>88</v>
      </c>
      <c r="E302" s="11">
        <v>1.127493143081665</v>
      </c>
      <c r="F302" s="11">
        <v>0.89471268653869629</v>
      </c>
    </row>
    <row r="303" spans="1:6" hidden="1" x14ac:dyDescent="0.3">
      <c r="A303" s="6">
        <v>3</v>
      </c>
      <c r="B303" s="6" t="s">
        <v>87</v>
      </c>
      <c r="C303" s="6" t="s">
        <v>377</v>
      </c>
      <c r="D303" s="6" t="s">
        <v>88</v>
      </c>
      <c r="E303" s="11">
        <v>0.95958274602890015</v>
      </c>
      <c r="F303" s="11">
        <v>0.89471268653869629</v>
      </c>
    </row>
    <row r="304" spans="1:6" hidden="1" x14ac:dyDescent="0.3">
      <c r="A304" s="6">
        <v>3</v>
      </c>
      <c r="B304" s="6" t="s">
        <v>87</v>
      </c>
      <c r="C304" s="6" t="s">
        <v>378</v>
      </c>
      <c r="D304" s="6" t="s">
        <v>88</v>
      </c>
      <c r="E304" s="11">
        <v>1.756888747215271</v>
      </c>
      <c r="F304" s="11">
        <v>0.89471268653869629</v>
      </c>
    </row>
    <row r="305" spans="1:6" hidden="1" x14ac:dyDescent="0.3">
      <c r="A305" s="6">
        <v>3</v>
      </c>
      <c r="B305" s="6" t="s">
        <v>87</v>
      </c>
      <c r="C305" s="6" t="s">
        <v>379</v>
      </c>
      <c r="D305" s="6" t="s">
        <v>88</v>
      </c>
      <c r="E305" s="11">
        <v>1.0663901567459106</v>
      </c>
      <c r="F305" s="11">
        <v>0.89471268653869629</v>
      </c>
    </row>
    <row r="306" spans="1:6" hidden="1" x14ac:dyDescent="0.3">
      <c r="A306" s="6">
        <v>3</v>
      </c>
      <c r="B306" s="6" t="s">
        <v>87</v>
      </c>
      <c r="C306" s="6" t="s">
        <v>380</v>
      </c>
      <c r="D306" s="6" t="s">
        <v>88</v>
      </c>
      <c r="E306" s="11">
        <v>0.84458547830581665</v>
      </c>
      <c r="F306" s="11">
        <v>0.89471268653869629</v>
      </c>
    </row>
    <row r="307" spans="1:6" hidden="1" x14ac:dyDescent="0.3">
      <c r="A307" s="6">
        <v>3</v>
      </c>
      <c r="B307" s="6" t="s">
        <v>87</v>
      </c>
      <c r="C307" s="6" t="s">
        <v>381</v>
      </c>
      <c r="D307" s="6" t="s">
        <v>88</v>
      </c>
      <c r="E307" s="11">
        <v>1.3613098859786987</v>
      </c>
      <c r="F307" s="11">
        <v>0.89471268653869629</v>
      </c>
    </row>
    <row r="308" spans="1:6" hidden="1" x14ac:dyDescent="0.3">
      <c r="A308" s="6">
        <v>3</v>
      </c>
      <c r="B308" s="6" t="s">
        <v>87</v>
      </c>
      <c r="C308" s="6" t="s">
        <v>382</v>
      </c>
      <c r="D308" s="6" t="s">
        <v>88</v>
      </c>
      <c r="E308" s="11">
        <v>0.94425606727600098</v>
      </c>
      <c r="F308" s="11">
        <v>0.89471268653869629</v>
      </c>
    </row>
    <row r="309" spans="1:6" hidden="1" x14ac:dyDescent="0.3">
      <c r="A309" s="6">
        <v>3</v>
      </c>
      <c r="B309" s="6" t="s">
        <v>87</v>
      </c>
      <c r="C309" s="6" t="s">
        <v>383</v>
      </c>
      <c r="D309" s="6" t="s">
        <v>88</v>
      </c>
      <c r="E309" s="11">
        <v>0.88281399011611938</v>
      </c>
      <c r="F309" s="11">
        <v>0.89471268653869629</v>
      </c>
    </row>
    <row r="310" spans="1:6" hidden="1" x14ac:dyDescent="0.3">
      <c r="A310" s="6">
        <v>3</v>
      </c>
      <c r="B310" s="6" t="s">
        <v>87</v>
      </c>
      <c r="C310" s="6" t="s">
        <v>384</v>
      </c>
      <c r="D310" s="6" t="s">
        <v>88</v>
      </c>
      <c r="E310" s="11">
        <v>1.0196114778518677</v>
      </c>
      <c r="F310" s="11">
        <v>0.89471268653869629</v>
      </c>
    </row>
    <row r="311" spans="1:6" hidden="1" x14ac:dyDescent="0.3">
      <c r="A311" s="6">
        <v>3</v>
      </c>
      <c r="B311" s="6" t="s">
        <v>87</v>
      </c>
      <c r="C311" s="6" t="s">
        <v>385</v>
      </c>
      <c r="D311" s="6" t="s">
        <v>88</v>
      </c>
      <c r="E311" s="11">
        <v>0.91196054220199585</v>
      </c>
      <c r="F311" s="11">
        <v>0.89471268653869629</v>
      </c>
    </row>
    <row r="312" spans="1:6" hidden="1" x14ac:dyDescent="0.3">
      <c r="A312" s="6">
        <v>3</v>
      </c>
      <c r="B312" s="6" t="s">
        <v>87</v>
      </c>
      <c r="C312" s="6" t="s">
        <v>386</v>
      </c>
      <c r="D312" s="6" t="s">
        <v>88</v>
      </c>
      <c r="E312" s="11">
        <v>2.443084716796875</v>
      </c>
      <c r="F312" s="11">
        <v>0.89471268653869629</v>
      </c>
    </row>
    <row r="313" spans="1:6" hidden="1" x14ac:dyDescent="0.3">
      <c r="A313" s="6">
        <v>3</v>
      </c>
      <c r="B313" s="6" t="s">
        <v>87</v>
      </c>
      <c r="C313" s="6" t="s">
        <v>387</v>
      </c>
      <c r="D313" s="6" t="s">
        <v>88</v>
      </c>
      <c r="E313" s="11">
        <v>1.2297153472900391</v>
      </c>
      <c r="F313" s="11">
        <v>0.89471268653869629</v>
      </c>
    </row>
    <row r="314" spans="1:6" hidden="1" x14ac:dyDescent="0.3">
      <c r="A314" s="6">
        <v>3</v>
      </c>
      <c r="B314" s="6" t="s">
        <v>87</v>
      </c>
      <c r="C314" s="6" t="s">
        <v>388</v>
      </c>
      <c r="D314" s="6" t="s">
        <v>88</v>
      </c>
      <c r="E314" s="11">
        <v>0.89925855398178101</v>
      </c>
      <c r="F314" s="11">
        <v>0.89471268653869629</v>
      </c>
    </row>
    <row r="315" spans="1:6" hidden="1" x14ac:dyDescent="0.3">
      <c r="A315" s="6">
        <v>3</v>
      </c>
      <c r="B315" s="6" t="s">
        <v>87</v>
      </c>
      <c r="C315" s="6" t="s">
        <v>389</v>
      </c>
      <c r="D315" s="6" t="s">
        <v>88</v>
      </c>
      <c r="E315" s="11">
        <v>0.99046599864959717</v>
      </c>
      <c r="F315" s="11">
        <v>0.89471268653869629</v>
      </c>
    </row>
    <row r="316" spans="1:6" hidden="1" x14ac:dyDescent="0.3">
      <c r="A316" s="6">
        <v>3</v>
      </c>
      <c r="B316" s="6" t="s">
        <v>87</v>
      </c>
      <c r="C316" s="6" t="s">
        <v>390</v>
      </c>
      <c r="D316" s="6" t="s">
        <v>88</v>
      </c>
      <c r="E316" s="11">
        <v>0.99679076671600342</v>
      </c>
      <c r="F316" s="11">
        <v>0.89471268653869629</v>
      </c>
    </row>
    <row r="317" spans="1:6" hidden="1" x14ac:dyDescent="0.3">
      <c r="A317" s="6">
        <v>3</v>
      </c>
      <c r="B317" s="6" t="s">
        <v>87</v>
      </c>
      <c r="C317" s="6" t="s">
        <v>391</v>
      </c>
      <c r="D317" s="6" t="s">
        <v>88</v>
      </c>
      <c r="E317" s="11">
        <v>1.2659339904785156</v>
      </c>
      <c r="F317" s="11">
        <v>0.89471268653869629</v>
      </c>
    </row>
    <row r="318" spans="1:6" hidden="1" x14ac:dyDescent="0.3">
      <c r="A318" s="6">
        <v>3</v>
      </c>
      <c r="B318" s="6" t="s">
        <v>87</v>
      </c>
      <c r="C318" s="6" t="s">
        <v>392</v>
      </c>
      <c r="D318" s="6" t="s">
        <v>88</v>
      </c>
      <c r="E318" s="11">
        <v>1.3716838359832764</v>
      </c>
      <c r="F318" s="11">
        <v>0.89471268653869629</v>
      </c>
    </row>
    <row r="319" spans="1:6" hidden="1" x14ac:dyDescent="0.3">
      <c r="A319" s="6">
        <v>3</v>
      </c>
      <c r="B319" s="6" t="s">
        <v>87</v>
      </c>
      <c r="C319" s="6" t="s">
        <v>393</v>
      </c>
      <c r="D319" s="6" t="s">
        <v>88</v>
      </c>
      <c r="E319" s="11">
        <v>1.3315601348876953</v>
      </c>
      <c r="F319" s="11">
        <v>0.89471268653869629</v>
      </c>
    </row>
    <row r="320" spans="1:6" hidden="1" x14ac:dyDescent="0.3">
      <c r="A320" s="6">
        <v>3</v>
      </c>
      <c r="B320" s="6" t="s">
        <v>87</v>
      </c>
      <c r="C320" s="6" t="s">
        <v>394</v>
      </c>
      <c r="D320" s="6" t="s">
        <v>88</v>
      </c>
      <c r="E320" s="11">
        <v>1.1498551368713379</v>
      </c>
      <c r="F320" s="11">
        <v>0.89471268653869629</v>
      </c>
    </row>
    <row r="321" spans="1:6" hidden="1" x14ac:dyDescent="0.3">
      <c r="A321" s="6">
        <v>3</v>
      </c>
      <c r="B321" s="6" t="s">
        <v>87</v>
      </c>
      <c r="C321" s="6" t="s">
        <v>395</v>
      </c>
      <c r="D321" s="6" t="s">
        <v>88</v>
      </c>
      <c r="E321" s="11">
        <v>1.1311408281326294</v>
      </c>
      <c r="F321" s="11">
        <v>0.89471268653869629</v>
      </c>
    </row>
    <row r="322" spans="1:6" hidden="1" x14ac:dyDescent="0.3">
      <c r="A322" s="6">
        <v>3</v>
      </c>
      <c r="B322" s="6" t="s">
        <v>87</v>
      </c>
      <c r="C322" s="6" t="s">
        <v>396</v>
      </c>
      <c r="D322" s="6" t="s">
        <v>88</v>
      </c>
      <c r="E322" s="11">
        <v>1.2354322671890259</v>
      </c>
      <c r="F322" s="11">
        <v>0.89471268653869629</v>
      </c>
    </row>
    <row r="323" spans="1:6" hidden="1" x14ac:dyDescent="0.3">
      <c r="A323" s="6">
        <v>3</v>
      </c>
      <c r="B323" s="6" t="s">
        <v>87</v>
      </c>
      <c r="C323" s="6" t="s">
        <v>397</v>
      </c>
      <c r="D323" s="6" t="s">
        <v>88</v>
      </c>
      <c r="E323" s="11">
        <v>1.2722532749176025</v>
      </c>
      <c r="F323" s="11">
        <v>0.89471268653869629</v>
      </c>
    </row>
    <row r="324" spans="1:6" hidden="1" x14ac:dyDescent="0.3">
      <c r="A324" s="6">
        <v>3</v>
      </c>
      <c r="B324" s="6" t="s">
        <v>87</v>
      </c>
      <c r="C324" s="6" t="s">
        <v>398</v>
      </c>
      <c r="D324" s="6" t="s">
        <v>88</v>
      </c>
      <c r="E324" s="11">
        <v>1.1921559572219849</v>
      </c>
      <c r="F324" s="11">
        <v>0.89471268653869629</v>
      </c>
    </row>
    <row r="325" spans="1:6" hidden="1" x14ac:dyDescent="0.3">
      <c r="A325" s="6">
        <v>3</v>
      </c>
      <c r="B325" s="6" t="s">
        <v>87</v>
      </c>
      <c r="C325" s="6" t="s">
        <v>399</v>
      </c>
      <c r="D325" s="6" t="s">
        <v>88</v>
      </c>
      <c r="E325" s="11">
        <v>0.88773936033248901</v>
      </c>
      <c r="F325" s="11">
        <v>0.89471268653869629</v>
      </c>
    </row>
    <row r="326" spans="1:6" hidden="1" x14ac:dyDescent="0.3">
      <c r="A326" s="6">
        <v>3</v>
      </c>
      <c r="B326" s="6" t="s">
        <v>87</v>
      </c>
      <c r="C326" s="6" t="s">
        <v>400</v>
      </c>
      <c r="D326" s="6" t="s">
        <v>88</v>
      </c>
      <c r="E326" s="11">
        <v>1.2473561763763428</v>
      </c>
      <c r="F326" s="11">
        <v>0.89471268653869629</v>
      </c>
    </row>
    <row r="327" spans="1:6" hidden="1" x14ac:dyDescent="0.3">
      <c r="A327" s="6">
        <v>3</v>
      </c>
      <c r="B327" s="6" t="s">
        <v>87</v>
      </c>
      <c r="C327" s="6" t="s">
        <v>401</v>
      </c>
      <c r="D327" s="6" t="s">
        <v>88</v>
      </c>
      <c r="E327" s="11">
        <v>1.1150075197219849</v>
      </c>
      <c r="F327" s="11">
        <v>0.89471268653869629</v>
      </c>
    </row>
    <row r="328" spans="1:6" hidden="1" x14ac:dyDescent="0.3">
      <c r="A328" s="6">
        <v>3</v>
      </c>
      <c r="B328" s="6" t="s">
        <v>87</v>
      </c>
      <c r="C328" s="6" t="s">
        <v>402</v>
      </c>
      <c r="D328" s="6" t="s">
        <v>88</v>
      </c>
      <c r="E328" s="11">
        <v>1.0906777381896973</v>
      </c>
      <c r="F328" s="11">
        <v>0.89471268653869629</v>
      </c>
    </row>
    <row r="329" spans="1:6" hidden="1" x14ac:dyDescent="0.3">
      <c r="A329" s="6">
        <v>3</v>
      </c>
      <c r="B329" s="6" t="s">
        <v>87</v>
      </c>
      <c r="C329" s="6" t="s">
        <v>403</v>
      </c>
      <c r="D329" s="6" t="s">
        <v>88</v>
      </c>
      <c r="E329" s="11">
        <v>0.95194447040557861</v>
      </c>
      <c r="F329" s="11">
        <v>0.89471268653869629</v>
      </c>
    </row>
    <row r="330" spans="1:6" hidden="1" x14ac:dyDescent="0.3">
      <c r="A330" s="6">
        <v>3</v>
      </c>
      <c r="B330" s="6" t="s">
        <v>87</v>
      </c>
      <c r="C330" s="6" t="s">
        <v>404</v>
      </c>
      <c r="D330" s="6" t="s">
        <v>88</v>
      </c>
      <c r="E330" s="11">
        <v>0.75666648149490356</v>
      </c>
      <c r="F330" s="11">
        <v>0.89471268653869629</v>
      </c>
    </row>
    <row r="331" spans="1:6" hidden="1" x14ac:dyDescent="0.3">
      <c r="A331" s="6">
        <v>3</v>
      </c>
      <c r="B331" s="6" t="s">
        <v>87</v>
      </c>
      <c r="C331" s="6" t="s">
        <v>405</v>
      </c>
      <c r="D331" s="6" t="s">
        <v>88</v>
      </c>
      <c r="E331" s="11">
        <v>0.84036612510681152</v>
      </c>
      <c r="F331" s="11">
        <v>0.89471268653869629</v>
      </c>
    </row>
    <row r="332" spans="1:6" hidden="1" x14ac:dyDescent="0.3">
      <c r="A332" s="6">
        <v>3</v>
      </c>
      <c r="B332" s="6" t="s">
        <v>87</v>
      </c>
      <c r="C332" s="6" t="s">
        <v>406</v>
      </c>
      <c r="D332" s="6" t="s">
        <v>88</v>
      </c>
      <c r="E332" s="11">
        <v>0.72005569934844971</v>
      </c>
      <c r="F332" s="11">
        <v>0.89471268653869629</v>
      </c>
    </row>
    <row r="333" spans="1:6" hidden="1" x14ac:dyDescent="0.3">
      <c r="A333" s="6">
        <v>3</v>
      </c>
      <c r="B333" s="6" t="s">
        <v>87</v>
      </c>
      <c r="C333" s="6" t="s">
        <v>407</v>
      </c>
      <c r="D333" s="6" t="s">
        <v>88</v>
      </c>
      <c r="E333" s="11">
        <v>1.0487875938415527</v>
      </c>
      <c r="F333" s="11">
        <v>0.89471268653869629</v>
      </c>
    </row>
    <row r="334" spans="1:6" hidden="1" x14ac:dyDescent="0.3">
      <c r="A334" s="6">
        <v>3</v>
      </c>
      <c r="B334" s="6" t="s">
        <v>87</v>
      </c>
      <c r="C334" s="6" t="s">
        <v>408</v>
      </c>
      <c r="D334" s="6" t="s">
        <v>88</v>
      </c>
      <c r="E334" s="11">
        <v>1.1098142862319946</v>
      </c>
      <c r="F334" s="11">
        <v>0.89471268653869629</v>
      </c>
    </row>
    <row r="335" spans="1:6" hidden="1" x14ac:dyDescent="0.3">
      <c r="A335" s="6">
        <v>3</v>
      </c>
      <c r="B335" s="6" t="s">
        <v>87</v>
      </c>
      <c r="C335" s="6" t="s">
        <v>409</v>
      </c>
      <c r="D335" s="6" t="s">
        <v>88</v>
      </c>
      <c r="E335" s="11">
        <v>0.84604531526565552</v>
      </c>
      <c r="F335" s="11">
        <v>0.89471268653869629</v>
      </c>
    </row>
    <row r="336" spans="1:6" hidden="1" x14ac:dyDescent="0.3">
      <c r="A336" s="6">
        <v>3</v>
      </c>
      <c r="B336" s="6" t="s">
        <v>87</v>
      </c>
      <c r="C336" s="6" t="s">
        <v>410</v>
      </c>
      <c r="D336" s="6" t="s">
        <v>88</v>
      </c>
      <c r="E336" s="11">
        <v>0.94587230682373047</v>
      </c>
      <c r="F336" s="11">
        <v>0.89471268653869629</v>
      </c>
    </row>
    <row r="337" spans="1:6" hidden="1" x14ac:dyDescent="0.3">
      <c r="A337" s="6">
        <v>3</v>
      </c>
      <c r="B337" s="6" t="s">
        <v>87</v>
      </c>
      <c r="C337" s="6" t="s">
        <v>411</v>
      </c>
      <c r="D337" s="6" t="s">
        <v>88</v>
      </c>
      <c r="E337" s="11">
        <v>1.2806869745254517</v>
      </c>
      <c r="F337" s="11">
        <v>0.89471268653869629</v>
      </c>
    </row>
    <row r="338" spans="1:6" hidden="1" x14ac:dyDescent="0.3">
      <c r="A338" s="6">
        <v>3</v>
      </c>
      <c r="B338" s="6" t="s">
        <v>87</v>
      </c>
      <c r="C338" s="6" t="s">
        <v>412</v>
      </c>
      <c r="D338" s="6" t="s">
        <v>88</v>
      </c>
      <c r="E338" s="11">
        <v>0.93711405992507935</v>
      </c>
      <c r="F338" s="11">
        <v>0.89471268653869629</v>
      </c>
    </row>
    <row r="339" spans="1:6" hidden="1" x14ac:dyDescent="0.3">
      <c r="A339" s="6">
        <v>3</v>
      </c>
      <c r="B339" s="6" t="s">
        <v>87</v>
      </c>
      <c r="C339" s="6" t="s">
        <v>413</v>
      </c>
      <c r="D339" s="6" t="s">
        <v>88</v>
      </c>
      <c r="E339" s="11">
        <v>1.3955096006393433</v>
      </c>
      <c r="F339" s="11">
        <v>0.89471268653869629</v>
      </c>
    </row>
    <row r="340" spans="1:6" hidden="1" x14ac:dyDescent="0.3">
      <c r="A340" s="6">
        <v>3</v>
      </c>
      <c r="B340" s="6" t="s">
        <v>87</v>
      </c>
      <c r="C340" s="6" t="s">
        <v>414</v>
      </c>
      <c r="D340" s="6" t="s">
        <v>88</v>
      </c>
      <c r="E340" s="11">
        <v>1.240744948387146</v>
      </c>
      <c r="F340" s="11">
        <v>0.89471268653869629</v>
      </c>
    </row>
    <row r="341" spans="1:6" hidden="1" x14ac:dyDescent="0.3">
      <c r="A341" s="6">
        <v>3</v>
      </c>
      <c r="B341" s="6" t="s">
        <v>87</v>
      </c>
      <c r="C341" s="6" t="s">
        <v>415</v>
      </c>
      <c r="D341" s="6" t="s">
        <v>88</v>
      </c>
      <c r="E341" s="11">
        <v>1.0843138694763184</v>
      </c>
      <c r="F341" s="11">
        <v>0.89471268653869629</v>
      </c>
    </row>
    <row r="342" spans="1:6" hidden="1" x14ac:dyDescent="0.3">
      <c r="A342" s="6">
        <v>3</v>
      </c>
      <c r="B342" s="6" t="s">
        <v>87</v>
      </c>
      <c r="C342" s="6" t="s">
        <v>416</v>
      </c>
      <c r="D342" s="6" t="s">
        <v>88</v>
      </c>
      <c r="E342" s="11">
        <v>0.75381726026535034</v>
      </c>
      <c r="F342" s="11">
        <v>0.89471268653869629</v>
      </c>
    </row>
    <row r="343" spans="1:6" hidden="1" x14ac:dyDescent="0.3">
      <c r="A343" s="6">
        <v>3</v>
      </c>
      <c r="B343" s="6" t="s">
        <v>87</v>
      </c>
      <c r="C343" s="6" t="s">
        <v>417</v>
      </c>
      <c r="D343" s="6" t="s">
        <v>88</v>
      </c>
      <c r="E343" s="11">
        <v>0.8725440502166748</v>
      </c>
      <c r="F343" s="11">
        <v>0.89471268653869629</v>
      </c>
    </row>
    <row r="344" spans="1:6" hidden="1" x14ac:dyDescent="0.3">
      <c r="A344" s="6">
        <v>3</v>
      </c>
      <c r="B344" s="6" t="s">
        <v>87</v>
      </c>
      <c r="C344" s="6" t="s">
        <v>418</v>
      </c>
      <c r="D344" s="6" t="s">
        <v>88</v>
      </c>
      <c r="E344" s="11">
        <v>1.0999627113342285</v>
      </c>
      <c r="F344" s="11">
        <v>0.89471268653869629</v>
      </c>
    </row>
    <row r="345" spans="1:6" hidden="1" x14ac:dyDescent="0.3">
      <c r="A345" s="6">
        <v>3</v>
      </c>
      <c r="B345" s="6" t="s">
        <v>87</v>
      </c>
      <c r="C345" s="6" t="s">
        <v>419</v>
      </c>
      <c r="D345" s="6" t="s">
        <v>88</v>
      </c>
      <c r="E345" s="11">
        <v>0.74873709678649902</v>
      </c>
      <c r="F345" s="11">
        <v>0.89471268653869629</v>
      </c>
    </row>
    <row r="346" spans="1:6" hidden="1" x14ac:dyDescent="0.3">
      <c r="A346" s="6">
        <v>3</v>
      </c>
      <c r="B346" s="6" t="s">
        <v>87</v>
      </c>
      <c r="C346" s="6" t="s">
        <v>420</v>
      </c>
      <c r="D346" s="6" t="s">
        <v>88</v>
      </c>
      <c r="E346" s="11">
        <v>0.93513393402099609</v>
      </c>
      <c r="F346" s="11">
        <v>0.89471268653869629</v>
      </c>
    </row>
    <row r="347" spans="1:6" hidden="1" x14ac:dyDescent="0.3">
      <c r="A347" s="6">
        <v>3</v>
      </c>
      <c r="B347" s="6" t="s">
        <v>87</v>
      </c>
      <c r="C347" s="6" t="s">
        <v>421</v>
      </c>
      <c r="D347" s="6" t="s">
        <v>88</v>
      </c>
      <c r="E347" s="11">
        <v>1.2732549905776978</v>
      </c>
      <c r="F347" s="11">
        <v>0.89471268653869629</v>
      </c>
    </row>
    <row r="348" spans="1:6" hidden="1" x14ac:dyDescent="0.3">
      <c r="A348" s="6">
        <v>3</v>
      </c>
      <c r="B348" s="6" t="s">
        <v>87</v>
      </c>
      <c r="C348" s="6" t="s">
        <v>422</v>
      </c>
      <c r="D348" s="6" t="s">
        <v>88</v>
      </c>
      <c r="E348" s="11">
        <v>0.89316064119338989</v>
      </c>
      <c r="F348" s="11">
        <v>0.89471268653869629</v>
      </c>
    </row>
    <row r="349" spans="1:6" hidden="1" x14ac:dyDescent="0.3">
      <c r="A349" s="6">
        <v>3</v>
      </c>
      <c r="B349" s="6" t="s">
        <v>87</v>
      </c>
      <c r="C349" s="6" t="s">
        <v>423</v>
      </c>
      <c r="D349" s="6" t="s">
        <v>88</v>
      </c>
      <c r="E349" s="11">
        <v>0.93589299917221069</v>
      </c>
      <c r="F349" s="11">
        <v>0.89471268653869629</v>
      </c>
    </row>
    <row r="350" spans="1:6" hidden="1" x14ac:dyDescent="0.3">
      <c r="A350" s="6">
        <v>3</v>
      </c>
      <c r="B350" s="6" t="s">
        <v>87</v>
      </c>
      <c r="C350" s="6" t="s">
        <v>424</v>
      </c>
      <c r="D350" s="6" t="s">
        <v>88</v>
      </c>
      <c r="E350" s="11">
        <v>0.95568335056304932</v>
      </c>
      <c r="F350" s="11">
        <v>0.89471268653869629</v>
      </c>
    </row>
    <row r="351" spans="1:6" hidden="1" x14ac:dyDescent="0.3">
      <c r="A351" s="6">
        <v>3</v>
      </c>
      <c r="B351" s="6" t="s">
        <v>87</v>
      </c>
      <c r="C351" s="6" t="s">
        <v>425</v>
      </c>
      <c r="D351" s="6" t="s">
        <v>88</v>
      </c>
      <c r="E351" s="11">
        <v>1.0972253084182739</v>
      </c>
      <c r="F351" s="11">
        <v>0.89471268653869629</v>
      </c>
    </row>
    <row r="352" spans="1:6" hidden="1" x14ac:dyDescent="0.3">
      <c r="A352" s="6">
        <v>3</v>
      </c>
      <c r="B352" s="6" t="s">
        <v>87</v>
      </c>
      <c r="C352" s="6" t="s">
        <v>426</v>
      </c>
      <c r="D352" s="6" t="s">
        <v>88</v>
      </c>
      <c r="E352" s="11">
        <v>0.79704976081848145</v>
      </c>
      <c r="F352" s="11">
        <v>0.89471268653869629</v>
      </c>
    </row>
    <row r="353" spans="1:6" hidden="1" x14ac:dyDescent="0.3">
      <c r="A353" s="6">
        <v>3</v>
      </c>
      <c r="B353" s="6" t="s">
        <v>87</v>
      </c>
      <c r="C353" s="6" t="s">
        <v>427</v>
      </c>
      <c r="D353" s="6" t="s">
        <v>88</v>
      </c>
      <c r="E353" s="11">
        <v>1.0725901126861572</v>
      </c>
      <c r="F353" s="11">
        <v>0.89471268653869629</v>
      </c>
    </row>
    <row r="354" spans="1:6" hidden="1" x14ac:dyDescent="0.3">
      <c r="A354" s="6">
        <v>3</v>
      </c>
      <c r="B354" s="6" t="s">
        <v>87</v>
      </c>
      <c r="C354" s="6" t="s">
        <v>428</v>
      </c>
      <c r="D354" s="6" t="s">
        <v>88</v>
      </c>
      <c r="E354" s="11">
        <v>2.3623223304748535</v>
      </c>
      <c r="F354" s="11">
        <v>0.89471268653869629</v>
      </c>
    </row>
    <row r="355" spans="1:6" hidden="1" x14ac:dyDescent="0.3">
      <c r="A355" s="6">
        <v>3</v>
      </c>
      <c r="B355" s="6" t="s">
        <v>87</v>
      </c>
      <c r="C355" s="6" t="s">
        <v>429</v>
      </c>
      <c r="D355" s="6" t="s">
        <v>88</v>
      </c>
      <c r="E355" s="11">
        <v>0.95797580480575562</v>
      </c>
      <c r="F355" s="11">
        <v>0.89471268653869629</v>
      </c>
    </row>
    <row r="356" spans="1:6" hidden="1" x14ac:dyDescent="0.3">
      <c r="A356" s="6">
        <v>3</v>
      </c>
      <c r="B356" s="6" t="s">
        <v>87</v>
      </c>
      <c r="C356" s="6" t="s">
        <v>430</v>
      </c>
      <c r="D356" s="6" t="s">
        <v>88</v>
      </c>
      <c r="E356" s="11">
        <v>4.0627613067626953</v>
      </c>
      <c r="F356" s="11">
        <v>0.89471268653869629</v>
      </c>
    </row>
    <row r="357" spans="1:6" hidden="1" x14ac:dyDescent="0.3">
      <c r="A357" s="6">
        <v>3</v>
      </c>
      <c r="B357" s="6" t="s">
        <v>87</v>
      </c>
      <c r="C357" s="6" t="s">
        <v>431</v>
      </c>
      <c r="D357" s="6" t="s">
        <v>88</v>
      </c>
      <c r="E357" s="11">
        <v>0.90382558107376099</v>
      </c>
      <c r="F357" s="11">
        <v>0.89471268653869629</v>
      </c>
    </row>
    <row r="358" spans="1:6" hidden="1" x14ac:dyDescent="0.3">
      <c r="A358" s="6">
        <v>3</v>
      </c>
      <c r="B358" s="6" t="s">
        <v>87</v>
      </c>
      <c r="C358" s="6" t="s">
        <v>432</v>
      </c>
      <c r="D358" s="6" t="s">
        <v>88</v>
      </c>
      <c r="E358" s="11">
        <v>2.2345783710479736</v>
      </c>
      <c r="F358" s="11">
        <v>0.89471268653869629</v>
      </c>
    </row>
    <row r="359" spans="1:6" hidden="1" x14ac:dyDescent="0.3">
      <c r="A359" s="6">
        <v>3</v>
      </c>
      <c r="B359" s="6" t="s">
        <v>87</v>
      </c>
      <c r="C359" s="6" t="s">
        <v>433</v>
      </c>
      <c r="D359" s="6" t="s">
        <v>88</v>
      </c>
      <c r="E359" s="11">
        <v>0.78656816482543945</v>
      </c>
      <c r="F359" s="11">
        <v>0.89471268653869629</v>
      </c>
    </row>
    <row r="360" spans="1:6" hidden="1" x14ac:dyDescent="0.3">
      <c r="A360" s="6">
        <v>3</v>
      </c>
      <c r="B360" s="6" t="s">
        <v>87</v>
      </c>
      <c r="C360" s="6" t="s">
        <v>434</v>
      </c>
      <c r="D360" s="6" t="s">
        <v>88</v>
      </c>
      <c r="E360" s="11">
        <v>1.1157711744308472</v>
      </c>
      <c r="F360" s="11">
        <v>0.89471268653869629</v>
      </c>
    </row>
    <row r="361" spans="1:6" hidden="1" x14ac:dyDescent="0.3">
      <c r="A361" s="6">
        <v>3</v>
      </c>
      <c r="B361" s="6" t="s">
        <v>87</v>
      </c>
      <c r="C361" s="6" t="s">
        <v>435</v>
      </c>
      <c r="D361" s="6" t="s">
        <v>88</v>
      </c>
      <c r="E361" s="11">
        <v>0.80519700050354004</v>
      </c>
      <c r="F361" s="11">
        <v>0.89471268653869629</v>
      </c>
    </row>
    <row r="362" spans="1:6" hidden="1" x14ac:dyDescent="0.3">
      <c r="A362" s="6">
        <v>3</v>
      </c>
      <c r="B362" s="6" t="s">
        <v>87</v>
      </c>
      <c r="C362" s="6" t="s">
        <v>436</v>
      </c>
      <c r="D362" s="6" t="s">
        <v>88</v>
      </c>
      <c r="E362" s="11">
        <v>1.2150529623031616</v>
      </c>
      <c r="F362" s="11">
        <v>0.89471268653869629</v>
      </c>
    </row>
    <row r="363" spans="1:6" hidden="1" x14ac:dyDescent="0.3">
      <c r="A363" s="6">
        <v>3</v>
      </c>
      <c r="B363" s="6" t="s">
        <v>87</v>
      </c>
      <c r="C363" s="6" t="s">
        <v>437</v>
      </c>
      <c r="D363" s="6" t="s">
        <v>88</v>
      </c>
      <c r="E363" s="11">
        <v>0.65070909261703491</v>
      </c>
      <c r="F363" s="11">
        <v>0.89471268653869629</v>
      </c>
    </row>
    <row r="364" spans="1:6" hidden="1" x14ac:dyDescent="0.3">
      <c r="A364" s="6">
        <v>3</v>
      </c>
      <c r="B364" s="6" t="s">
        <v>87</v>
      </c>
      <c r="C364" s="6" t="s">
        <v>438</v>
      </c>
      <c r="D364" s="6" t="s">
        <v>88</v>
      </c>
      <c r="E364" s="11">
        <v>0.92142552137374878</v>
      </c>
      <c r="F364" s="11">
        <v>0.89471268653869629</v>
      </c>
    </row>
    <row r="365" spans="1:6" hidden="1" x14ac:dyDescent="0.3">
      <c r="A365" s="6">
        <v>3</v>
      </c>
      <c r="B365" s="6" t="s">
        <v>87</v>
      </c>
      <c r="C365" s="6" t="s">
        <v>439</v>
      </c>
      <c r="D365" s="6" t="s">
        <v>88</v>
      </c>
      <c r="E365" s="11">
        <v>1.0054349899291992</v>
      </c>
      <c r="F365" s="11">
        <v>0.89471268653869629</v>
      </c>
    </row>
    <row r="366" spans="1:6" hidden="1" x14ac:dyDescent="0.3">
      <c r="A366" s="6">
        <v>3</v>
      </c>
      <c r="B366" s="6" t="s">
        <v>87</v>
      </c>
      <c r="C366" s="6" t="s">
        <v>440</v>
      </c>
      <c r="D366" s="6" t="s">
        <v>88</v>
      </c>
      <c r="E366" s="11">
        <v>1.196854829788208</v>
      </c>
      <c r="F366" s="11">
        <v>0.89471268653869629</v>
      </c>
    </row>
    <row r="367" spans="1:6" hidden="1" x14ac:dyDescent="0.3">
      <c r="A367" s="6">
        <v>3</v>
      </c>
      <c r="B367" s="6" t="s">
        <v>87</v>
      </c>
      <c r="C367" s="6" t="s">
        <v>441</v>
      </c>
      <c r="D367" s="6" t="s">
        <v>88</v>
      </c>
      <c r="E367" s="11">
        <v>1.1513563394546509</v>
      </c>
      <c r="F367" s="11">
        <v>0.89471268653869629</v>
      </c>
    </row>
    <row r="368" spans="1:6" hidden="1" x14ac:dyDescent="0.3">
      <c r="A368" s="6">
        <v>3</v>
      </c>
      <c r="B368" s="6" t="s">
        <v>87</v>
      </c>
      <c r="C368" s="6" t="s">
        <v>442</v>
      </c>
      <c r="D368" s="6" t="s">
        <v>88</v>
      </c>
      <c r="E368" s="11">
        <v>0.91948258876800537</v>
      </c>
      <c r="F368" s="11">
        <v>0.89471268653869629</v>
      </c>
    </row>
    <row r="369" spans="1:6" hidden="1" x14ac:dyDescent="0.3">
      <c r="A369" s="6">
        <v>3</v>
      </c>
      <c r="B369" s="6" t="s">
        <v>87</v>
      </c>
      <c r="C369" s="6" t="s">
        <v>443</v>
      </c>
      <c r="D369" s="6" t="s">
        <v>88</v>
      </c>
      <c r="E369" s="11">
        <v>0.98912286758422852</v>
      </c>
      <c r="F369" s="11">
        <v>0.89471268653869629</v>
      </c>
    </row>
    <row r="370" spans="1:6" hidden="1" x14ac:dyDescent="0.3">
      <c r="A370" s="6">
        <v>3</v>
      </c>
      <c r="B370" s="6" t="s">
        <v>87</v>
      </c>
      <c r="C370" s="6" t="s">
        <v>444</v>
      </c>
      <c r="D370" s="6" t="s">
        <v>88</v>
      </c>
      <c r="E370" s="11">
        <v>0.81352770328521729</v>
      </c>
      <c r="F370" s="11">
        <v>0.89471268653869629</v>
      </c>
    </row>
    <row r="371" spans="1:6" hidden="1" x14ac:dyDescent="0.3">
      <c r="A371" s="6">
        <v>3</v>
      </c>
      <c r="B371" s="6" t="s">
        <v>87</v>
      </c>
      <c r="C371" s="6" t="s">
        <v>445</v>
      </c>
      <c r="D371" s="6" t="s">
        <v>88</v>
      </c>
      <c r="E371" s="11">
        <v>1.3755970001220703</v>
      </c>
      <c r="F371" s="11">
        <v>0.89471268653869629</v>
      </c>
    </row>
    <row r="372" spans="1:6" hidden="1" x14ac:dyDescent="0.3">
      <c r="A372" s="6">
        <v>3</v>
      </c>
      <c r="B372" s="6" t="s">
        <v>87</v>
      </c>
      <c r="C372" s="6" t="s">
        <v>446</v>
      </c>
      <c r="D372" s="6" t="s">
        <v>88</v>
      </c>
      <c r="E372" s="11">
        <v>0.94044440984725952</v>
      </c>
      <c r="F372" s="11">
        <v>0.89471268653869629</v>
      </c>
    </row>
    <row r="373" spans="1:6" hidden="1" x14ac:dyDescent="0.3">
      <c r="A373" s="6">
        <v>3</v>
      </c>
      <c r="B373" s="6" t="s">
        <v>87</v>
      </c>
      <c r="C373" s="6" t="s">
        <v>447</v>
      </c>
      <c r="D373" s="6" t="s">
        <v>88</v>
      </c>
      <c r="E373" s="11">
        <v>0.98275929689407349</v>
      </c>
      <c r="F373" s="11">
        <v>0.89471268653869629</v>
      </c>
    </row>
    <row r="374" spans="1:6" hidden="1" x14ac:dyDescent="0.3">
      <c r="A374" s="6">
        <v>3</v>
      </c>
      <c r="B374" s="6" t="s">
        <v>87</v>
      </c>
      <c r="C374" s="6" t="s">
        <v>448</v>
      </c>
      <c r="D374" s="6" t="s">
        <v>88</v>
      </c>
      <c r="E374" s="11">
        <v>0.73909938335418701</v>
      </c>
      <c r="F374" s="11">
        <v>0.89471268653869629</v>
      </c>
    </row>
    <row r="375" spans="1:6" hidden="1" x14ac:dyDescent="0.3">
      <c r="A375" s="6">
        <v>3</v>
      </c>
      <c r="B375" s="6" t="s">
        <v>87</v>
      </c>
      <c r="C375" s="6" t="s">
        <v>449</v>
      </c>
      <c r="D375" s="6" t="s">
        <v>88</v>
      </c>
      <c r="E375" s="11">
        <v>0.84658163785934448</v>
      </c>
      <c r="F375" s="11">
        <v>0.89471268653869629</v>
      </c>
    </row>
    <row r="376" spans="1:6" hidden="1" x14ac:dyDescent="0.3">
      <c r="A376" s="6">
        <v>3</v>
      </c>
      <c r="B376" s="6" t="s">
        <v>87</v>
      </c>
      <c r="C376" s="6" t="s">
        <v>450</v>
      </c>
      <c r="D376" s="6" t="s">
        <v>88</v>
      </c>
      <c r="E376" s="11">
        <v>0.92421978712081909</v>
      </c>
      <c r="F376" s="11">
        <v>0.89471268653869629</v>
      </c>
    </row>
    <row r="377" spans="1:6" hidden="1" x14ac:dyDescent="0.3">
      <c r="A377" s="6">
        <v>3</v>
      </c>
      <c r="B377" s="6" t="s">
        <v>87</v>
      </c>
      <c r="C377" s="6" t="s">
        <v>451</v>
      </c>
      <c r="D377" s="6" t="s">
        <v>88</v>
      </c>
      <c r="E377" s="11">
        <v>0.91930043697357178</v>
      </c>
      <c r="F377" s="11">
        <v>0.89471268653869629</v>
      </c>
    </row>
    <row r="378" spans="1:6" hidden="1" x14ac:dyDescent="0.3">
      <c r="A378" s="6">
        <v>3</v>
      </c>
      <c r="B378" s="6" t="s">
        <v>87</v>
      </c>
      <c r="C378" s="6" t="s">
        <v>452</v>
      </c>
      <c r="D378" s="6" t="s">
        <v>88</v>
      </c>
      <c r="E378" s="11">
        <v>1.0982681512832642</v>
      </c>
      <c r="F378" s="11">
        <v>0.89471268653869629</v>
      </c>
    </row>
    <row r="379" spans="1:6" hidden="1" x14ac:dyDescent="0.3">
      <c r="A379" s="6">
        <v>3</v>
      </c>
      <c r="B379" s="6" t="s">
        <v>87</v>
      </c>
      <c r="C379" s="6" t="s">
        <v>453</v>
      </c>
      <c r="D379" s="6" t="s">
        <v>88</v>
      </c>
      <c r="E379" s="11">
        <v>1.0301002264022827</v>
      </c>
      <c r="F379" s="11">
        <v>0.89471268653869629</v>
      </c>
    </row>
    <row r="380" spans="1:6" hidden="1" x14ac:dyDescent="0.3">
      <c r="A380" s="6">
        <v>3</v>
      </c>
      <c r="B380" s="6" t="s">
        <v>87</v>
      </c>
      <c r="C380" s="6" t="s">
        <v>454</v>
      </c>
      <c r="D380" s="6" t="s">
        <v>88</v>
      </c>
      <c r="E380" s="11">
        <v>1.1194936037063599</v>
      </c>
      <c r="F380" s="11">
        <v>0.89471268653869629</v>
      </c>
    </row>
    <row r="381" spans="1:6" hidden="1" x14ac:dyDescent="0.3">
      <c r="A381" s="6">
        <v>3</v>
      </c>
      <c r="B381" s="6" t="s">
        <v>87</v>
      </c>
      <c r="C381" s="6" t="s">
        <v>455</v>
      </c>
      <c r="D381" s="6" t="s">
        <v>88</v>
      </c>
      <c r="E381" s="11">
        <v>0.96058106422424316</v>
      </c>
      <c r="F381" s="11">
        <v>0.89471268653869629</v>
      </c>
    </row>
    <row r="382" spans="1:6" hidden="1" x14ac:dyDescent="0.3">
      <c r="A382" s="6">
        <v>3</v>
      </c>
      <c r="B382" s="6" t="s">
        <v>87</v>
      </c>
      <c r="C382" s="6" t="s">
        <v>456</v>
      </c>
      <c r="D382" s="6" t="s">
        <v>88</v>
      </c>
      <c r="E382" s="11">
        <v>0.90965038537979126</v>
      </c>
      <c r="F382" s="11">
        <v>0.89471268653869629</v>
      </c>
    </row>
    <row r="383" spans="1:6" hidden="1" x14ac:dyDescent="0.3">
      <c r="A383" s="6">
        <v>3</v>
      </c>
      <c r="B383" s="6" t="s">
        <v>87</v>
      </c>
      <c r="C383" s="6" t="s">
        <v>457</v>
      </c>
      <c r="D383" s="6" t="s">
        <v>88</v>
      </c>
      <c r="E383" s="11">
        <v>0.98013949394226074</v>
      </c>
      <c r="F383" s="11">
        <v>0.89471268653869629</v>
      </c>
    </row>
    <row r="384" spans="1:6" hidden="1" x14ac:dyDescent="0.3">
      <c r="A384" s="6">
        <v>3</v>
      </c>
      <c r="B384" s="6" t="s">
        <v>87</v>
      </c>
      <c r="C384" s="6" t="s">
        <v>458</v>
      </c>
      <c r="D384" s="6" t="s">
        <v>88</v>
      </c>
      <c r="E384" s="11">
        <v>1.0506244897842407</v>
      </c>
      <c r="F384" s="11">
        <v>0.89471268653869629</v>
      </c>
    </row>
    <row r="385" spans="1:6" hidden="1" x14ac:dyDescent="0.3">
      <c r="A385" s="6">
        <v>3</v>
      </c>
      <c r="B385" s="6" t="s">
        <v>87</v>
      </c>
      <c r="C385" s="6" t="s">
        <v>459</v>
      </c>
      <c r="D385" s="6" t="s">
        <v>88</v>
      </c>
      <c r="E385" s="11">
        <v>1.1974343061447144</v>
      </c>
      <c r="F385" s="11">
        <v>0.89471268653869629</v>
      </c>
    </row>
    <row r="386" spans="1:6" hidden="1" x14ac:dyDescent="0.3">
      <c r="A386" s="6">
        <v>3</v>
      </c>
      <c r="B386" s="6" t="s">
        <v>87</v>
      </c>
      <c r="C386" s="6" t="s">
        <v>460</v>
      </c>
      <c r="D386" s="6" t="s">
        <v>88</v>
      </c>
      <c r="E386" s="11">
        <v>1.2400722503662109</v>
      </c>
      <c r="F386" s="11">
        <v>0.89471268653869629</v>
      </c>
    </row>
    <row r="387" spans="1:6" hidden="1" x14ac:dyDescent="0.3">
      <c r="A387" s="6">
        <v>3</v>
      </c>
      <c r="B387" s="6" t="s">
        <v>87</v>
      </c>
      <c r="C387" s="6" t="s">
        <v>461</v>
      </c>
      <c r="D387" s="6" t="s">
        <v>88</v>
      </c>
      <c r="E387" s="11">
        <v>0.89924412965774536</v>
      </c>
      <c r="F387" s="11">
        <v>0.89471268653869629</v>
      </c>
    </row>
    <row r="388" spans="1:6" hidden="1" x14ac:dyDescent="0.3">
      <c r="A388" s="6">
        <v>3</v>
      </c>
      <c r="B388" s="6" t="s">
        <v>87</v>
      </c>
      <c r="C388" s="6" t="s">
        <v>462</v>
      </c>
      <c r="D388" s="6" t="s">
        <v>88</v>
      </c>
      <c r="E388" s="11">
        <v>0.71734726428985596</v>
      </c>
      <c r="F388" s="11">
        <v>0.89471268653869629</v>
      </c>
    </row>
    <row r="389" spans="1:6" hidden="1" x14ac:dyDescent="0.3">
      <c r="A389" s="6">
        <v>3</v>
      </c>
      <c r="B389" s="6" t="s">
        <v>87</v>
      </c>
      <c r="C389" s="6" t="s">
        <v>463</v>
      </c>
      <c r="D389" s="6" t="s">
        <v>88</v>
      </c>
      <c r="E389" s="11">
        <v>1.9964041709899902</v>
      </c>
      <c r="F389" s="11">
        <v>0.89471268653869629</v>
      </c>
    </row>
    <row r="390" spans="1:6" hidden="1" x14ac:dyDescent="0.3">
      <c r="A390" s="6">
        <v>3</v>
      </c>
      <c r="B390" s="6" t="s">
        <v>87</v>
      </c>
      <c r="C390" s="6" t="s">
        <v>464</v>
      </c>
      <c r="D390" s="6" t="s">
        <v>88</v>
      </c>
      <c r="E390" s="11">
        <v>1.0084717273712158</v>
      </c>
      <c r="F390" s="11">
        <v>0.89471268653869629</v>
      </c>
    </row>
    <row r="391" spans="1:6" hidden="1" x14ac:dyDescent="0.3">
      <c r="A391" s="6">
        <v>3</v>
      </c>
      <c r="B391" s="6" t="s">
        <v>87</v>
      </c>
      <c r="C391" s="6" t="s">
        <v>465</v>
      </c>
      <c r="D391" s="6" t="s">
        <v>88</v>
      </c>
      <c r="E391" s="11">
        <v>1.1899169683456421</v>
      </c>
      <c r="F391" s="11">
        <v>0.89471268653869629</v>
      </c>
    </row>
    <row r="392" spans="1:6" hidden="1" x14ac:dyDescent="0.3">
      <c r="A392" s="6">
        <v>3</v>
      </c>
      <c r="B392" s="6" t="s">
        <v>87</v>
      </c>
      <c r="C392" s="6" t="s">
        <v>466</v>
      </c>
      <c r="D392" s="6" t="s">
        <v>88</v>
      </c>
      <c r="E392" s="11">
        <v>0.93258470296859741</v>
      </c>
      <c r="F392" s="11">
        <v>0.89471268653869629</v>
      </c>
    </row>
    <row r="393" spans="1:6" hidden="1" x14ac:dyDescent="0.3">
      <c r="A393" s="6">
        <v>3</v>
      </c>
      <c r="B393" s="6" t="s">
        <v>87</v>
      </c>
      <c r="C393" s="6" t="s">
        <v>467</v>
      </c>
      <c r="D393" s="6" t="s">
        <v>88</v>
      </c>
      <c r="E393" s="11">
        <v>1.0780538320541382</v>
      </c>
      <c r="F393" s="11">
        <v>0.89471268653869629</v>
      </c>
    </row>
    <row r="394" spans="1:6" hidden="1" x14ac:dyDescent="0.3">
      <c r="A394" s="6">
        <v>3</v>
      </c>
      <c r="B394" s="6" t="s">
        <v>87</v>
      </c>
      <c r="C394" s="6" t="s">
        <v>468</v>
      </c>
      <c r="D394" s="6" t="s">
        <v>88</v>
      </c>
      <c r="E394" s="11">
        <v>1.0641764402389526</v>
      </c>
      <c r="F394" s="11">
        <v>0.89471268653869629</v>
      </c>
    </row>
    <row r="395" spans="1:6" hidden="1" x14ac:dyDescent="0.3">
      <c r="A395" s="6">
        <v>3</v>
      </c>
      <c r="B395" s="6" t="s">
        <v>87</v>
      </c>
      <c r="C395" s="6" t="s">
        <v>469</v>
      </c>
      <c r="D395" s="6" t="s">
        <v>88</v>
      </c>
      <c r="E395" s="11">
        <v>2.0383005142211914</v>
      </c>
      <c r="F395" s="11">
        <v>0.89471268653869629</v>
      </c>
    </row>
    <row r="396" spans="1:6" hidden="1" x14ac:dyDescent="0.3">
      <c r="A396" s="6">
        <v>3</v>
      </c>
      <c r="B396" s="6" t="s">
        <v>87</v>
      </c>
      <c r="C396" s="6" t="s">
        <v>470</v>
      </c>
      <c r="D396" s="6" t="s">
        <v>88</v>
      </c>
      <c r="E396" s="11">
        <v>0.80153262615203857</v>
      </c>
      <c r="F396" s="11">
        <v>0.89471268653869629</v>
      </c>
    </row>
    <row r="397" spans="1:6" hidden="1" x14ac:dyDescent="0.3">
      <c r="A397" s="6">
        <v>3</v>
      </c>
      <c r="B397" s="6" t="s">
        <v>87</v>
      </c>
      <c r="C397" s="6" t="s">
        <v>471</v>
      </c>
      <c r="D397" s="6" t="s">
        <v>88</v>
      </c>
      <c r="E397" s="11">
        <v>0.97595065832138062</v>
      </c>
      <c r="F397" s="11">
        <v>0.89471268653869629</v>
      </c>
    </row>
    <row r="398" spans="1:6" hidden="1" x14ac:dyDescent="0.3">
      <c r="A398" s="6">
        <v>3</v>
      </c>
      <c r="B398" s="6" t="s">
        <v>87</v>
      </c>
      <c r="C398" s="6" t="s">
        <v>472</v>
      </c>
      <c r="D398" s="6" t="s">
        <v>88</v>
      </c>
      <c r="E398" s="11">
        <v>0.79566401243209839</v>
      </c>
      <c r="F398" s="11">
        <v>0.89471268653869629</v>
      </c>
    </row>
    <row r="399" spans="1:6" hidden="1" x14ac:dyDescent="0.3">
      <c r="A399" s="6">
        <v>3</v>
      </c>
      <c r="B399" s="6" t="s">
        <v>87</v>
      </c>
      <c r="C399" s="6" t="s">
        <v>473</v>
      </c>
      <c r="D399" s="6" t="s">
        <v>88</v>
      </c>
      <c r="E399" s="11">
        <v>1.0168784856796265</v>
      </c>
      <c r="F399" s="11">
        <v>0.89471268653869629</v>
      </c>
    </row>
    <row r="400" spans="1:6" hidden="1" x14ac:dyDescent="0.3">
      <c r="A400" s="6">
        <v>3</v>
      </c>
      <c r="B400" s="6" t="s">
        <v>87</v>
      </c>
      <c r="C400" s="6" t="s">
        <v>474</v>
      </c>
      <c r="D400" s="6" t="s">
        <v>88</v>
      </c>
      <c r="E400" s="11">
        <v>1.2870837450027466</v>
      </c>
      <c r="F400" s="11">
        <v>0.89471268653869629</v>
      </c>
    </row>
    <row r="401" spans="1:6" hidden="1" x14ac:dyDescent="0.3">
      <c r="A401" s="6">
        <v>3</v>
      </c>
      <c r="B401" s="6" t="s">
        <v>87</v>
      </c>
      <c r="C401" s="6" t="s">
        <v>475</v>
      </c>
      <c r="D401" s="6" t="s">
        <v>88</v>
      </c>
      <c r="E401" s="11">
        <v>0.83118051290512085</v>
      </c>
      <c r="F401" s="11">
        <v>0.89471268653869629</v>
      </c>
    </row>
    <row r="402" spans="1:6" hidden="1" x14ac:dyDescent="0.3">
      <c r="A402" s="6">
        <v>3</v>
      </c>
      <c r="B402" s="6" t="s">
        <v>87</v>
      </c>
      <c r="C402" s="6" t="s">
        <v>476</v>
      </c>
      <c r="D402" s="6" t="s">
        <v>88</v>
      </c>
      <c r="E402" s="11">
        <v>1.0821810960769653</v>
      </c>
      <c r="F402" s="11">
        <v>0.89471268653869629</v>
      </c>
    </row>
    <row r="403" spans="1:6" hidden="1" x14ac:dyDescent="0.3">
      <c r="A403" s="6">
        <v>3</v>
      </c>
      <c r="B403" s="6" t="s">
        <v>87</v>
      </c>
      <c r="C403" s="6" t="s">
        <v>477</v>
      </c>
      <c r="D403" s="6" t="s">
        <v>88</v>
      </c>
      <c r="E403" s="11">
        <v>1.5567142963409424</v>
      </c>
      <c r="F403" s="11">
        <v>0.89471268653869629</v>
      </c>
    </row>
    <row r="404" spans="1:6" hidden="1" x14ac:dyDescent="0.3">
      <c r="A404" s="6">
        <v>3</v>
      </c>
      <c r="B404" s="6" t="s">
        <v>87</v>
      </c>
      <c r="C404" s="6" t="s">
        <v>478</v>
      </c>
      <c r="D404" s="6" t="s">
        <v>88</v>
      </c>
      <c r="E404" s="11">
        <v>1.0855516195297241</v>
      </c>
      <c r="F404" s="11">
        <v>0.89471268653869629</v>
      </c>
    </row>
    <row r="405" spans="1:6" hidden="1" x14ac:dyDescent="0.3">
      <c r="A405" s="6">
        <v>3</v>
      </c>
      <c r="B405" s="6" t="s">
        <v>87</v>
      </c>
      <c r="C405" s="6" t="s">
        <v>479</v>
      </c>
      <c r="D405" s="6" t="s">
        <v>88</v>
      </c>
      <c r="E405" s="11">
        <v>1.0463945865631104</v>
      </c>
      <c r="F405" s="11">
        <v>0.89471268653869629</v>
      </c>
    </row>
    <row r="406" spans="1:6" hidden="1" x14ac:dyDescent="0.3">
      <c r="A406" s="6">
        <v>3</v>
      </c>
      <c r="B406" s="6" t="s">
        <v>87</v>
      </c>
      <c r="C406" s="6" t="s">
        <v>480</v>
      </c>
      <c r="D406" s="6" t="s">
        <v>88</v>
      </c>
      <c r="E406" s="11">
        <v>1.3421536684036255</v>
      </c>
      <c r="F406" s="11">
        <v>0.89471268653869629</v>
      </c>
    </row>
    <row r="407" spans="1:6" hidden="1" x14ac:dyDescent="0.3">
      <c r="A407" s="6">
        <v>3</v>
      </c>
      <c r="B407" s="6" t="s">
        <v>87</v>
      </c>
      <c r="C407" s="6" t="s">
        <v>481</v>
      </c>
      <c r="D407" s="6" t="s">
        <v>88</v>
      </c>
      <c r="E407" s="11">
        <v>0.99052977561950684</v>
      </c>
      <c r="F407" s="11">
        <v>0.89471268653869629</v>
      </c>
    </row>
    <row r="408" spans="1:6" hidden="1" x14ac:dyDescent="0.3">
      <c r="A408" s="6">
        <v>3</v>
      </c>
      <c r="B408" s="6" t="s">
        <v>87</v>
      </c>
      <c r="C408" s="6" t="s">
        <v>482</v>
      </c>
      <c r="D408" s="6" t="s">
        <v>88</v>
      </c>
      <c r="E408" s="11">
        <v>1.2243902683258057</v>
      </c>
      <c r="F408" s="11">
        <v>0.89471268653869629</v>
      </c>
    </row>
    <row r="409" spans="1:6" hidden="1" x14ac:dyDescent="0.3">
      <c r="A409" s="6">
        <v>3</v>
      </c>
      <c r="B409" s="6" t="s">
        <v>87</v>
      </c>
      <c r="C409" s="6" t="s">
        <v>483</v>
      </c>
      <c r="D409" s="6" t="s">
        <v>88</v>
      </c>
      <c r="E409" s="11">
        <v>1.8676984310150146</v>
      </c>
      <c r="F409" s="11">
        <v>0.89471268653869629</v>
      </c>
    </row>
    <row r="410" spans="1:6" hidden="1" x14ac:dyDescent="0.3">
      <c r="A410" s="6">
        <v>3</v>
      </c>
      <c r="B410" s="6" t="s">
        <v>87</v>
      </c>
      <c r="C410" s="6" t="s">
        <v>484</v>
      </c>
      <c r="D410" s="6" t="s">
        <v>88</v>
      </c>
      <c r="E410" s="11">
        <v>1.0000995397567749</v>
      </c>
      <c r="F410" s="11">
        <v>0.89471268653869629</v>
      </c>
    </row>
    <row r="411" spans="1:6" hidden="1" x14ac:dyDescent="0.3">
      <c r="A411" s="6">
        <v>3</v>
      </c>
      <c r="B411" s="6" t="s">
        <v>87</v>
      </c>
      <c r="C411" s="6" t="s">
        <v>485</v>
      </c>
      <c r="D411" s="6" t="s">
        <v>88</v>
      </c>
      <c r="E411" s="11">
        <v>0.74071270227432251</v>
      </c>
      <c r="F411" s="11">
        <v>0.89471268653869629</v>
      </c>
    </row>
    <row r="412" spans="1:6" hidden="1" x14ac:dyDescent="0.3">
      <c r="A412" s="6">
        <v>3</v>
      </c>
      <c r="B412" s="6" t="s">
        <v>87</v>
      </c>
      <c r="C412" s="6" t="s">
        <v>486</v>
      </c>
      <c r="D412" s="6" t="s">
        <v>88</v>
      </c>
      <c r="E412" s="11">
        <v>0.68341773748397827</v>
      </c>
      <c r="F412" s="11">
        <v>0.89471268653869629</v>
      </c>
    </row>
    <row r="413" spans="1:6" hidden="1" x14ac:dyDescent="0.3">
      <c r="A413" s="6">
        <v>3</v>
      </c>
      <c r="B413" s="6" t="s">
        <v>87</v>
      </c>
      <c r="C413" s="6" t="s">
        <v>487</v>
      </c>
      <c r="D413" s="6" t="s">
        <v>88</v>
      </c>
      <c r="E413" s="11">
        <v>0.74745875597000122</v>
      </c>
      <c r="F413" s="11">
        <v>0.89471268653869629</v>
      </c>
    </row>
    <row r="414" spans="1:6" hidden="1" x14ac:dyDescent="0.3">
      <c r="A414" s="6">
        <v>3</v>
      </c>
      <c r="B414" s="6" t="s">
        <v>87</v>
      </c>
      <c r="C414" s="6" t="s">
        <v>488</v>
      </c>
      <c r="D414" s="6" t="s">
        <v>88</v>
      </c>
      <c r="E414" s="11">
        <v>0.92149913311004639</v>
      </c>
      <c r="F414" s="11">
        <v>0.89471268653869629</v>
      </c>
    </row>
    <row r="415" spans="1:6" hidden="1" x14ac:dyDescent="0.3">
      <c r="A415" s="6">
        <v>3</v>
      </c>
      <c r="B415" s="6" t="s">
        <v>87</v>
      </c>
      <c r="C415" s="6" t="s">
        <v>489</v>
      </c>
      <c r="D415" s="6" t="s">
        <v>88</v>
      </c>
      <c r="E415" s="11">
        <v>1.1574264764785767</v>
      </c>
      <c r="F415" s="11">
        <v>0.89471268653869629</v>
      </c>
    </row>
    <row r="416" spans="1:6" hidden="1" x14ac:dyDescent="0.3">
      <c r="A416" s="6">
        <v>3</v>
      </c>
      <c r="B416" s="6" t="s">
        <v>87</v>
      </c>
      <c r="C416" s="6" t="s">
        <v>490</v>
      </c>
      <c r="D416" s="6" t="s">
        <v>88</v>
      </c>
      <c r="E416" s="11">
        <v>1.0569185018539429</v>
      </c>
      <c r="F416" s="11">
        <v>0.89471268653869629</v>
      </c>
    </row>
    <row r="417" spans="1:6" hidden="1" x14ac:dyDescent="0.3">
      <c r="A417" s="6">
        <v>3</v>
      </c>
      <c r="B417" s="6" t="s">
        <v>87</v>
      </c>
      <c r="C417" s="6" t="s">
        <v>491</v>
      </c>
      <c r="D417" s="6" t="s">
        <v>88</v>
      </c>
      <c r="E417" s="11">
        <v>1.1132557392120361</v>
      </c>
      <c r="F417" s="11">
        <v>0.89471268653869629</v>
      </c>
    </row>
    <row r="418" spans="1:6" hidden="1" x14ac:dyDescent="0.3">
      <c r="A418" s="6">
        <v>3</v>
      </c>
      <c r="B418" s="6" t="s">
        <v>87</v>
      </c>
      <c r="C418" s="6" t="s">
        <v>492</v>
      </c>
      <c r="D418" s="6" t="s">
        <v>88</v>
      </c>
      <c r="E418" s="11">
        <v>0.97678470611572266</v>
      </c>
      <c r="F418" s="11">
        <v>0.89471268653869629</v>
      </c>
    </row>
    <row r="419" spans="1:6" hidden="1" x14ac:dyDescent="0.3">
      <c r="A419" s="6">
        <v>3</v>
      </c>
      <c r="B419" s="6" t="s">
        <v>87</v>
      </c>
      <c r="C419" s="6" t="s">
        <v>493</v>
      </c>
      <c r="D419" s="6" t="s">
        <v>88</v>
      </c>
      <c r="E419" s="11">
        <v>0.96617364883422852</v>
      </c>
      <c r="F419" s="11">
        <v>0.89471268653869629</v>
      </c>
    </row>
    <row r="420" spans="1:6" hidden="1" x14ac:dyDescent="0.3">
      <c r="A420" s="6">
        <v>3</v>
      </c>
      <c r="B420" s="6" t="s">
        <v>87</v>
      </c>
      <c r="C420" s="6" t="s">
        <v>494</v>
      </c>
      <c r="D420" s="6" t="s">
        <v>88</v>
      </c>
      <c r="E420" s="11">
        <v>1.101065993309021</v>
      </c>
      <c r="F420" s="11">
        <v>0.89471268653869629</v>
      </c>
    </row>
    <row r="421" spans="1:6" hidden="1" x14ac:dyDescent="0.3">
      <c r="A421" s="6">
        <v>3</v>
      </c>
      <c r="B421" s="6" t="s">
        <v>87</v>
      </c>
      <c r="C421" s="6" t="s">
        <v>495</v>
      </c>
      <c r="D421" s="6" t="s">
        <v>88</v>
      </c>
      <c r="E421" s="11">
        <v>1.0972228050231934</v>
      </c>
      <c r="F421" s="11">
        <v>0.89471268653869629</v>
      </c>
    </row>
    <row r="422" spans="1:6" x14ac:dyDescent="0.3">
      <c r="A422" s="6">
        <v>4</v>
      </c>
      <c r="B422" s="6" t="s">
        <v>89</v>
      </c>
      <c r="C422" s="6" t="s">
        <v>356</v>
      </c>
      <c r="D422" s="6" t="s">
        <v>90</v>
      </c>
      <c r="E422" s="11">
        <v>0.77583253383636475</v>
      </c>
      <c r="F422" s="11">
        <v>0.87784492969512939</v>
      </c>
    </row>
    <row r="423" spans="1:6" x14ac:dyDescent="0.3">
      <c r="A423" s="6">
        <v>4</v>
      </c>
      <c r="B423" s="6" t="s">
        <v>89</v>
      </c>
      <c r="C423" s="6" t="s">
        <v>357</v>
      </c>
      <c r="D423" s="6" t="s">
        <v>90</v>
      </c>
      <c r="E423" s="11">
        <v>0.91902375221252441</v>
      </c>
      <c r="F423" s="11">
        <v>0.87784492969512939</v>
      </c>
    </row>
    <row r="424" spans="1:6" x14ac:dyDescent="0.3">
      <c r="A424" s="6">
        <v>4</v>
      </c>
      <c r="B424" s="6" t="s">
        <v>89</v>
      </c>
      <c r="C424" s="6" t="s">
        <v>358</v>
      </c>
      <c r="D424" s="6" t="s">
        <v>90</v>
      </c>
      <c r="E424" s="11">
        <v>0.82857519388198853</v>
      </c>
      <c r="F424" s="11">
        <v>0.87784492969512939</v>
      </c>
    </row>
    <row r="425" spans="1:6" x14ac:dyDescent="0.3">
      <c r="A425" s="6">
        <v>4</v>
      </c>
      <c r="B425" s="6" t="s">
        <v>89</v>
      </c>
      <c r="C425" s="6" t="s">
        <v>359</v>
      </c>
      <c r="D425" s="6" t="s">
        <v>90</v>
      </c>
      <c r="E425" s="11">
        <v>1.1056323051452637</v>
      </c>
      <c r="F425" s="11">
        <v>0.87784492969512939</v>
      </c>
    </row>
    <row r="426" spans="1:6" x14ac:dyDescent="0.3">
      <c r="A426" s="6">
        <v>4</v>
      </c>
      <c r="B426" s="6" t="s">
        <v>89</v>
      </c>
      <c r="C426" s="6" t="s">
        <v>360</v>
      </c>
      <c r="D426" s="6" t="s">
        <v>90</v>
      </c>
      <c r="E426" s="11">
        <v>0.72551220655441284</v>
      </c>
      <c r="F426" s="11">
        <v>0.87784492969512939</v>
      </c>
    </row>
    <row r="427" spans="1:6" x14ac:dyDescent="0.3">
      <c r="A427" s="6">
        <v>4</v>
      </c>
      <c r="B427" s="6" t="s">
        <v>89</v>
      </c>
      <c r="C427" s="6" t="s">
        <v>361</v>
      </c>
      <c r="D427" s="6" t="s">
        <v>90</v>
      </c>
      <c r="E427" s="11">
        <v>1.2176605463027954</v>
      </c>
      <c r="F427" s="11">
        <v>0.87784492969512939</v>
      </c>
    </row>
    <row r="428" spans="1:6" x14ac:dyDescent="0.3">
      <c r="A428" s="6">
        <v>4</v>
      </c>
      <c r="B428" s="6" t="s">
        <v>89</v>
      </c>
      <c r="C428" s="6" t="s">
        <v>362</v>
      </c>
      <c r="D428" s="6" t="s">
        <v>90</v>
      </c>
      <c r="E428" s="11">
        <v>0.92568123340606689</v>
      </c>
      <c r="F428" s="11">
        <v>0.87784492969512939</v>
      </c>
    </row>
    <row r="429" spans="1:6" x14ac:dyDescent="0.3">
      <c r="A429" s="6">
        <v>4</v>
      </c>
      <c r="B429" s="6" t="s">
        <v>89</v>
      </c>
      <c r="C429" s="6" t="s">
        <v>363</v>
      </c>
      <c r="D429" s="6" t="s">
        <v>90</v>
      </c>
      <c r="E429" s="11">
        <v>1.0095469951629639</v>
      </c>
      <c r="F429" s="11">
        <v>0.87784492969512939</v>
      </c>
    </row>
    <row r="430" spans="1:6" x14ac:dyDescent="0.3">
      <c r="A430" s="6">
        <v>4</v>
      </c>
      <c r="B430" s="6" t="s">
        <v>89</v>
      </c>
      <c r="C430" s="6" t="s">
        <v>364</v>
      </c>
      <c r="D430" s="6" t="s">
        <v>90</v>
      </c>
      <c r="E430" s="11">
        <v>1.2552105188369751</v>
      </c>
      <c r="F430" s="11">
        <v>0.87784492969512939</v>
      </c>
    </row>
    <row r="431" spans="1:6" x14ac:dyDescent="0.3">
      <c r="A431" s="6">
        <v>4</v>
      </c>
      <c r="B431" s="6" t="s">
        <v>89</v>
      </c>
      <c r="C431" s="6" t="s">
        <v>365</v>
      </c>
      <c r="D431" s="6" t="s">
        <v>90</v>
      </c>
      <c r="E431" s="11">
        <v>1.2146482467651367</v>
      </c>
      <c r="F431" s="11">
        <v>0.87784492969512939</v>
      </c>
    </row>
    <row r="432" spans="1:6" x14ac:dyDescent="0.3">
      <c r="A432" s="6">
        <v>4</v>
      </c>
      <c r="B432" s="6" t="s">
        <v>89</v>
      </c>
      <c r="C432" s="6" t="s">
        <v>366</v>
      </c>
      <c r="D432" s="6" t="s">
        <v>90</v>
      </c>
      <c r="E432" s="11">
        <v>0.89698809385299683</v>
      </c>
      <c r="F432" s="11">
        <v>0.87784492969512939</v>
      </c>
    </row>
    <row r="433" spans="1:6" x14ac:dyDescent="0.3">
      <c r="A433" s="6">
        <v>4</v>
      </c>
      <c r="B433" s="6" t="s">
        <v>89</v>
      </c>
      <c r="C433" s="6" t="s">
        <v>367</v>
      </c>
      <c r="D433" s="6" t="s">
        <v>90</v>
      </c>
      <c r="E433" s="11">
        <v>1.1368869543075562</v>
      </c>
      <c r="F433" s="11">
        <v>0.87784492969512939</v>
      </c>
    </row>
    <row r="434" spans="1:6" x14ac:dyDescent="0.3">
      <c r="A434" s="6">
        <v>4</v>
      </c>
      <c r="B434" s="6" t="s">
        <v>89</v>
      </c>
      <c r="C434" s="6" t="s">
        <v>368</v>
      </c>
      <c r="D434" s="6" t="s">
        <v>90</v>
      </c>
      <c r="E434" s="11">
        <v>0.9165082573890686</v>
      </c>
      <c r="F434" s="11">
        <v>0.87784492969512939</v>
      </c>
    </row>
    <row r="435" spans="1:6" x14ac:dyDescent="0.3">
      <c r="A435" s="6">
        <v>4</v>
      </c>
      <c r="B435" s="6" t="s">
        <v>89</v>
      </c>
      <c r="C435" s="6" t="s">
        <v>369</v>
      </c>
      <c r="D435" s="6" t="s">
        <v>90</v>
      </c>
      <c r="E435" s="11">
        <v>1.2366484403610229</v>
      </c>
      <c r="F435" s="11">
        <v>0.87784492969512939</v>
      </c>
    </row>
    <row r="436" spans="1:6" x14ac:dyDescent="0.3">
      <c r="A436" s="6">
        <v>4</v>
      </c>
      <c r="B436" s="6" t="s">
        <v>89</v>
      </c>
      <c r="C436" s="6" t="s">
        <v>370</v>
      </c>
      <c r="D436" s="6" t="s">
        <v>90</v>
      </c>
      <c r="E436" s="11">
        <v>0.87079578638076782</v>
      </c>
      <c r="F436" s="11">
        <v>0.87784492969512939</v>
      </c>
    </row>
    <row r="437" spans="1:6" x14ac:dyDescent="0.3">
      <c r="A437" s="6">
        <v>4</v>
      </c>
      <c r="B437" s="6" t="s">
        <v>89</v>
      </c>
      <c r="C437" s="6" t="s">
        <v>371</v>
      </c>
      <c r="D437" s="6" t="s">
        <v>90</v>
      </c>
      <c r="E437" s="11">
        <v>0.74807274341583252</v>
      </c>
      <c r="F437" s="11">
        <v>0.87784492969512939</v>
      </c>
    </row>
    <row r="438" spans="1:6" x14ac:dyDescent="0.3">
      <c r="A438" s="6">
        <v>4</v>
      </c>
      <c r="B438" s="6" t="s">
        <v>89</v>
      </c>
      <c r="C438" s="6" t="s">
        <v>372</v>
      </c>
      <c r="D438" s="6" t="s">
        <v>90</v>
      </c>
      <c r="E438" s="11">
        <v>1.6212153434753418</v>
      </c>
      <c r="F438" s="11">
        <v>0.87784492969512939</v>
      </c>
    </row>
    <row r="439" spans="1:6" x14ac:dyDescent="0.3">
      <c r="A439" s="6">
        <v>4</v>
      </c>
      <c r="B439" s="6" t="s">
        <v>89</v>
      </c>
      <c r="C439" s="6" t="s">
        <v>373</v>
      </c>
      <c r="D439" s="6" t="s">
        <v>90</v>
      </c>
      <c r="E439" s="11">
        <v>0.7334861159324646</v>
      </c>
      <c r="F439" s="11">
        <v>0.87784492969512939</v>
      </c>
    </row>
    <row r="440" spans="1:6" x14ac:dyDescent="0.3">
      <c r="A440" s="6">
        <v>4</v>
      </c>
      <c r="B440" s="6" t="s">
        <v>89</v>
      </c>
      <c r="C440" s="6" t="s">
        <v>374</v>
      </c>
      <c r="D440" s="6" t="s">
        <v>90</v>
      </c>
      <c r="E440" s="11">
        <v>0.93667459487915039</v>
      </c>
      <c r="F440" s="11">
        <v>0.87784492969512939</v>
      </c>
    </row>
    <row r="441" spans="1:6" x14ac:dyDescent="0.3">
      <c r="A441" s="6">
        <v>4</v>
      </c>
      <c r="B441" s="6" t="s">
        <v>89</v>
      </c>
      <c r="C441" s="6" t="s">
        <v>375</v>
      </c>
      <c r="D441" s="6" t="s">
        <v>90</v>
      </c>
      <c r="E441" s="11">
        <v>0.74066698551177979</v>
      </c>
      <c r="F441" s="11">
        <v>0.87784492969512939</v>
      </c>
    </row>
    <row r="442" spans="1:6" x14ac:dyDescent="0.3">
      <c r="A442" s="6">
        <v>4</v>
      </c>
      <c r="B442" s="6" t="s">
        <v>89</v>
      </c>
      <c r="C442" s="6" t="s">
        <v>376</v>
      </c>
      <c r="D442" s="6" t="s">
        <v>90</v>
      </c>
      <c r="E442" s="11">
        <v>0.85457152128219604</v>
      </c>
      <c r="F442" s="11">
        <v>0.87784492969512939</v>
      </c>
    </row>
    <row r="443" spans="1:6" x14ac:dyDescent="0.3">
      <c r="A443" s="6">
        <v>4</v>
      </c>
      <c r="B443" s="6" t="s">
        <v>89</v>
      </c>
      <c r="C443" s="6" t="s">
        <v>377</v>
      </c>
      <c r="D443" s="6" t="s">
        <v>90</v>
      </c>
      <c r="E443" s="11">
        <v>0.89132195711135864</v>
      </c>
      <c r="F443" s="11">
        <v>0.87784492969512939</v>
      </c>
    </row>
    <row r="444" spans="1:6" x14ac:dyDescent="0.3">
      <c r="A444" s="6">
        <v>4</v>
      </c>
      <c r="B444" s="6" t="s">
        <v>89</v>
      </c>
      <c r="C444" s="6" t="s">
        <v>378</v>
      </c>
      <c r="D444" s="6" t="s">
        <v>90</v>
      </c>
      <c r="E444" s="11">
        <v>1.2516217231750488</v>
      </c>
      <c r="F444" s="11">
        <v>0.87784492969512939</v>
      </c>
    </row>
    <row r="445" spans="1:6" x14ac:dyDescent="0.3">
      <c r="A445" s="6">
        <v>4</v>
      </c>
      <c r="B445" s="6" t="s">
        <v>89</v>
      </c>
      <c r="C445" s="6" t="s">
        <v>379</v>
      </c>
      <c r="D445" s="6" t="s">
        <v>90</v>
      </c>
      <c r="E445" s="11">
        <v>1.1296517848968506</v>
      </c>
      <c r="F445" s="11">
        <v>0.87784492969512939</v>
      </c>
    </row>
    <row r="446" spans="1:6" x14ac:dyDescent="0.3">
      <c r="A446" s="6">
        <v>4</v>
      </c>
      <c r="B446" s="6" t="s">
        <v>89</v>
      </c>
      <c r="C446" s="6" t="s">
        <v>380</v>
      </c>
      <c r="D446" s="6" t="s">
        <v>90</v>
      </c>
      <c r="E446" s="11">
        <v>0.71338427066802979</v>
      </c>
      <c r="F446" s="11">
        <v>0.87784492969512939</v>
      </c>
    </row>
    <row r="447" spans="1:6" x14ac:dyDescent="0.3">
      <c r="A447" s="6">
        <v>4</v>
      </c>
      <c r="B447" s="6" t="s">
        <v>89</v>
      </c>
      <c r="C447" s="6" t="s">
        <v>381</v>
      </c>
      <c r="D447" s="6" t="s">
        <v>90</v>
      </c>
      <c r="E447" s="11">
        <v>1.0029901266098022</v>
      </c>
      <c r="F447" s="11">
        <v>0.87784492969512939</v>
      </c>
    </row>
    <row r="448" spans="1:6" x14ac:dyDescent="0.3">
      <c r="A448" s="6">
        <v>4</v>
      </c>
      <c r="B448" s="6" t="s">
        <v>89</v>
      </c>
      <c r="C448" s="6" t="s">
        <v>382</v>
      </c>
      <c r="D448" s="6" t="s">
        <v>90</v>
      </c>
      <c r="E448" s="11">
        <v>2.4118824005126953</v>
      </c>
      <c r="F448" s="11">
        <v>0.87784492969512939</v>
      </c>
    </row>
    <row r="449" spans="1:6" x14ac:dyDescent="0.3">
      <c r="A449" s="6">
        <v>4</v>
      </c>
      <c r="B449" s="6" t="s">
        <v>89</v>
      </c>
      <c r="C449" s="6" t="s">
        <v>383</v>
      </c>
      <c r="D449" s="6" t="s">
        <v>90</v>
      </c>
      <c r="E449" s="11">
        <v>0.90800660848617554</v>
      </c>
      <c r="F449" s="11">
        <v>0.87784492969512939</v>
      </c>
    </row>
    <row r="450" spans="1:6" x14ac:dyDescent="0.3">
      <c r="A450" s="6">
        <v>4</v>
      </c>
      <c r="B450" s="6" t="s">
        <v>89</v>
      </c>
      <c r="C450" s="6" t="s">
        <v>384</v>
      </c>
      <c r="D450" s="6" t="s">
        <v>90</v>
      </c>
      <c r="E450" s="11">
        <v>0.96285659074783325</v>
      </c>
      <c r="F450" s="11">
        <v>0.87784492969512939</v>
      </c>
    </row>
    <row r="451" spans="1:6" x14ac:dyDescent="0.3">
      <c r="A451" s="6">
        <v>4</v>
      </c>
      <c r="B451" s="6" t="s">
        <v>89</v>
      </c>
      <c r="C451" s="6" t="s">
        <v>385</v>
      </c>
      <c r="D451" s="6" t="s">
        <v>90</v>
      </c>
      <c r="E451" s="11">
        <v>0.87365478277206421</v>
      </c>
      <c r="F451" s="11">
        <v>0.87784492969512939</v>
      </c>
    </row>
    <row r="452" spans="1:6" x14ac:dyDescent="0.3">
      <c r="A452" s="6">
        <v>4</v>
      </c>
      <c r="B452" s="6" t="s">
        <v>89</v>
      </c>
      <c r="C452" s="6" t="s">
        <v>386</v>
      </c>
      <c r="D452" s="6" t="s">
        <v>90</v>
      </c>
      <c r="E452" s="11">
        <v>0.80272763967514038</v>
      </c>
      <c r="F452" s="11">
        <v>0.87784492969512939</v>
      </c>
    </row>
    <row r="453" spans="1:6" x14ac:dyDescent="0.3">
      <c r="A453" s="6">
        <v>4</v>
      </c>
      <c r="B453" s="6" t="s">
        <v>89</v>
      </c>
      <c r="C453" s="6" t="s">
        <v>387</v>
      </c>
      <c r="D453" s="6" t="s">
        <v>90</v>
      </c>
      <c r="E453" s="11">
        <v>1.0728845596313477</v>
      </c>
      <c r="F453" s="11">
        <v>0.87784492969512939</v>
      </c>
    </row>
    <row r="454" spans="1:6" x14ac:dyDescent="0.3">
      <c r="A454" s="6">
        <v>4</v>
      </c>
      <c r="B454" s="6" t="s">
        <v>89</v>
      </c>
      <c r="C454" s="6" t="s">
        <v>388</v>
      </c>
      <c r="D454" s="6" t="s">
        <v>90</v>
      </c>
      <c r="E454" s="11">
        <v>0.8769037127494812</v>
      </c>
      <c r="F454" s="11">
        <v>0.87784492969512939</v>
      </c>
    </row>
    <row r="455" spans="1:6" x14ac:dyDescent="0.3">
      <c r="A455" s="6">
        <v>4</v>
      </c>
      <c r="B455" s="6" t="s">
        <v>89</v>
      </c>
      <c r="C455" s="6" t="s">
        <v>389</v>
      </c>
      <c r="D455" s="6" t="s">
        <v>90</v>
      </c>
      <c r="E455" s="11">
        <v>0.96706324815750122</v>
      </c>
      <c r="F455" s="11">
        <v>0.87784492969512939</v>
      </c>
    </row>
    <row r="456" spans="1:6" x14ac:dyDescent="0.3">
      <c r="A456" s="6">
        <v>4</v>
      </c>
      <c r="B456" s="6" t="s">
        <v>89</v>
      </c>
      <c r="C456" s="6" t="s">
        <v>390</v>
      </c>
      <c r="D456" s="6" t="s">
        <v>90</v>
      </c>
      <c r="E456" s="11">
        <v>1.2119642496109009</v>
      </c>
      <c r="F456" s="11">
        <v>0.87784492969512939</v>
      </c>
    </row>
    <row r="457" spans="1:6" x14ac:dyDescent="0.3">
      <c r="A457" s="6">
        <v>4</v>
      </c>
      <c r="B457" s="6" t="s">
        <v>89</v>
      </c>
      <c r="C457" s="6" t="s">
        <v>391</v>
      </c>
      <c r="D457" s="6" t="s">
        <v>90</v>
      </c>
      <c r="E457" s="11">
        <v>1.2142014503479004</v>
      </c>
      <c r="F457" s="11">
        <v>0.87784492969512939</v>
      </c>
    </row>
    <row r="458" spans="1:6" x14ac:dyDescent="0.3">
      <c r="A458" s="6">
        <v>4</v>
      </c>
      <c r="B458" s="6" t="s">
        <v>89</v>
      </c>
      <c r="C458" s="6" t="s">
        <v>392</v>
      </c>
      <c r="D458" s="6" t="s">
        <v>90</v>
      </c>
      <c r="E458" s="11">
        <v>1.1121879816055298</v>
      </c>
      <c r="F458" s="11">
        <v>0.87784492969512939</v>
      </c>
    </row>
    <row r="459" spans="1:6" x14ac:dyDescent="0.3">
      <c r="A459" s="6">
        <v>4</v>
      </c>
      <c r="B459" s="6" t="s">
        <v>89</v>
      </c>
      <c r="C459" s="6" t="s">
        <v>393</v>
      </c>
      <c r="D459" s="6" t="s">
        <v>90</v>
      </c>
      <c r="E459" s="11">
        <v>1.0994127988815308</v>
      </c>
      <c r="F459" s="11">
        <v>0.87784492969512939</v>
      </c>
    </row>
    <row r="460" spans="1:6" x14ac:dyDescent="0.3">
      <c r="A460" s="6">
        <v>4</v>
      </c>
      <c r="B460" s="6" t="s">
        <v>89</v>
      </c>
      <c r="C460" s="6" t="s">
        <v>394</v>
      </c>
      <c r="D460" s="6" t="s">
        <v>90</v>
      </c>
      <c r="E460" s="11">
        <v>1.0206533670425415</v>
      </c>
      <c r="F460" s="11">
        <v>0.87784492969512939</v>
      </c>
    </row>
    <row r="461" spans="1:6" x14ac:dyDescent="0.3">
      <c r="A461" s="6">
        <v>4</v>
      </c>
      <c r="B461" s="6" t="s">
        <v>89</v>
      </c>
      <c r="C461" s="6" t="s">
        <v>395</v>
      </c>
      <c r="D461" s="6" t="s">
        <v>90</v>
      </c>
      <c r="E461" s="11">
        <v>1.202544093132019</v>
      </c>
      <c r="F461" s="11">
        <v>0.87784492969512939</v>
      </c>
    </row>
    <row r="462" spans="1:6" x14ac:dyDescent="0.3">
      <c r="A462" s="6">
        <v>4</v>
      </c>
      <c r="B462" s="6" t="s">
        <v>89</v>
      </c>
      <c r="C462" s="6" t="s">
        <v>396</v>
      </c>
      <c r="D462" s="6" t="s">
        <v>90</v>
      </c>
      <c r="E462" s="11">
        <v>1.2699242830276489</v>
      </c>
      <c r="F462" s="11">
        <v>0.87784492969512939</v>
      </c>
    </row>
    <row r="463" spans="1:6" x14ac:dyDescent="0.3">
      <c r="A463" s="6">
        <v>4</v>
      </c>
      <c r="B463" s="6" t="s">
        <v>89</v>
      </c>
      <c r="C463" s="6" t="s">
        <v>397</v>
      </c>
      <c r="D463" s="6" t="s">
        <v>90</v>
      </c>
      <c r="E463" s="11">
        <v>1.2738416194915771</v>
      </c>
      <c r="F463" s="11">
        <v>0.87784492969512939</v>
      </c>
    </row>
    <row r="464" spans="1:6" x14ac:dyDescent="0.3">
      <c r="A464" s="6">
        <v>4</v>
      </c>
      <c r="B464" s="6" t="s">
        <v>89</v>
      </c>
      <c r="C464" s="6" t="s">
        <v>398</v>
      </c>
      <c r="D464" s="6" t="s">
        <v>90</v>
      </c>
      <c r="E464" s="11">
        <v>1.1148673295974731</v>
      </c>
      <c r="F464" s="11">
        <v>0.87784492969512939</v>
      </c>
    </row>
    <row r="465" spans="1:6" x14ac:dyDescent="0.3">
      <c r="A465" s="6">
        <v>4</v>
      </c>
      <c r="B465" s="6" t="s">
        <v>89</v>
      </c>
      <c r="C465" s="6" t="s">
        <v>399</v>
      </c>
      <c r="D465" s="6" t="s">
        <v>90</v>
      </c>
      <c r="E465" s="11">
        <v>0.92949789762496948</v>
      </c>
      <c r="F465" s="11">
        <v>0.87784492969512939</v>
      </c>
    </row>
    <row r="466" spans="1:6" x14ac:dyDescent="0.3">
      <c r="A466" s="6">
        <v>4</v>
      </c>
      <c r="B466" s="6" t="s">
        <v>89</v>
      </c>
      <c r="C466" s="6" t="s">
        <v>400</v>
      </c>
      <c r="D466" s="6" t="s">
        <v>90</v>
      </c>
      <c r="E466" s="11">
        <v>1.0345042943954468</v>
      </c>
      <c r="F466" s="11">
        <v>0.87784492969512939</v>
      </c>
    </row>
    <row r="467" spans="1:6" x14ac:dyDescent="0.3">
      <c r="A467" s="6">
        <v>4</v>
      </c>
      <c r="B467" s="6" t="s">
        <v>89</v>
      </c>
      <c r="C467" s="6" t="s">
        <v>401</v>
      </c>
      <c r="D467" s="6" t="s">
        <v>90</v>
      </c>
      <c r="E467" s="11">
        <v>1.2235941886901855</v>
      </c>
      <c r="F467" s="11">
        <v>0.87784492969512939</v>
      </c>
    </row>
    <row r="468" spans="1:6" x14ac:dyDescent="0.3">
      <c r="A468" s="6">
        <v>4</v>
      </c>
      <c r="B468" s="6" t="s">
        <v>89</v>
      </c>
      <c r="C468" s="6" t="s">
        <v>402</v>
      </c>
      <c r="D468" s="6" t="s">
        <v>90</v>
      </c>
      <c r="E468" s="11">
        <v>0.96994316577911377</v>
      </c>
      <c r="F468" s="11">
        <v>0.87784492969512939</v>
      </c>
    </row>
    <row r="469" spans="1:6" x14ac:dyDescent="0.3">
      <c r="A469" s="6">
        <v>4</v>
      </c>
      <c r="B469" s="6" t="s">
        <v>89</v>
      </c>
      <c r="C469" s="6" t="s">
        <v>403</v>
      </c>
      <c r="D469" s="6" t="s">
        <v>90</v>
      </c>
      <c r="E469" s="11">
        <v>2.462369441986084</v>
      </c>
      <c r="F469" s="11">
        <v>0.87784492969512939</v>
      </c>
    </row>
    <row r="470" spans="1:6" x14ac:dyDescent="0.3">
      <c r="A470" s="6">
        <v>4</v>
      </c>
      <c r="B470" s="6" t="s">
        <v>89</v>
      </c>
      <c r="C470" s="6" t="s">
        <v>404</v>
      </c>
      <c r="D470" s="6" t="s">
        <v>90</v>
      </c>
      <c r="E470" s="11">
        <v>0.7419358491897583</v>
      </c>
      <c r="F470" s="11">
        <v>0.87784492969512939</v>
      </c>
    </row>
    <row r="471" spans="1:6" x14ac:dyDescent="0.3">
      <c r="A471" s="6">
        <v>4</v>
      </c>
      <c r="B471" s="6" t="s">
        <v>89</v>
      </c>
      <c r="C471" s="6" t="s">
        <v>405</v>
      </c>
      <c r="D471" s="6" t="s">
        <v>90</v>
      </c>
      <c r="E471" s="11">
        <v>0.74518454074859619</v>
      </c>
      <c r="F471" s="11">
        <v>0.87784492969512939</v>
      </c>
    </row>
    <row r="472" spans="1:6" x14ac:dyDescent="0.3">
      <c r="A472" s="6">
        <v>4</v>
      </c>
      <c r="B472" s="6" t="s">
        <v>89</v>
      </c>
      <c r="C472" s="6" t="s">
        <v>406</v>
      </c>
      <c r="D472" s="6" t="s">
        <v>90</v>
      </c>
      <c r="E472" s="11">
        <v>0.72932630777359009</v>
      </c>
      <c r="F472" s="11">
        <v>0.87784492969512939</v>
      </c>
    </row>
    <row r="473" spans="1:6" x14ac:dyDescent="0.3">
      <c r="A473" s="6">
        <v>4</v>
      </c>
      <c r="B473" s="6" t="s">
        <v>89</v>
      </c>
      <c r="C473" s="6" t="s">
        <v>407</v>
      </c>
      <c r="D473" s="6" t="s">
        <v>90</v>
      </c>
      <c r="E473" s="11">
        <v>0.97286891937255859</v>
      </c>
      <c r="F473" s="11">
        <v>0.87784492969512939</v>
      </c>
    </row>
    <row r="474" spans="1:6" x14ac:dyDescent="0.3">
      <c r="A474" s="6">
        <v>4</v>
      </c>
      <c r="B474" s="6" t="s">
        <v>89</v>
      </c>
      <c r="C474" s="6" t="s">
        <v>408</v>
      </c>
      <c r="D474" s="6" t="s">
        <v>90</v>
      </c>
      <c r="E474" s="11">
        <v>1.0949467420578003</v>
      </c>
      <c r="F474" s="11">
        <v>0.87784492969512939</v>
      </c>
    </row>
    <row r="475" spans="1:6" x14ac:dyDescent="0.3">
      <c r="A475" s="6">
        <v>4</v>
      </c>
      <c r="B475" s="6" t="s">
        <v>89</v>
      </c>
      <c r="C475" s="6" t="s">
        <v>409</v>
      </c>
      <c r="D475" s="6" t="s">
        <v>90</v>
      </c>
      <c r="E475" s="11">
        <v>0.83437567949295044</v>
      </c>
      <c r="F475" s="11">
        <v>0.87784492969512939</v>
      </c>
    </row>
    <row r="476" spans="1:6" x14ac:dyDescent="0.3">
      <c r="A476" s="6">
        <v>4</v>
      </c>
      <c r="B476" s="6" t="s">
        <v>89</v>
      </c>
      <c r="C476" s="6" t="s">
        <v>410</v>
      </c>
      <c r="D476" s="6" t="s">
        <v>90</v>
      </c>
      <c r="E476" s="11">
        <v>1.2373757362365723</v>
      </c>
      <c r="F476" s="11">
        <v>0.87784492969512939</v>
      </c>
    </row>
    <row r="477" spans="1:6" x14ac:dyDescent="0.3">
      <c r="A477" s="6">
        <v>4</v>
      </c>
      <c r="B477" s="6" t="s">
        <v>89</v>
      </c>
      <c r="C477" s="6" t="s">
        <v>411</v>
      </c>
      <c r="D477" s="6" t="s">
        <v>90</v>
      </c>
      <c r="E477" s="11">
        <v>1.4012092351913452</v>
      </c>
      <c r="F477" s="11">
        <v>0.87784492969512939</v>
      </c>
    </row>
    <row r="478" spans="1:6" x14ac:dyDescent="0.3">
      <c r="A478" s="6">
        <v>4</v>
      </c>
      <c r="B478" s="6" t="s">
        <v>89</v>
      </c>
      <c r="C478" s="6" t="s">
        <v>412</v>
      </c>
      <c r="D478" s="6" t="s">
        <v>90</v>
      </c>
      <c r="E478" s="11">
        <v>0.9493032693862915</v>
      </c>
      <c r="F478" s="11">
        <v>0.87784492969512939</v>
      </c>
    </row>
    <row r="479" spans="1:6" x14ac:dyDescent="0.3">
      <c r="A479" s="6">
        <v>4</v>
      </c>
      <c r="B479" s="6" t="s">
        <v>89</v>
      </c>
      <c r="C479" s="6" t="s">
        <v>413</v>
      </c>
      <c r="D479" s="6" t="s">
        <v>90</v>
      </c>
      <c r="E479" s="11">
        <v>1.2156254053115845</v>
      </c>
      <c r="F479" s="11">
        <v>0.87784492969512939</v>
      </c>
    </row>
    <row r="480" spans="1:6" x14ac:dyDescent="0.3">
      <c r="A480" s="6">
        <v>4</v>
      </c>
      <c r="B480" s="6" t="s">
        <v>89</v>
      </c>
      <c r="C480" s="6" t="s">
        <v>414</v>
      </c>
      <c r="D480" s="6" t="s">
        <v>90</v>
      </c>
      <c r="E480" s="11">
        <v>1.3222007751464844</v>
      </c>
      <c r="F480" s="11">
        <v>0.87784492969512939</v>
      </c>
    </row>
    <row r="481" spans="1:6" x14ac:dyDescent="0.3">
      <c r="A481" s="6">
        <v>4</v>
      </c>
      <c r="B481" s="6" t="s">
        <v>89</v>
      </c>
      <c r="C481" s="6" t="s">
        <v>415</v>
      </c>
      <c r="D481" s="6" t="s">
        <v>90</v>
      </c>
      <c r="E481" s="11">
        <v>1.1065045595169067</v>
      </c>
      <c r="F481" s="11">
        <v>0.87784492969512939</v>
      </c>
    </row>
    <row r="482" spans="1:6" x14ac:dyDescent="0.3">
      <c r="A482" s="6">
        <v>4</v>
      </c>
      <c r="B482" s="6" t="s">
        <v>89</v>
      </c>
      <c r="C482" s="6" t="s">
        <v>416</v>
      </c>
      <c r="D482" s="6" t="s">
        <v>90</v>
      </c>
      <c r="E482" s="11">
        <v>0.76448053121566772</v>
      </c>
      <c r="F482" s="11">
        <v>0.87784492969512939</v>
      </c>
    </row>
    <row r="483" spans="1:6" x14ac:dyDescent="0.3">
      <c r="A483" s="6">
        <v>4</v>
      </c>
      <c r="B483" s="6" t="s">
        <v>89</v>
      </c>
      <c r="C483" s="6" t="s">
        <v>417</v>
      </c>
      <c r="D483" s="6" t="s">
        <v>90</v>
      </c>
      <c r="E483" s="11">
        <v>0.80769091844558716</v>
      </c>
      <c r="F483" s="11">
        <v>0.87784492969512939</v>
      </c>
    </row>
    <row r="484" spans="1:6" x14ac:dyDescent="0.3">
      <c r="A484" s="6">
        <v>4</v>
      </c>
      <c r="B484" s="6" t="s">
        <v>89</v>
      </c>
      <c r="C484" s="6" t="s">
        <v>418</v>
      </c>
      <c r="D484" s="6" t="s">
        <v>90</v>
      </c>
      <c r="E484" s="11">
        <v>0.94921243190765381</v>
      </c>
      <c r="F484" s="11">
        <v>0.87784492969512939</v>
      </c>
    </row>
    <row r="485" spans="1:6" x14ac:dyDescent="0.3">
      <c r="A485" s="6">
        <v>4</v>
      </c>
      <c r="B485" s="6" t="s">
        <v>89</v>
      </c>
      <c r="C485" s="6" t="s">
        <v>419</v>
      </c>
      <c r="D485" s="6" t="s">
        <v>90</v>
      </c>
      <c r="E485" s="11">
        <v>0.73224908113479614</v>
      </c>
      <c r="F485" s="11">
        <v>0.87784492969512939</v>
      </c>
    </row>
    <row r="486" spans="1:6" x14ac:dyDescent="0.3">
      <c r="A486" s="6">
        <v>4</v>
      </c>
      <c r="B486" s="6" t="s">
        <v>89</v>
      </c>
      <c r="C486" s="6" t="s">
        <v>420</v>
      </c>
      <c r="D486" s="6" t="s">
        <v>90</v>
      </c>
      <c r="E486" s="11">
        <v>0.74164003133773804</v>
      </c>
      <c r="F486" s="11">
        <v>0.87784492969512939</v>
      </c>
    </row>
    <row r="487" spans="1:6" x14ac:dyDescent="0.3">
      <c r="A487" s="6">
        <v>4</v>
      </c>
      <c r="B487" s="6" t="s">
        <v>89</v>
      </c>
      <c r="C487" s="6" t="s">
        <v>421</v>
      </c>
      <c r="D487" s="6" t="s">
        <v>90</v>
      </c>
      <c r="E487" s="11">
        <v>1.081714391708374</v>
      </c>
      <c r="F487" s="11">
        <v>0.87784492969512939</v>
      </c>
    </row>
    <row r="488" spans="1:6" x14ac:dyDescent="0.3">
      <c r="A488" s="6">
        <v>4</v>
      </c>
      <c r="B488" s="6" t="s">
        <v>89</v>
      </c>
      <c r="C488" s="6" t="s">
        <v>422</v>
      </c>
      <c r="D488" s="6" t="s">
        <v>90</v>
      </c>
      <c r="E488" s="11">
        <v>1.7458647489547729</v>
      </c>
      <c r="F488" s="11">
        <v>0.87784492969512939</v>
      </c>
    </row>
    <row r="489" spans="1:6" x14ac:dyDescent="0.3">
      <c r="A489" s="6">
        <v>4</v>
      </c>
      <c r="B489" s="6" t="s">
        <v>89</v>
      </c>
      <c r="C489" s="6" t="s">
        <v>423</v>
      </c>
      <c r="D489" s="6" t="s">
        <v>90</v>
      </c>
      <c r="E489" s="11">
        <v>0.97294539213180542</v>
      </c>
      <c r="F489" s="11">
        <v>0.87784492969512939</v>
      </c>
    </row>
    <row r="490" spans="1:6" x14ac:dyDescent="0.3">
      <c r="A490" s="6">
        <v>4</v>
      </c>
      <c r="B490" s="6" t="s">
        <v>89</v>
      </c>
      <c r="C490" s="6" t="s">
        <v>424</v>
      </c>
      <c r="D490" s="6" t="s">
        <v>90</v>
      </c>
      <c r="E490" s="11">
        <v>0.95354479551315308</v>
      </c>
      <c r="F490" s="11">
        <v>0.87784492969512939</v>
      </c>
    </row>
    <row r="491" spans="1:6" x14ac:dyDescent="0.3">
      <c r="A491" s="6">
        <v>4</v>
      </c>
      <c r="B491" s="6" t="s">
        <v>89</v>
      </c>
      <c r="C491" s="6" t="s">
        <v>425</v>
      </c>
      <c r="D491" s="6" t="s">
        <v>90</v>
      </c>
      <c r="E491" s="11">
        <v>1.0996807813644409</v>
      </c>
      <c r="F491" s="11">
        <v>0.87784492969512939</v>
      </c>
    </row>
    <row r="492" spans="1:6" x14ac:dyDescent="0.3">
      <c r="A492" s="6">
        <v>4</v>
      </c>
      <c r="B492" s="6" t="s">
        <v>89</v>
      </c>
      <c r="C492" s="6" t="s">
        <v>426</v>
      </c>
      <c r="D492" s="6" t="s">
        <v>90</v>
      </c>
      <c r="E492" s="11">
        <v>0.7621808648109436</v>
      </c>
      <c r="F492" s="11">
        <v>0.87784492969512939</v>
      </c>
    </row>
    <row r="493" spans="1:6" x14ac:dyDescent="0.3">
      <c r="A493" s="6">
        <v>4</v>
      </c>
      <c r="B493" s="6" t="s">
        <v>89</v>
      </c>
      <c r="C493" s="6" t="s">
        <v>427</v>
      </c>
      <c r="D493" s="6" t="s">
        <v>90</v>
      </c>
      <c r="E493" s="11">
        <v>1.1318595409393311</v>
      </c>
      <c r="F493" s="11">
        <v>0.87784492969512939</v>
      </c>
    </row>
    <row r="494" spans="1:6" x14ac:dyDescent="0.3">
      <c r="A494" s="6">
        <v>4</v>
      </c>
      <c r="B494" s="6" t="s">
        <v>89</v>
      </c>
      <c r="C494" s="6" t="s">
        <v>428</v>
      </c>
      <c r="D494" s="6" t="s">
        <v>90</v>
      </c>
      <c r="E494" s="11">
        <v>1.0909892320632935</v>
      </c>
      <c r="F494" s="11">
        <v>0.87784492969512939</v>
      </c>
    </row>
    <row r="495" spans="1:6" x14ac:dyDescent="0.3">
      <c r="A495" s="6">
        <v>4</v>
      </c>
      <c r="B495" s="6" t="s">
        <v>89</v>
      </c>
      <c r="C495" s="6" t="s">
        <v>429</v>
      </c>
      <c r="D495" s="6" t="s">
        <v>90</v>
      </c>
      <c r="E495" s="11">
        <v>0.93241739273071289</v>
      </c>
      <c r="F495" s="11">
        <v>0.87784492969512939</v>
      </c>
    </row>
    <row r="496" spans="1:6" x14ac:dyDescent="0.3">
      <c r="A496" s="6">
        <v>4</v>
      </c>
      <c r="B496" s="6" t="s">
        <v>89</v>
      </c>
      <c r="C496" s="6" t="s">
        <v>430</v>
      </c>
      <c r="D496" s="6" t="s">
        <v>90</v>
      </c>
      <c r="E496" s="11">
        <v>0.84949731826782227</v>
      </c>
      <c r="F496" s="11">
        <v>0.87784492969512939</v>
      </c>
    </row>
    <row r="497" spans="1:6" x14ac:dyDescent="0.3">
      <c r="A497" s="6">
        <v>4</v>
      </c>
      <c r="B497" s="6" t="s">
        <v>89</v>
      </c>
      <c r="C497" s="6" t="s">
        <v>431</v>
      </c>
      <c r="D497" s="6" t="s">
        <v>90</v>
      </c>
      <c r="E497" s="11">
        <v>0.94499564170837402</v>
      </c>
      <c r="F497" s="11">
        <v>0.87784492969512939</v>
      </c>
    </row>
    <row r="498" spans="1:6" x14ac:dyDescent="0.3">
      <c r="A498" s="6">
        <v>4</v>
      </c>
      <c r="B498" s="6" t="s">
        <v>89</v>
      </c>
      <c r="C498" s="6" t="s">
        <v>432</v>
      </c>
      <c r="D498" s="6" t="s">
        <v>90</v>
      </c>
      <c r="E498" s="11">
        <v>0.92310935258865356</v>
      </c>
      <c r="F498" s="11">
        <v>0.87784492969512939</v>
      </c>
    </row>
    <row r="499" spans="1:6" x14ac:dyDescent="0.3">
      <c r="A499" s="6">
        <v>4</v>
      </c>
      <c r="B499" s="6" t="s">
        <v>89</v>
      </c>
      <c r="C499" s="6" t="s">
        <v>433</v>
      </c>
      <c r="D499" s="6" t="s">
        <v>90</v>
      </c>
      <c r="E499" s="11">
        <v>0.72038727998733521</v>
      </c>
      <c r="F499" s="11">
        <v>0.87784492969512939</v>
      </c>
    </row>
    <row r="500" spans="1:6" x14ac:dyDescent="0.3">
      <c r="A500" s="6">
        <v>4</v>
      </c>
      <c r="B500" s="6" t="s">
        <v>89</v>
      </c>
      <c r="C500" s="6" t="s">
        <v>434</v>
      </c>
      <c r="D500" s="6" t="s">
        <v>90</v>
      </c>
      <c r="E500" s="11">
        <v>1.1310776472091675</v>
      </c>
      <c r="F500" s="11">
        <v>0.87784492969512939</v>
      </c>
    </row>
    <row r="501" spans="1:6" x14ac:dyDescent="0.3">
      <c r="A501" s="6">
        <v>4</v>
      </c>
      <c r="B501" s="6" t="s">
        <v>89</v>
      </c>
      <c r="C501" s="6" t="s">
        <v>435</v>
      </c>
      <c r="D501" s="6" t="s">
        <v>90</v>
      </c>
      <c r="E501" s="11">
        <v>0.8408387303352356</v>
      </c>
      <c r="F501" s="11">
        <v>0.87784492969512939</v>
      </c>
    </row>
    <row r="502" spans="1:6" x14ac:dyDescent="0.3">
      <c r="A502" s="6">
        <v>4</v>
      </c>
      <c r="B502" s="6" t="s">
        <v>89</v>
      </c>
      <c r="C502" s="6" t="s">
        <v>436</v>
      </c>
      <c r="D502" s="6" t="s">
        <v>90</v>
      </c>
      <c r="E502" s="11">
        <v>1.0590059757232666</v>
      </c>
      <c r="F502" s="11">
        <v>0.87784492969512939</v>
      </c>
    </row>
    <row r="503" spans="1:6" x14ac:dyDescent="0.3">
      <c r="A503" s="6">
        <v>4</v>
      </c>
      <c r="B503" s="6" t="s">
        <v>89</v>
      </c>
      <c r="C503" s="6" t="s">
        <v>437</v>
      </c>
      <c r="D503" s="6" t="s">
        <v>90</v>
      </c>
      <c r="E503" s="11">
        <v>0.68702667951583862</v>
      </c>
      <c r="F503" s="11">
        <v>0.87784492969512939</v>
      </c>
    </row>
    <row r="504" spans="1:6" x14ac:dyDescent="0.3">
      <c r="A504" s="6">
        <v>4</v>
      </c>
      <c r="B504" s="6" t="s">
        <v>89</v>
      </c>
      <c r="C504" s="6" t="s">
        <v>438</v>
      </c>
      <c r="D504" s="6" t="s">
        <v>90</v>
      </c>
      <c r="E504" s="11">
        <v>0.91811579465866089</v>
      </c>
      <c r="F504" s="11">
        <v>0.87784492969512939</v>
      </c>
    </row>
    <row r="505" spans="1:6" x14ac:dyDescent="0.3">
      <c r="A505" s="6">
        <v>4</v>
      </c>
      <c r="B505" s="6" t="s">
        <v>89</v>
      </c>
      <c r="C505" s="6" t="s">
        <v>439</v>
      </c>
      <c r="D505" s="6" t="s">
        <v>90</v>
      </c>
      <c r="E505" s="11">
        <v>0.98477590084075928</v>
      </c>
      <c r="F505" s="11">
        <v>0.87784492969512939</v>
      </c>
    </row>
    <row r="506" spans="1:6" x14ac:dyDescent="0.3">
      <c r="A506" s="6">
        <v>4</v>
      </c>
      <c r="B506" s="6" t="s">
        <v>89</v>
      </c>
      <c r="C506" s="6" t="s">
        <v>440</v>
      </c>
      <c r="D506" s="6" t="s">
        <v>90</v>
      </c>
      <c r="E506" s="11">
        <v>1.1143746376037598</v>
      </c>
      <c r="F506" s="11">
        <v>0.87784492969512939</v>
      </c>
    </row>
    <row r="507" spans="1:6" x14ac:dyDescent="0.3">
      <c r="A507" s="6">
        <v>4</v>
      </c>
      <c r="B507" s="6" t="s">
        <v>89</v>
      </c>
      <c r="C507" s="6" t="s">
        <v>441</v>
      </c>
      <c r="D507" s="6" t="s">
        <v>90</v>
      </c>
      <c r="E507" s="11">
        <v>0.91112208366394043</v>
      </c>
      <c r="F507" s="11">
        <v>0.87784492969512939</v>
      </c>
    </row>
    <row r="508" spans="1:6" x14ac:dyDescent="0.3">
      <c r="A508" s="6">
        <v>4</v>
      </c>
      <c r="B508" s="6" t="s">
        <v>89</v>
      </c>
      <c r="C508" s="6" t="s">
        <v>442</v>
      </c>
      <c r="D508" s="6" t="s">
        <v>90</v>
      </c>
      <c r="E508" s="11">
        <v>0.87022113800048828</v>
      </c>
      <c r="F508" s="11">
        <v>0.87784492969512939</v>
      </c>
    </row>
    <row r="509" spans="1:6" x14ac:dyDescent="0.3">
      <c r="A509" s="6">
        <v>4</v>
      </c>
      <c r="B509" s="6" t="s">
        <v>89</v>
      </c>
      <c r="C509" s="6" t="s">
        <v>443</v>
      </c>
      <c r="D509" s="6" t="s">
        <v>90</v>
      </c>
      <c r="E509" s="11">
        <v>1.0136979818344116</v>
      </c>
      <c r="F509" s="11">
        <v>0.87784492969512939</v>
      </c>
    </row>
    <row r="510" spans="1:6" x14ac:dyDescent="0.3">
      <c r="A510" s="6">
        <v>4</v>
      </c>
      <c r="B510" s="6" t="s">
        <v>89</v>
      </c>
      <c r="C510" s="6" t="s">
        <v>444</v>
      </c>
      <c r="D510" s="6" t="s">
        <v>90</v>
      </c>
      <c r="E510" s="11">
        <v>0.83086395263671875</v>
      </c>
      <c r="F510" s="11">
        <v>0.87784492969512939</v>
      </c>
    </row>
    <row r="511" spans="1:6" x14ac:dyDescent="0.3">
      <c r="A511" s="6">
        <v>4</v>
      </c>
      <c r="B511" s="6" t="s">
        <v>89</v>
      </c>
      <c r="C511" s="6" t="s">
        <v>445</v>
      </c>
      <c r="D511" s="6" t="s">
        <v>90</v>
      </c>
      <c r="E511" s="11">
        <v>2.1551790237426758</v>
      </c>
      <c r="F511" s="11">
        <v>0.87784492969512939</v>
      </c>
    </row>
    <row r="512" spans="1:6" x14ac:dyDescent="0.3">
      <c r="A512" s="6">
        <v>4</v>
      </c>
      <c r="B512" s="6" t="s">
        <v>89</v>
      </c>
      <c r="C512" s="6" t="s">
        <v>446</v>
      </c>
      <c r="D512" s="6" t="s">
        <v>90</v>
      </c>
      <c r="E512" s="11">
        <v>0.91338652372360229</v>
      </c>
      <c r="F512" s="11">
        <v>0.87784492969512939</v>
      </c>
    </row>
    <row r="513" spans="1:6" x14ac:dyDescent="0.3">
      <c r="A513" s="6">
        <v>4</v>
      </c>
      <c r="B513" s="6" t="s">
        <v>89</v>
      </c>
      <c r="C513" s="6" t="s">
        <v>447</v>
      </c>
      <c r="D513" s="6" t="s">
        <v>90</v>
      </c>
      <c r="E513" s="11">
        <v>1.0608615875244141</v>
      </c>
      <c r="F513" s="11">
        <v>0.87784492969512939</v>
      </c>
    </row>
    <row r="514" spans="1:6" x14ac:dyDescent="0.3">
      <c r="A514" s="6">
        <v>4</v>
      </c>
      <c r="B514" s="6" t="s">
        <v>89</v>
      </c>
      <c r="C514" s="6" t="s">
        <v>448</v>
      </c>
      <c r="D514" s="6" t="s">
        <v>90</v>
      </c>
      <c r="E514" s="11">
        <v>0.75246751308441162</v>
      </c>
      <c r="F514" s="11">
        <v>0.87784492969512939</v>
      </c>
    </row>
    <row r="515" spans="1:6" x14ac:dyDescent="0.3">
      <c r="A515" s="6">
        <v>4</v>
      </c>
      <c r="B515" s="6" t="s">
        <v>89</v>
      </c>
      <c r="C515" s="6" t="s">
        <v>449</v>
      </c>
      <c r="D515" s="6" t="s">
        <v>90</v>
      </c>
      <c r="E515" s="11">
        <v>0.82387512922286987</v>
      </c>
      <c r="F515" s="11">
        <v>0.87784492969512939</v>
      </c>
    </row>
    <row r="516" spans="1:6" x14ac:dyDescent="0.3">
      <c r="A516" s="6">
        <v>4</v>
      </c>
      <c r="B516" s="6" t="s">
        <v>89</v>
      </c>
      <c r="C516" s="6" t="s">
        <v>450</v>
      </c>
      <c r="D516" s="6" t="s">
        <v>90</v>
      </c>
      <c r="E516" s="11">
        <v>0.89810699224472046</v>
      </c>
      <c r="F516" s="11">
        <v>0.87784492969512939</v>
      </c>
    </row>
    <row r="517" spans="1:6" x14ac:dyDescent="0.3">
      <c r="A517" s="6">
        <v>4</v>
      </c>
      <c r="B517" s="6" t="s">
        <v>89</v>
      </c>
      <c r="C517" s="6" t="s">
        <v>451</v>
      </c>
      <c r="D517" s="6" t="s">
        <v>90</v>
      </c>
      <c r="E517" s="11">
        <v>0.94235694408416748</v>
      </c>
      <c r="F517" s="11">
        <v>0.87784492969512939</v>
      </c>
    </row>
    <row r="518" spans="1:6" x14ac:dyDescent="0.3">
      <c r="A518" s="6">
        <v>4</v>
      </c>
      <c r="B518" s="6" t="s">
        <v>89</v>
      </c>
      <c r="C518" s="6" t="s">
        <v>452</v>
      </c>
      <c r="D518" s="6" t="s">
        <v>90</v>
      </c>
      <c r="E518" s="11">
        <v>1.1052360534667969</v>
      </c>
      <c r="F518" s="11">
        <v>0.87784492969512939</v>
      </c>
    </row>
    <row r="519" spans="1:6" x14ac:dyDescent="0.3">
      <c r="A519" s="6">
        <v>4</v>
      </c>
      <c r="B519" s="6" t="s">
        <v>89</v>
      </c>
      <c r="C519" s="6" t="s">
        <v>453</v>
      </c>
      <c r="D519" s="6" t="s">
        <v>90</v>
      </c>
      <c r="E519" s="11">
        <v>0.93372547626495361</v>
      </c>
      <c r="F519" s="11">
        <v>0.87784492969512939</v>
      </c>
    </row>
    <row r="520" spans="1:6" x14ac:dyDescent="0.3">
      <c r="A520" s="6">
        <v>4</v>
      </c>
      <c r="B520" s="6" t="s">
        <v>89</v>
      </c>
      <c r="C520" s="6" t="s">
        <v>454</v>
      </c>
      <c r="D520" s="6" t="s">
        <v>90</v>
      </c>
      <c r="E520" s="11">
        <v>1.1009124517440796</v>
      </c>
      <c r="F520" s="11">
        <v>0.87784492969512939</v>
      </c>
    </row>
    <row r="521" spans="1:6" x14ac:dyDescent="0.3">
      <c r="A521" s="6">
        <v>4</v>
      </c>
      <c r="B521" s="6" t="s">
        <v>89</v>
      </c>
      <c r="C521" s="6" t="s">
        <v>455</v>
      </c>
      <c r="D521" s="6" t="s">
        <v>90</v>
      </c>
      <c r="E521" s="11">
        <v>0.81961315870285034</v>
      </c>
      <c r="F521" s="11">
        <v>0.87784492969512939</v>
      </c>
    </row>
    <row r="522" spans="1:6" x14ac:dyDescent="0.3">
      <c r="A522" s="6">
        <v>4</v>
      </c>
      <c r="B522" s="6" t="s">
        <v>89</v>
      </c>
      <c r="C522" s="6" t="s">
        <v>456</v>
      </c>
      <c r="D522" s="6" t="s">
        <v>90</v>
      </c>
      <c r="E522" s="11">
        <v>0.97133886814117432</v>
      </c>
      <c r="F522" s="11">
        <v>0.87784492969512939</v>
      </c>
    </row>
    <row r="523" spans="1:6" x14ac:dyDescent="0.3">
      <c r="A523" s="6">
        <v>4</v>
      </c>
      <c r="B523" s="6" t="s">
        <v>89</v>
      </c>
      <c r="C523" s="6" t="s">
        <v>457</v>
      </c>
      <c r="D523" s="6" t="s">
        <v>90</v>
      </c>
      <c r="E523" s="11">
        <v>1.0168857574462891</v>
      </c>
      <c r="F523" s="11">
        <v>0.87784492969512939</v>
      </c>
    </row>
    <row r="524" spans="1:6" x14ac:dyDescent="0.3">
      <c r="A524" s="6">
        <v>4</v>
      </c>
      <c r="B524" s="6" t="s">
        <v>89</v>
      </c>
      <c r="C524" s="6" t="s">
        <v>458</v>
      </c>
      <c r="D524" s="6" t="s">
        <v>90</v>
      </c>
      <c r="E524" s="11">
        <v>0.93796777725219727</v>
      </c>
      <c r="F524" s="11">
        <v>0.87784492969512939</v>
      </c>
    </row>
    <row r="525" spans="1:6" x14ac:dyDescent="0.3">
      <c r="A525" s="6">
        <v>4</v>
      </c>
      <c r="B525" s="6" t="s">
        <v>89</v>
      </c>
      <c r="C525" s="6" t="s">
        <v>459</v>
      </c>
      <c r="D525" s="6" t="s">
        <v>90</v>
      </c>
      <c r="E525" s="11">
        <v>1.3202741146087646</v>
      </c>
      <c r="F525" s="11">
        <v>0.87784492969512939</v>
      </c>
    </row>
    <row r="526" spans="1:6" x14ac:dyDescent="0.3">
      <c r="A526" s="6">
        <v>4</v>
      </c>
      <c r="B526" s="6" t="s">
        <v>89</v>
      </c>
      <c r="C526" s="6" t="s">
        <v>460</v>
      </c>
      <c r="D526" s="6" t="s">
        <v>90</v>
      </c>
      <c r="E526" s="11">
        <v>1.3799060583114624</v>
      </c>
      <c r="F526" s="11">
        <v>0.87784492969512939</v>
      </c>
    </row>
    <row r="527" spans="1:6" x14ac:dyDescent="0.3">
      <c r="A527" s="6">
        <v>4</v>
      </c>
      <c r="B527" s="6" t="s">
        <v>89</v>
      </c>
      <c r="C527" s="6" t="s">
        <v>461</v>
      </c>
      <c r="D527" s="6" t="s">
        <v>90</v>
      </c>
      <c r="E527" s="11">
        <v>0.91236007213592529</v>
      </c>
      <c r="F527" s="11">
        <v>0.87784492969512939</v>
      </c>
    </row>
    <row r="528" spans="1:6" x14ac:dyDescent="0.3">
      <c r="A528" s="6">
        <v>4</v>
      </c>
      <c r="B528" s="6" t="s">
        <v>89</v>
      </c>
      <c r="C528" s="6" t="s">
        <v>462</v>
      </c>
      <c r="D528" s="6" t="s">
        <v>90</v>
      </c>
      <c r="E528" s="11">
        <v>0.7210049033164978</v>
      </c>
      <c r="F528" s="11">
        <v>0.87784492969512939</v>
      </c>
    </row>
    <row r="529" spans="1:6" x14ac:dyDescent="0.3">
      <c r="A529" s="6">
        <v>4</v>
      </c>
      <c r="B529" s="6" t="s">
        <v>89</v>
      </c>
      <c r="C529" s="6" t="s">
        <v>463</v>
      </c>
      <c r="D529" s="6" t="s">
        <v>90</v>
      </c>
      <c r="E529" s="11">
        <v>1.011902928352356</v>
      </c>
      <c r="F529" s="11">
        <v>0.87784492969512939</v>
      </c>
    </row>
    <row r="530" spans="1:6" x14ac:dyDescent="0.3">
      <c r="A530" s="6">
        <v>4</v>
      </c>
      <c r="B530" s="6" t="s">
        <v>89</v>
      </c>
      <c r="C530" s="6" t="s">
        <v>464</v>
      </c>
      <c r="D530" s="6" t="s">
        <v>90</v>
      </c>
      <c r="E530" s="11">
        <v>0.97547590732574463</v>
      </c>
      <c r="F530" s="11">
        <v>0.87784492969512939</v>
      </c>
    </row>
    <row r="531" spans="1:6" x14ac:dyDescent="0.3">
      <c r="A531" s="6">
        <v>4</v>
      </c>
      <c r="B531" s="6" t="s">
        <v>89</v>
      </c>
      <c r="C531" s="6" t="s">
        <v>465</v>
      </c>
      <c r="D531" s="6" t="s">
        <v>90</v>
      </c>
      <c r="E531" s="11">
        <v>0.98062127828598022</v>
      </c>
      <c r="F531" s="11">
        <v>0.87784492969512939</v>
      </c>
    </row>
    <row r="532" spans="1:6" x14ac:dyDescent="0.3">
      <c r="A532" s="6">
        <v>4</v>
      </c>
      <c r="B532" s="6" t="s">
        <v>89</v>
      </c>
      <c r="C532" s="6" t="s">
        <v>466</v>
      </c>
      <c r="D532" s="6" t="s">
        <v>90</v>
      </c>
      <c r="E532" s="11">
        <v>0.90073806047439575</v>
      </c>
      <c r="F532" s="11">
        <v>0.87784492969512939</v>
      </c>
    </row>
    <row r="533" spans="1:6" x14ac:dyDescent="0.3">
      <c r="A533" s="6">
        <v>4</v>
      </c>
      <c r="B533" s="6" t="s">
        <v>89</v>
      </c>
      <c r="C533" s="6" t="s">
        <v>467</v>
      </c>
      <c r="D533" s="6" t="s">
        <v>90</v>
      </c>
      <c r="E533" s="11">
        <v>1.1193544864654541</v>
      </c>
      <c r="F533" s="11">
        <v>0.87784492969512939</v>
      </c>
    </row>
    <row r="534" spans="1:6" x14ac:dyDescent="0.3">
      <c r="A534" s="6">
        <v>4</v>
      </c>
      <c r="B534" s="6" t="s">
        <v>89</v>
      </c>
      <c r="C534" s="6" t="s">
        <v>468</v>
      </c>
      <c r="D534" s="6" t="s">
        <v>90</v>
      </c>
      <c r="E534" s="11">
        <v>1.1678048372268677</v>
      </c>
      <c r="F534" s="11">
        <v>0.87784492969512939</v>
      </c>
    </row>
    <row r="535" spans="1:6" x14ac:dyDescent="0.3">
      <c r="A535" s="6">
        <v>4</v>
      </c>
      <c r="B535" s="6" t="s">
        <v>89</v>
      </c>
      <c r="C535" s="6" t="s">
        <v>469</v>
      </c>
      <c r="D535" s="6" t="s">
        <v>90</v>
      </c>
      <c r="E535" s="11">
        <v>0.8275066614151001</v>
      </c>
      <c r="F535" s="11">
        <v>0.87784492969512939</v>
      </c>
    </row>
    <row r="536" spans="1:6" x14ac:dyDescent="0.3">
      <c r="A536" s="6">
        <v>4</v>
      </c>
      <c r="B536" s="6" t="s">
        <v>89</v>
      </c>
      <c r="C536" s="6" t="s">
        <v>470</v>
      </c>
      <c r="D536" s="6" t="s">
        <v>90</v>
      </c>
      <c r="E536" s="11">
        <v>0.77069938182830811</v>
      </c>
      <c r="F536" s="11">
        <v>0.87784492969512939</v>
      </c>
    </row>
    <row r="537" spans="1:6" x14ac:dyDescent="0.3">
      <c r="A537" s="6">
        <v>4</v>
      </c>
      <c r="B537" s="6" t="s">
        <v>89</v>
      </c>
      <c r="C537" s="6" t="s">
        <v>471</v>
      </c>
      <c r="D537" s="6" t="s">
        <v>90</v>
      </c>
      <c r="E537" s="11">
        <v>0.87341481447219849</v>
      </c>
      <c r="F537" s="11">
        <v>0.87784492969512939</v>
      </c>
    </row>
    <row r="538" spans="1:6" x14ac:dyDescent="0.3">
      <c r="A538" s="6">
        <v>4</v>
      </c>
      <c r="B538" s="6" t="s">
        <v>89</v>
      </c>
      <c r="C538" s="6" t="s">
        <v>472</v>
      </c>
      <c r="D538" s="6" t="s">
        <v>90</v>
      </c>
      <c r="E538" s="11">
        <v>0.78105825185775757</v>
      </c>
      <c r="F538" s="11">
        <v>0.87784492969512939</v>
      </c>
    </row>
    <row r="539" spans="1:6" x14ac:dyDescent="0.3">
      <c r="A539" s="6">
        <v>4</v>
      </c>
      <c r="B539" s="6" t="s">
        <v>89</v>
      </c>
      <c r="C539" s="6" t="s">
        <v>473</v>
      </c>
      <c r="D539" s="6" t="s">
        <v>90</v>
      </c>
      <c r="E539" s="11">
        <v>0.97359949350357056</v>
      </c>
      <c r="F539" s="11">
        <v>0.87784492969512939</v>
      </c>
    </row>
    <row r="540" spans="1:6" x14ac:dyDescent="0.3">
      <c r="A540" s="6">
        <v>4</v>
      </c>
      <c r="B540" s="6" t="s">
        <v>89</v>
      </c>
      <c r="C540" s="6" t="s">
        <v>474</v>
      </c>
      <c r="D540" s="6" t="s">
        <v>90</v>
      </c>
      <c r="E540" s="11">
        <v>1.1604537963867188</v>
      </c>
      <c r="F540" s="11">
        <v>0.87784492969512939</v>
      </c>
    </row>
    <row r="541" spans="1:6" x14ac:dyDescent="0.3">
      <c r="A541" s="6">
        <v>4</v>
      </c>
      <c r="B541" s="6" t="s">
        <v>89</v>
      </c>
      <c r="C541" s="6" t="s">
        <v>475</v>
      </c>
      <c r="D541" s="6" t="s">
        <v>90</v>
      </c>
      <c r="E541" s="11">
        <v>0.85867011547088623</v>
      </c>
      <c r="F541" s="11">
        <v>0.87784492969512939</v>
      </c>
    </row>
    <row r="542" spans="1:6" x14ac:dyDescent="0.3">
      <c r="A542" s="6">
        <v>4</v>
      </c>
      <c r="B542" s="6" t="s">
        <v>89</v>
      </c>
      <c r="C542" s="6" t="s">
        <v>476</v>
      </c>
      <c r="D542" s="6" t="s">
        <v>90</v>
      </c>
      <c r="E542" s="11">
        <v>1.0418568849563599</v>
      </c>
      <c r="F542" s="11">
        <v>0.87784492969512939</v>
      </c>
    </row>
    <row r="543" spans="1:6" x14ac:dyDescent="0.3">
      <c r="A543" s="6">
        <v>4</v>
      </c>
      <c r="B543" s="6" t="s">
        <v>89</v>
      </c>
      <c r="C543" s="6" t="s">
        <v>477</v>
      </c>
      <c r="D543" s="6" t="s">
        <v>90</v>
      </c>
      <c r="E543" s="11">
        <v>0.89519721269607544</v>
      </c>
      <c r="F543" s="11">
        <v>0.87784492969512939</v>
      </c>
    </row>
    <row r="544" spans="1:6" x14ac:dyDescent="0.3">
      <c r="A544" s="6">
        <v>4</v>
      </c>
      <c r="B544" s="6" t="s">
        <v>89</v>
      </c>
      <c r="C544" s="6" t="s">
        <v>478</v>
      </c>
      <c r="D544" s="6" t="s">
        <v>90</v>
      </c>
      <c r="E544" s="11">
        <v>1.0221755504608154</v>
      </c>
      <c r="F544" s="11">
        <v>0.87784492969512939</v>
      </c>
    </row>
    <row r="545" spans="1:6" x14ac:dyDescent="0.3">
      <c r="A545" s="6">
        <v>4</v>
      </c>
      <c r="B545" s="6" t="s">
        <v>89</v>
      </c>
      <c r="C545" s="6" t="s">
        <v>479</v>
      </c>
      <c r="D545" s="6" t="s">
        <v>90</v>
      </c>
      <c r="E545" s="11">
        <v>1.177497386932373</v>
      </c>
      <c r="F545" s="11">
        <v>0.87784492969512939</v>
      </c>
    </row>
    <row r="546" spans="1:6" x14ac:dyDescent="0.3">
      <c r="A546" s="6">
        <v>4</v>
      </c>
      <c r="B546" s="6" t="s">
        <v>89</v>
      </c>
      <c r="C546" s="6" t="s">
        <v>480</v>
      </c>
      <c r="D546" s="6" t="s">
        <v>90</v>
      </c>
      <c r="E546" s="11">
        <v>1.6663315296173096</v>
      </c>
      <c r="F546" s="11">
        <v>0.87784492969512939</v>
      </c>
    </row>
    <row r="547" spans="1:6" x14ac:dyDescent="0.3">
      <c r="A547" s="6">
        <v>4</v>
      </c>
      <c r="B547" s="6" t="s">
        <v>89</v>
      </c>
      <c r="C547" s="6" t="s">
        <v>481</v>
      </c>
      <c r="D547" s="6" t="s">
        <v>90</v>
      </c>
      <c r="E547" s="11">
        <v>0.88296258449554443</v>
      </c>
      <c r="F547" s="11">
        <v>0.87784492969512939</v>
      </c>
    </row>
    <row r="548" spans="1:6" x14ac:dyDescent="0.3">
      <c r="A548" s="6">
        <v>4</v>
      </c>
      <c r="B548" s="6" t="s">
        <v>89</v>
      </c>
      <c r="C548" s="6" t="s">
        <v>482</v>
      </c>
      <c r="D548" s="6" t="s">
        <v>90</v>
      </c>
      <c r="E548" s="11">
        <v>0.95628637075424194</v>
      </c>
      <c r="F548" s="11">
        <v>0.87784492969512939</v>
      </c>
    </row>
    <row r="549" spans="1:6" x14ac:dyDescent="0.3">
      <c r="A549" s="6">
        <v>4</v>
      </c>
      <c r="B549" s="6" t="s">
        <v>89</v>
      </c>
      <c r="C549" s="6" t="s">
        <v>483</v>
      </c>
      <c r="D549" s="6" t="s">
        <v>90</v>
      </c>
      <c r="E549" s="11">
        <v>1.011408805847168</v>
      </c>
      <c r="F549" s="11">
        <v>0.87784492969512939</v>
      </c>
    </row>
    <row r="550" spans="1:6" x14ac:dyDescent="0.3">
      <c r="A550" s="6">
        <v>4</v>
      </c>
      <c r="B550" s="6" t="s">
        <v>89</v>
      </c>
      <c r="C550" s="6" t="s">
        <v>484</v>
      </c>
      <c r="D550" s="6" t="s">
        <v>90</v>
      </c>
      <c r="E550" s="11">
        <v>0.95895475149154663</v>
      </c>
      <c r="F550" s="11">
        <v>0.87784492969512939</v>
      </c>
    </row>
    <row r="551" spans="1:6" x14ac:dyDescent="0.3">
      <c r="A551" s="6">
        <v>4</v>
      </c>
      <c r="B551" s="6" t="s">
        <v>89</v>
      </c>
      <c r="C551" s="6" t="s">
        <v>485</v>
      </c>
      <c r="D551" s="6" t="s">
        <v>90</v>
      </c>
      <c r="E551" s="11">
        <v>0.74720895290374756</v>
      </c>
      <c r="F551" s="11">
        <v>0.87784492969512939</v>
      </c>
    </row>
    <row r="552" spans="1:6" x14ac:dyDescent="0.3">
      <c r="A552" s="6">
        <v>4</v>
      </c>
      <c r="B552" s="6" t="s">
        <v>89</v>
      </c>
      <c r="C552" s="6" t="s">
        <v>486</v>
      </c>
      <c r="D552" s="6" t="s">
        <v>90</v>
      </c>
      <c r="E552" s="11">
        <v>0.71682858467102051</v>
      </c>
      <c r="F552" s="11">
        <v>0.87784492969512939</v>
      </c>
    </row>
    <row r="553" spans="1:6" x14ac:dyDescent="0.3">
      <c r="A553" s="6">
        <v>4</v>
      </c>
      <c r="B553" s="6" t="s">
        <v>89</v>
      </c>
      <c r="C553" s="6" t="s">
        <v>487</v>
      </c>
      <c r="D553" s="6" t="s">
        <v>90</v>
      </c>
      <c r="E553" s="11">
        <v>0.73056262731552124</v>
      </c>
      <c r="F553" s="11">
        <v>0.87784492969512939</v>
      </c>
    </row>
    <row r="554" spans="1:6" x14ac:dyDescent="0.3">
      <c r="A554" s="6">
        <v>4</v>
      </c>
      <c r="B554" s="6" t="s">
        <v>89</v>
      </c>
      <c r="C554" s="6" t="s">
        <v>488</v>
      </c>
      <c r="D554" s="6" t="s">
        <v>90</v>
      </c>
      <c r="E554" s="11">
        <v>1.0154114961624146</v>
      </c>
      <c r="F554" s="11">
        <v>0.87784492969512939</v>
      </c>
    </row>
    <row r="555" spans="1:6" x14ac:dyDescent="0.3">
      <c r="A555" s="6">
        <v>4</v>
      </c>
      <c r="B555" s="6" t="s">
        <v>89</v>
      </c>
      <c r="C555" s="6" t="s">
        <v>489</v>
      </c>
      <c r="D555" s="6" t="s">
        <v>90</v>
      </c>
      <c r="E555" s="11">
        <v>1.1338976621627808</v>
      </c>
      <c r="F555" s="11">
        <v>0.87784492969512939</v>
      </c>
    </row>
    <row r="556" spans="1:6" x14ac:dyDescent="0.3">
      <c r="A556" s="6">
        <v>4</v>
      </c>
      <c r="B556" s="6" t="s">
        <v>89</v>
      </c>
      <c r="C556" s="6" t="s">
        <v>490</v>
      </c>
      <c r="D556" s="6" t="s">
        <v>90</v>
      </c>
      <c r="E556" s="11">
        <v>1.0902879238128662</v>
      </c>
      <c r="F556" s="11">
        <v>0.87784492969512939</v>
      </c>
    </row>
    <row r="557" spans="1:6" x14ac:dyDescent="0.3">
      <c r="A557" s="6">
        <v>4</v>
      </c>
      <c r="B557" s="6" t="s">
        <v>89</v>
      </c>
      <c r="C557" s="6" t="s">
        <v>491</v>
      </c>
      <c r="D557" s="6" t="s">
        <v>90</v>
      </c>
      <c r="E557" s="11">
        <v>1.1218554973602295</v>
      </c>
      <c r="F557" s="11">
        <v>0.87784492969512939</v>
      </c>
    </row>
    <row r="558" spans="1:6" x14ac:dyDescent="0.3">
      <c r="A558" s="6">
        <v>4</v>
      </c>
      <c r="B558" s="6" t="s">
        <v>89</v>
      </c>
      <c r="C558" s="6" t="s">
        <v>492</v>
      </c>
      <c r="D558" s="6" t="s">
        <v>90</v>
      </c>
      <c r="E558" s="11">
        <v>0.98459035158157349</v>
      </c>
      <c r="F558" s="11">
        <v>0.87784492969512939</v>
      </c>
    </row>
    <row r="559" spans="1:6" x14ac:dyDescent="0.3">
      <c r="A559" s="6">
        <v>4</v>
      </c>
      <c r="B559" s="6" t="s">
        <v>89</v>
      </c>
      <c r="C559" s="6" t="s">
        <v>493</v>
      </c>
      <c r="D559" s="6" t="s">
        <v>90</v>
      </c>
      <c r="E559" s="11">
        <v>0.88138449192047119</v>
      </c>
      <c r="F559" s="11">
        <v>0.87784492969512939</v>
      </c>
    </row>
    <row r="560" spans="1:6" x14ac:dyDescent="0.3">
      <c r="A560" s="6">
        <v>4</v>
      </c>
      <c r="B560" s="6" t="s">
        <v>89</v>
      </c>
      <c r="C560" s="6" t="s">
        <v>494</v>
      </c>
      <c r="D560" s="6" t="s">
        <v>90</v>
      </c>
      <c r="E560" s="11">
        <v>1.0711859464645386</v>
      </c>
      <c r="F560" s="11">
        <v>0.87784492969512939</v>
      </c>
    </row>
    <row r="561" spans="1:6" x14ac:dyDescent="0.3">
      <c r="A561" s="6">
        <v>4</v>
      </c>
      <c r="B561" s="6" t="s">
        <v>89</v>
      </c>
      <c r="C561" s="6" t="s">
        <v>495</v>
      </c>
      <c r="D561" s="6" t="s">
        <v>90</v>
      </c>
      <c r="E561" s="11">
        <v>1.3922144174575806</v>
      </c>
      <c r="F561" s="11">
        <v>0.87784492969512939</v>
      </c>
    </row>
    <row r="562" spans="1:6" hidden="1" x14ac:dyDescent="0.3">
      <c r="A562" s="6">
        <v>5</v>
      </c>
      <c r="B562" s="6" t="s">
        <v>91</v>
      </c>
      <c r="C562" s="6" t="s">
        <v>356</v>
      </c>
      <c r="D562" s="6" t="s">
        <v>92</v>
      </c>
      <c r="E562" s="11">
        <v>0.78176218271255493</v>
      </c>
      <c r="F562" s="11">
        <v>0.82597094774246216</v>
      </c>
    </row>
    <row r="563" spans="1:6" hidden="1" x14ac:dyDescent="0.3">
      <c r="A563" s="6">
        <v>5</v>
      </c>
      <c r="B563" s="6" t="s">
        <v>91</v>
      </c>
      <c r="C563" s="6" t="s">
        <v>357</v>
      </c>
      <c r="D563" s="6" t="s">
        <v>92</v>
      </c>
      <c r="E563" s="11">
        <v>41.559242248535156</v>
      </c>
      <c r="F563" s="11">
        <v>0.82597094774246216</v>
      </c>
    </row>
    <row r="564" spans="1:6" hidden="1" x14ac:dyDescent="0.3">
      <c r="A564" s="6">
        <v>5</v>
      </c>
      <c r="B564" s="6" t="s">
        <v>91</v>
      </c>
      <c r="C564" s="6" t="s">
        <v>358</v>
      </c>
      <c r="D564" s="6" t="s">
        <v>92</v>
      </c>
      <c r="E564" s="11">
        <v>0.89518952369689941</v>
      </c>
      <c r="F564" s="11">
        <v>0.82597094774246216</v>
      </c>
    </row>
    <row r="565" spans="1:6" hidden="1" x14ac:dyDescent="0.3">
      <c r="A565" s="6">
        <v>5</v>
      </c>
      <c r="B565" s="6" t="s">
        <v>91</v>
      </c>
      <c r="C565" s="6" t="s">
        <v>359</v>
      </c>
      <c r="D565" s="6" t="s">
        <v>92</v>
      </c>
      <c r="E565" s="11">
        <v>3.1794478893280029</v>
      </c>
      <c r="F565" s="11">
        <v>0.82597094774246216</v>
      </c>
    </row>
    <row r="566" spans="1:6" hidden="1" x14ac:dyDescent="0.3">
      <c r="A566" s="6">
        <v>5</v>
      </c>
      <c r="B566" s="6" t="s">
        <v>91</v>
      </c>
      <c r="C566" s="6" t="s">
        <v>360</v>
      </c>
      <c r="D566" s="6" t="s">
        <v>92</v>
      </c>
      <c r="E566" s="11">
        <v>0.73431819677352905</v>
      </c>
      <c r="F566" s="11">
        <v>0.82597094774246216</v>
      </c>
    </row>
    <row r="567" spans="1:6" hidden="1" x14ac:dyDescent="0.3">
      <c r="A567" s="6">
        <v>5</v>
      </c>
      <c r="B567" s="6" t="s">
        <v>91</v>
      </c>
      <c r="C567" s="6" t="s">
        <v>361</v>
      </c>
      <c r="D567" s="6" t="s">
        <v>92</v>
      </c>
      <c r="E567" s="11">
        <v>1.1880265474319458</v>
      </c>
      <c r="F567" s="11">
        <v>0.82597094774246216</v>
      </c>
    </row>
    <row r="568" spans="1:6" hidden="1" x14ac:dyDescent="0.3">
      <c r="A568" s="6">
        <v>5</v>
      </c>
      <c r="B568" s="6" t="s">
        <v>91</v>
      </c>
      <c r="C568" s="6" t="s">
        <v>362</v>
      </c>
      <c r="D568" s="6" t="s">
        <v>92</v>
      </c>
      <c r="E568" s="11">
        <v>1.2615882158279419</v>
      </c>
      <c r="F568" s="11">
        <v>0.82597094774246216</v>
      </c>
    </row>
    <row r="569" spans="1:6" hidden="1" x14ac:dyDescent="0.3">
      <c r="A569" s="6">
        <v>5</v>
      </c>
      <c r="B569" s="6" t="s">
        <v>91</v>
      </c>
      <c r="C569" s="6" t="s">
        <v>363</v>
      </c>
      <c r="D569" s="6" t="s">
        <v>92</v>
      </c>
      <c r="E569" s="11">
        <v>1.1840262413024902</v>
      </c>
      <c r="F569" s="11">
        <v>0.82597094774246216</v>
      </c>
    </row>
    <row r="570" spans="1:6" hidden="1" x14ac:dyDescent="0.3">
      <c r="A570" s="6">
        <v>5</v>
      </c>
      <c r="B570" s="6" t="s">
        <v>91</v>
      </c>
      <c r="C570" s="6" t="s">
        <v>364</v>
      </c>
      <c r="D570" s="6" t="s">
        <v>92</v>
      </c>
      <c r="E570" s="11">
        <v>1.3254516124725342</v>
      </c>
      <c r="F570" s="11">
        <v>0.82597094774246216</v>
      </c>
    </row>
    <row r="571" spans="1:6" hidden="1" x14ac:dyDescent="0.3">
      <c r="A571" s="6">
        <v>5</v>
      </c>
      <c r="B571" s="6" t="s">
        <v>91</v>
      </c>
      <c r="C571" s="6" t="s">
        <v>365</v>
      </c>
      <c r="D571" s="6" t="s">
        <v>92</v>
      </c>
      <c r="E571" s="11">
        <v>1.1897724866867065</v>
      </c>
      <c r="F571" s="11">
        <v>0.82597094774246216</v>
      </c>
    </row>
    <row r="572" spans="1:6" hidden="1" x14ac:dyDescent="0.3">
      <c r="A572" s="6">
        <v>5</v>
      </c>
      <c r="B572" s="6" t="s">
        <v>91</v>
      </c>
      <c r="C572" s="6" t="s">
        <v>366</v>
      </c>
      <c r="D572" s="6" t="s">
        <v>92</v>
      </c>
      <c r="E572" s="11">
        <v>1.2242064476013184</v>
      </c>
      <c r="F572" s="11">
        <v>0.82597094774246216</v>
      </c>
    </row>
    <row r="573" spans="1:6" hidden="1" x14ac:dyDescent="0.3">
      <c r="A573" s="6">
        <v>5</v>
      </c>
      <c r="B573" s="6" t="s">
        <v>91</v>
      </c>
      <c r="C573" s="6" t="s">
        <v>367</v>
      </c>
      <c r="D573" s="6" t="s">
        <v>92</v>
      </c>
      <c r="E573" s="11">
        <v>4.6086010932922363</v>
      </c>
      <c r="F573" s="11">
        <v>0.82597094774246216</v>
      </c>
    </row>
    <row r="574" spans="1:6" hidden="1" x14ac:dyDescent="0.3">
      <c r="A574" s="6">
        <v>5</v>
      </c>
      <c r="B574" s="6" t="s">
        <v>91</v>
      </c>
      <c r="C574" s="6" t="s">
        <v>368</v>
      </c>
      <c r="D574" s="6" t="s">
        <v>92</v>
      </c>
      <c r="E574" s="11">
        <v>31.646999359130859</v>
      </c>
      <c r="F574" s="11">
        <v>0.82597094774246216</v>
      </c>
    </row>
    <row r="575" spans="1:6" hidden="1" x14ac:dyDescent="0.3">
      <c r="A575" s="6">
        <v>5</v>
      </c>
      <c r="B575" s="6" t="s">
        <v>91</v>
      </c>
      <c r="C575" s="6" t="s">
        <v>369</v>
      </c>
      <c r="D575" s="6" t="s">
        <v>92</v>
      </c>
      <c r="E575" s="11">
        <v>1.5576331615447998</v>
      </c>
      <c r="F575" s="11">
        <v>0.82597094774246216</v>
      </c>
    </row>
    <row r="576" spans="1:6" hidden="1" x14ac:dyDescent="0.3">
      <c r="A576" s="6">
        <v>5</v>
      </c>
      <c r="B576" s="6" t="s">
        <v>91</v>
      </c>
      <c r="C576" s="6" t="s">
        <v>370</v>
      </c>
      <c r="D576" s="6" t="s">
        <v>92</v>
      </c>
      <c r="E576" s="11">
        <v>0.94883620738983154</v>
      </c>
      <c r="F576" s="11">
        <v>0.82597094774246216</v>
      </c>
    </row>
    <row r="577" spans="1:6" hidden="1" x14ac:dyDescent="0.3">
      <c r="A577" s="6">
        <v>5</v>
      </c>
      <c r="B577" s="6" t="s">
        <v>91</v>
      </c>
      <c r="C577" s="6" t="s">
        <v>371</v>
      </c>
      <c r="D577" s="6" t="s">
        <v>92</v>
      </c>
      <c r="E577" s="11">
        <v>0.76731431484222412</v>
      </c>
      <c r="F577" s="11">
        <v>0.82597094774246216</v>
      </c>
    </row>
    <row r="578" spans="1:6" hidden="1" x14ac:dyDescent="0.3">
      <c r="A578" s="6">
        <v>5</v>
      </c>
      <c r="B578" s="6" t="s">
        <v>91</v>
      </c>
      <c r="C578" s="6" t="s">
        <v>372</v>
      </c>
      <c r="D578" s="6" t="s">
        <v>92</v>
      </c>
      <c r="E578" s="11"/>
      <c r="F578" s="11">
        <v>0.82597094774246216</v>
      </c>
    </row>
    <row r="579" spans="1:6" hidden="1" x14ac:dyDescent="0.3">
      <c r="A579" s="6">
        <v>5</v>
      </c>
      <c r="B579" s="6" t="s">
        <v>91</v>
      </c>
      <c r="C579" s="6" t="s">
        <v>373</v>
      </c>
      <c r="D579" s="6" t="s">
        <v>92</v>
      </c>
      <c r="E579" s="11">
        <v>0.85705357789993286</v>
      </c>
      <c r="F579" s="11">
        <v>0.82597094774246216</v>
      </c>
    </row>
    <row r="580" spans="1:6" hidden="1" x14ac:dyDescent="0.3">
      <c r="A580" s="6">
        <v>5</v>
      </c>
      <c r="B580" s="6" t="s">
        <v>91</v>
      </c>
      <c r="C580" s="6" t="s">
        <v>374</v>
      </c>
      <c r="D580" s="6" t="s">
        <v>92</v>
      </c>
      <c r="E580" s="11">
        <v>0.97272717952728271</v>
      </c>
      <c r="F580" s="11">
        <v>0.82597094774246216</v>
      </c>
    </row>
    <row r="581" spans="1:6" hidden="1" x14ac:dyDescent="0.3">
      <c r="A581" s="6">
        <v>5</v>
      </c>
      <c r="B581" s="6" t="s">
        <v>91</v>
      </c>
      <c r="C581" s="6" t="s">
        <v>375</v>
      </c>
      <c r="D581" s="6" t="s">
        <v>92</v>
      </c>
      <c r="E581" s="11">
        <v>0.70860671997070313</v>
      </c>
      <c r="F581" s="11">
        <v>0.82597094774246216</v>
      </c>
    </row>
    <row r="582" spans="1:6" hidden="1" x14ac:dyDescent="0.3">
      <c r="A582" s="6">
        <v>5</v>
      </c>
      <c r="B582" s="6" t="s">
        <v>91</v>
      </c>
      <c r="C582" s="6" t="s">
        <v>376</v>
      </c>
      <c r="D582" s="6" t="s">
        <v>92</v>
      </c>
      <c r="E582" s="11">
        <v>1.5305228233337402</v>
      </c>
      <c r="F582" s="11">
        <v>0.82597094774246216</v>
      </c>
    </row>
    <row r="583" spans="1:6" hidden="1" x14ac:dyDescent="0.3">
      <c r="A583" s="6">
        <v>5</v>
      </c>
      <c r="B583" s="6" t="s">
        <v>91</v>
      </c>
      <c r="C583" s="6" t="s">
        <v>377</v>
      </c>
      <c r="D583" s="6" t="s">
        <v>92</v>
      </c>
      <c r="E583" s="11">
        <v>0.76531952619552612</v>
      </c>
      <c r="F583" s="11">
        <v>0.82597094774246216</v>
      </c>
    </row>
    <row r="584" spans="1:6" hidden="1" x14ac:dyDescent="0.3">
      <c r="A584" s="6">
        <v>5</v>
      </c>
      <c r="B584" s="6" t="s">
        <v>91</v>
      </c>
      <c r="C584" s="6" t="s">
        <v>378</v>
      </c>
      <c r="D584" s="6" t="s">
        <v>92</v>
      </c>
      <c r="E584" s="11">
        <v>1.62798011302948</v>
      </c>
      <c r="F584" s="11">
        <v>0.82597094774246216</v>
      </c>
    </row>
    <row r="585" spans="1:6" hidden="1" x14ac:dyDescent="0.3">
      <c r="A585" s="6">
        <v>5</v>
      </c>
      <c r="B585" s="6" t="s">
        <v>91</v>
      </c>
      <c r="C585" s="6" t="s">
        <v>379</v>
      </c>
      <c r="D585" s="6" t="s">
        <v>92</v>
      </c>
      <c r="E585" s="11">
        <v>1.1024366617202759</v>
      </c>
      <c r="F585" s="11">
        <v>0.82597094774246216</v>
      </c>
    </row>
    <row r="586" spans="1:6" hidden="1" x14ac:dyDescent="0.3">
      <c r="A586" s="6">
        <v>5</v>
      </c>
      <c r="B586" s="6" t="s">
        <v>91</v>
      </c>
      <c r="C586" s="6" t="s">
        <v>380</v>
      </c>
      <c r="D586" s="6" t="s">
        <v>92</v>
      </c>
      <c r="E586" s="11">
        <v>0.67039746046066284</v>
      </c>
      <c r="F586" s="11">
        <v>0.82597094774246216</v>
      </c>
    </row>
    <row r="587" spans="1:6" hidden="1" x14ac:dyDescent="0.3">
      <c r="A587" s="6">
        <v>5</v>
      </c>
      <c r="B587" s="6" t="s">
        <v>91</v>
      </c>
      <c r="C587" s="6" t="s">
        <v>381</v>
      </c>
      <c r="D587" s="6" t="s">
        <v>92</v>
      </c>
      <c r="E587" s="11">
        <v>0.87942945957183838</v>
      </c>
      <c r="F587" s="11">
        <v>0.82597094774246216</v>
      </c>
    </row>
    <row r="588" spans="1:6" hidden="1" x14ac:dyDescent="0.3">
      <c r="A588" s="6">
        <v>5</v>
      </c>
      <c r="B588" s="6" t="s">
        <v>91</v>
      </c>
      <c r="C588" s="6" t="s">
        <v>382</v>
      </c>
      <c r="D588" s="6" t="s">
        <v>92</v>
      </c>
      <c r="E588" s="11">
        <v>0.87618088722229004</v>
      </c>
      <c r="F588" s="11">
        <v>0.82597094774246216</v>
      </c>
    </row>
    <row r="589" spans="1:6" hidden="1" x14ac:dyDescent="0.3">
      <c r="A589" s="6">
        <v>5</v>
      </c>
      <c r="B589" s="6" t="s">
        <v>91</v>
      </c>
      <c r="C589" s="6" t="s">
        <v>383</v>
      </c>
      <c r="D589" s="6" t="s">
        <v>92</v>
      </c>
      <c r="E589" s="11">
        <v>1.1146029233932495</v>
      </c>
      <c r="F589" s="11">
        <v>0.82597094774246216</v>
      </c>
    </row>
    <row r="590" spans="1:6" hidden="1" x14ac:dyDescent="0.3">
      <c r="A590" s="6">
        <v>5</v>
      </c>
      <c r="B590" s="6" t="s">
        <v>91</v>
      </c>
      <c r="C590" s="6" t="s">
        <v>384</v>
      </c>
      <c r="D590" s="6" t="s">
        <v>92</v>
      </c>
      <c r="E590" s="11">
        <v>1.0685794353485107</v>
      </c>
      <c r="F590" s="11">
        <v>0.82597094774246216</v>
      </c>
    </row>
    <row r="591" spans="1:6" hidden="1" x14ac:dyDescent="0.3">
      <c r="A591" s="6">
        <v>5</v>
      </c>
      <c r="B591" s="6" t="s">
        <v>91</v>
      </c>
      <c r="C591" s="6" t="s">
        <v>385</v>
      </c>
      <c r="D591" s="6" t="s">
        <v>92</v>
      </c>
      <c r="E591" s="11">
        <v>0.93737947940826416</v>
      </c>
      <c r="F591" s="11">
        <v>0.82597094774246216</v>
      </c>
    </row>
    <row r="592" spans="1:6" hidden="1" x14ac:dyDescent="0.3">
      <c r="A592" s="6">
        <v>5</v>
      </c>
      <c r="B592" s="6" t="s">
        <v>91</v>
      </c>
      <c r="C592" s="6" t="s">
        <v>386</v>
      </c>
      <c r="D592" s="6" t="s">
        <v>92</v>
      </c>
      <c r="E592" s="11">
        <v>0.83894842863082886</v>
      </c>
      <c r="F592" s="11">
        <v>0.82597094774246216</v>
      </c>
    </row>
    <row r="593" spans="1:6" hidden="1" x14ac:dyDescent="0.3">
      <c r="A593" s="6">
        <v>5</v>
      </c>
      <c r="B593" s="6" t="s">
        <v>91</v>
      </c>
      <c r="C593" s="6" t="s">
        <v>387</v>
      </c>
      <c r="D593" s="6" t="s">
        <v>92</v>
      </c>
      <c r="E593" s="11">
        <v>1.1214271783828735</v>
      </c>
      <c r="F593" s="11">
        <v>0.82597094774246216</v>
      </c>
    </row>
    <row r="594" spans="1:6" hidden="1" x14ac:dyDescent="0.3">
      <c r="A594" s="6">
        <v>5</v>
      </c>
      <c r="B594" s="6" t="s">
        <v>91</v>
      </c>
      <c r="C594" s="6" t="s">
        <v>388</v>
      </c>
      <c r="D594" s="6" t="s">
        <v>92</v>
      </c>
      <c r="E594" s="11">
        <v>0.88536614179611206</v>
      </c>
      <c r="F594" s="11">
        <v>0.82597094774246216</v>
      </c>
    </row>
    <row r="595" spans="1:6" hidden="1" x14ac:dyDescent="0.3">
      <c r="A595" s="6">
        <v>5</v>
      </c>
      <c r="B595" s="6" t="s">
        <v>91</v>
      </c>
      <c r="C595" s="6" t="s">
        <v>389</v>
      </c>
      <c r="D595" s="6" t="s">
        <v>92</v>
      </c>
      <c r="E595" s="11">
        <v>1.0264945030212402</v>
      </c>
      <c r="F595" s="11">
        <v>0.82597094774246216</v>
      </c>
    </row>
    <row r="596" spans="1:6" hidden="1" x14ac:dyDescent="0.3">
      <c r="A596" s="6">
        <v>5</v>
      </c>
      <c r="B596" s="6" t="s">
        <v>91</v>
      </c>
      <c r="C596" s="6" t="s">
        <v>390</v>
      </c>
      <c r="D596" s="6" t="s">
        <v>92</v>
      </c>
      <c r="E596" s="11">
        <v>0.91110497713088989</v>
      </c>
      <c r="F596" s="11">
        <v>0.82597094774246216</v>
      </c>
    </row>
    <row r="597" spans="1:6" hidden="1" x14ac:dyDescent="0.3">
      <c r="A597" s="6">
        <v>5</v>
      </c>
      <c r="B597" s="6" t="s">
        <v>91</v>
      </c>
      <c r="C597" s="6" t="s">
        <v>391</v>
      </c>
      <c r="D597" s="6" t="s">
        <v>92</v>
      </c>
      <c r="E597" s="11">
        <v>1.3061447143554688</v>
      </c>
      <c r="F597" s="11">
        <v>0.82597094774246216</v>
      </c>
    </row>
    <row r="598" spans="1:6" hidden="1" x14ac:dyDescent="0.3">
      <c r="A598" s="6">
        <v>5</v>
      </c>
      <c r="B598" s="6" t="s">
        <v>91</v>
      </c>
      <c r="C598" s="6" t="s">
        <v>392</v>
      </c>
      <c r="D598" s="6" t="s">
        <v>92</v>
      </c>
      <c r="E598" s="11">
        <v>1.4258081912994385</v>
      </c>
      <c r="F598" s="11">
        <v>0.82597094774246216</v>
      </c>
    </row>
    <row r="599" spans="1:6" hidden="1" x14ac:dyDescent="0.3">
      <c r="A599" s="6">
        <v>5</v>
      </c>
      <c r="B599" s="6" t="s">
        <v>91</v>
      </c>
      <c r="C599" s="6" t="s">
        <v>393</v>
      </c>
      <c r="D599" s="6" t="s">
        <v>92</v>
      </c>
      <c r="E599" s="11">
        <v>1.2738027572631836</v>
      </c>
      <c r="F599" s="11">
        <v>0.82597094774246216</v>
      </c>
    </row>
    <row r="600" spans="1:6" hidden="1" x14ac:dyDescent="0.3">
      <c r="A600" s="6">
        <v>5</v>
      </c>
      <c r="B600" s="6" t="s">
        <v>91</v>
      </c>
      <c r="C600" s="6" t="s">
        <v>394</v>
      </c>
      <c r="D600" s="6" t="s">
        <v>92</v>
      </c>
      <c r="E600" s="11">
        <v>1.1193196773529053</v>
      </c>
      <c r="F600" s="11">
        <v>0.82597094774246216</v>
      </c>
    </row>
    <row r="601" spans="1:6" hidden="1" x14ac:dyDescent="0.3">
      <c r="A601" s="6">
        <v>5</v>
      </c>
      <c r="B601" s="6" t="s">
        <v>91</v>
      </c>
      <c r="C601" s="6" t="s">
        <v>395</v>
      </c>
      <c r="D601" s="6" t="s">
        <v>92</v>
      </c>
      <c r="E601" s="11">
        <v>1.5110797882080078</v>
      </c>
      <c r="F601" s="11">
        <v>0.82597094774246216</v>
      </c>
    </row>
    <row r="602" spans="1:6" hidden="1" x14ac:dyDescent="0.3">
      <c r="A602" s="6">
        <v>5</v>
      </c>
      <c r="B602" s="6" t="s">
        <v>91</v>
      </c>
      <c r="C602" s="6" t="s">
        <v>396</v>
      </c>
      <c r="D602" s="6" t="s">
        <v>92</v>
      </c>
      <c r="E602" s="11">
        <v>1.2493857145309448</v>
      </c>
      <c r="F602" s="11">
        <v>0.82597094774246216</v>
      </c>
    </row>
    <row r="603" spans="1:6" hidden="1" x14ac:dyDescent="0.3">
      <c r="A603" s="6">
        <v>5</v>
      </c>
      <c r="B603" s="6" t="s">
        <v>91</v>
      </c>
      <c r="C603" s="6" t="s">
        <v>397</v>
      </c>
      <c r="D603" s="6" t="s">
        <v>92</v>
      </c>
      <c r="E603" s="11">
        <v>1.2282810211181641</v>
      </c>
      <c r="F603" s="11">
        <v>0.82597094774246216</v>
      </c>
    </row>
    <row r="604" spans="1:6" hidden="1" x14ac:dyDescent="0.3">
      <c r="A604" s="6">
        <v>5</v>
      </c>
      <c r="B604" s="6" t="s">
        <v>91</v>
      </c>
      <c r="C604" s="6" t="s">
        <v>398</v>
      </c>
      <c r="D604" s="6" t="s">
        <v>92</v>
      </c>
      <c r="E604" s="11">
        <v>1.2366833686828613</v>
      </c>
      <c r="F604" s="11">
        <v>0.82597094774246216</v>
      </c>
    </row>
    <row r="605" spans="1:6" hidden="1" x14ac:dyDescent="0.3">
      <c r="A605" s="6">
        <v>5</v>
      </c>
      <c r="B605" s="6" t="s">
        <v>91</v>
      </c>
      <c r="C605" s="6" t="s">
        <v>399</v>
      </c>
      <c r="D605" s="6" t="s">
        <v>92</v>
      </c>
      <c r="E605" s="11">
        <v>0.82814943790435791</v>
      </c>
      <c r="F605" s="11">
        <v>0.82597094774246216</v>
      </c>
    </row>
    <row r="606" spans="1:6" hidden="1" x14ac:dyDescent="0.3">
      <c r="A606" s="6">
        <v>5</v>
      </c>
      <c r="B606" s="6" t="s">
        <v>91</v>
      </c>
      <c r="C606" s="6" t="s">
        <v>400</v>
      </c>
      <c r="D606" s="6" t="s">
        <v>92</v>
      </c>
      <c r="E606" s="11">
        <v>1.0150545835494995</v>
      </c>
      <c r="F606" s="11">
        <v>0.82597094774246216</v>
      </c>
    </row>
    <row r="607" spans="1:6" hidden="1" x14ac:dyDescent="0.3">
      <c r="A607" s="6">
        <v>5</v>
      </c>
      <c r="B607" s="6" t="s">
        <v>91</v>
      </c>
      <c r="C607" s="6" t="s">
        <v>401</v>
      </c>
      <c r="D607" s="6" t="s">
        <v>92</v>
      </c>
      <c r="E607" s="11">
        <v>0.8644791841506958</v>
      </c>
      <c r="F607" s="11">
        <v>0.82597094774246216</v>
      </c>
    </row>
    <row r="608" spans="1:6" hidden="1" x14ac:dyDescent="0.3">
      <c r="A608" s="6">
        <v>5</v>
      </c>
      <c r="B608" s="6" t="s">
        <v>91</v>
      </c>
      <c r="C608" s="6" t="s">
        <v>402</v>
      </c>
      <c r="D608" s="6" t="s">
        <v>92</v>
      </c>
      <c r="E608" s="11">
        <v>1.0441395044326782</v>
      </c>
      <c r="F608" s="11">
        <v>0.82597094774246216</v>
      </c>
    </row>
    <row r="609" spans="1:6" hidden="1" x14ac:dyDescent="0.3">
      <c r="A609" s="6">
        <v>5</v>
      </c>
      <c r="B609" s="6" t="s">
        <v>91</v>
      </c>
      <c r="C609" s="6" t="s">
        <v>403</v>
      </c>
      <c r="D609" s="6" t="s">
        <v>92</v>
      </c>
      <c r="E609" s="11">
        <v>0.9835965633392334</v>
      </c>
      <c r="F609" s="11">
        <v>0.82597094774246216</v>
      </c>
    </row>
    <row r="610" spans="1:6" hidden="1" x14ac:dyDescent="0.3">
      <c r="A610" s="6">
        <v>5</v>
      </c>
      <c r="B610" s="6" t="s">
        <v>91</v>
      </c>
      <c r="C610" s="6" t="s">
        <v>404</v>
      </c>
      <c r="D610" s="6" t="s">
        <v>92</v>
      </c>
      <c r="E610" s="11">
        <v>0.79248934984207153</v>
      </c>
      <c r="F610" s="11">
        <v>0.82597094774246216</v>
      </c>
    </row>
    <row r="611" spans="1:6" hidden="1" x14ac:dyDescent="0.3">
      <c r="A611" s="6">
        <v>5</v>
      </c>
      <c r="B611" s="6" t="s">
        <v>91</v>
      </c>
      <c r="C611" s="6" t="s">
        <v>405</v>
      </c>
      <c r="D611" s="6" t="s">
        <v>92</v>
      </c>
      <c r="E611" s="11">
        <v>0.80063879489898682</v>
      </c>
      <c r="F611" s="11">
        <v>0.82597094774246216</v>
      </c>
    </row>
    <row r="612" spans="1:6" hidden="1" x14ac:dyDescent="0.3">
      <c r="A612" s="6">
        <v>5</v>
      </c>
      <c r="B612" s="6" t="s">
        <v>91</v>
      </c>
      <c r="C612" s="6" t="s">
        <v>406</v>
      </c>
      <c r="D612" s="6" t="s">
        <v>92</v>
      </c>
      <c r="E612" s="11">
        <v>0.58392852544784546</v>
      </c>
      <c r="F612" s="11">
        <v>0.82597094774246216</v>
      </c>
    </row>
    <row r="613" spans="1:6" hidden="1" x14ac:dyDescent="0.3">
      <c r="A613" s="6">
        <v>5</v>
      </c>
      <c r="B613" s="6" t="s">
        <v>91</v>
      </c>
      <c r="C613" s="6" t="s">
        <v>407</v>
      </c>
      <c r="D613" s="6" t="s">
        <v>92</v>
      </c>
      <c r="E613" s="11">
        <v>0.99451309442520142</v>
      </c>
      <c r="F613" s="11">
        <v>0.82597094774246216</v>
      </c>
    </row>
    <row r="614" spans="1:6" hidden="1" x14ac:dyDescent="0.3">
      <c r="A614" s="6">
        <v>5</v>
      </c>
      <c r="B614" s="6" t="s">
        <v>91</v>
      </c>
      <c r="C614" s="6" t="s">
        <v>408</v>
      </c>
      <c r="D614" s="6" t="s">
        <v>92</v>
      </c>
      <c r="E614" s="11">
        <v>0.92214584350585938</v>
      </c>
      <c r="F614" s="11">
        <v>0.82597094774246216</v>
      </c>
    </row>
    <row r="615" spans="1:6" hidden="1" x14ac:dyDescent="0.3">
      <c r="A615" s="6">
        <v>5</v>
      </c>
      <c r="B615" s="6" t="s">
        <v>91</v>
      </c>
      <c r="C615" s="6" t="s">
        <v>409</v>
      </c>
      <c r="D615" s="6" t="s">
        <v>92</v>
      </c>
      <c r="E615" s="11">
        <v>0.90870296955108643</v>
      </c>
      <c r="F615" s="11">
        <v>0.82597094774246216</v>
      </c>
    </row>
    <row r="616" spans="1:6" hidden="1" x14ac:dyDescent="0.3">
      <c r="A616" s="6">
        <v>5</v>
      </c>
      <c r="B616" s="6" t="s">
        <v>91</v>
      </c>
      <c r="C616" s="6" t="s">
        <v>410</v>
      </c>
      <c r="D616" s="6" t="s">
        <v>92</v>
      </c>
      <c r="E616" s="11">
        <v>1.4267566204071045</v>
      </c>
      <c r="F616" s="11">
        <v>0.82597094774246216</v>
      </c>
    </row>
    <row r="617" spans="1:6" hidden="1" x14ac:dyDescent="0.3">
      <c r="A617" s="6">
        <v>5</v>
      </c>
      <c r="B617" s="6" t="s">
        <v>91</v>
      </c>
      <c r="C617" s="6" t="s">
        <v>411</v>
      </c>
      <c r="D617" s="6" t="s">
        <v>92</v>
      </c>
      <c r="E617" s="11">
        <v>1.2349317073822021</v>
      </c>
      <c r="F617" s="11">
        <v>0.82597094774246216</v>
      </c>
    </row>
    <row r="618" spans="1:6" hidden="1" x14ac:dyDescent="0.3">
      <c r="A618" s="6">
        <v>5</v>
      </c>
      <c r="B618" s="6" t="s">
        <v>91</v>
      </c>
      <c r="C618" s="6" t="s">
        <v>412</v>
      </c>
      <c r="D618" s="6" t="s">
        <v>92</v>
      </c>
      <c r="E618" s="11">
        <v>0.94673007726669312</v>
      </c>
      <c r="F618" s="11">
        <v>0.82597094774246216</v>
      </c>
    </row>
    <row r="619" spans="1:6" hidden="1" x14ac:dyDescent="0.3">
      <c r="A619" s="6">
        <v>5</v>
      </c>
      <c r="B619" s="6" t="s">
        <v>91</v>
      </c>
      <c r="C619" s="6" t="s">
        <v>413</v>
      </c>
      <c r="D619" s="6" t="s">
        <v>92</v>
      </c>
      <c r="E619" s="11">
        <v>0.93143385648727417</v>
      </c>
      <c r="F619" s="11">
        <v>0.82597094774246216</v>
      </c>
    </row>
    <row r="620" spans="1:6" hidden="1" x14ac:dyDescent="0.3">
      <c r="A620" s="6">
        <v>5</v>
      </c>
      <c r="B620" s="6" t="s">
        <v>91</v>
      </c>
      <c r="C620" s="6" t="s">
        <v>414</v>
      </c>
      <c r="D620" s="6" t="s">
        <v>92</v>
      </c>
      <c r="E620" s="11">
        <v>1.326240062713623</v>
      </c>
      <c r="F620" s="11">
        <v>0.82597094774246216</v>
      </c>
    </row>
    <row r="621" spans="1:6" hidden="1" x14ac:dyDescent="0.3">
      <c r="A621" s="6">
        <v>5</v>
      </c>
      <c r="B621" s="6" t="s">
        <v>91</v>
      </c>
      <c r="C621" s="6" t="s">
        <v>415</v>
      </c>
      <c r="D621" s="6" t="s">
        <v>92</v>
      </c>
      <c r="E621" s="11">
        <v>1.3396452665328979</v>
      </c>
      <c r="F621" s="11">
        <v>0.82597094774246216</v>
      </c>
    </row>
    <row r="622" spans="1:6" hidden="1" x14ac:dyDescent="0.3">
      <c r="A622" s="6">
        <v>5</v>
      </c>
      <c r="B622" s="6" t="s">
        <v>91</v>
      </c>
      <c r="C622" s="6" t="s">
        <v>416</v>
      </c>
      <c r="D622" s="6" t="s">
        <v>92</v>
      </c>
      <c r="E622" s="11">
        <v>0.73109632730484009</v>
      </c>
      <c r="F622" s="11">
        <v>0.82597094774246216</v>
      </c>
    </row>
    <row r="623" spans="1:6" hidden="1" x14ac:dyDescent="0.3">
      <c r="A623" s="6">
        <v>5</v>
      </c>
      <c r="B623" s="6" t="s">
        <v>91</v>
      </c>
      <c r="C623" s="6" t="s">
        <v>417</v>
      </c>
      <c r="D623" s="6" t="s">
        <v>92</v>
      </c>
      <c r="E623" s="11">
        <v>0.75945210456848145</v>
      </c>
      <c r="F623" s="11">
        <v>0.82597094774246216</v>
      </c>
    </row>
    <row r="624" spans="1:6" hidden="1" x14ac:dyDescent="0.3">
      <c r="A624" s="6">
        <v>5</v>
      </c>
      <c r="B624" s="6" t="s">
        <v>91</v>
      </c>
      <c r="C624" s="6" t="s">
        <v>418</v>
      </c>
      <c r="D624" s="6" t="s">
        <v>92</v>
      </c>
      <c r="E624" s="11"/>
      <c r="F624" s="11">
        <v>0.82597094774246216</v>
      </c>
    </row>
    <row r="625" spans="1:6" hidden="1" x14ac:dyDescent="0.3">
      <c r="A625" s="6">
        <v>5</v>
      </c>
      <c r="B625" s="6" t="s">
        <v>91</v>
      </c>
      <c r="C625" s="6" t="s">
        <v>419</v>
      </c>
      <c r="D625" s="6" t="s">
        <v>92</v>
      </c>
      <c r="E625" s="11">
        <v>0.71991270780563354</v>
      </c>
      <c r="F625" s="11">
        <v>0.82597094774246216</v>
      </c>
    </row>
    <row r="626" spans="1:6" hidden="1" x14ac:dyDescent="0.3">
      <c r="A626" s="6">
        <v>5</v>
      </c>
      <c r="B626" s="6" t="s">
        <v>91</v>
      </c>
      <c r="C626" s="6" t="s">
        <v>420</v>
      </c>
      <c r="D626" s="6" t="s">
        <v>92</v>
      </c>
      <c r="E626" s="11">
        <v>0.81745147705078125</v>
      </c>
      <c r="F626" s="11">
        <v>0.82597094774246216</v>
      </c>
    </row>
    <row r="627" spans="1:6" hidden="1" x14ac:dyDescent="0.3">
      <c r="A627" s="6">
        <v>5</v>
      </c>
      <c r="B627" s="6" t="s">
        <v>91</v>
      </c>
      <c r="C627" s="6" t="s">
        <v>421</v>
      </c>
      <c r="D627" s="6" t="s">
        <v>92</v>
      </c>
      <c r="E627" s="11">
        <v>1.0734039545059204</v>
      </c>
      <c r="F627" s="11">
        <v>0.82597094774246216</v>
      </c>
    </row>
    <row r="628" spans="1:6" hidden="1" x14ac:dyDescent="0.3">
      <c r="A628" s="6">
        <v>5</v>
      </c>
      <c r="B628" s="6" t="s">
        <v>91</v>
      </c>
      <c r="C628" s="6" t="s">
        <v>422</v>
      </c>
      <c r="D628" s="6" t="s">
        <v>92</v>
      </c>
      <c r="E628" s="11">
        <v>1.30684494972229</v>
      </c>
      <c r="F628" s="11">
        <v>0.82597094774246216</v>
      </c>
    </row>
    <row r="629" spans="1:6" hidden="1" x14ac:dyDescent="0.3">
      <c r="A629" s="6">
        <v>5</v>
      </c>
      <c r="B629" s="6" t="s">
        <v>91</v>
      </c>
      <c r="C629" s="6" t="s">
        <v>423</v>
      </c>
      <c r="D629" s="6" t="s">
        <v>92</v>
      </c>
      <c r="E629" s="11">
        <v>1.1361919641494751</v>
      </c>
      <c r="F629" s="11">
        <v>0.82597094774246216</v>
      </c>
    </row>
    <row r="630" spans="1:6" hidden="1" x14ac:dyDescent="0.3">
      <c r="A630" s="6">
        <v>5</v>
      </c>
      <c r="B630" s="6" t="s">
        <v>91</v>
      </c>
      <c r="C630" s="6" t="s">
        <v>424</v>
      </c>
      <c r="D630" s="6" t="s">
        <v>92</v>
      </c>
      <c r="E630" s="11">
        <v>0.95610368251800537</v>
      </c>
      <c r="F630" s="11">
        <v>0.82597094774246216</v>
      </c>
    </row>
    <row r="631" spans="1:6" hidden="1" x14ac:dyDescent="0.3">
      <c r="A631" s="6">
        <v>5</v>
      </c>
      <c r="B631" s="6" t="s">
        <v>91</v>
      </c>
      <c r="C631" s="6" t="s">
        <v>425</v>
      </c>
      <c r="D631" s="6" t="s">
        <v>92</v>
      </c>
      <c r="E631" s="11">
        <v>1.0986038446426392</v>
      </c>
      <c r="F631" s="11">
        <v>0.82597094774246216</v>
      </c>
    </row>
    <row r="632" spans="1:6" hidden="1" x14ac:dyDescent="0.3">
      <c r="A632" s="6">
        <v>5</v>
      </c>
      <c r="B632" s="6" t="s">
        <v>91</v>
      </c>
      <c r="C632" s="6" t="s">
        <v>426</v>
      </c>
      <c r="D632" s="6" t="s">
        <v>92</v>
      </c>
      <c r="E632" s="11">
        <v>0.77760905027389526</v>
      </c>
      <c r="F632" s="11">
        <v>0.82597094774246216</v>
      </c>
    </row>
    <row r="633" spans="1:6" hidden="1" x14ac:dyDescent="0.3">
      <c r="A633" s="6">
        <v>5</v>
      </c>
      <c r="B633" s="6" t="s">
        <v>91</v>
      </c>
      <c r="C633" s="6" t="s">
        <v>427</v>
      </c>
      <c r="D633" s="6" t="s">
        <v>92</v>
      </c>
      <c r="E633" s="11">
        <v>2.5476000308990479</v>
      </c>
      <c r="F633" s="11">
        <v>0.82597094774246216</v>
      </c>
    </row>
    <row r="634" spans="1:6" hidden="1" x14ac:dyDescent="0.3">
      <c r="A634" s="6">
        <v>5</v>
      </c>
      <c r="B634" s="6" t="s">
        <v>91</v>
      </c>
      <c r="C634" s="6" t="s">
        <v>428</v>
      </c>
      <c r="D634" s="6" t="s">
        <v>92</v>
      </c>
      <c r="E634" s="11">
        <v>39.109020233154297</v>
      </c>
      <c r="F634" s="11">
        <v>0.82597094774246216</v>
      </c>
    </row>
    <row r="635" spans="1:6" hidden="1" x14ac:dyDescent="0.3">
      <c r="A635" s="6">
        <v>5</v>
      </c>
      <c r="B635" s="6" t="s">
        <v>91</v>
      </c>
      <c r="C635" s="6" t="s">
        <v>429</v>
      </c>
      <c r="D635" s="6" t="s">
        <v>92</v>
      </c>
      <c r="E635" s="11">
        <v>0.86712104082107544</v>
      </c>
      <c r="F635" s="11">
        <v>0.82597094774246216</v>
      </c>
    </row>
    <row r="636" spans="1:6" hidden="1" x14ac:dyDescent="0.3">
      <c r="A636" s="6">
        <v>5</v>
      </c>
      <c r="B636" s="6" t="s">
        <v>91</v>
      </c>
      <c r="C636" s="6" t="s">
        <v>430</v>
      </c>
      <c r="D636" s="6" t="s">
        <v>92</v>
      </c>
      <c r="E636" s="11">
        <v>3.1973333358764648</v>
      </c>
      <c r="F636" s="11">
        <v>0.82597094774246216</v>
      </c>
    </row>
    <row r="637" spans="1:6" hidden="1" x14ac:dyDescent="0.3">
      <c r="A637" s="6">
        <v>5</v>
      </c>
      <c r="B637" s="6" t="s">
        <v>91</v>
      </c>
      <c r="C637" s="6" t="s">
        <v>431</v>
      </c>
      <c r="D637" s="6" t="s">
        <v>92</v>
      </c>
      <c r="E637" s="11">
        <v>0.85659784078598022</v>
      </c>
      <c r="F637" s="11">
        <v>0.82597094774246216</v>
      </c>
    </row>
    <row r="638" spans="1:6" hidden="1" x14ac:dyDescent="0.3">
      <c r="A638" s="6">
        <v>5</v>
      </c>
      <c r="B638" s="6" t="s">
        <v>91</v>
      </c>
      <c r="C638" s="6" t="s">
        <v>432</v>
      </c>
      <c r="D638" s="6" t="s">
        <v>92</v>
      </c>
      <c r="E638" s="11">
        <v>0.85079962015151978</v>
      </c>
      <c r="F638" s="11">
        <v>0.82597094774246216</v>
      </c>
    </row>
    <row r="639" spans="1:6" hidden="1" x14ac:dyDescent="0.3">
      <c r="A639" s="6">
        <v>5</v>
      </c>
      <c r="B639" s="6" t="s">
        <v>91</v>
      </c>
      <c r="C639" s="6" t="s">
        <v>433</v>
      </c>
      <c r="D639" s="6" t="s">
        <v>92</v>
      </c>
      <c r="E639" s="11">
        <v>0.82366228103637695</v>
      </c>
      <c r="F639" s="11">
        <v>0.82597094774246216</v>
      </c>
    </row>
    <row r="640" spans="1:6" hidden="1" x14ac:dyDescent="0.3">
      <c r="A640" s="6">
        <v>5</v>
      </c>
      <c r="B640" s="6" t="s">
        <v>91</v>
      </c>
      <c r="C640" s="6" t="s">
        <v>434</v>
      </c>
      <c r="D640" s="6" t="s">
        <v>92</v>
      </c>
      <c r="E640" s="11">
        <v>1.1097681522369385</v>
      </c>
      <c r="F640" s="11">
        <v>0.82597094774246216</v>
      </c>
    </row>
    <row r="641" spans="1:6" hidden="1" x14ac:dyDescent="0.3">
      <c r="A641" s="6">
        <v>5</v>
      </c>
      <c r="B641" s="6" t="s">
        <v>91</v>
      </c>
      <c r="C641" s="6" t="s">
        <v>435</v>
      </c>
      <c r="D641" s="6" t="s">
        <v>92</v>
      </c>
      <c r="E641" s="11">
        <v>0.9636387825012207</v>
      </c>
      <c r="F641" s="11">
        <v>0.82597094774246216</v>
      </c>
    </row>
    <row r="642" spans="1:6" hidden="1" x14ac:dyDescent="0.3">
      <c r="A642" s="6">
        <v>5</v>
      </c>
      <c r="B642" s="6" t="s">
        <v>91</v>
      </c>
      <c r="C642" s="6" t="s">
        <v>436</v>
      </c>
      <c r="D642" s="6" t="s">
        <v>92</v>
      </c>
      <c r="E642" s="11">
        <v>0.93142968416213989</v>
      </c>
      <c r="F642" s="11">
        <v>0.82597094774246216</v>
      </c>
    </row>
    <row r="643" spans="1:6" hidden="1" x14ac:dyDescent="0.3">
      <c r="A643" s="6">
        <v>5</v>
      </c>
      <c r="B643" s="6" t="s">
        <v>91</v>
      </c>
      <c r="C643" s="6" t="s">
        <v>437</v>
      </c>
      <c r="D643" s="6" t="s">
        <v>92</v>
      </c>
      <c r="E643" s="11">
        <v>0.83850610256195068</v>
      </c>
      <c r="F643" s="11">
        <v>0.82597094774246216</v>
      </c>
    </row>
    <row r="644" spans="1:6" hidden="1" x14ac:dyDescent="0.3">
      <c r="A644" s="6">
        <v>5</v>
      </c>
      <c r="B644" s="6" t="s">
        <v>91</v>
      </c>
      <c r="C644" s="6" t="s">
        <v>438</v>
      </c>
      <c r="D644" s="6" t="s">
        <v>92</v>
      </c>
      <c r="E644" s="11">
        <v>0.99170833826065063</v>
      </c>
      <c r="F644" s="11">
        <v>0.82597094774246216</v>
      </c>
    </row>
    <row r="645" spans="1:6" hidden="1" x14ac:dyDescent="0.3">
      <c r="A645" s="6">
        <v>5</v>
      </c>
      <c r="B645" s="6" t="s">
        <v>91</v>
      </c>
      <c r="C645" s="6" t="s">
        <v>439</v>
      </c>
      <c r="D645" s="6" t="s">
        <v>92</v>
      </c>
      <c r="E645" s="11">
        <v>1.282954216003418</v>
      </c>
      <c r="F645" s="11">
        <v>0.82597094774246216</v>
      </c>
    </row>
    <row r="646" spans="1:6" hidden="1" x14ac:dyDescent="0.3">
      <c r="A646" s="6">
        <v>5</v>
      </c>
      <c r="B646" s="6" t="s">
        <v>91</v>
      </c>
      <c r="C646" s="6" t="s">
        <v>440</v>
      </c>
      <c r="D646" s="6" t="s">
        <v>92</v>
      </c>
      <c r="E646" s="11">
        <v>12.01200008392334</v>
      </c>
      <c r="F646" s="11">
        <v>0.82597094774246216</v>
      </c>
    </row>
    <row r="647" spans="1:6" hidden="1" x14ac:dyDescent="0.3">
      <c r="A647" s="6">
        <v>5</v>
      </c>
      <c r="B647" s="6" t="s">
        <v>91</v>
      </c>
      <c r="C647" s="6" t="s">
        <v>441</v>
      </c>
      <c r="D647" s="6" t="s">
        <v>92</v>
      </c>
      <c r="E647" s="11">
        <v>0.88585257530212402</v>
      </c>
      <c r="F647" s="11">
        <v>0.82597094774246216</v>
      </c>
    </row>
    <row r="648" spans="1:6" hidden="1" x14ac:dyDescent="0.3">
      <c r="A648" s="6">
        <v>5</v>
      </c>
      <c r="B648" s="6" t="s">
        <v>91</v>
      </c>
      <c r="C648" s="6" t="s">
        <v>442</v>
      </c>
      <c r="D648" s="6" t="s">
        <v>92</v>
      </c>
      <c r="E648" s="11">
        <v>1.0779227018356323</v>
      </c>
      <c r="F648" s="11">
        <v>0.82597094774246216</v>
      </c>
    </row>
    <row r="649" spans="1:6" hidden="1" x14ac:dyDescent="0.3">
      <c r="A649" s="6">
        <v>5</v>
      </c>
      <c r="B649" s="6" t="s">
        <v>91</v>
      </c>
      <c r="C649" s="6" t="s">
        <v>443</v>
      </c>
      <c r="D649" s="6" t="s">
        <v>92</v>
      </c>
      <c r="E649" s="11">
        <v>0.96809053421020508</v>
      </c>
      <c r="F649" s="11">
        <v>0.82597094774246216</v>
      </c>
    </row>
    <row r="650" spans="1:6" hidden="1" x14ac:dyDescent="0.3">
      <c r="A650" s="6">
        <v>5</v>
      </c>
      <c r="B650" s="6" t="s">
        <v>91</v>
      </c>
      <c r="C650" s="6" t="s">
        <v>444</v>
      </c>
      <c r="D650" s="6" t="s">
        <v>92</v>
      </c>
      <c r="E650" s="11">
        <v>0.79316341876983643</v>
      </c>
      <c r="F650" s="11">
        <v>0.82597094774246216</v>
      </c>
    </row>
    <row r="651" spans="1:6" hidden="1" x14ac:dyDescent="0.3">
      <c r="A651" s="6">
        <v>5</v>
      </c>
      <c r="B651" s="6" t="s">
        <v>91</v>
      </c>
      <c r="C651" s="6" t="s">
        <v>445</v>
      </c>
      <c r="D651" s="6" t="s">
        <v>92</v>
      </c>
      <c r="E651" s="11">
        <v>1.113473653793335</v>
      </c>
      <c r="F651" s="11">
        <v>0.82597094774246216</v>
      </c>
    </row>
    <row r="652" spans="1:6" hidden="1" x14ac:dyDescent="0.3">
      <c r="A652" s="6">
        <v>5</v>
      </c>
      <c r="B652" s="6" t="s">
        <v>91</v>
      </c>
      <c r="C652" s="6" t="s">
        <v>446</v>
      </c>
      <c r="D652" s="6" t="s">
        <v>92</v>
      </c>
      <c r="E652" s="11">
        <v>0.86519598960876465</v>
      </c>
      <c r="F652" s="11">
        <v>0.82597094774246216</v>
      </c>
    </row>
    <row r="653" spans="1:6" hidden="1" x14ac:dyDescent="0.3">
      <c r="A653" s="6">
        <v>5</v>
      </c>
      <c r="B653" s="6" t="s">
        <v>91</v>
      </c>
      <c r="C653" s="6" t="s">
        <v>447</v>
      </c>
      <c r="D653" s="6" t="s">
        <v>92</v>
      </c>
      <c r="E653" s="11">
        <v>1.4267604351043701</v>
      </c>
      <c r="F653" s="11">
        <v>0.82597094774246216</v>
      </c>
    </row>
    <row r="654" spans="1:6" hidden="1" x14ac:dyDescent="0.3">
      <c r="A654" s="6">
        <v>5</v>
      </c>
      <c r="B654" s="6" t="s">
        <v>91</v>
      </c>
      <c r="C654" s="6" t="s">
        <v>448</v>
      </c>
      <c r="D654" s="6" t="s">
        <v>92</v>
      </c>
      <c r="E654" s="11">
        <v>0.75350272655487061</v>
      </c>
      <c r="F654" s="11">
        <v>0.82597094774246216</v>
      </c>
    </row>
    <row r="655" spans="1:6" hidden="1" x14ac:dyDescent="0.3">
      <c r="A655" s="6">
        <v>5</v>
      </c>
      <c r="B655" s="6" t="s">
        <v>91</v>
      </c>
      <c r="C655" s="6" t="s">
        <v>449</v>
      </c>
      <c r="D655" s="6" t="s">
        <v>92</v>
      </c>
      <c r="E655" s="11"/>
      <c r="F655" s="11">
        <v>0.82597094774246216</v>
      </c>
    </row>
    <row r="656" spans="1:6" hidden="1" x14ac:dyDescent="0.3">
      <c r="A656" s="6">
        <v>5</v>
      </c>
      <c r="B656" s="6" t="s">
        <v>91</v>
      </c>
      <c r="C656" s="6" t="s">
        <v>450</v>
      </c>
      <c r="D656" s="6" t="s">
        <v>92</v>
      </c>
      <c r="E656" s="11">
        <v>1.2879780530929565</v>
      </c>
      <c r="F656" s="11">
        <v>0.82597094774246216</v>
      </c>
    </row>
    <row r="657" spans="1:6" hidden="1" x14ac:dyDescent="0.3">
      <c r="A657" s="6">
        <v>5</v>
      </c>
      <c r="B657" s="6" t="s">
        <v>91</v>
      </c>
      <c r="C657" s="6" t="s">
        <v>451</v>
      </c>
      <c r="D657" s="6" t="s">
        <v>92</v>
      </c>
      <c r="E657" s="11">
        <v>0.94918251037597656</v>
      </c>
      <c r="F657" s="11">
        <v>0.82597094774246216</v>
      </c>
    </row>
    <row r="658" spans="1:6" hidden="1" x14ac:dyDescent="0.3">
      <c r="A658" s="6">
        <v>5</v>
      </c>
      <c r="B658" s="6" t="s">
        <v>91</v>
      </c>
      <c r="C658" s="6" t="s">
        <v>452</v>
      </c>
      <c r="D658" s="6" t="s">
        <v>92</v>
      </c>
      <c r="E658" s="11">
        <v>1.0890253782272339</v>
      </c>
      <c r="F658" s="11">
        <v>0.82597094774246216</v>
      </c>
    </row>
    <row r="659" spans="1:6" hidden="1" x14ac:dyDescent="0.3">
      <c r="A659" s="6">
        <v>5</v>
      </c>
      <c r="B659" s="6" t="s">
        <v>91</v>
      </c>
      <c r="C659" s="6" t="s">
        <v>453</v>
      </c>
      <c r="D659" s="6" t="s">
        <v>92</v>
      </c>
      <c r="E659" s="11">
        <v>68.771995544433594</v>
      </c>
      <c r="F659" s="11">
        <v>0.82597094774246216</v>
      </c>
    </row>
    <row r="660" spans="1:6" hidden="1" x14ac:dyDescent="0.3">
      <c r="A660" s="6">
        <v>5</v>
      </c>
      <c r="B660" s="6" t="s">
        <v>91</v>
      </c>
      <c r="C660" s="6" t="s">
        <v>454</v>
      </c>
      <c r="D660" s="6" t="s">
        <v>92</v>
      </c>
      <c r="E660" s="11">
        <v>1.0995285511016846</v>
      </c>
      <c r="F660" s="11">
        <v>0.82597094774246216</v>
      </c>
    </row>
    <row r="661" spans="1:6" hidden="1" x14ac:dyDescent="0.3">
      <c r="A661" s="6">
        <v>5</v>
      </c>
      <c r="B661" s="6" t="s">
        <v>91</v>
      </c>
      <c r="C661" s="6" t="s">
        <v>455</v>
      </c>
      <c r="D661" s="6" t="s">
        <v>92</v>
      </c>
      <c r="E661" s="11">
        <v>0.89004123210906982</v>
      </c>
      <c r="F661" s="11">
        <v>0.82597094774246216</v>
      </c>
    </row>
    <row r="662" spans="1:6" hidden="1" x14ac:dyDescent="0.3">
      <c r="A662" s="6">
        <v>5</v>
      </c>
      <c r="B662" s="6" t="s">
        <v>91</v>
      </c>
      <c r="C662" s="6" t="s">
        <v>456</v>
      </c>
      <c r="D662" s="6" t="s">
        <v>92</v>
      </c>
      <c r="E662" s="11">
        <v>1.1342743635177612</v>
      </c>
      <c r="F662" s="11">
        <v>0.82597094774246216</v>
      </c>
    </row>
    <row r="663" spans="1:6" hidden="1" x14ac:dyDescent="0.3">
      <c r="A663" s="6">
        <v>5</v>
      </c>
      <c r="B663" s="6" t="s">
        <v>91</v>
      </c>
      <c r="C663" s="6" t="s">
        <v>457</v>
      </c>
      <c r="D663" s="6" t="s">
        <v>92</v>
      </c>
      <c r="E663" s="11">
        <v>1.187150239944458</v>
      </c>
      <c r="F663" s="11">
        <v>0.82597094774246216</v>
      </c>
    </row>
    <row r="664" spans="1:6" hidden="1" x14ac:dyDescent="0.3">
      <c r="A664" s="6">
        <v>5</v>
      </c>
      <c r="B664" s="6" t="s">
        <v>91</v>
      </c>
      <c r="C664" s="6" t="s">
        <v>458</v>
      </c>
      <c r="D664" s="6" t="s">
        <v>92</v>
      </c>
      <c r="E664" s="11">
        <v>0.83990436792373657</v>
      </c>
      <c r="F664" s="11">
        <v>0.82597094774246216</v>
      </c>
    </row>
    <row r="665" spans="1:6" hidden="1" x14ac:dyDescent="0.3">
      <c r="A665" s="6">
        <v>5</v>
      </c>
      <c r="B665" s="6" t="s">
        <v>91</v>
      </c>
      <c r="C665" s="6" t="s">
        <v>459</v>
      </c>
      <c r="D665" s="6" t="s">
        <v>92</v>
      </c>
      <c r="E665" s="11">
        <v>1.0915937423706055</v>
      </c>
      <c r="F665" s="11">
        <v>0.82597094774246216</v>
      </c>
    </row>
    <row r="666" spans="1:6" hidden="1" x14ac:dyDescent="0.3">
      <c r="A666" s="6">
        <v>5</v>
      </c>
      <c r="B666" s="6" t="s">
        <v>91</v>
      </c>
      <c r="C666" s="6" t="s">
        <v>460</v>
      </c>
      <c r="D666" s="6" t="s">
        <v>92</v>
      </c>
      <c r="E666" s="11">
        <v>1.2714858055114746</v>
      </c>
      <c r="F666" s="11">
        <v>0.82597094774246216</v>
      </c>
    </row>
    <row r="667" spans="1:6" hidden="1" x14ac:dyDescent="0.3">
      <c r="A667" s="6">
        <v>5</v>
      </c>
      <c r="B667" s="6" t="s">
        <v>91</v>
      </c>
      <c r="C667" s="6" t="s">
        <v>461</v>
      </c>
      <c r="D667" s="6" t="s">
        <v>92</v>
      </c>
      <c r="E667" s="11">
        <v>0.96253478527069092</v>
      </c>
      <c r="F667" s="11">
        <v>0.82597094774246216</v>
      </c>
    </row>
    <row r="668" spans="1:6" hidden="1" x14ac:dyDescent="0.3">
      <c r="A668" s="6">
        <v>5</v>
      </c>
      <c r="B668" s="6" t="s">
        <v>91</v>
      </c>
      <c r="C668" s="6" t="s">
        <v>462</v>
      </c>
      <c r="D668" s="6" t="s">
        <v>92</v>
      </c>
      <c r="E668" s="11">
        <v>0.73365825414657593</v>
      </c>
      <c r="F668" s="11">
        <v>0.82597094774246216</v>
      </c>
    </row>
    <row r="669" spans="1:6" hidden="1" x14ac:dyDescent="0.3">
      <c r="A669" s="6">
        <v>5</v>
      </c>
      <c r="B669" s="6" t="s">
        <v>91</v>
      </c>
      <c r="C669" s="6" t="s">
        <v>463</v>
      </c>
      <c r="D669" s="6" t="s">
        <v>92</v>
      </c>
      <c r="E669" s="11">
        <v>1.3410511016845703</v>
      </c>
      <c r="F669" s="11">
        <v>0.82597094774246216</v>
      </c>
    </row>
    <row r="670" spans="1:6" hidden="1" x14ac:dyDescent="0.3">
      <c r="A670" s="6">
        <v>5</v>
      </c>
      <c r="B670" s="6" t="s">
        <v>91</v>
      </c>
      <c r="C670" s="6" t="s">
        <v>464</v>
      </c>
      <c r="D670" s="6" t="s">
        <v>92</v>
      </c>
      <c r="E670" s="11">
        <v>0.96799552440643311</v>
      </c>
      <c r="F670" s="11">
        <v>0.82597094774246216</v>
      </c>
    </row>
    <row r="671" spans="1:6" hidden="1" x14ac:dyDescent="0.3">
      <c r="A671" s="6">
        <v>5</v>
      </c>
      <c r="B671" s="6" t="s">
        <v>91</v>
      </c>
      <c r="C671" s="6" t="s">
        <v>465</v>
      </c>
      <c r="D671" s="6" t="s">
        <v>92</v>
      </c>
      <c r="E671" s="11">
        <v>38.295284271240234</v>
      </c>
      <c r="F671" s="11">
        <v>0.82597094774246216</v>
      </c>
    </row>
    <row r="672" spans="1:6" hidden="1" x14ac:dyDescent="0.3">
      <c r="A672" s="6">
        <v>5</v>
      </c>
      <c r="B672" s="6" t="s">
        <v>91</v>
      </c>
      <c r="C672" s="6" t="s">
        <v>466</v>
      </c>
      <c r="D672" s="6" t="s">
        <v>92</v>
      </c>
      <c r="E672" s="11">
        <v>0.93186753988265991</v>
      </c>
      <c r="F672" s="11">
        <v>0.82597094774246216</v>
      </c>
    </row>
    <row r="673" spans="1:6" hidden="1" x14ac:dyDescent="0.3">
      <c r="A673" s="6">
        <v>5</v>
      </c>
      <c r="B673" s="6" t="s">
        <v>91</v>
      </c>
      <c r="C673" s="6" t="s">
        <v>467</v>
      </c>
      <c r="D673" s="6" t="s">
        <v>92</v>
      </c>
      <c r="E673" s="11">
        <v>1.1922178268432617</v>
      </c>
      <c r="F673" s="11">
        <v>0.82597094774246216</v>
      </c>
    </row>
    <row r="674" spans="1:6" hidden="1" x14ac:dyDescent="0.3">
      <c r="A674" s="6">
        <v>5</v>
      </c>
      <c r="B674" s="6" t="s">
        <v>91</v>
      </c>
      <c r="C674" s="6" t="s">
        <v>468</v>
      </c>
      <c r="D674" s="6" t="s">
        <v>92</v>
      </c>
      <c r="E674" s="11">
        <v>1.0583121776580811</v>
      </c>
      <c r="F674" s="11">
        <v>0.82597094774246216</v>
      </c>
    </row>
    <row r="675" spans="1:6" hidden="1" x14ac:dyDescent="0.3">
      <c r="A675" s="6">
        <v>5</v>
      </c>
      <c r="B675" s="6" t="s">
        <v>91</v>
      </c>
      <c r="C675" s="6" t="s">
        <v>469</v>
      </c>
      <c r="D675" s="6" t="s">
        <v>92</v>
      </c>
      <c r="E675" s="11">
        <v>1.3322762250900269</v>
      </c>
      <c r="F675" s="11">
        <v>0.82597094774246216</v>
      </c>
    </row>
    <row r="676" spans="1:6" hidden="1" x14ac:dyDescent="0.3">
      <c r="A676" s="6">
        <v>5</v>
      </c>
      <c r="B676" s="6" t="s">
        <v>91</v>
      </c>
      <c r="C676" s="6" t="s">
        <v>470</v>
      </c>
      <c r="D676" s="6" t="s">
        <v>92</v>
      </c>
      <c r="E676" s="11">
        <v>0.73943436145782471</v>
      </c>
      <c r="F676" s="11">
        <v>0.82597094774246216</v>
      </c>
    </row>
    <row r="677" spans="1:6" hidden="1" x14ac:dyDescent="0.3">
      <c r="A677" s="6">
        <v>5</v>
      </c>
      <c r="B677" s="6" t="s">
        <v>91</v>
      </c>
      <c r="C677" s="6" t="s">
        <v>471</v>
      </c>
      <c r="D677" s="6" t="s">
        <v>92</v>
      </c>
      <c r="E677" s="11">
        <v>0.94275796413421631</v>
      </c>
      <c r="F677" s="11">
        <v>0.82597094774246216</v>
      </c>
    </row>
    <row r="678" spans="1:6" hidden="1" x14ac:dyDescent="0.3">
      <c r="A678" s="6">
        <v>5</v>
      </c>
      <c r="B678" s="6" t="s">
        <v>91</v>
      </c>
      <c r="C678" s="6" t="s">
        <v>472</v>
      </c>
      <c r="D678" s="6" t="s">
        <v>92</v>
      </c>
      <c r="E678" s="11">
        <v>1.0416475534439087</v>
      </c>
      <c r="F678" s="11">
        <v>0.82597094774246216</v>
      </c>
    </row>
    <row r="679" spans="1:6" hidden="1" x14ac:dyDescent="0.3">
      <c r="A679" s="6">
        <v>5</v>
      </c>
      <c r="B679" s="6" t="s">
        <v>91</v>
      </c>
      <c r="C679" s="6" t="s">
        <v>473</v>
      </c>
      <c r="D679" s="6" t="s">
        <v>92</v>
      </c>
      <c r="E679" s="11">
        <v>0.92973440885543823</v>
      </c>
      <c r="F679" s="11">
        <v>0.82597094774246216</v>
      </c>
    </row>
    <row r="680" spans="1:6" hidden="1" x14ac:dyDescent="0.3">
      <c r="A680" s="6">
        <v>5</v>
      </c>
      <c r="B680" s="6" t="s">
        <v>91</v>
      </c>
      <c r="C680" s="6" t="s">
        <v>474</v>
      </c>
      <c r="D680" s="6" t="s">
        <v>92</v>
      </c>
      <c r="E680" s="11">
        <v>1.2142035961151123</v>
      </c>
      <c r="F680" s="11">
        <v>0.82597094774246216</v>
      </c>
    </row>
    <row r="681" spans="1:6" hidden="1" x14ac:dyDescent="0.3">
      <c r="A681" s="6">
        <v>5</v>
      </c>
      <c r="B681" s="6" t="s">
        <v>91</v>
      </c>
      <c r="C681" s="6" t="s">
        <v>475</v>
      </c>
      <c r="D681" s="6" t="s">
        <v>92</v>
      </c>
      <c r="E681" s="11">
        <v>0.86821794509887695</v>
      </c>
      <c r="F681" s="11">
        <v>0.82597094774246216</v>
      </c>
    </row>
    <row r="682" spans="1:6" hidden="1" x14ac:dyDescent="0.3">
      <c r="A682" s="6">
        <v>5</v>
      </c>
      <c r="B682" s="6" t="s">
        <v>91</v>
      </c>
      <c r="C682" s="6" t="s">
        <v>476</v>
      </c>
      <c r="D682" s="6" t="s">
        <v>92</v>
      </c>
      <c r="E682" s="11">
        <v>1.0401796102523804</v>
      </c>
      <c r="F682" s="11">
        <v>0.82597094774246216</v>
      </c>
    </row>
    <row r="683" spans="1:6" hidden="1" x14ac:dyDescent="0.3">
      <c r="A683" s="6">
        <v>5</v>
      </c>
      <c r="B683" s="6" t="s">
        <v>91</v>
      </c>
      <c r="C683" s="6" t="s">
        <v>477</v>
      </c>
      <c r="D683" s="6" t="s">
        <v>92</v>
      </c>
      <c r="E683" s="11">
        <v>0.97052401304244995</v>
      </c>
      <c r="F683" s="11">
        <v>0.82597094774246216</v>
      </c>
    </row>
    <row r="684" spans="1:6" hidden="1" x14ac:dyDescent="0.3">
      <c r="A684" s="6">
        <v>5</v>
      </c>
      <c r="B684" s="6" t="s">
        <v>91</v>
      </c>
      <c r="C684" s="6" t="s">
        <v>478</v>
      </c>
      <c r="D684" s="6" t="s">
        <v>92</v>
      </c>
      <c r="E684" s="11">
        <v>1.0929921865463257</v>
      </c>
      <c r="F684" s="11">
        <v>0.82597094774246216</v>
      </c>
    </row>
    <row r="685" spans="1:6" hidden="1" x14ac:dyDescent="0.3">
      <c r="A685" s="6">
        <v>5</v>
      </c>
      <c r="B685" s="6" t="s">
        <v>91</v>
      </c>
      <c r="C685" s="6" t="s">
        <v>479</v>
      </c>
      <c r="D685" s="6" t="s">
        <v>92</v>
      </c>
      <c r="E685" s="11">
        <v>1.0502651929855347</v>
      </c>
      <c r="F685" s="11">
        <v>0.82597094774246216</v>
      </c>
    </row>
    <row r="686" spans="1:6" hidden="1" x14ac:dyDescent="0.3">
      <c r="A686" s="6">
        <v>5</v>
      </c>
      <c r="B686" s="6" t="s">
        <v>91</v>
      </c>
      <c r="C686" s="6" t="s">
        <v>480</v>
      </c>
      <c r="D686" s="6" t="s">
        <v>92</v>
      </c>
      <c r="E686" s="11">
        <v>3.4689483642578125</v>
      </c>
      <c r="F686" s="11">
        <v>0.82597094774246216</v>
      </c>
    </row>
    <row r="687" spans="1:6" hidden="1" x14ac:dyDescent="0.3">
      <c r="A687" s="6">
        <v>5</v>
      </c>
      <c r="B687" s="6" t="s">
        <v>91</v>
      </c>
      <c r="C687" s="6" t="s">
        <v>481</v>
      </c>
      <c r="D687" s="6" t="s">
        <v>92</v>
      </c>
      <c r="E687" s="11">
        <v>1.1327921152114868</v>
      </c>
      <c r="F687" s="11">
        <v>0.82597094774246216</v>
      </c>
    </row>
    <row r="688" spans="1:6" hidden="1" x14ac:dyDescent="0.3">
      <c r="A688" s="6">
        <v>5</v>
      </c>
      <c r="B688" s="6" t="s">
        <v>91</v>
      </c>
      <c r="C688" s="6" t="s">
        <v>482</v>
      </c>
      <c r="D688" s="6" t="s">
        <v>92</v>
      </c>
      <c r="E688" s="11">
        <v>1.0639212131500244</v>
      </c>
      <c r="F688" s="11">
        <v>0.82597094774246216</v>
      </c>
    </row>
    <row r="689" spans="1:6" hidden="1" x14ac:dyDescent="0.3">
      <c r="A689" s="6">
        <v>5</v>
      </c>
      <c r="B689" s="6" t="s">
        <v>91</v>
      </c>
      <c r="C689" s="6" t="s">
        <v>483</v>
      </c>
      <c r="D689" s="6" t="s">
        <v>92</v>
      </c>
      <c r="E689" s="11">
        <v>1.0530736446380615</v>
      </c>
      <c r="F689" s="11">
        <v>0.82597094774246216</v>
      </c>
    </row>
    <row r="690" spans="1:6" hidden="1" x14ac:dyDescent="0.3">
      <c r="A690" s="6">
        <v>5</v>
      </c>
      <c r="B690" s="6" t="s">
        <v>91</v>
      </c>
      <c r="C690" s="6" t="s">
        <v>484</v>
      </c>
      <c r="D690" s="6" t="s">
        <v>92</v>
      </c>
      <c r="E690" s="11">
        <v>0.75249946117401123</v>
      </c>
      <c r="F690" s="11">
        <v>0.82597094774246216</v>
      </c>
    </row>
    <row r="691" spans="1:6" hidden="1" x14ac:dyDescent="0.3">
      <c r="A691" s="6">
        <v>5</v>
      </c>
      <c r="B691" s="6" t="s">
        <v>91</v>
      </c>
      <c r="C691" s="6" t="s">
        <v>485</v>
      </c>
      <c r="D691" s="6" t="s">
        <v>92</v>
      </c>
      <c r="E691" s="11">
        <v>0.74701958894729614</v>
      </c>
      <c r="F691" s="11">
        <v>0.82597094774246216</v>
      </c>
    </row>
    <row r="692" spans="1:6" hidden="1" x14ac:dyDescent="0.3">
      <c r="A692" s="6">
        <v>5</v>
      </c>
      <c r="B692" s="6" t="s">
        <v>91</v>
      </c>
      <c r="C692" s="6" t="s">
        <v>486</v>
      </c>
      <c r="D692" s="6" t="s">
        <v>92</v>
      </c>
      <c r="E692" s="11">
        <v>0.69854265451431274</v>
      </c>
      <c r="F692" s="11">
        <v>0.82597094774246216</v>
      </c>
    </row>
    <row r="693" spans="1:6" hidden="1" x14ac:dyDescent="0.3">
      <c r="A693" s="6">
        <v>5</v>
      </c>
      <c r="B693" s="6" t="s">
        <v>91</v>
      </c>
      <c r="C693" s="6" t="s">
        <v>487</v>
      </c>
      <c r="D693" s="6" t="s">
        <v>92</v>
      </c>
      <c r="E693" s="11">
        <v>0.72221124172210693</v>
      </c>
      <c r="F693" s="11">
        <v>0.82597094774246216</v>
      </c>
    </row>
    <row r="694" spans="1:6" hidden="1" x14ac:dyDescent="0.3">
      <c r="A694" s="6">
        <v>5</v>
      </c>
      <c r="B694" s="6" t="s">
        <v>91</v>
      </c>
      <c r="C694" s="6" t="s">
        <v>488</v>
      </c>
      <c r="D694" s="6" t="s">
        <v>92</v>
      </c>
      <c r="E694" s="11">
        <v>0.85545146465301514</v>
      </c>
      <c r="F694" s="11">
        <v>0.82597094774246216</v>
      </c>
    </row>
    <row r="695" spans="1:6" hidden="1" x14ac:dyDescent="0.3">
      <c r="A695" s="6">
        <v>5</v>
      </c>
      <c r="B695" s="6" t="s">
        <v>91</v>
      </c>
      <c r="C695" s="6" t="s">
        <v>489</v>
      </c>
      <c r="D695" s="6" t="s">
        <v>92</v>
      </c>
      <c r="E695" s="11">
        <v>1.4716516733169556</v>
      </c>
      <c r="F695" s="11">
        <v>0.82597094774246216</v>
      </c>
    </row>
    <row r="696" spans="1:6" hidden="1" x14ac:dyDescent="0.3">
      <c r="A696" s="6">
        <v>5</v>
      </c>
      <c r="B696" s="6" t="s">
        <v>91</v>
      </c>
      <c r="C696" s="6" t="s">
        <v>490</v>
      </c>
      <c r="D696" s="6" t="s">
        <v>92</v>
      </c>
      <c r="E696" s="11">
        <v>1.1495000123977661</v>
      </c>
      <c r="F696" s="11">
        <v>0.82597094774246216</v>
      </c>
    </row>
    <row r="697" spans="1:6" hidden="1" x14ac:dyDescent="0.3">
      <c r="A697" s="6">
        <v>5</v>
      </c>
      <c r="B697" s="6" t="s">
        <v>91</v>
      </c>
      <c r="C697" s="6" t="s">
        <v>491</v>
      </c>
      <c r="D697" s="6" t="s">
        <v>92</v>
      </c>
      <c r="E697" s="11">
        <v>1.2329025268554688</v>
      </c>
      <c r="F697" s="11">
        <v>0.82597094774246216</v>
      </c>
    </row>
    <row r="698" spans="1:6" hidden="1" x14ac:dyDescent="0.3">
      <c r="A698" s="6">
        <v>5</v>
      </c>
      <c r="B698" s="6" t="s">
        <v>91</v>
      </c>
      <c r="C698" s="6" t="s">
        <v>492</v>
      </c>
      <c r="D698" s="6" t="s">
        <v>92</v>
      </c>
      <c r="E698" s="11">
        <v>1.1898372173309326</v>
      </c>
      <c r="F698" s="11">
        <v>0.82597094774246216</v>
      </c>
    </row>
    <row r="699" spans="1:6" hidden="1" x14ac:dyDescent="0.3">
      <c r="A699" s="6">
        <v>5</v>
      </c>
      <c r="B699" s="6" t="s">
        <v>91</v>
      </c>
      <c r="C699" s="6" t="s">
        <v>493</v>
      </c>
      <c r="D699" s="6" t="s">
        <v>92</v>
      </c>
      <c r="E699" s="11">
        <v>0.92199540138244629</v>
      </c>
      <c r="F699" s="11">
        <v>0.82597094774246216</v>
      </c>
    </row>
    <row r="700" spans="1:6" hidden="1" x14ac:dyDescent="0.3">
      <c r="A700" s="6">
        <v>5</v>
      </c>
      <c r="B700" s="6" t="s">
        <v>91</v>
      </c>
      <c r="C700" s="6" t="s">
        <v>494</v>
      </c>
      <c r="D700" s="6" t="s">
        <v>92</v>
      </c>
      <c r="E700" s="11">
        <v>0.88842815160751343</v>
      </c>
      <c r="F700" s="11">
        <v>0.82597094774246216</v>
      </c>
    </row>
    <row r="701" spans="1:6" hidden="1" x14ac:dyDescent="0.3">
      <c r="A701" s="6">
        <v>5</v>
      </c>
      <c r="B701" s="6" t="s">
        <v>91</v>
      </c>
      <c r="C701" s="6" t="s">
        <v>495</v>
      </c>
      <c r="D701" s="6" t="s">
        <v>92</v>
      </c>
      <c r="E701" s="11">
        <v>0.92793130874633789</v>
      </c>
      <c r="F701" s="11">
        <v>0.82597094774246216</v>
      </c>
    </row>
    <row r="702" spans="1:6" hidden="1" x14ac:dyDescent="0.3">
      <c r="A702" s="6">
        <v>6</v>
      </c>
      <c r="B702" s="6" t="s">
        <v>93</v>
      </c>
      <c r="C702" s="6" t="s">
        <v>356</v>
      </c>
      <c r="D702" s="6" t="s">
        <v>94</v>
      </c>
      <c r="E702" s="11">
        <v>0.75357323884963989</v>
      </c>
      <c r="F702" s="11">
        <v>0.8054003119468689</v>
      </c>
    </row>
    <row r="703" spans="1:6" hidden="1" x14ac:dyDescent="0.3">
      <c r="A703" s="6">
        <v>6</v>
      </c>
      <c r="B703" s="6" t="s">
        <v>93</v>
      </c>
      <c r="C703" s="6" t="s">
        <v>357</v>
      </c>
      <c r="D703" s="6" t="s">
        <v>94</v>
      </c>
      <c r="E703" s="11">
        <v>9.8340005874633789</v>
      </c>
      <c r="F703" s="11">
        <v>0.8054003119468689</v>
      </c>
    </row>
    <row r="704" spans="1:6" hidden="1" x14ac:dyDescent="0.3">
      <c r="A704" s="6">
        <v>6</v>
      </c>
      <c r="B704" s="6" t="s">
        <v>93</v>
      </c>
      <c r="C704" s="6" t="s">
        <v>358</v>
      </c>
      <c r="D704" s="6" t="s">
        <v>94</v>
      </c>
      <c r="E704" s="11">
        <v>0.87886649370193481</v>
      </c>
      <c r="F704" s="11">
        <v>0.8054003119468689</v>
      </c>
    </row>
    <row r="705" spans="1:6" hidden="1" x14ac:dyDescent="0.3">
      <c r="A705" s="6">
        <v>6</v>
      </c>
      <c r="B705" s="6" t="s">
        <v>93</v>
      </c>
      <c r="C705" s="6" t="s">
        <v>359</v>
      </c>
      <c r="D705" s="6" t="s">
        <v>94</v>
      </c>
      <c r="E705" s="11">
        <v>1.2686423063278198</v>
      </c>
      <c r="F705" s="11">
        <v>0.8054003119468689</v>
      </c>
    </row>
    <row r="706" spans="1:6" hidden="1" x14ac:dyDescent="0.3">
      <c r="A706" s="6">
        <v>6</v>
      </c>
      <c r="B706" s="6" t="s">
        <v>93</v>
      </c>
      <c r="C706" s="6" t="s">
        <v>360</v>
      </c>
      <c r="D706" s="6" t="s">
        <v>94</v>
      </c>
      <c r="E706" s="11">
        <v>0.74679666757583618</v>
      </c>
      <c r="F706" s="11">
        <v>0.8054003119468689</v>
      </c>
    </row>
    <row r="707" spans="1:6" hidden="1" x14ac:dyDescent="0.3">
      <c r="A707" s="6">
        <v>6</v>
      </c>
      <c r="B707" s="6" t="s">
        <v>93</v>
      </c>
      <c r="C707" s="6" t="s">
        <v>361</v>
      </c>
      <c r="D707" s="6" t="s">
        <v>94</v>
      </c>
      <c r="E707" s="11">
        <v>1.3500970602035522</v>
      </c>
      <c r="F707" s="11">
        <v>0.8054003119468689</v>
      </c>
    </row>
    <row r="708" spans="1:6" hidden="1" x14ac:dyDescent="0.3">
      <c r="A708" s="6">
        <v>6</v>
      </c>
      <c r="B708" s="6" t="s">
        <v>93</v>
      </c>
      <c r="C708" s="6" t="s">
        <v>362</v>
      </c>
      <c r="D708" s="6" t="s">
        <v>94</v>
      </c>
      <c r="E708" s="11">
        <v>0.95335721969604492</v>
      </c>
      <c r="F708" s="11">
        <v>0.8054003119468689</v>
      </c>
    </row>
    <row r="709" spans="1:6" hidden="1" x14ac:dyDescent="0.3">
      <c r="A709" s="6">
        <v>6</v>
      </c>
      <c r="B709" s="6" t="s">
        <v>93</v>
      </c>
      <c r="C709" s="6" t="s">
        <v>363</v>
      </c>
      <c r="D709" s="6" t="s">
        <v>94</v>
      </c>
      <c r="E709" s="11">
        <v>1.1695189476013184</v>
      </c>
      <c r="F709" s="11">
        <v>0.8054003119468689</v>
      </c>
    </row>
    <row r="710" spans="1:6" hidden="1" x14ac:dyDescent="0.3">
      <c r="A710" s="6">
        <v>6</v>
      </c>
      <c r="B710" s="6" t="s">
        <v>93</v>
      </c>
      <c r="C710" s="6" t="s">
        <v>364</v>
      </c>
      <c r="D710" s="6" t="s">
        <v>94</v>
      </c>
      <c r="E710" s="11">
        <v>1.1708122491836548</v>
      </c>
      <c r="F710" s="11">
        <v>0.8054003119468689</v>
      </c>
    </row>
    <row r="711" spans="1:6" hidden="1" x14ac:dyDescent="0.3">
      <c r="A711" s="6">
        <v>6</v>
      </c>
      <c r="B711" s="6" t="s">
        <v>93</v>
      </c>
      <c r="C711" s="6" t="s">
        <v>365</v>
      </c>
      <c r="D711" s="6" t="s">
        <v>94</v>
      </c>
      <c r="E711" s="11">
        <v>1.1728500127792358</v>
      </c>
      <c r="F711" s="11">
        <v>0.8054003119468689</v>
      </c>
    </row>
    <row r="712" spans="1:6" hidden="1" x14ac:dyDescent="0.3">
      <c r="A712" s="6">
        <v>6</v>
      </c>
      <c r="B712" s="6" t="s">
        <v>93</v>
      </c>
      <c r="C712" s="6" t="s">
        <v>366</v>
      </c>
      <c r="D712" s="6" t="s">
        <v>94</v>
      </c>
      <c r="E712" s="11">
        <v>0.97924882173538208</v>
      </c>
      <c r="F712" s="11">
        <v>0.8054003119468689</v>
      </c>
    </row>
    <row r="713" spans="1:6" hidden="1" x14ac:dyDescent="0.3">
      <c r="A713" s="6">
        <v>6</v>
      </c>
      <c r="B713" s="6" t="s">
        <v>93</v>
      </c>
      <c r="C713" s="6" t="s">
        <v>367</v>
      </c>
      <c r="D713" s="6" t="s">
        <v>94</v>
      </c>
      <c r="E713" s="11">
        <v>1.0708972215652466</v>
      </c>
      <c r="F713" s="11">
        <v>0.8054003119468689</v>
      </c>
    </row>
    <row r="714" spans="1:6" hidden="1" x14ac:dyDescent="0.3">
      <c r="A714" s="6">
        <v>6</v>
      </c>
      <c r="B714" s="6" t="s">
        <v>93</v>
      </c>
      <c r="C714" s="6" t="s">
        <v>368</v>
      </c>
      <c r="D714" s="6" t="s">
        <v>94</v>
      </c>
      <c r="E714" s="11"/>
      <c r="F714" s="11">
        <v>0.8054003119468689</v>
      </c>
    </row>
    <row r="715" spans="1:6" hidden="1" x14ac:dyDescent="0.3">
      <c r="A715" s="6">
        <v>6</v>
      </c>
      <c r="B715" s="6" t="s">
        <v>93</v>
      </c>
      <c r="C715" s="6" t="s">
        <v>369</v>
      </c>
      <c r="D715" s="6" t="s">
        <v>94</v>
      </c>
      <c r="E715" s="11">
        <v>1.334668755531311</v>
      </c>
      <c r="F715" s="11">
        <v>0.8054003119468689</v>
      </c>
    </row>
    <row r="716" spans="1:6" hidden="1" x14ac:dyDescent="0.3">
      <c r="A716" s="6">
        <v>6</v>
      </c>
      <c r="B716" s="6" t="s">
        <v>93</v>
      </c>
      <c r="C716" s="6" t="s">
        <v>370</v>
      </c>
      <c r="D716" s="6" t="s">
        <v>94</v>
      </c>
      <c r="E716" s="11">
        <v>1.5065171718597412</v>
      </c>
      <c r="F716" s="11">
        <v>0.8054003119468689</v>
      </c>
    </row>
    <row r="717" spans="1:6" hidden="1" x14ac:dyDescent="0.3">
      <c r="A717" s="6">
        <v>6</v>
      </c>
      <c r="B717" s="6" t="s">
        <v>93</v>
      </c>
      <c r="C717" s="6" t="s">
        <v>371</v>
      </c>
      <c r="D717" s="6" t="s">
        <v>94</v>
      </c>
      <c r="E717" s="11">
        <v>0.72269654273986816</v>
      </c>
      <c r="F717" s="11">
        <v>0.8054003119468689</v>
      </c>
    </row>
    <row r="718" spans="1:6" hidden="1" x14ac:dyDescent="0.3">
      <c r="A718" s="6">
        <v>6</v>
      </c>
      <c r="B718" s="6" t="s">
        <v>93</v>
      </c>
      <c r="C718" s="6" t="s">
        <v>372</v>
      </c>
      <c r="D718" s="6" t="s">
        <v>94</v>
      </c>
      <c r="E718" s="11"/>
      <c r="F718" s="11">
        <v>0.8054003119468689</v>
      </c>
    </row>
    <row r="719" spans="1:6" hidden="1" x14ac:dyDescent="0.3">
      <c r="A719" s="6">
        <v>6</v>
      </c>
      <c r="B719" s="6" t="s">
        <v>93</v>
      </c>
      <c r="C719" s="6" t="s">
        <v>373</v>
      </c>
      <c r="D719" s="6" t="s">
        <v>94</v>
      </c>
      <c r="E719" s="11">
        <v>0.83944714069366455</v>
      </c>
      <c r="F719" s="11">
        <v>0.8054003119468689</v>
      </c>
    </row>
    <row r="720" spans="1:6" hidden="1" x14ac:dyDescent="0.3">
      <c r="A720" s="6">
        <v>6</v>
      </c>
      <c r="B720" s="6" t="s">
        <v>93</v>
      </c>
      <c r="C720" s="6" t="s">
        <v>374</v>
      </c>
      <c r="D720" s="6" t="s">
        <v>94</v>
      </c>
      <c r="E720" s="11">
        <v>0.83595430850982666</v>
      </c>
      <c r="F720" s="11">
        <v>0.8054003119468689</v>
      </c>
    </row>
    <row r="721" spans="1:6" hidden="1" x14ac:dyDescent="0.3">
      <c r="A721" s="6">
        <v>6</v>
      </c>
      <c r="B721" s="6" t="s">
        <v>93</v>
      </c>
      <c r="C721" s="6" t="s">
        <v>375</v>
      </c>
      <c r="D721" s="6" t="s">
        <v>94</v>
      </c>
      <c r="E721" s="11">
        <v>0.72694391012191772</v>
      </c>
      <c r="F721" s="11">
        <v>0.8054003119468689</v>
      </c>
    </row>
    <row r="722" spans="1:6" hidden="1" x14ac:dyDescent="0.3">
      <c r="A722" s="6">
        <v>6</v>
      </c>
      <c r="B722" s="6" t="s">
        <v>93</v>
      </c>
      <c r="C722" s="6" t="s">
        <v>376</v>
      </c>
      <c r="D722" s="6" t="s">
        <v>94</v>
      </c>
      <c r="E722" s="11">
        <v>1.0570636987686157</v>
      </c>
      <c r="F722" s="11">
        <v>0.8054003119468689</v>
      </c>
    </row>
    <row r="723" spans="1:6" hidden="1" x14ac:dyDescent="0.3">
      <c r="A723" s="6">
        <v>6</v>
      </c>
      <c r="B723" s="6" t="s">
        <v>93</v>
      </c>
      <c r="C723" s="6" t="s">
        <v>377</v>
      </c>
      <c r="D723" s="6" t="s">
        <v>94</v>
      </c>
      <c r="E723" s="11">
        <v>0.91438549757003784</v>
      </c>
      <c r="F723" s="11">
        <v>0.8054003119468689</v>
      </c>
    </row>
    <row r="724" spans="1:6" hidden="1" x14ac:dyDescent="0.3">
      <c r="A724" s="6">
        <v>6</v>
      </c>
      <c r="B724" s="6" t="s">
        <v>93</v>
      </c>
      <c r="C724" s="6" t="s">
        <v>378</v>
      </c>
      <c r="D724" s="6" t="s">
        <v>94</v>
      </c>
      <c r="E724" s="11">
        <v>1.3624759912490845</v>
      </c>
      <c r="F724" s="11">
        <v>0.8054003119468689</v>
      </c>
    </row>
    <row r="725" spans="1:6" hidden="1" x14ac:dyDescent="0.3">
      <c r="A725" s="6">
        <v>6</v>
      </c>
      <c r="B725" s="6" t="s">
        <v>93</v>
      </c>
      <c r="C725" s="6" t="s">
        <v>379</v>
      </c>
      <c r="D725" s="6" t="s">
        <v>94</v>
      </c>
      <c r="E725" s="11">
        <v>1.2353554964065552</v>
      </c>
      <c r="F725" s="11">
        <v>0.8054003119468689</v>
      </c>
    </row>
    <row r="726" spans="1:6" hidden="1" x14ac:dyDescent="0.3">
      <c r="A726" s="6">
        <v>6</v>
      </c>
      <c r="B726" s="6" t="s">
        <v>93</v>
      </c>
      <c r="C726" s="6" t="s">
        <v>380</v>
      </c>
      <c r="D726" s="6" t="s">
        <v>94</v>
      </c>
      <c r="E726" s="11">
        <v>0.6581457257270813</v>
      </c>
      <c r="F726" s="11">
        <v>0.8054003119468689</v>
      </c>
    </row>
    <row r="727" spans="1:6" hidden="1" x14ac:dyDescent="0.3">
      <c r="A727" s="6">
        <v>6</v>
      </c>
      <c r="B727" s="6" t="s">
        <v>93</v>
      </c>
      <c r="C727" s="6" t="s">
        <v>381</v>
      </c>
      <c r="D727" s="6" t="s">
        <v>94</v>
      </c>
      <c r="E727" s="11">
        <v>0.8811948299407959</v>
      </c>
      <c r="F727" s="11">
        <v>0.8054003119468689</v>
      </c>
    </row>
    <row r="728" spans="1:6" hidden="1" x14ac:dyDescent="0.3">
      <c r="A728" s="6">
        <v>6</v>
      </c>
      <c r="B728" s="6" t="s">
        <v>93</v>
      </c>
      <c r="C728" s="6" t="s">
        <v>382</v>
      </c>
      <c r="D728" s="6" t="s">
        <v>94</v>
      </c>
      <c r="E728" s="11">
        <v>1.5772308111190796</v>
      </c>
      <c r="F728" s="11">
        <v>0.8054003119468689</v>
      </c>
    </row>
    <row r="729" spans="1:6" hidden="1" x14ac:dyDescent="0.3">
      <c r="A729" s="6">
        <v>6</v>
      </c>
      <c r="B729" s="6" t="s">
        <v>93</v>
      </c>
      <c r="C729" s="6" t="s">
        <v>383</v>
      </c>
      <c r="D729" s="6" t="s">
        <v>94</v>
      </c>
      <c r="E729" s="11">
        <v>0.92236673831939697</v>
      </c>
      <c r="F729" s="11">
        <v>0.8054003119468689</v>
      </c>
    </row>
    <row r="730" spans="1:6" hidden="1" x14ac:dyDescent="0.3">
      <c r="A730" s="6">
        <v>6</v>
      </c>
      <c r="B730" s="6" t="s">
        <v>93</v>
      </c>
      <c r="C730" s="6" t="s">
        <v>384</v>
      </c>
      <c r="D730" s="6" t="s">
        <v>94</v>
      </c>
      <c r="E730" s="11">
        <v>1.0928964614868164</v>
      </c>
      <c r="F730" s="11">
        <v>0.8054003119468689</v>
      </c>
    </row>
    <row r="731" spans="1:6" hidden="1" x14ac:dyDescent="0.3">
      <c r="A731" s="6">
        <v>6</v>
      </c>
      <c r="B731" s="6" t="s">
        <v>93</v>
      </c>
      <c r="C731" s="6" t="s">
        <v>385</v>
      </c>
      <c r="D731" s="6" t="s">
        <v>94</v>
      </c>
      <c r="E731" s="11">
        <v>1.005562424659729</v>
      </c>
      <c r="F731" s="11">
        <v>0.8054003119468689</v>
      </c>
    </row>
    <row r="732" spans="1:6" hidden="1" x14ac:dyDescent="0.3">
      <c r="A732" s="6">
        <v>6</v>
      </c>
      <c r="B732" s="6" t="s">
        <v>93</v>
      </c>
      <c r="C732" s="6" t="s">
        <v>386</v>
      </c>
      <c r="D732" s="6" t="s">
        <v>94</v>
      </c>
      <c r="E732" s="11">
        <v>0.79905575513839722</v>
      </c>
      <c r="F732" s="11">
        <v>0.8054003119468689</v>
      </c>
    </row>
    <row r="733" spans="1:6" hidden="1" x14ac:dyDescent="0.3">
      <c r="A733" s="6">
        <v>6</v>
      </c>
      <c r="B733" s="6" t="s">
        <v>93</v>
      </c>
      <c r="C733" s="6" t="s">
        <v>387</v>
      </c>
      <c r="D733" s="6" t="s">
        <v>94</v>
      </c>
      <c r="E733" s="11">
        <v>1.1343179941177368</v>
      </c>
      <c r="F733" s="11">
        <v>0.8054003119468689</v>
      </c>
    </row>
    <row r="734" spans="1:6" hidden="1" x14ac:dyDescent="0.3">
      <c r="A734" s="6">
        <v>6</v>
      </c>
      <c r="B734" s="6" t="s">
        <v>93</v>
      </c>
      <c r="C734" s="6" t="s">
        <v>388</v>
      </c>
      <c r="D734" s="6" t="s">
        <v>94</v>
      </c>
      <c r="E734" s="11">
        <v>0.90562188625335693</v>
      </c>
      <c r="F734" s="11">
        <v>0.8054003119468689</v>
      </c>
    </row>
    <row r="735" spans="1:6" hidden="1" x14ac:dyDescent="0.3">
      <c r="A735" s="6">
        <v>6</v>
      </c>
      <c r="B735" s="6" t="s">
        <v>93</v>
      </c>
      <c r="C735" s="6" t="s">
        <v>389</v>
      </c>
      <c r="D735" s="6" t="s">
        <v>94</v>
      </c>
      <c r="E735" s="11">
        <v>0.94280529022216797</v>
      </c>
      <c r="F735" s="11">
        <v>0.8054003119468689</v>
      </c>
    </row>
    <row r="736" spans="1:6" hidden="1" x14ac:dyDescent="0.3">
      <c r="A736" s="6">
        <v>6</v>
      </c>
      <c r="B736" s="6" t="s">
        <v>93</v>
      </c>
      <c r="C736" s="6" t="s">
        <v>390</v>
      </c>
      <c r="D736" s="6" t="s">
        <v>94</v>
      </c>
      <c r="E736" s="11">
        <v>1.0152420997619629</v>
      </c>
      <c r="F736" s="11">
        <v>0.8054003119468689</v>
      </c>
    </row>
    <row r="737" spans="1:6" hidden="1" x14ac:dyDescent="0.3">
      <c r="A737" s="6">
        <v>6</v>
      </c>
      <c r="B737" s="6" t="s">
        <v>93</v>
      </c>
      <c r="C737" s="6" t="s">
        <v>391</v>
      </c>
      <c r="D737" s="6" t="s">
        <v>94</v>
      </c>
      <c r="E737" s="11">
        <v>1.2519881725311279</v>
      </c>
      <c r="F737" s="11">
        <v>0.8054003119468689</v>
      </c>
    </row>
    <row r="738" spans="1:6" hidden="1" x14ac:dyDescent="0.3">
      <c r="A738" s="6">
        <v>6</v>
      </c>
      <c r="B738" s="6" t="s">
        <v>93</v>
      </c>
      <c r="C738" s="6" t="s">
        <v>392</v>
      </c>
      <c r="D738" s="6" t="s">
        <v>94</v>
      </c>
      <c r="E738" s="11">
        <v>1.7927166223526001</v>
      </c>
      <c r="F738" s="11">
        <v>0.8054003119468689</v>
      </c>
    </row>
    <row r="739" spans="1:6" hidden="1" x14ac:dyDescent="0.3">
      <c r="A739" s="6">
        <v>6</v>
      </c>
      <c r="B739" s="6" t="s">
        <v>93</v>
      </c>
      <c r="C739" s="6" t="s">
        <v>393</v>
      </c>
      <c r="D739" s="6" t="s">
        <v>94</v>
      </c>
      <c r="E739" s="11">
        <v>1.265859842300415</v>
      </c>
      <c r="F739" s="11">
        <v>0.8054003119468689</v>
      </c>
    </row>
    <row r="740" spans="1:6" hidden="1" x14ac:dyDescent="0.3">
      <c r="A740" s="6">
        <v>6</v>
      </c>
      <c r="B740" s="6" t="s">
        <v>93</v>
      </c>
      <c r="C740" s="6" t="s">
        <v>394</v>
      </c>
      <c r="D740" s="6" t="s">
        <v>94</v>
      </c>
      <c r="E740" s="11">
        <v>1.1436880826950073</v>
      </c>
      <c r="F740" s="11">
        <v>0.8054003119468689</v>
      </c>
    </row>
    <row r="741" spans="1:6" hidden="1" x14ac:dyDescent="0.3">
      <c r="A741" s="6">
        <v>6</v>
      </c>
      <c r="B741" s="6" t="s">
        <v>93</v>
      </c>
      <c r="C741" s="6" t="s">
        <v>395</v>
      </c>
      <c r="D741" s="6" t="s">
        <v>94</v>
      </c>
      <c r="E741" s="11">
        <v>2.5834283828735352</v>
      </c>
      <c r="F741" s="11">
        <v>0.8054003119468689</v>
      </c>
    </row>
    <row r="742" spans="1:6" hidden="1" x14ac:dyDescent="0.3">
      <c r="A742" s="6">
        <v>6</v>
      </c>
      <c r="B742" s="6" t="s">
        <v>93</v>
      </c>
      <c r="C742" s="6" t="s">
        <v>396</v>
      </c>
      <c r="D742" s="6" t="s">
        <v>94</v>
      </c>
      <c r="E742" s="11">
        <v>1.6650925874710083</v>
      </c>
      <c r="F742" s="11">
        <v>0.8054003119468689</v>
      </c>
    </row>
    <row r="743" spans="1:6" hidden="1" x14ac:dyDescent="0.3">
      <c r="A743" s="6">
        <v>6</v>
      </c>
      <c r="B743" s="6" t="s">
        <v>93</v>
      </c>
      <c r="C743" s="6" t="s">
        <v>397</v>
      </c>
      <c r="D743" s="6" t="s">
        <v>94</v>
      </c>
      <c r="E743" s="11">
        <v>1.1582866907119751</v>
      </c>
      <c r="F743" s="11">
        <v>0.8054003119468689</v>
      </c>
    </row>
    <row r="744" spans="1:6" hidden="1" x14ac:dyDescent="0.3">
      <c r="A744" s="6">
        <v>6</v>
      </c>
      <c r="B744" s="6" t="s">
        <v>93</v>
      </c>
      <c r="C744" s="6" t="s">
        <v>398</v>
      </c>
      <c r="D744" s="6" t="s">
        <v>94</v>
      </c>
      <c r="E744" s="11">
        <v>1.1331837177276611</v>
      </c>
      <c r="F744" s="11">
        <v>0.8054003119468689</v>
      </c>
    </row>
    <row r="745" spans="1:6" hidden="1" x14ac:dyDescent="0.3">
      <c r="A745" s="6">
        <v>6</v>
      </c>
      <c r="B745" s="6" t="s">
        <v>93</v>
      </c>
      <c r="C745" s="6" t="s">
        <v>399</v>
      </c>
      <c r="D745" s="6" t="s">
        <v>94</v>
      </c>
      <c r="E745" s="11">
        <v>0.7817421555519104</v>
      </c>
      <c r="F745" s="11">
        <v>0.8054003119468689</v>
      </c>
    </row>
    <row r="746" spans="1:6" hidden="1" x14ac:dyDescent="0.3">
      <c r="A746" s="6">
        <v>6</v>
      </c>
      <c r="B746" s="6" t="s">
        <v>93</v>
      </c>
      <c r="C746" s="6" t="s">
        <v>400</v>
      </c>
      <c r="D746" s="6" t="s">
        <v>94</v>
      </c>
      <c r="E746" s="11">
        <v>1.0201573371887207</v>
      </c>
      <c r="F746" s="11">
        <v>0.8054003119468689</v>
      </c>
    </row>
    <row r="747" spans="1:6" hidden="1" x14ac:dyDescent="0.3">
      <c r="A747" s="6">
        <v>6</v>
      </c>
      <c r="B747" s="6" t="s">
        <v>93</v>
      </c>
      <c r="C747" s="6" t="s">
        <v>401</v>
      </c>
      <c r="D747" s="6" t="s">
        <v>94</v>
      </c>
      <c r="E747" s="11">
        <v>0.8825305700302124</v>
      </c>
      <c r="F747" s="11">
        <v>0.8054003119468689</v>
      </c>
    </row>
    <row r="748" spans="1:6" hidden="1" x14ac:dyDescent="0.3">
      <c r="A748" s="6">
        <v>6</v>
      </c>
      <c r="B748" s="6" t="s">
        <v>93</v>
      </c>
      <c r="C748" s="6" t="s">
        <v>402</v>
      </c>
      <c r="D748" s="6" t="s">
        <v>94</v>
      </c>
      <c r="E748" s="11">
        <v>0.90914398431777954</v>
      </c>
      <c r="F748" s="11">
        <v>0.8054003119468689</v>
      </c>
    </row>
    <row r="749" spans="1:6" hidden="1" x14ac:dyDescent="0.3">
      <c r="A749" s="6">
        <v>6</v>
      </c>
      <c r="B749" s="6" t="s">
        <v>93</v>
      </c>
      <c r="C749" s="6" t="s">
        <v>403</v>
      </c>
      <c r="D749" s="6" t="s">
        <v>94</v>
      </c>
      <c r="E749" s="11">
        <v>0.96188020706176758</v>
      </c>
      <c r="F749" s="11">
        <v>0.8054003119468689</v>
      </c>
    </row>
    <row r="750" spans="1:6" hidden="1" x14ac:dyDescent="0.3">
      <c r="A750" s="6">
        <v>6</v>
      </c>
      <c r="B750" s="6" t="s">
        <v>93</v>
      </c>
      <c r="C750" s="6" t="s">
        <v>404</v>
      </c>
      <c r="D750" s="6" t="s">
        <v>94</v>
      </c>
      <c r="E750" s="11">
        <v>0.79193747043609619</v>
      </c>
      <c r="F750" s="11">
        <v>0.8054003119468689</v>
      </c>
    </row>
    <row r="751" spans="1:6" hidden="1" x14ac:dyDescent="0.3">
      <c r="A751" s="6">
        <v>6</v>
      </c>
      <c r="B751" s="6" t="s">
        <v>93</v>
      </c>
      <c r="C751" s="6" t="s">
        <v>405</v>
      </c>
      <c r="D751" s="6" t="s">
        <v>94</v>
      </c>
      <c r="E751" s="11">
        <v>0.78412735462188721</v>
      </c>
      <c r="F751" s="11">
        <v>0.8054003119468689</v>
      </c>
    </row>
    <row r="752" spans="1:6" hidden="1" x14ac:dyDescent="0.3">
      <c r="A752" s="6">
        <v>6</v>
      </c>
      <c r="B752" s="6" t="s">
        <v>93</v>
      </c>
      <c r="C752" s="6" t="s">
        <v>406</v>
      </c>
      <c r="D752" s="6" t="s">
        <v>94</v>
      </c>
      <c r="E752" s="11">
        <v>0.75590300559997559</v>
      </c>
      <c r="F752" s="11">
        <v>0.8054003119468689</v>
      </c>
    </row>
    <row r="753" spans="1:6" hidden="1" x14ac:dyDescent="0.3">
      <c r="A753" s="6">
        <v>6</v>
      </c>
      <c r="B753" s="6" t="s">
        <v>93</v>
      </c>
      <c r="C753" s="6" t="s">
        <v>407</v>
      </c>
      <c r="D753" s="6" t="s">
        <v>94</v>
      </c>
      <c r="E753" s="11">
        <v>1.1614210605621338</v>
      </c>
      <c r="F753" s="11">
        <v>0.8054003119468689</v>
      </c>
    </row>
    <row r="754" spans="1:6" hidden="1" x14ac:dyDescent="0.3">
      <c r="A754" s="6">
        <v>6</v>
      </c>
      <c r="B754" s="6" t="s">
        <v>93</v>
      </c>
      <c r="C754" s="6" t="s">
        <v>408</v>
      </c>
      <c r="D754" s="6" t="s">
        <v>94</v>
      </c>
      <c r="E754" s="11">
        <v>1.440282940864563</v>
      </c>
      <c r="F754" s="11">
        <v>0.8054003119468689</v>
      </c>
    </row>
    <row r="755" spans="1:6" hidden="1" x14ac:dyDescent="0.3">
      <c r="A755" s="6">
        <v>6</v>
      </c>
      <c r="B755" s="6" t="s">
        <v>93</v>
      </c>
      <c r="C755" s="6" t="s">
        <v>409</v>
      </c>
      <c r="D755" s="6" t="s">
        <v>94</v>
      </c>
      <c r="E755" s="11">
        <v>0.83292269706726074</v>
      </c>
      <c r="F755" s="11">
        <v>0.8054003119468689</v>
      </c>
    </row>
    <row r="756" spans="1:6" hidden="1" x14ac:dyDescent="0.3">
      <c r="A756" s="6">
        <v>6</v>
      </c>
      <c r="B756" s="6" t="s">
        <v>93</v>
      </c>
      <c r="C756" s="6" t="s">
        <v>410</v>
      </c>
      <c r="D756" s="6" t="s">
        <v>94</v>
      </c>
      <c r="E756" s="11">
        <v>1.100256085395813</v>
      </c>
      <c r="F756" s="11">
        <v>0.8054003119468689</v>
      </c>
    </row>
    <row r="757" spans="1:6" hidden="1" x14ac:dyDescent="0.3">
      <c r="A757" s="6">
        <v>6</v>
      </c>
      <c r="B757" s="6" t="s">
        <v>93</v>
      </c>
      <c r="C757" s="6" t="s">
        <v>411</v>
      </c>
      <c r="D757" s="6" t="s">
        <v>94</v>
      </c>
      <c r="E757" s="11">
        <v>2.7206666469573975</v>
      </c>
      <c r="F757" s="11">
        <v>0.8054003119468689</v>
      </c>
    </row>
    <row r="758" spans="1:6" hidden="1" x14ac:dyDescent="0.3">
      <c r="A758" s="6">
        <v>6</v>
      </c>
      <c r="B758" s="6" t="s">
        <v>93</v>
      </c>
      <c r="C758" s="6" t="s">
        <v>412</v>
      </c>
      <c r="D758" s="6" t="s">
        <v>94</v>
      </c>
      <c r="E758" s="11">
        <v>0.86556392908096313</v>
      </c>
      <c r="F758" s="11">
        <v>0.8054003119468689</v>
      </c>
    </row>
    <row r="759" spans="1:6" hidden="1" x14ac:dyDescent="0.3">
      <c r="A759" s="6">
        <v>6</v>
      </c>
      <c r="B759" s="6" t="s">
        <v>93</v>
      </c>
      <c r="C759" s="6" t="s">
        <v>413</v>
      </c>
      <c r="D759" s="6" t="s">
        <v>94</v>
      </c>
      <c r="E759" s="11">
        <v>1.1735734939575195</v>
      </c>
      <c r="F759" s="11">
        <v>0.8054003119468689</v>
      </c>
    </row>
    <row r="760" spans="1:6" hidden="1" x14ac:dyDescent="0.3">
      <c r="A760" s="6">
        <v>6</v>
      </c>
      <c r="B760" s="6" t="s">
        <v>93</v>
      </c>
      <c r="C760" s="6" t="s">
        <v>414</v>
      </c>
      <c r="D760" s="6" t="s">
        <v>94</v>
      </c>
      <c r="E760" s="11">
        <v>1.2400383949279785</v>
      </c>
      <c r="F760" s="11">
        <v>0.8054003119468689</v>
      </c>
    </row>
    <row r="761" spans="1:6" hidden="1" x14ac:dyDescent="0.3">
      <c r="A761" s="6">
        <v>6</v>
      </c>
      <c r="B761" s="6" t="s">
        <v>93</v>
      </c>
      <c r="C761" s="6" t="s">
        <v>415</v>
      </c>
      <c r="D761" s="6" t="s">
        <v>94</v>
      </c>
      <c r="E761" s="11">
        <v>1.0272262096405029</v>
      </c>
      <c r="F761" s="11">
        <v>0.8054003119468689</v>
      </c>
    </row>
    <row r="762" spans="1:6" hidden="1" x14ac:dyDescent="0.3">
      <c r="A762" s="6">
        <v>6</v>
      </c>
      <c r="B762" s="6" t="s">
        <v>93</v>
      </c>
      <c r="C762" s="6" t="s">
        <v>416</v>
      </c>
      <c r="D762" s="6" t="s">
        <v>94</v>
      </c>
      <c r="E762" s="11">
        <v>0.8010636568069458</v>
      </c>
      <c r="F762" s="11">
        <v>0.8054003119468689</v>
      </c>
    </row>
    <row r="763" spans="1:6" hidden="1" x14ac:dyDescent="0.3">
      <c r="A763" s="6">
        <v>6</v>
      </c>
      <c r="B763" s="6" t="s">
        <v>93</v>
      </c>
      <c r="C763" s="6" t="s">
        <v>417</v>
      </c>
      <c r="D763" s="6" t="s">
        <v>94</v>
      </c>
      <c r="E763" s="11">
        <v>2.3632709980010986</v>
      </c>
      <c r="F763" s="11">
        <v>0.8054003119468689</v>
      </c>
    </row>
    <row r="764" spans="1:6" hidden="1" x14ac:dyDescent="0.3">
      <c r="A764" s="6">
        <v>6</v>
      </c>
      <c r="B764" s="6" t="s">
        <v>93</v>
      </c>
      <c r="C764" s="6" t="s">
        <v>418</v>
      </c>
      <c r="D764" s="6" t="s">
        <v>94</v>
      </c>
      <c r="E764" s="11"/>
      <c r="F764" s="11">
        <v>0.8054003119468689</v>
      </c>
    </row>
    <row r="765" spans="1:6" hidden="1" x14ac:dyDescent="0.3">
      <c r="A765" s="6">
        <v>6</v>
      </c>
      <c r="B765" s="6" t="s">
        <v>93</v>
      </c>
      <c r="C765" s="6" t="s">
        <v>419</v>
      </c>
      <c r="D765" s="6" t="s">
        <v>94</v>
      </c>
      <c r="E765" s="11">
        <v>0.88621068000793457</v>
      </c>
      <c r="F765" s="11">
        <v>0.8054003119468689</v>
      </c>
    </row>
    <row r="766" spans="1:6" hidden="1" x14ac:dyDescent="0.3">
      <c r="A766" s="6">
        <v>6</v>
      </c>
      <c r="B766" s="6" t="s">
        <v>93</v>
      </c>
      <c r="C766" s="6" t="s">
        <v>420</v>
      </c>
      <c r="D766" s="6" t="s">
        <v>94</v>
      </c>
      <c r="E766" s="11">
        <v>0.8228156566619873</v>
      </c>
      <c r="F766" s="11">
        <v>0.8054003119468689</v>
      </c>
    </row>
    <row r="767" spans="1:6" hidden="1" x14ac:dyDescent="0.3">
      <c r="A767" s="6">
        <v>6</v>
      </c>
      <c r="B767" s="6" t="s">
        <v>93</v>
      </c>
      <c r="C767" s="6" t="s">
        <v>421</v>
      </c>
      <c r="D767" s="6" t="s">
        <v>94</v>
      </c>
      <c r="E767" s="11">
        <v>0.94912213087081909</v>
      </c>
      <c r="F767" s="11">
        <v>0.8054003119468689</v>
      </c>
    </row>
    <row r="768" spans="1:6" hidden="1" x14ac:dyDescent="0.3">
      <c r="A768" s="6">
        <v>6</v>
      </c>
      <c r="B768" s="6" t="s">
        <v>93</v>
      </c>
      <c r="C768" s="6" t="s">
        <v>422</v>
      </c>
      <c r="D768" s="6" t="s">
        <v>94</v>
      </c>
      <c r="E768" s="11">
        <v>0.85359126329421997</v>
      </c>
      <c r="F768" s="11">
        <v>0.8054003119468689</v>
      </c>
    </row>
    <row r="769" spans="1:6" hidden="1" x14ac:dyDescent="0.3">
      <c r="A769" s="6">
        <v>6</v>
      </c>
      <c r="B769" s="6" t="s">
        <v>93</v>
      </c>
      <c r="C769" s="6" t="s">
        <v>423</v>
      </c>
      <c r="D769" s="6" t="s">
        <v>94</v>
      </c>
      <c r="E769" s="11">
        <v>0.93528187274932861</v>
      </c>
      <c r="F769" s="11">
        <v>0.8054003119468689</v>
      </c>
    </row>
    <row r="770" spans="1:6" hidden="1" x14ac:dyDescent="0.3">
      <c r="A770" s="6">
        <v>6</v>
      </c>
      <c r="B770" s="6" t="s">
        <v>93</v>
      </c>
      <c r="C770" s="6" t="s">
        <v>424</v>
      </c>
      <c r="D770" s="6" t="s">
        <v>94</v>
      </c>
      <c r="E770" s="11">
        <v>0.9793582558631897</v>
      </c>
      <c r="F770" s="11">
        <v>0.8054003119468689</v>
      </c>
    </row>
    <row r="771" spans="1:6" hidden="1" x14ac:dyDescent="0.3">
      <c r="A771" s="6">
        <v>6</v>
      </c>
      <c r="B771" s="6" t="s">
        <v>93</v>
      </c>
      <c r="C771" s="6" t="s">
        <v>425</v>
      </c>
      <c r="D771" s="6" t="s">
        <v>94</v>
      </c>
      <c r="E771" s="11">
        <v>1.102054238319397</v>
      </c>
      <c r="F771" s="11">
        <v>0.8054003119468689</v>
      </c>
    </row>
    <row r="772" spans="1:6" hidden="1" x14ac:dyDescent="0.3">
      <c r="A772" s="6">
        <v>6</v>
      </c>
      <c r="B772" s="6" t="s">
        <v>93</v>
      </c>
      <c r="C772" s="6" t="s">
        <v>426</v>
      </c>
      <c r="D772" s="6" t="s">
        <v>94</v>
      </c>
      <c r="E772" s="11">
        <v>0.78944236040115356</v>
      </c>
      <c r="F772" s="11">
        <v>0.8054003119468689</v>
      </c>
    </row>
    <row r="773" spans="1:6" hidden="1" x14ac:dyDescent="0.3">
      <c r="A773" s="6">
        <v>6</v>
      </c>
      <c r="B773" s="6" t="s">
        <v>93</v>
      </c>
      <c r="C773" s="6" t="s">
        <v>427</v>
      </c>
      <c r="D773" s="6" t="s">
        <v>94</v>
      </c>
      <c r="E773" s="11">
        <v>2.8248000144958496</v>
      </c>
      <c r="F773" s="11">
        <v>0.8054003119468689</v>
      </c>
    </row>
    <row r="774" spans="1:6" hidden="1" x14ac:dyDescent="0.3">
      <c r="A774" s="6">
        <v>6</v>
      </c>
      <c r="B774" s="6" t="s">
        <v>93</v>
      </c>
      <c r="C774" s="6" t="s">
        <v>428</v>
      </c>
      <c r="D774" s="6" t="s">
        <v>94</v>
      </c>
      <c r="E774" s="11"/>
      <c r="F774" s="11">
        <v>0.8054003119468689</v>
      </c>
    </row>
    <row r="775" spans="1:6" hidden="1" x14ac:dyDescent="0.3">
      <c r="A775" s="6">
        <v>6</v>
      </c>
      <c r="B775" s="6" t="s">
        <v>93</v>
      </c>
      <c r="C775" s="6" t="s">
        <v>429</v>
      </c>
      <c r="D775" s="6" t="s">
        <v>94</v>
      </c>
      <c r="E775" s="11">
        <v>0.93655705451965332</v>
      </c>
      <c r="F775" s="11">
        <v>0.8054003119468689</v>
      </c>
    </row>
    <row r="776" spans="1:6" hidden="1" x14ac:dyDescent="0.3">
      <c r="A776" s="6">
        <v>6</v>
      </c>
      <c r="B776" s="6" t="s">
        <v>93</v>
      </c>
      <c r="C776" s="6" t="s">
        <v>430</v>
      </c>
      <c r="D776" s="6" t="s">
        <v>94</v>
      </c>
      <c r="E776" s="11">
        <v>0.90330588817596436</v>
      </c>
      <c r="F776" s="11">
        <v>0.8054003119468689</v>
      </c>
    </row>
    <row r="777" spans="1:6" hidden="1" x14ac:dyDescent="0.3">
      <c r="A777" s="6">
        <v>6</v>
      </c>
      <c r="B777" s="6" t="s">
        <v>93</v>
      </c>
      <c r="C777" s="6" t="s">
        <v>431</v>
      </c>
      <c r="D777" s="6" t="s">
        <v>94</v>
      </c>
      <c r="E777" s="11">
        <v>1.3610894680023193</v>
      </c>
      <c r="F777" s="11">
        <v>0.8054003119468689</v>
      </c>
    </row>
    <row r="778" spans="1:6" hidden="1" x14ac:dyDescent="0.3">
      <c r="A778" s="6">
        <v>6</v>
      </c>
      <c r="B778" s="6" t="s">
        <v>93</v>
      </c>
      <c r="C778" s="6" t="s">
        <v>432</v>
      </c>
      <c r="D778" s="6" t="s">
        <v>94</v>
      </c>
      <c r="E778" s="11">
        <v>0.84033280611038208</v>
      </c>
      <c r="F778" s="11">
        <v>0.8054003119468689</v>
      </c>
    </row>
    <row r="779" spans="1:6" hidden="1" x14ac:dyDescent="0.3">
      <c r="A779" s="6">
        <v>6</v>
      </c>
      <c r="B779" s="6" t="s">
        <v>93</v>
      </c>
      <c r="C779" s="6" t="s">
        <v>433</v>
      </c>
      <c r="D779" s="6" t="s">
        <v>94</v>
      </c>
      <c r="E779" s="11">
        <v>2.5959999561309814</v>
      </c>
      <c r="F779" s="11">
        <v>0.8054003119468689</v>
      </c>
    </row>
    <row r="780" spans="1:6" hidden="1" x14ac:dyDescent="0.3">
      <c r="A780" s="6">
        <v>6</v>
      </c>
      <c r="B780" s="6" t="s">
        <v>93</v>
      </c>
      <c r="C780" s="6" t="s">
        <v>434</v>
      </c>
      <c r="D780" s="6" t="s">
        <v>94</v>
      </c>
      <c r="E780" s="11">
        <v>1.1157462596893311</v>
      </c>
      <c r="F780" s="11">
        <v>0.8054003119468689</v>
      </c>
    </row>
    <row r="781" spans="1:6" hidden="1" x14ac:dyDescent="0.3">
      <c r="A781" s="6">
        <v>6</v>
      </c>
      <c r="B781" s="6" t="s">
        <v>93</v>
      </c>
      <c r="C781" s="6" t="s">
        <v>435</v>
      </c>
      <c r="D781" s="6" t="s">
        <v>94</v>
      </c>
      <c r="E781" s="11">
        <v>0.85019212961196899</v>
      </c>
      <c r="F781" s="11">
        <v>0.8054003119468689</v>
      </c>
    </row>
    <row r="782" spans="1:6" hidden="1" x14ac:dyDescent="0.3">
      <c r="A782" s="6">
        <v>6</v>
      </c>
      <c r="B782" s="6" t="s">
        <v>93</v>
      </c>
      <c r="C782" s="6" t="s">
        <v>436</v>
      </c>
      <c r="D782" s="6" t="s">
        <v>94</v>
      </c>
      <c r="E782" s="11">
        <v>1.0072895288467407</v>
      </c>
      <c r="F782" s="11">
        <v>0.8054003119468689</v>
      </c>
    </row>
    <row r="783" spans="1:6" hidden="1" x14ac:dyDescent="0.3">
      <c r="A783" s="6">
        <v>6</v>
      </c>
      <c r="B783" s="6" t="s">
        <v>93</v>
      </c>
      <c r="C783" s="6" t="s">
        <v>437</v>
      </c>
      <c r="D783" s="6" t="s">
        <v>94</v>
      </c>
      <c r="E783" s="11">
        <v>0.65857422351837158</v>
      </c>
      <c r="F783" s="11">
        <v>0.8054003119468689</v>
      </c>
    </row>
    <row r="784" spans="1:6" hidden="1" x14ac:dyDescent="0.3">
      <c r="A784" s="6">
        <v>6</v>
      </c>
      <c r="B784" s="6" t="s">
        <v>93</v>
      </c>
      <c r="C784" s="6" t="s">
        <v>438</v>
      </c>
      <c r="D784" s="6" t="s">
        <v>94</v>
      </c>
      <c r="E784" s="11">
        <v>0.92804402112960815</v>
      </c>
      <c r="F784" s="11">
        <v>0.8054003119468689</v>
      </c>
    </row>
    <row r="785" spans="1:6" hidden="1" x14ac:dyDescent="0.3">
      <c r="A785" s="6">
        <v>6</v>
      </c>
      <c r="B785" s="6" t="s">
        <v>93</v>
      </c>
      <c r="C785" s="6" t="s">
        <v>439</v>
      </c>
      <c r="D785" s="6" t="s">
        <v>94</v>
      </c>
      <c r="E785" s="11">
        <v>3.7175803184509277</v>
      </c>
      <c r="F785" s="11">
        <v>0.8054003119468689</v>
      </c>
    </row>
    <row r="786" spans="1:6" hidden="1" x14ac:dyDescent="0.3">
      <c r="A786" s="6">
        <v>6</v>
      </c>
      <c r="B786" s="6" t="s">
        <v>93</v>
      </c>
      <c r="C786" s="6" t="s">
        <v>440</v>
      </c>
      <c r="D786" s="6" t="s">
        <v>94</v>
      </c>
      <c r="E786" s="11">
        <v>7.1280002593994141</v>
      </c>
      <c r="F786" s="11">
        <v>0.8054003119468689</v>
      </c>
    </row>
    <row r="787" spans="1:6" hidden="1" x14ac:dyDescent="0.3">
      <c r="A787" s="6">
        <v>6</v>
      </c>
      <c r="B787" s="6" t="s">
        <v>93</v>
      </c>
      <c r="C787" s="6" t="s">
        <v>441</v>
      </c>
      <c r="D787" s="6" t="s">
        <v>94</v>
      </c>
      <c r="E787" s="11">
        <v>0.82889604568481445</v>
      </c>
      <c r="F787" s="11">
        <v>0.8054003119468689</v>
      </c>
    </row>
    <row r="788" spans="1:6" hidden="1" x14ac:dyDescent="0.3">
      <c r="A788" s="6">
        <v>6</v>
      </c>
      <c r="B788" s="6" t="s">
        <v>93</v>
      </c>
      <c r="C788" s="6" t="s">
        <v>442</v>
      </c>
      <c r="D788" s="6" t="s">
        <v>94</v>
      </c>
      <c r="E788" s="11">
        <v>1.1432323455810547</v>
      </c>
      <c r="F788" s="11">
        <v>0.8054003119468689</v>
      </c>
    </row>
    <row r="789" spans="1:6" hidden="1" x14ac:dyDescent="0.3">
      <c r="A789" s="6">
        <v>6</v>
      </c>
      <c r="B789" s="6" t="s">
        <v>93</v>
      </c>
      <c r="C789" s="6" t="s">
        <v>443</v>
      </c>
      <c r="D789" s="6" t="s">
        <v>94</v>
      </c>
      <c r="E789" s="11">
        <v>1.0565301179885864</v>
      </c>
      <c r="F789" s="11">
        <v>0.8054003119468689</v>
      </c>
    </row>
    <row r="790" spans="1:6" hidden="1" x14ac:dyDescent="0.3">
      <c r="A790" s="6">
        <v>6</v>
      </c>
      <c r="B790" s="6" t="s">
        <v>93</v>
      </c>
      <c r="C790" s="6" t="s">
        <v>444</v>
      </c>
      <c r="D790" s="6" t="s">
        <v>94</v>
      </c>
      <c r="E790" s="11">
        <v>0.87018400430679321</v>
      </c>
      <c r="F790" s="11">
        <v>0.8054003119468689</v>
      </c>
    </row>
    <row r="791" spans="1:6" hidden="1" x14ac:dyDescent="0.3">
      <c r="A791" s="6">
        <v>6</v>
      </c>
      <c r="B791" s="6" t="s">
        <v>93</v>
      </c>
      <c r="C791" s="6" t="s">
        <v>445</v>
      </c>
      <c r="D791" s="6" t="s">
        <v>94</v>
      </c>
      <c r="E791" s="11">
        <v>1.1006215810775757</v>
      </c>
      <c r="F791" s="11">
        <v>0.8054003119468689</v>
      </c>
    </row>
    <row r="792" spans="1:6" hidden="1" x14ac:dyDescent="0.3">
      <c r="A792" s="6">
        <v>6</v>
      </c>
      <c r="B792" s="6" t="s">
        <v>93</v>
      </c>
      <c r="C792" s="6" t="s">
        <v>446</v>
      </c>
      <c r="D792" s="6" t="s">
        <v>94</v>
      </c>
      <c r="E792" s="11">
        <v>0.85275518894195557</v>
      </c>
      <c r="F792" s="11">
        <v>0.8054003119468689</v>
      </c>
    </row>
    <row r="793" spans="1:6" hidden="1" x14ac:dyDescent="0.3">
      <c r="A793" s="6">
        <v>6</v>
      </c>
      <c r="B793" s="6" t="s">
        <v>93</v>
      </c>
      <c r="C793" s="6" t="s">
        <v>447</v>
      </c>
      <c r="D793" s="6" t="s">
        <v>94</v>
      </c>
      <c r="E793" s="11">
        <v>1.0080938339233398</v>
      </c>
      <c r="F793" s="11">
        <v>0.8054003119468689</v>
      </c>
    </row>
    <row r="794" spans="1:6" hidden="1" x14ac:dyDescent="0.3">
      <c r="A794" s="6">
        <v>6</v>
      </c>
      <c r="B794" s="6" t="s">
        <v>93</v>
      </c>
      <c r="C794" s="6" t="s">
        <v>448</v>
      </c>
      <c r="D794" s="6" t="s">
        <v>94</v>
      </c>
      <c r="E794" s="11">
        <v>0.75268334150314331</v>
      </c>
      <c r="F794" s="11">
        <v>0.8054003119468689</v>
      </c>
    </row>
    <row r="795" spans="1:6" hidden="1" x14ac:dyDescent="0.3">
      <c r="A795" s="6">
        <v>6</v>
      </c>
      <c r="B795" s="6" t="s">
        <v>93</v>
      </c>
      <c r="C795" s="6" t="s">
        <v>449</v>
      </c>
      <c r="D795" s="6" t="s">
        <v>94</v>
      </c>
      <c r="E795" s="11"/>
      <c r="F795" s="11">
        <v>0.8054003119468689</v>
      </c>
    </row>
    <row r="796" spans="1:6" hidden="1" x14ac:dyDescent="0.3">
      <c r="A796" s="6">
        <v>6</v>
      </c>
      <c r="B796" s="6" t="s">
        <v>93</v>
      </c>
      <c r="C796" s="6" t="s">
        <v>450</v>
      </c>
      <c r="D796" s="6" t="s">
        <v>94</v>
      </c>
      <c r="E796" s="11">
        <v>1.3509119749069214</v>
      </c>
      <c r="F796" s="11">
        <v>0.8054003119468689</v>
      </c>
    </row>
    <row r="797" spans="1:6" hidden="1" x14ac:dyDescent="0.3">
      <c r="A797" s="6">
        <v>6</v>
      </c>
      <c r="B797" s="6" t="s">
        <v>93</v>
      </c>
      <c r="C797" s="6" t="s">
        <v>451</v>
      </c>
      <c r="D797" s="6" t="s">
        <v>94</v>
      </c>
      <c r="E797" s="11">
        <v>0.91184091567993164</v>
      </c>
      <c r="F797" s="11">
        <v>0.8054003119468689</v>
      </c>
    </row>
    <row r="798" spans="1:6" hidden="1" x14ac:dyDescent="0.3">
      <c r="A798" s="6">
        <v>6</v>
      </c>
      <c r="B798" s="6" t="s">
        <v>93</v>
      </c>
      <c r="C798" s="6" t="s">
        <v>452</v>
      </c>
      <c r="D798" s="6" t="s">
        <v>94</v>
      </c>
      <c r="E798" s="11">
        <v>1.1475049257278442</v>
      </c>
      <c r="F798" s="11">
        <v>0.8054003119468689</v>
      </c>
    </row>
    <row r="799" spans="1:6" hidden="1" x14ac:dyDescent="0.3">
      <c r="A799" s="6">
        <v>6</v>
      </c>
      <c r="B799" s="6" t="s">
        <v>93</v>
      </c>
      <c r="C799" s="6" t="s">
        <v>453</v>
      </c>
      <c r="D799" s="6" t="s">
        <v>94</v>
      </c>
      <c r="E799" s="11">
        <v>28.908000946044922</v>
      </c>
      <c r="F799" s="11">
        <v>0.8054003119468689</v>
      </c>
    </row>
    <row r="800" spans="1:6" hidden="1" x14ac:dyDescent="0.3">
      <c r="A800" s="6">
        <v>6</v>
      </c>
      <c r="B800" s="6" t="s">
        <v>93</v>
      </c>
      <c r="C800" s="6" t="s">
        <v>454</v>
      </c>
      <c r="D800" s="6" t="s">
        <v>94</v>
      </c>
      <c r="E800" s="11">
        <v>1.1363182067871094</v>
      </c>
      <c r="F800" s="11">
        <v>0.8054003119468689</v>
      </c>
    </row>
    <row r="801" spans="1:6" hidden="1" x14ac:dyDescent="0.3">
      <c r="A801" s="6">
        <v>6</v>
      </c>
      <c r="B801" s="6" t="s">
        <v>93</v>
      </c>
      <c r="C801" s="6" t="s">
        <v>455</v>
      </c>
      <c r="D801" s="6" t="s">
        <v>94</v>
      </c>
      <c r="E801" s="11">
        <v>0.87158268690109253</v>
      </c>
      <c r="F801" s="11">
        <v>0.8054003119468689</v>
      </c>
    </row>
    <row r="802" spans="1:6" hidden="1" x14ac:dyDescent="0.3">
      <c r="A802" s="6">
        <v>6</v>
      </c>
      <c r="B802" s="6" t="s">
        <v>93</v>
      </c>
      <c r="C802" s="6" t="s">
        <v>456</v>
      </c>
      <c r="D802" s="6" t="s">
        <v>94</v>
      </c>
      <c r="E802" s="11">
        <v>1.0155396461486816</v>
      </c>
      <c r="F802" s="11">
        <v>0.8054003119468689</v>
      </c>
    </row>
    <row r="803" spans="1:6" hidden="1" x14ac:dyDescent="0.3">
      <c r="A803" s="6">
        <v>6</v>
      </c>
      <c r="B803" s="6" t="s">
        <v>93</v>
      </c>
      <c r="C803" s="6" t="s">
        <v>457</v>
      </c>
      <c r="D803" s="6" t="s">
        <v>94</v>
      </c>
      <c r="E803" s="11">
        <v>1.0614051818847656</v>
      </c>
      <c r="F803" s="11">
        <v>0.8054003119468689</v>
      </c>
    </row>
    <row r="804" spans="1:6" hidden="1" x14ac:dyDescent="0.3">
      <c r="A804" s="6">
        <v>6</v>
      </c>
      <c r="B804" s="6" t="s">
        <v>93</v>
      </c>
      <c r="C804" s="6" t="s">
        <v>458</v>
      </c>
      <c r="D804" s="6" t="s">
        <v>94</v>
      </c>
      <c r="E804" s="11">
        <v>1.0553579330444336</v>
      </c>
      <c r="F804" s="11">
        <v>0.8054003119468689</v>
      </c>
    </row>
    <row r="805" spans="1:6" hidden="1" x14ac:dyDescent="0.3">
      <c r="A805" s="6">
        <v>6</v>
      </c>
      <c r="B805" s="6" t="s">
        <v>93</v>
      </c>
      <c r="C805" s="6" t="s">
        <v>459</v>
      </c>
      <c r="D805" s="6" t="s">
        <v>94</v>
      </c>
      <c r="E805" s="11">
        <v>1.4864819049835205</v>
      </c>
      <c r="F805" s="11">
        <v>0.8054003119468689</v>
      </c>
    </row>
    <row r="806" spans="1:6" hidden="1" x14ac:dyDescent="0.3">
      <c r="A806" s="6">
        <v>6</v>
      </c>
      <c r="B806" s="6" t="s">
        <v>93</v>
      </c>
      <c r="C806" s="6" t="s">
        <v>460</v>
      </c>
      <c r="D806" s="6" t="s">
        <v>94</v>
      </c>
      <c r="E806" s="11"/>
      <c r="F806" s="11">
        <v>0.8054003119468689</v>
      </c>
    </row>
    <row r="807" spans="1:6" hidden="1" x14ac:dyDescent="0.3">
      <c r="A807" s="6">
        <v>6</v>
      </c>
      <c r="B807" s="6" t="s">
        <v>93</v>
      </c>
      <c r="C807" s="6" t="s">
        <v>461</v>
      </c>
      <c r="D807" s="6" t="s">
        <v>94</v>
      </c>
      <c r="E807" s="11">
        <v>0.92590808868408203</v>
      </c>
      <c r="F807" s="11">
        <v>0.8054003119468689</v>
      </c>
    </row>
    <row r="808" spans="1:6" hidden="1" x14ac:dyDescent="0.3">
      <c r="A808" s="6">
        <v>6</v>
      </c>
      <c r="B808" s="6" t="s">
        <v>93</v>
      </c>
      <c r="C808" s="6" t="s">
        <v>462</v>
      </c>
      <c r="D808" s="6" t="s">
        <v>94</v>
      </c>
      <c r="E808" s="11">
        <v>0.72293013334274292</v>
      </c>
      <c r="F808" s="11">
        <v>0.8054003119468689</v>
      </c>
    </row>
    <row r="809" spans="1:6" hidden="1" x14ac:dyDescent="0.3">
      <c r="A809" s="6">
        <v>6</v>
      </c>
      <c r="B809" s="6" t="s">
        <v>93</v>
      </c>
      <c r="C809" s="6" t="s">
        <v>463</v>
      </c>
      <c r="D809" s="6" t="s">
        <v>94</v>
      </c>
      <c r="E809" s="11">
        <v>0.90695232152938843</v>
      </c>
      <c r="F809" s="11">
        <v>0.8054003119468689</v>
      </c>
    </row>
    <row r="810" spans="1:6" hidden="1" x14ac:dyDescent="0.3">
      <c r="A810" s="6">
        <v>6</v>
      </c>
      <c r="B810" s="6" t="s">
        <v>93</v>
      </c>
      <c r="C810" s="6" t="s">
        <v>464</v>
      </c>
      <c r="D810" s="6" t="s">
        <v>94</v>
      </c>
      <c r="E810" s="11">
        <v>1.0308005809783936</v>
      </c>
      <c r="F810" s="11">
        <v>0.8054003119468689</v>
      </c>
    </row>
    <row r="811" spans="1:6" hidden="1" x14ac:dyDescent="0.3">
      <c r="A811" s="6">
        <v>6</v>
      </c>
      <c r="B811" s="6" t="s">
        <v>93</v>
      </c>
      <c r="C811" s="6" t="s">
        <v>465</v>
      </c>
      <c r="D811" s="6" t="s">
        <v>94</v>
      </c>
      <c r="E811" s="11">
        <v>1.0773706436157227</v>
      </c>
      <c r="F811" s="11">
        <v>0.8054003119468689</v>
      </c>
    </row>
    <row r="812" spans="1:6" hidden="1" x14ac:dyDescent="0.3">
      <c r="A812" s="6">
        <v>6</v>
      </c>
      <c r="B812" s="6" t="s">
        <v>93</v>
      </c>
      <c r="C812" s="6" t="s">
        <v>466</v>
      </c>
      <c r="D812" s="6" t="s">
        <v>94</v>
      </c>
      <c r="E812" s="11">
        <v>0.97981029748916626</v>
      </c>
      <c r="F812" s="11">
        <v>0.8054003119468689</v>
      </c>
    </row>
    <row r="813" spans="1:6" hidden="1" x14ac:dyDescent="0.3">
      <c r="A813" s="6">
        <v>6</v>
      </c>
      <c r="B813" s="6" t="s">
        <v>93</v>
      </c>
      <c r="C813" s="6" t="s">
        <v>467</v>
      </c>
      <c r="D813" s="6" t="s">
        <v>94</v>
      </c>
      <c r="E813" s="11">
        <v>1.124003529548645</v>
      </c>
      <c r="F813" s="11">
        <v>0.8054003119468689</v>
      </c>
    </row>
    <row r="814" spans="1:6" hidden="1" x14ac:dyDescent="0.3">
      <c r="A814" s="6">
        <v>6</v>
      </c>
      <c r="B814" s="6" t="s">
        <v>93</v>
      </c>
      <c r="C814" s="6" t="s">
        <v>468</v>
      </c>
      <c r="D814" s="6" t="s">
        <v>94</v>
      </c>
      <c r="E814" s="11">
        <v>1.4275739192962646</v>
      </c>
      <c r="F814" s="11">
        <v>0.8054003119468689</v>
      </c>
    </row>
    <row r="815" spans="1:6" hidden="1" x14ac:dyDescent="0.3">
      <c r="A815" s="6">
        <v>6</v>
      </c>
      <c r="B815" s="6" t="s">
        <v>93</v>
      </c>
      <c r="C815" s="6" t="s">
        <v>469</v>
      </c>
      <c r="D815" s="6" t="s">
        <v>94</v>
      </c>
      <c r="E815" s="11">
        <v>1.1840584278106689</v>
      </c>
      <c r="F815" s="11">
        <v>0.8054003119468689</v>
      </c>
    </row>
    <row r="816" spans="1:6" hidden="1" x14ac:dyDescent="0.3">
      <c r="A816" s="6">
        <v>6</v>
      </c>
      <c r="B816" s="6" t="s">
        <v>93</v>
      </c>
      <c r="C816" s="6" t="s">
        <v>470</v>
      </c>
      <c r="D816" s="6" t="s">
        <v>94</v>
      </c>
      <c r="E816" s="11">
        <v>0.65889960527420044</v>
      </c>
      <c r="F816" s="11">
        <v>0.8054003119468689</v>
      </c>
    </row>
    <row r="817" spans="1:6" hidden="1" x14ac:dyDescent="0.3">
      <c r="A817" s="6">
        <v>6</v>
      </c>
      <c r="B817" s="6" t="s">
        <v>93</v>
      </c>
      <c r="C817" s="6" t="s">
        <v>471</v>
      </c>
      <c r="D817" s="6" t="s">
        <v>94</v>
      </c>
      <c r="E817" s="11">
        <v>0.88480722904205322</v>
      </c>
      <c r="F817" s="11">
        <v>0.8054003119468689</v>
      </c>
    </row>
    <row r="818" spans="1:6" hidden="1" x14ac:dyDescent="0.3">
      <c r="A818" s="6">
        <v>6</v>
      </c>
      <c r="B818" s="6" t="s">
        <v>93</v>
      </c>
      <c r="C818" s="6" t="s">
        <v>472</v>
      </c>
      <c r="D818" s="6" t="s">
        <v>94</v>
      </c>
      <c r="E818" s="11">
        <v>0.78670018911361694</v>
      </c>
      <c r="F818" s="11">
        <v>0.8054003119468689</v>
      </c>
    </row>
    <row r="819" spans="1:6" hidden="1" x14ac:dyDescent="0.3">
      <c r="A819" s="6">
        <v>6</v>
      </c>
      <c r="B819" s="6" t="s">
        <v>93</v>
      </c>
      <c r="C819" s="6" t="s">
        <v>473</v>
      </c>
      <c r="D819" s="6" t="s">
        <v>94</v>
      </c>
      <c r="E819" s="11">
        <v>1.5422941446304321</v>
      </c>
      <c r="F819" s="11">
        <v>0.8054003119468689</v>
      </c>
    </row>
    <row r="820" spans="1:6" hidden="1" x14ac:dyDescent="0.3">
      <c r="A820" s="6">
        <v>6</v>
      </c>
      <c r="B820" s="6" t="s">
        <v>93</v>
      </c>
      <c r="C820" s="6" t="s">
        <v>474</v>
      </c>
      <c r="D820" s="6" t="s">
        <v>94</v>
      </c>
      <c r="E820" s="11">
        <v>1.2351803779602051</v>
      </c>
      <c r="F820" s="11">
        <v>0.8054003119468689</v>
      </c>
    </row>
    <row r="821" spans="1:6" hidden="1" x14ac:dyDescent="0.3">
      <c r="A821" s="6">
        <v>6</v>
      </c>
      <c r="B821" s="6" t="s">
        <v>93</v>
      </c>
      <c r="C821" s="6" t="s">
        <v>475</v>
      </c>
      <c r="D821" s="6" t="s">
        <v>94</v>
      </c>
      <c r="E821" s="11">
        <v>0.8750881552696228</v>
      </c>
      <c r="F821" s="11">
        <v>0.8054003119468689</v>
      </c>
    </row>
    <row r="822" spans="1:6" hidden="1" x14ac:dyDescent="0.3">
      <c r="A822" s="6">
        <v>6</v>
      </c>
      <c r="B822" s="6" t="s">
        <v>93</v>
      </c>
      <c r="C822" s="6" t="s">
        <v>476</v>
      </c>
      <c r="D822" s="6" t="s">
        <v>94</v>
      </c>
      <c r="E822" s="11">
        <v>1.1020574569702148</v>
      </c>
      <c r="F822" s="11">
        <v>0.8054003119468689</v>
      </c>
    </row>
    <row r="823" spans="1:6" hidden="1" x14ac:dyDescent="0.3">
      <c r="A823" s="6">
        <v>6</v>
      </c>
      <c r="B823" s="6" t="s">
        <v>93</v>
      </c>
      <c r="C823" s="6" t="s">
        <v>477</v>
      </c>
      <c r="D823" s="6" t="s">
        <v>94</v>
      </c>
      <c r="E823" s="11">
        <v>0.86349678039550781</v>
      </c>
      <c r="F823" s="11">
        <v>0.8054003119468689</v>
      </c>
    </row>
    <row r="824" spans="1:6" hidden="1" x14ac:dyDescent="0.3">
      <c r="A824" s="6">
        <v>6</v>
      </c>
      <c r="B824" s="6" t="s">
        <v>93</v>
      </c>
      <c r="C824" s="6" t="s">
        <v>478</v>
      </c>
      <c r="D824" s="6" t="s">
        <v>94</v>
      </c>
      <c r="E824" s="11">
        <v>1.008686900138855</v>
      </c>
      <c r="F824" s="11">
        <v>0.8054003119468689</v>
      </c>
    </row>
    <row r="825" spans="1:6" hidden="1" x14ac:dyDescent="0.3">
      <c r="A825" s="6">
        <v>6</v>
      </c>
      <c r="B825" s="6" t="s">
        <v>93</v>
      </c>
      <c r="C825" s="6" t="s">
        <v>479</v>
      </c>
      <c r="D825" s="6" t="s">
        <v>94</v>
      </c>
      <c r="E825" s="11">
        <v>1.4094448089599609</v>
      </c>
      <c r="F825" s="11">
        <v>0.8054003119468689</v>
      </c>
    </row>
    <row r="826" spans="1:6" hidden="1" x14ac:dyDescent="0.3">
      <c r="A826" s="6">
        <v>6</v>
      </c>
      <c r="B826" s="6" t="s">
        <v>93</v>
      </c>
      <c r="C826" s="6" t="s">
        <v>480</v>
      </c>
      <c r="D826" s="6" t="s">
        <v>94</v>
      </c>
      <c r="E826" s="11">
        <v>1.8200957775115967</v>
      </c>
      <c r="F826" s="11">
        <v>0.8054003119468689</v>
      </c>
    </row>
    <row r="827" spans="1:6" hidden="1" x14ac:dyDescent="0.3">
      <c r="A827" s="6">
        <v>6</v>
      </c>
      <c r="B827" s="6" t="s">
        <v>93</v>
      </c>
      <c r="C827" s="6" t="s">
        <v>481</v>
      </c>
      <c r="D827" s="6" t="s">
        <v>94</v>
      </c>
      <c r="E827" s="11">
        <v>0.84978896379470825</v>
      </c>
      <c r="F827" s="11">
        <v>0.8054003119468689</v>
      </c>
    </row>
    <row r="828" spans="1:6" hidden="1" x14ac:dyDescent="0.3">
      <c r="A828" s="6">
        <v>6</v>
      </c>
      <c r="B828" s="6" t="s">
        <v>93</v>
      </c>
      <c r="C828" s="6" t="s">
        <v>482</v>
      </c>
      <c r="D828" s="6" t="s">
        <v>94</v>
      </c>
      <c r="E828" s="11">
        <v>0.95251733064651489</v>
      </c>
      <c r="F828" s="11">
        <v>0.8054003119468689</v>
      </c>
    </row>
    <row r="829" spans="1:6" hidden="1" x14ac:dyDescent="0.3">
      <c r="A829" s="6">
        <v>6</v>
      </c>
      <c r="B829" s="6" t="s">
        <v>93</v>
      </c>
      <c r="C829" s="6" t="s">
        <v>483</v>
      </c>
      <c r="D829" s="6" t="s">
        <v>94</v>
      </c>
      <c r="E829" s="11">
        <v>0.92623180150985718</v>
      </c>
      <c r="F829" s="11">
        <v>0.8054003119468689</v>
      </c>
    </row>
    <row r="830" spans="1:6" hidden="1" x14ac:dyDescent="0.3">
      <c r="A830" s="6">
        <v>6</v>
      </c>
      <c r="B830" s="6" t="s">
        <v>93</v>
      </c>
      <c r="C830" s="6" t="s">
        <v>484</v>
      </c>
      <c r="D830" s="6" t="s">
        <v>94</v>
      </c>
      <c r="E830" s="11">
        <v>1.2030823230743408</v>
      </c>
      <c r="F830" s="11">
        <v>0.8054003119468689</v>
      </c>
    </row>
    <row r="831" spans="1:6" hidden="1" x14ac:dyDescent="0.3">
      <c r="A831" s="6">
        <v>6</v>
      </c>
      <c r="B831" s="6" t="s">
        <v>93</v>
      </c>
      <c r="C831" s="6" t="s">
        <v>485</v>
      </c>
      <c r="D831" s="6" t="s">
        <v>94</v>
      </c>
      <c r="E831" s="11">
        <v>0.7595248818397522</v>
      </c>
      <c r="F831" s="11">
        <v>0.8054003119468689</v>
      </c>
    </row>
    <row r="832" spans="1:6" hidden="1" x14ac:dyDescent="0.3">
      <c r="A832" s="6">
        <v>6</v>
      </c>
      <c r="B832" s="6" t="s">
        <v>93</v>
      </c>
      <c r="C832" s="6" t="s">
        <v>486</v>
      </c>
      <c r="D832" s="6" t="s">
        <v>94</v>
      </c>
      <c r="E832" s="11">
        <v>0.78759503364562988</v>
      </c>
      <c r="F832" s="11">
        <v>0.8054003119468689</v>
      </c>
    </row>
    <row r="833" spans="1:6" hidden="1" x14ac:dyDescent="0.3">
      <c r="A833" s="6">
        <v>6</v>
      </c>
      <c r="B833" s="6" t="s">
        <v>93</v>
      </c>
      <c r="C833" s="6" t="s">
        <v>487</v>
      </c>
      <c r="D833" s="6" t="s">
        <v>94</v>
      </c>
      <c r="E833" s="11">
        <v>0.88210922479629517</v>
      </c>
      <c r="F833" s="11">
        <v>0.8054003119468689</v>
      </c>
    </row>
    <row r="834" spans="1:6" hidden="1" x14ac:dyDescent="0.3">
      <c r="A834" s="6">
        <v>6</v>
      </c>
      <c r="B834" s="6" t="s">
        <v>93</v>
      </c>
      <c r="C834" s="6" t="s">
        <v>488</v>
      </c>
      <c r="D834" s="6" t="s">
        <v>94</v>
      </c>
      <c r="E834" s="11">
        <v>0.78583389520645142</v>
      </c>
      <c r="F834" s="11">
        <v>0.8054003119468689</v>
      </c>
    </row>
    <row r="835" spans="1:6" hidden="1" x14ac:dyDescent="0.3">
      <c r="A835" s="6">
        <v>6</v>
      </c>
      <c r="B835" s="6" t="s">
        <v>93</v>
      </c>
      <c r="C835" s="6" t="s">
        <v>489</v>
      </c>
      <c r="D835" s="6" t="s">
        <v>94</v>
      </c>
      <c r="E835" s="11">
        <v>1.0470873117446899</v>
      </c>
      <c r="F835" s="11">
        <v>0.8054003119468689</v>
      </c>
    </row>
    <row r="836" spans="1:6" hidden="1" x14ac:dyDescent="0.3">
      <c r="A836" s="6">
        <v>6</v>
      </c>
      <c r="B836" s="6" t="s">
        <v>93</v>
      </c>
      <c r="C836" s="6" t="s">
        <v>490</v>
      </c>
      <c r="D836" s="6" t="s">
        <v>94</v>
      </c>
      <c r="E836" s="11">
        <v>0.81715768575668335</v>
      </c>
      <c r="F836" s="11">
        <v>0.8054003119468689</v>
      </c>
    </row>
    <row r="837" spans="1:6" hidden="1" x14ac:dyDescent="0.3">
      <c r="A837" s="6">
        <v>6</v>
      </c>
      <c r="B837" s="6" t="s">
        <v>93</v>
      </c>
      <c r="C837" s="6" t="s">
        <v>491</v>
      </c>
      <c r="D837" s="6" t="s">
        <v>94</v>
      </c>
      <c r="E837" s="11">
        <v>1.3026617765426636</v>
      </c>
      <c r="F837" s="11">
        <v>0.8054003119468689</v>
      </c>
    </row>
    <row r="838" spans="1:6" hidden="1" x14ac:dyDescent="0.3">
      <c r="A838" s="6">
        <v>6</v>
      </c>
      <c r="B838" s="6" t="s">
        <v>93</v>
      </c>
      <c r="C838" s="6" t="s">
        <v>492</v>
      </c>
      <c r="D838" s="6" t="s">
        <v>94</v>
      </c>
      <c r="E838" s="11">
        <v>0.97832530736923218</v>
      </c>
      <c r="F838" s="11">
        <v>0.8054003119468689</v>
      </c>
    </row>
    <row r="839" spans="1:6" hidden="1" x14ac:dyDescent="0.3">
      <c r="A839" s="6">
        <v>6</v>
      </c>
      <c r="B839" s="6" t="s">
        <v>93</v>
      </c>
      <c r="C839" s="6" t="s">
        <v>493</v>
      </c>
      <c r="D839" s="6" t="s">
        <v>94</v>
      </c>
      <c r="E839" s="11">
        <v>1.0573853254318237</v>
      </c>
      <c r="F839" s="11">
        <v>0.8054003119468689</v>
      </c>
    </row>
    <row r="840" spans="1:6" hidden="1" x14ac:dyDescent="0.3">
      <c r="A840" s="6">
        <v>6</v>
      </c>
      <c r="B840" s="6" t="s">
        <v>93</v>
      </c>
      <c r="C840" s="6" t="s">
        <v>494</v>
      </c>
      <c r="D840" s="6" t="s">
        <v>94</v>
      </c>
      <c r="E840" s="11">
        <v>1.5015006065368652</v>
      </c>
      <c r="F840" s="11">
        <v>0.8054003119468689</v>
      </c>
    </row>
    <row r="841" spans="1:6" hidden="1" x14ac:dyDescent="0.3">
      <c r="A841" s="6">
        <v>6</v>
      </c>
      <c r="B841" s="6" t="s">
        <v>93</v>
      </c>
      <c r="C841" s="6" t="s">
        <v>495</v>
      </c>
      <c r="D841" s="6" t="s">
        <v>94</v>
      </c>
      <c r="E841" s="11">
        <v>1.1735062599182129</v>
      </c>
      <c r="F841" s="11">
        <v>0.8054003119468689</v>
      </c>
    </row>
    <row r="842" spans="1:6" hidden="1" x14ac:dyDescent="0.3">
      <c r="A842" s="6">
        <v>7</v>
      </c>
      <c r="B842" s="6" t="s">
        <v>95</v>
      </c>
      <c r="C842" s="6" t="s">
        <v>356</v>
      </c>
      <c r="D842" s="6" t="s">
        <v>96</v>
      </c>
      <c r="E842" s="11"/>
      <c r="F842" s="11">
        <v>0.92606991529464722</v>
      </c>
    </row>
    <row r="843" spans="1:6" hidden="1" x14ac:dyDescent="0.3">
      <c r="A843" s="6">
        <v>7</v>
      </c>
      <c r="B843" s="6" t="s">
        <v>95</v>
      </c>
      <c r="C843" s="6" t="s">
        <v>357</v>
      </c>
      <c r="D843" s="6" t="s">
        <v>96</v>
      </c>
      <c r="E843" s="11">
        <v>39.291091918945313</v>
      </c>
      <c r="F843" s="11">
        <v>0.92606991529464722</v>
      </c>
    </row>
    <row r="844" spans="1:6" hidden="1" x14ac:dyDescent="0.3">
      <c r="A844" s="6">
        <v>7</v>
      </c>
      <c r="B844" s="6" t="s">
        <v>95</v>
      </c>
      <c r="C844" s="6" t="s">
        <v>358</v>
      </c>
      <c r="D844" s="6" t="s">
        <v>96</v>
      </c>
      <c r="E844" s="11">
        <v>1.0967171192169189</v>
      </c>
      <c r="F844" s="11">
        <v>0.92606991529464722</v>
      </c>
    </row>
    <row r="845" spans="1:6" hidden="1" x14ac:dyDescent="0.3">
      <c r="A845" s="6">
        <v>7</v>
      </c>
      <c r="B845" s="6" t="s">
        <v>95</v>
      </c>
      <c r="C845" s="6" t="s">
        <v>359</v>
      </c>
      <c r="D845" s="6" t="s">
        <v>96</v>
      </c>
      <c r="E845" s="11">
        <v>1.2708824872970581</v>
      </c>
      <c r="F845" s="11">
        <v>0.92606991529464722</v>
      </c>
    </row>
    <row r="846" spans="1:6" hidden="1" x14ac:dyDescent="0.3">
      <c r="A846" s="6">
        <v>7</v>
      </c>
      <c r="B846" s="6" t="s">
        <v>95</v>
      </c>
      <c r="C846" s="6" t="s">
        <v>360</v>
      </c>
      <c r="D846" s="6" t="s">
        <v>96</v>
      </c>
      <c r="E846" s="11">
        <v>2.0664510726928711</v>
      </c>
      <c r="F846" s="11">
        <v>0.92606991529464722</v>
      </c>
    </row>
    <row r="847" spans="1:6" hidden="1" x14ac:dyDescent="0.3">
      <c r="A847" s="6">
        <v>7</v>
      </c>
      <c r="B847" s="6" t="s">
        <v>95</v>
      </c>
      <c r="C847" s="6" t="s">
        <v>361</v>
      </c>
      <c r="D847" s="6" t="s">
        <v>96</v>
      </c>
      <c r="E847" s="11">
        <v>0.96247291564941406</v>
      </c>
      <c r="F847" s="11">
        <v>0.92606991529464722</v>
      </c>
    </row>
    <row r="848" spans="1:6" hidden="1" x14ac:dyDescent="0.3">
      <c r="A848" s="6">
        <v>7</v>
      </c>
      <c r="B848" s="6" t="s">
        <v>95</v>
      </c>
      <c r="C848" s="6" t="s">
        <v>362</v>
      </c>
      <c r="D848" s="6" t="s">
        <v>96</v>
      </c>
      <c r="E848" s="11">
        <v>0.94686597585678101</v>
      </c>
      <c r="F848" s="11">
        <v>0.92606991529464722</v>
      </c>
    </row>
    <row r="849" spans="1:6" hidden="1" x14ac:dyDescent="0.3">
      <c r="A849" s="6">
        <v>7</v>
      </c>
      <c r="B849" s="6" t="s">
        <v>95</v>
      </c>
      <c r="C849" s="6" t="s">
        <v>363</v>
      </c>
      <c r="D849" s="6" t="s">
        <v>96</v>
      </c>
      <c r="E849" s="11">
        <v>0.95293760299682617</v>
      </c>
      <c r="F849" s="11">
        <v>0.92606991529464722</v>
      </c>
    </row>
    <row r="850" spans="1:6" hidden="1" x14ac:dyDescent="0.3">
      <c r="A850" s="6">
        <v>7</v>
      </c>
      <c r="B850" s="6" t="s">
        <v>95</v>
      </c>
      <c r="C850" s="6" t="s">
        <v>364</v>
      </c>
      <c r="D850" s="6" t="s">
        <v>96</v>
      </c>
      <c r="E850" s="11">
        <v>1.2004727125167847</v>
      </c>
      <c r="F850" s="11">
        <v>0.92606991529464722</v>
      </c>
    </row>
    <row r="851" spans="1:6" hidden="1" x14ac:dyDescent="0.3">
      <c r="A851" s="6">
        <v>7</v>
      </c>
      <c r="B851" s="6" t="s">
        <v>95</v>
      </c>
      <c r="C851" s="6" t="s">
        <v>365</v>
      </c>
      <c r="D851" s="6" t="s">
        <v>96</v>
      </c>
      <c r="E851" s="11">
        <v>1.2705460786819458</v>
      </c>
      <c r="F851" s="11">
        <v>0.92606991529464722</v>
      </c>
    </row>
    <row r="852" spans="1:6" hidden="1" x14ac:dyDescent="0.3">
      <c r="A852" s="6">
        <v>7</v>
      </c>
      <c r="B852" s="6" t="s">
        <v>95</v>
      </c>
      <c r="C852" s="6" t="s">
        <v>366</v>
      </c>
      <c r="D852" s="6" t="s">
        <v>96</v>
      </c>
      <c r="E852" s="11">
        <v>1.0677188634872437</v>
      </c>
      <c r="F852" s="11">
        <v>0.92606991529464722</v>
      </c>
    </row>
    <row r="853" spans="1:6" hidden="1" x14ac:dyDescent="0.3">
      <c r="A853" s="6">
        <v>7</v>
      </c>
      <c r="B853" s="6" t="s">
        <v>95</v>
      </c>
      <c r="C853" s="6" t="s">
        <v>367</v>
      </c>
      <c r="D853" s="6" t="s">
        <v>96</v>
      </c>
      <c r="E853" s="11">
        <v>0.754508376121521</v>
      </c>
      <c r="F853" s="11">
        <v>0.92606991529464722</v>
      </c>
    </row>
    <row r="854" spans="1:6" hidden="1" x14ac:dyDescent="0.3">
      <c r="A854" s="6">
        <v>7</v>
      </c>
      <c r="B854" s="6" t="s">
        <v>95</v>
      </c>
      <c r="C854" s="6" t="s">
        <v>368</v>
      </c>
      <c r="D854" s="6" t="s">
        <v>96</v>
      </c>
      <c r="E854" s="11"/>
      <c r="F854" s="11">
        <v>0.92606991529464722</v>
      </c>
    </row>
    <row r="855" spans="1:6" hidden="1" x14ac:dyDescent="0.3">
      <c r="A855" s="6">
        <v>7</v>
      </c>
      <c r="B855" s="6" t="s">
        <v>95</v>
      </c>
      <c r="C855" s="6" t="s">
        <v>369</v>
      </c>
      <c r="D855" s="6" t="s">
        <v>96</v>
      </c>
      <c r="E855" s="11">
        <v>1.7187623977661133</v>
      </c>
      <c r="F855" s="11">
        <v>0.92606991529464722</v>
      </c>
    </row>
    <row r="856" spans="1:6" hidden="1" x14ac:dyDescent="0.3">
      <c r="A856" s="6">
        <v>7</v>
      </c>
      <c r="B856" s="6" t="s">
        <v>95</v>
      </c>
      <c r="C856" s="6" t="s">
        <v>370</v>
      </c>
      <c r="D856" s="6" t="s">
        <v>96</v>
      </c>
      <c r="E856" s="11">
        <v>1.3542437553405762</v>
      </c>
      <c r="F856" s="11">
        <v>0.92606991529464722</v>
      </c>
    </row>
    <row r="857" spans="1:6" hidden="1" x14ac:dyDescent="0.3">
      <c r="A857" s="6">
        <v>7</v>
      </c>
      <c r="B857" s="6" t="s">
        <v>95</v>
      </c>
      <c r="C857" s="6" t="s">
        <v>371</v>
      </c>
      <c r="D857" s="6" t="s">
        <v>96</v>
      </c>
      <c r="E857" s="11">
        <v>0.75760829448699951</v>
      </c>
      <c r="F857" s="11">
        <v>0.92606991529464722</v>
      </c>
    </row>
    <row r="858" spans="1:6" hidden="1" x14ac:dyDescent="0.3">
      <c r="A858" s="6">
        <v>7</v>
      </c>
      <c r="B858" s="6" t="s">
        <v>95</v>
      </c>
      <c r="C858" s="6" t="s">
        <v>372</v>
      </c>
      <c r="D858" s="6" t="s">
        <v>96</v>
      </c>
      <c r="E858" s="11"/>
      <c r="F858" s="11">
        <v>0.92606991529464722</v>
      </c>
    </row>
    <row r="859" spans="1:6" hidden="1" x14ac:dyDescent="0.3">
      <c r="A859" s="6">
        <v>7</v>
      </c>
      <c r="B859" s="6" t="s">
        <v>95</v>
      </c>
      <c r="C859" s="6" t="s">
        <v>373</v>
      </c>
      <c r="D859" s="6" t="s">
        <v>96</v>
      </c>
      <c r="E859" s="11">
        <v>0.87286317348480225</v>
      </c>
      <c r="F859" s="11">
        <v>0.92606991529464722</v>
      </c>
    </row>
    <row r="860" spans="1:6" hidden="1" x14ac:dyDescent="0.3">
      <c r="A860" s="6">
        <v>7</v>
      </c>
      <c r="B860" s="6" t="s">
        <v>95</v>
      </c>
      <c r="C860" s="6" t="s">
        <v>374</v>
      </c>
      <c r="D860" s="6" t="s">
        <v>96</v>
      </c>
      <c r="E860" s="11">
        <v>2.0306947231292725</v>
      </c>
      <c r="F860" s="11">
        <v>0.92606991529464722</v>
      </c>
    </row>
    <row r="861" spans="1:6" hidden="1" x14ac:dyDescent="0.3">
      <c r="A861" s="6">
        <v>7</v>
      </c>
      <c r="B861" s="6" t="s">
        <v>95</v>
      </c>
      <c r="C861" s="6" t="s">
        <v>375</v>
      </c>
      <c r="D861" s="6" t="s">
        <v>96</v>
      </c>
      <c r="E861" s="11">
        <v>0.74377894401550293</v>
      </c>
      <c r="F861" s="11">
        <v>0.92606991529464722</v>
      </c>
    </row>
    <row r="862" spans="1:6" hidden="1" x14ac:dyDescent="0.3">
      <c r="A862" s="6">
        <v>7</v>
      </c>
      <c r="B862" s="6" t="s">
        <v>95</v>
      </c>
      <c r="C862" s="6" t="s">
        <v>376</v>
      </c>
      <c r="D862" s="6" t="s">
        <v>96</v>
      </c>
      <c r="E862" s="11">
        <v>1.3325581550598145</v>
      </c>
      <c r="F862" s="11">
        <v>0.92606991529464722</v>
      </c>
    </row>
    <row r="863" spans="1:6" hidden="1" x14ac:dyDescent="0.3">
      <c r="A863" s="6">
        <v>7</v>
      </c>
      <c r="B863" s="6" t="s">
        <v>95</v>
      </c>
      <c r="C863" s="6" t="s">
        <v>377</v>
      </c>
      <c r="D863" s="6" t="s">
        <v>96</v>
      </c>
      <c r="E863" s="11">
        <v>1.0630983114242554</v>
      </c>
      <c r="F863" s="11">
        <v>0.92606991529464722</v>
      </c>
    </row>
    <row r="864" spans="1:6" hidden="1" x14ac:dyDescent="0.3">
      <c r="A864" s="6">
        <v>7</v>
      </c>
      <c r="B864" s="6" t="s">
        <v>95</v>
      </c>
      <c r="C864" s="6" t="s">
        <v>378</v>
      </c>
      <c r="D864" s="6" t="s">
        <v>96</v>
      </c>
      <c r="E864" s="11">
        <v>1.3188270330429077</v>
      </c>
      <c r="F864" s="11">
        <v>0.92606991529464722</v>
      </c>
    </row>
    <row r="865" spans="1:6" hidden="1" x14ac:dyDescent="0.3">
      <c r="A865" s="6">
        <v>7</v>
      </c>
      <c r="B865" s="6" t="s">
        <v>95</v>
      </c>
      <c r="C865" s="6" t="s">
        <v>379</v>
      </c>
      <c r="D865" s="6" t="s">
        <v>96</v>
      </c>
      <c r="E865" s="11">
        <v>1.2740449905395508</v>
      </c>
      <c r="F865" s="11">
        <v>0.92606991529464722</v>
      </c>
    </row>
    <row r="866" spans="1:6" hidden="1" x14ac:dyDescent="0.3">
      <c r="A866" s="6">
        <v>7</v>
      </c>
      <c r="B866" s="6" t="s">
        <v>95</v>
      </c>
      <c r="C866" s="6" t="s">
        <v>380</v>
      </c>
      <c r="D866" s="6" t="s">
        <v>96</v>
      </c>
      <c r="E866" s="11">
        <v>0.7714000940322876</v>
      </c>
      <c r="F866" s="11">
        <v>0.92606991529464722</v>
      </c>
    </row>
    <row r="867" spans="1:6" hidden="1" x14ac:dyDescent="0.3">
      <c r="A867" s="6">
        <v>7</v>
      </c>
      <c r="B867" s="6" t="s">
        <v>95</v>
      </c>
      <c r="C867" s="6" t="s">
        <v>381</v>
      </c>
      <c r="D867" s="6" t="s">
        <v>96</v>
      </c>
      <c r="E867" s="11">
        <v>1.1001758575439453</v>
      </c>
      <c r="F867" s="11">
        <v>0.92606991529464722</v>
      </c>
    </row>
    <row r="868" spans="1:6" hidden="1" x14ac:dyDescent="0.3">
      <c r="A868" s="6">
        <v>7</v>
      </c>
      <c r="B868" s="6" t="s">
        <v>95</v>
      </c>
      <c r="C868" s="6" t="s">
        <v>382</v>
      </c>
      <c r="D868" s="6" t="s">
        <v>96</v>
      </c>
      <c r="E868" s="11">
        <v>1.6604622602462769</v>
      </c>
      <c r="F868" s="11">
        <v>0.92606991529464722</v>
      </c>
    </row>
    <row r="869" spans="1:6" hidden="1" x14ac:dyDescent="0.3">
      <c r="A869" s="6">
        <v>7</v>
      </c>
      <c r="B869" s="6" t="s">
        <v>95</v>
      </c>
      <c r="C869" s="6" t="s">
        <v>383</v>
      </c>
      <c r="D869" s="6" t="s">
        <v>96</v>
      </c>
      <c r="E869" s="11">
        <v>0.59102010726928711</v>
      </c>
      <c r="F869" s="11">
        <v>0.92606991529464722</v>
      </c>
    </row>
    <row r="870" spans="1:6" hidden="1" x14ac:dyDescent="0.3">
      <c r="A870" s="6">
        <v>7</v>
      </c>
      <c r="B870" s="6" t="s">
        <v>95</v>
      </c>
      <c r="C870" s="6" t="s">
        <v>384</v>
      </c>
      <c r="D870" s="6" t="s">
        <v>96</v>
      </c>
      <c r="E870" s="11">
        <v>1.5241670608520508</v>
      </c>
      <c r="F870" s="11">
        <v>0.92606991529464722</v>
      </c>
    </row>
    <row r="871" spans="1:6" hidden="1" x14ac:dyDescent="0.3">
      <c r="A871" s="6">
        <v>7</v>
      </c>
      <c r="B871" s="6" t="s">
        <v>95</v>
      </c>
      <c r="C871" s="6" t="s">
        <v>385</v>
      </c>
      <c r="D871" s="6" t="s">
        <v>96</v>
      </c>
      <c r="E871" s="11">
        <v>0.77341055870056152</v>
      </c>
      <c r="F871" s="11">
        <v>0.92606991529464722</v>
      </c>
    </row>
    <row r="872" spans="1:6" hidden="1" x14ac:dyDescent="0.3">
      <c r="A872" s="6">
        <v>7</v>
      </c>
      <c r="B872" s="6" t="s">
        <v>95</v>
      </c>
      <c r="C872" s="6" t="s">
        <v>386</v>
      </c>
      <c r="D872" s="6" t="s">
        <v>96</v>
      </c>
      <c r="E872" s="11">
        <v>2.6965713500976563</v>
      </c>
      <c r="F872" s="11">
        <v>0.92606991529464722</v>
      </c>
    </row>
    <row r="873" spans="1:6" hidden="1" x14ac:dyDescent="0.3">
      <c r="A873" s="6">
        <v>7</v>
      </c>
      <c r="B873" s="6" t="s">
        <v>95</v>
      </c>
      <c r="C873" s="6" t="s">
        <v>387</v>
      </c>
      <c r="D873" s="6" t="s">
        <v>96</v>
      </c>
      <c r="E873" s="11">
        <v>1.5272681713104248</v>
      </c>
      <c r="F873" s="11">
        <v>0.92606991529464722</v>
      </c>
    </row>
    <row r="874" spans="1:6" hidden="1" x14ac:dyDescent="0.3">
      <c r="A874" s="6">
        <v>7</v>
      </c>
      <c r="B874" s="6" t="s">
        <v>95</v>
      </c>
      <c r="C874" s="6" t="s">
        <v>388</v>
      </c>
      <c r="D874" s="6" t="s">
        <v>96</v>
      </c>
      <c r="E874" s="11">
        <v>1.0194097757339478</v>
      </c>
      <c r="F874" s="11">
        <v>0.92606991529464722</v>
      </c>
    </row>
    <row r="875" spans="1:6" hidden="1" x14ac:dyDescent="0.3">
      <c r="A875" s="6">
        <v>7</v>
      </c>
      <c r="B875" s="6" t="s">
        <v>95</v>
      </c>
      <c r="C875" s="6" t="s">
        <v>389</v>
      </c>
      <c r="D875" s="6" t="s">
        <v>96</v>
      </c>
      <c r="E875" s="11">
        <v>0.89264219999313354</v>
      </c>
      <c r="F875" s="11">
        <v>0.92606991529464722</v>
      </c>
    </row>
    <row r="876" spans="1:6" hidden="1" x14ac:dyDescent="0.3">
      <c r="A876" s="6">
        <v>7</v>
      </c>
      <c r="B876" s="6" t="s">
        <v>95</v>
      </c>
      <c r="C876" s="6" t="s">
        <v>390</v>
      </c>
      <c r="D876" s="6" t="s">
        <v>96</v>
      </c>
      <c r="E876" s="11">
        <v>0.80862033367156982</v>
      </c>
      <c r="F876" s="11">
        <v>0.92606991529464722</v>
      </c>
    </row>
    <row r="877" spans="1:6" hidden="1" x14ac:dyDescent="0.3">
      <c r="A877" s="6">
        <v>7</v>
      </c>
      <c r="B877" s="6" t="s">
        <v>95</v>
      </c>
      <c r="C877" s="6" t="s">
        <v>391</v>
      </c>
      <c r="D877" s="6" t="s">
        <v>96</v>
      </c>
      <c r="E877" s="11">
        <v>1.1957907676696777</v>
      </c>
      <c r="F877" s="11">
        <v>0.92606991529464722</v>
      </c>
    </row>
    <row r="878" spans="1:6" hidden="1" x14ac:dyDescent="0.3">
      <c r="A878" s="6">
        <v>7</v>
      </c>
      <c r="B878" s="6" t="s">
        <v>95</v>
      </c>
      <c r="C878" s="6" t="s">
        <v>392</v>
      </c>
      <c r="D878" s="6" t="s">
        <v>96</v>
      </c>
      <c r="E878" s="11">
        <v>1.0126076936721802</v>
      </c>
      <c r="F878" s="11">
        <v>0.92606991529464722</v>
      </c>
    </row>
    <row r="879" spans="1:6" hidden="1" x14ac:dyDescent="0.3">
      <c r="A879" s="6">
        <v>7</v>
      </c>
      <c r="B879" s="6" t="s">
        <v>95</v>
      </c>
      <c r="C879" s="6" t="s">
        <v>393</v>
      </c>
      <c r="D879" s="6" t="s">
        <v>96</v>
      </c>
      <c r="E879" s="11">
        <v>1.0027904510498047</v>
      </c>
      <c r="F879" s="11">
        <v>0.92606991529464722</v>
      </c>
    </row>
    <row r="880" spans="1:6" hidden="1" x14ac:dyDescent="0.3">
      <c r="A880" s="6">
        <v>7</v>
      </c>
      <c r="B880" s="6" t="s">
        <v>95</v>
      </c>
      <c r="C880" s="6" t="s">
        <v>394</v>
      </c>
      <c r="D880" s="6" t="s">
        <v>96</v>
      </c>
      <c r="E880" s="11">
        <v>0.80111777782440186</v>
      </c>
      <c r="F880" s="11">
        <v>0.92606991529464722</v>
      </c>
    </row>
    <row r="881" spans="1:6" hidden="1" x14ac:dyDescent="0.3">
      <c r="A881" s="6">
        <v>7</v>
      </c>
      <c r="B881" s="6" t="s">
        <v>95</v>
      </c>
      <c r="C881" s="6" t="s">
        <v>395</v>
      </c>
      <c r="D881" s="6" t="s">
        <v>96</v>
      </c>
      <c r="E881" s="11"/>
      <c r="F881" s="11">
        <v>0.92606991529464722</v>
      </c>
    </row>
    <row r="882" spans="1:6" hidden="1" x14ac:dyDescent="0.3">
      <c r="A882" s="6">
        <v>7</v>
      </c>
      <c r="B882" s="6" t="s">
        <v>95</v>
      </c>
      <c r="C882" s="6" t="s">
        <v>396</v>
      </c>
      <c r="D882" s="6" t="s">
        <v>96</v>
      </c>
      <c r="E882" s="11">
        <v>1.3322305679321289</v>
      </c>
      <c r="F882" s="11">
        <v>0.92606991529464722</v>
      </c>
    </row>
    <row r="883" spans="1:6" hidden="1" x14ac:dyDescent="0.3">
      <c r="A883" s="6">
        <v>7</v>
      </c>
      <c r="B883" s="6" t="s">
        <v>95</v>
      </c>
      <c r="C883" s="6" t="s">
        <v>397</v>
      </c>
      <c r="D883" s="6" t="s">
        <v>96</v>
      </c>
      <c r="E883" s="11">
        <v>1.2795479297637939</v>
      </c>
      <c r="F883" s="11">
        <v>0.92606991529464722</v>
      </c>
    </row>
    <row r="884" spans="1:6" hidden="1" x14ac:dyDescent="0.3">
      <c r="A884" s="6">
        <v>7</v>
      </c>
      <c r="B884" s="6" t="s">
        <v>95</v>
      </c>
      <c r="C884" s="6" t="s">
        <v>398</v>
      </c>
      <c r="D884" s="6" t="s">
        <v>96</v>
      </c>
      <c r="E884" s="11">
        <v>1.0891242027282715</v>
      </c>
      <c r="F884" s="11">
        <v>0.92606991529464722</v>
      </c>
    </row>
    <row r="885" spans="1:6" hidden="1" x14ac:dyDescent="0.3">
      <c r="A885" s="6">
        <v>7</v>
      </c>
      <c r="B885" s="6" t="s">
        <v>95</v>
      </c>
      <c r="C885" s="6" t="s">
        <v>399</v>
      </c>
      <c r="D885" s="6" t="s">
        <v>96</v>
      </c>
      <c r="E885" s="11">
        <v>0.88902121782302856</v>
      </c>
      <c r="F885" s="11">
        <v>0.92606991529464722</v>
      </c>
    </row>
    <row r="886" spans="1:6" hidden="1" x14ac:dyDescent="0.3">
      <c r="A886" s="6">
        <v>7</v>
      </c>
      <c r="B886" s="6" t="s">
        <v>95</v>
      </c>
      <c r="C886" s="6" t="s">
        <v>400</v>
      </c>
      <c r="D886" s="6" t="s">
        <v>96</v>
      </c>
      <c r="E886" s="11">
        <v>1.0280210971832275</v>
      </c>
      <c r="F886" s="11">
        <v>0.92606991529464722</v>
      </c>
    </row>
    <row r="887" spans="1:6" hidden="1" x14ac:dyDescent="0.3">
      <c r="A887" s="6">
        <v>7</v>
      </c>
      <c r="B887" s="6" t="s">
        <v>95</v>
      </c>
      <c r="C887" s="6" t="s">
        <v>401</v>
      </c>
      <c r="D887" s="6" t="s">
        <v>96</v>
      </c>
      <c r="E887" s="11">
        <v>1.0166640281677246</v>
      </c>
      <c r="F887" s="11">
        <v>0.92606991529464722</v>
      </c>
    </row>
    <row r="888" spans="1:6" hidden="1" x14ac:dyDescent="0.3">
      <c r="A888" s="6">
        <v>7</v>
      </c>
      <c r="B888" s="6" t="s">
        <v>95</v>
      </c>
      <c r="C888" s="6" t="s">
        <v>402</v>
      </c>
      <c r="D888" s="6" t="s">
        <v>96</v>
      </c>
      <c r="E888" s="11">
        <v>2.4702751636505127</v>
      </c>
      <c r="F888" s="11">
        <v>0.92606991529464722</v>
      </c>
    </row>
    <row r="889" spans="1:6" hidden="1" x14ac:dyDescent="0.3">
      <c r="A889" s="6">
        <v>7</v>
      </c>
      <c r="B889" s="6" t="s">
        <v>95</v>
      </c>
      <c r="C889" s="6" t="s">
        <v>403</v>
      </c>
      <c r="D889" s="6" t="s">
        <v>96</v>
      </c>
      <c r="E889" s="11">
        <v>0.77018600702285767</v>
      </c>
      <c r="F889" s="11">
        <v>0.92606991529464722</v>
      </c>
    </row>
    <row r="890" spans="1:6" hidden="1" x14ac:dyDescent="0.3">
      <c r="A890" s="6">
        <v>7</v>
      </c>
      <c r="B890" s="6" t="s">
        <v>95</v>
      </c>
      <c r="C890" s="6" t="s">
        <v>404</v>
      </c>
      <c r="D890" s="6" t="s">
        <v>96</v>
      </c>
      <c r="E890" s="11">
        <v>0.75535392761230469</v>
      </c>
      <c r="F890" s="11">
        <v>0.92606991529464722</v>
      </c>
    </row>
    <row r="891" spans="1:6" hidden="1" x14ac:dyDescent="0.3">
      <c r="A891" s="6">
        <v>7</v>
      </c>
      <c r="B891" s="6" t="s">
        <v>95</v>
      </c>
      <c r="C891" s="6" t="s">
        <v>405</v>
      </c>
      <c r="D891" s="6" t="s">
        <v>96</v>
      </c>
      <c r="E891" s="11">
        <v>0.80196714401245117</v>
      </c>
      <c r="F891" s="11">
        <v>0.92606991529464722</v>
      </c>
    </row>
    <row r="892" spans="1:6" hidden="1" x14ac:dyDescent="0.3">
      <c r="A892" s="6">
        <v>7</v>
      </c>
      <c r="B892" s="6" t="s">
        <v>95</v>
      </c>
      <c r="C892" s="6" t="s">
        <v>406</v>
      </c>
      <c r="D892" s="6" t="s">
        <v>96</v>
      </c>
      <c r="E892" s="11">
        <v>1.5820547342300415</v>
      </c>
      <c r="F892" s="11">
        <v>0.92606991529464722</v>
      </c>
    </row>
    <row r="893" spans="1:6" hidden="1" x14ac:dyDescent="0.3">
      <c r="A893" s="6">
        <v>7</v>
      </c>
      <c r="B893" s="6" t="s">
        <v>95</v>
      </c>
      <c r="C893" s="6" t="s">
        <v>407</v>
      </c>
      <c r="D893" s="6" t="s">
        <v>96</v>
      </c>
      <c r="E893" s="11">
        <v>1.2223571538925171</v>
      </c>
      <c r="F893" s="11">
        <v>0.92606991529464722</v>
      </c>
    </row>
    <row r="894" spans="1:6" hidden="1" x14ac:dyDescent="0.3">
      <c r="A894" s="6">
        <v>7</v>
      </c>
      <c r="B894" s="6" t="s">
        <v>95</v>
      </c>
      <c r="C894" s="6" t="s">
        <v>408</v>
      </c>
      <c r="D894" s="6" t="s">
        <v>96</v>
      </c>
      <c r="E894" s="11">
        <v>1.5706342458724976</v>
      </c>
      <c r="F894" s="11">
        <v>0.92606991529464722</v>
      </c>
    </row>
    <row r="895" spans="1:6" hidden="1" x14ac:dyDescent="0.3">
      <c r="A895" s="6">
        <v>7</v>
      </c>
      <c r="B895" s="6" t="s">
        <v>95</v>
      </c>
      <c r="C895" s="6" t="s">
        <v>409</v>
      </c>
      <c r="D895" s="6" t="s">
        <v>96</v>
      </c>
      <c r="E895" s="11">
        <v>3.3262085914611816</v>
      </c>
      <c r="F895" s="11">
        <v>0.92606991529464722</v>
      </c>
    </row>
    <row r="896" spans="1:6" hidden="1" x14ac:dyDescent="0.3">
      <c r="A896" s="6">
        <v>7</v>
      </c>
      <c r="B896" s="6" t="s">
        <v>95</v>
      </c>
      <c r="C896" s="6" t="s">
        <v>410</v>
      </c>
      <c r="D896" s="6" t="s">
        <v>96</v>
      </c>
      <c r="E896" s="11">
        <v>1.0474430322647095</v>
      </c>
      <c r="F896" s="11">
        <v>0.92606991529464722</v>
      </c>
    </row>
    <row r="897" spans="1:6" hidden="1" x14ac:dyDescent="0.3">
      <c r="A897" s="6">
        <v>7</v>
      </c>
      <c r="B897" s="6" t="s">
        <v>95</v>
      </c>
      <c r="C897" s="6" t="s">
        <v>411</v>
      </c>
      <c r="D897" s="6" t="s">
        <v>96</v>
      </c>
      <c r="E897" s="11">
        <v>2.6659283638000488</v>
      </c>
      <c r="F897" s="11">
        <v>0.92606991529464722</v>
      </c>
    </row>
    <row r="898" spans="1:6" hidden="1" x14ac:dyDescent="0.3">
      <c r="A898" s="6">
        <v>7</v>
      </c>
      <c r="B898" s="6" t="s">
        <v>95</v>
      </c>
      <c r="C898" s="6" t="s">
        <v>412</v>
      </c>
      <c r="D898" s="6" t="s">
        <v>96</v>
      </c>
      <c r="E898" s="11">
        <v>1.3268251419067383</v>
      </c>
      <c r="F898" s="11">
        <v>0.92606991529464722</v>
      </c>
    </row>
    <row r="899" spans="1:6" hidden="1" x14ac:dyDescent="0.3">
      <c r="A899" s="6">
        <v>7</v>
      </c>
      <c r="B899" s="6" t="s">
        <v>95</v>
      </c>
      <c r="C899" s="6" t="s">
        <v>413</v>
      </c>
      <c r="D899" s="6" t="s">
        <v>96</v>
      </c>
      <c r="E899" s="11">
        <v>1.9280989170074463</v>
      </c>
      <c r="F899" s="11">
        <v>0.92606991529464722</v>
      </c>
    </row>
    <row r="900" spans="1:6" hidden="1" x14ac:dyDescent="0.3">
      <c r="A900" s="6">
        <v>7</v>
      </c>
      <c r="B900" s="6" t="s">
        <v>95</v>
      </c>
      <c r="C900" s="6" t="s">
        <v>414</v>
      </c>
      <c r="D900" s="6" t="s">
        <v>96</v>
      </c>
      <c r="E900" s="11">
        <v>26.498390197753906</v>
      </c>
      <c r="F900" s="11">
        <v>0.92606991529464722</v>
      </c>
    </row>
    <row r="901" spans="1:6" hidden="1" x14ac:dyDescent="0.3">
      <c r="A901" s="6">
        <v>7</v>
      </c>
      <c r="B901" s="6" t="s">
        <v>95</v>
      </c>
      <c r="C901" s="6" t="s">
        <v>415</v>
      </c>
      <c r="D901" s="6" t="s">
        <v>96</v>
      </c>
      <c r="E901" s="11">
        <v>1.0844981670379639</v>
      </c>
      <c r="F901" s="11">
        <v>0.92606991529464722</v>
      </c>
    </row>
    <row r="902" spans="1:6" hidden="1" x14ac:dyDescent="0.3">
      <c r="A902" s="6">
        <v>7</v>
      </c>
      <c r="B902" s="6" t="s">
        <v>95</v>
      </c>
      <c r="C902" s="6" t="s">
        <v>416</v>
      </c>
      <c r="D902" s="6" t="s">
        <v>96</v>
      </c>
      <c r="E902" s="11">
        <v>1.1080672740936279</v>
      </c>
      <c r="F902" s="11">
        <v>0.92606991529464722</v>
      </c>
    </row>
    <row r="903" spans="1:6" hidden="1" x14ac:dyDescent="0.3">
      <c r="A903" s="6">
        <v>7</v>
      </c>
      <c r="B903" s="6" t="s">
        <v>95</v>
      </c>
      <c r="C903" s="6" t="s">
        <v>417</v>
      </c>
      <c r="D903" s="6" t="s">
        <v>96</v>
      </c>
      <c r="E903" s="11">
        <v>0.98400235176086426</v>
      </c>
      <c r="F903" s="11">
        <v>0.92606991529464722</v>
      </c>
    </row>
    <row r="904" spans="1:6" hidden="1" x14ac:dyDescent="0.3">
      <c r="A904" s="6">
        <v>7</v>
      </c>
      <c r="B904" s="6" t="s">
        <v>95</v>
      </c>
      <c r="C904" s="6" t="s">
        <v>418</v>
      </c>
      <c r="D904" s="6" t="s">
        <v>96</v>
      </c>
      <c r="E904" s="11"/>
      <c r="F904" s="11">
        <v>0.92606991529464722</v>
      </c>
    </row>
    <row r="905" spans="1:6" hidden="1" x14ac:dyDescent="0.3">
      <c r="A905" s="6">
        <v>7</v>
      </c>
      <c r="B905" s="6" t="s">
        <v>95</v>
      </c>
      <c r="C905" s="6" t="s">
        <v>419</v>
      </c>
      <c r="D905" s="6" t="s">
        <v>96</v>
      </c>
      <c r="E905" s="11">
        <v>0.73848205804824829</v>
      </c>
      <c r="F905" s="11">
        <v>0.92606991529464722</v>
      </c>
    </row>
    <row r="906" spans="1:6" hidden="1" x14ac:dyDescent="0.3">
      <c r="A906" s="6">
        <v>7</v>
      </c>
      <c r="B906" s="6" t="s">
        <v>95</v>
      </c>
      <c r="C906" s="6" t="s">
        <v>420</v>
      </c>
      <c r="D906" s="6" t="s">
        <v>96</v>
      </c>
      <c r="E906" s="11">
        <v>58.182666778564453</v>
      </c>
      <c r="F906" s="11">
        <v>0.92606991529464722</v>
      </c>
    </row>
    <row r="907" spans="1:6" hidden="1" x14ac:dyDescent="0.3">
      <c r="A907" s="6">
        <v>7</v>
      </c>
      <c r="B907" s="6" t="s">
        <v>95</v>
      </c>
      <c r="C907" s="6" t="s">
        <v>421</v>
      </c>
      <c r="D907" s="6" t="s">
        <v>96</v>
      </c>
      <c r="E907" s="11">
        <v>0.98748582601547241</v>
      </c>
      <c r="F907" s="11">
        <v>0.92606991529464722</v>
      </c>
    </row>
    <row r="908" spans="1:6" hidden="1" x14ac:dyDescent="0.3">
      <c r="A908" s="6">
        <v>7</v>
      </c>
      <c r="B908" s="6" t="s">
        <v>95</v>
      </c>
      <c r="C908" s="6" t="s">
        <v>422</v>
      </c>
      <c r="D908" s="6" t="s">
        <v>96</v>
      </c>
      <c r="E908" s="11">
        <v>2.9945142269134521</v>
      </c>
      <c r="F908" s="11">
        <v>0.92606991529464722</v>
      </c>
    </row>
    <row r="909" spans="1:6" hidden="1" x14ac:dyDescent="0.3">
      <c r="A909" s="6">
        <v>7</v>
      </c>
      <c r="B909" s="6" t="s">
        <v>95</v>
      </c>
      <c r="C909" s="6" t="s">
        <v>423</v>
      </c>
      <c r="D909" s="6" t="s">
        <v>96</v>
      </c>
      <c r="E909" s="11">
        <v>0.82820266485214233</v>
      </c>
      <c r="F909" s="11">
        <v>0.92606991529464722</v>
      </c>
    </row>
    <row r="910" spans="1:6" hidden="1" x14ac:dyDescent="0.3">
      <c r="A910" s="6">
        <v>7</v>
      </c>
      <c r="B910" s="6" t="s">
        <v>95</v>
      </c>
      <c r="C910" s="6" t="s">
        <v>424</v>
      </c>
      <c r="D910" s="6" t="s">
        <v>96</v>
      </c>
      <c r="E910" s="11">
        <v>1.0511486530303955</v>
      </c>
      <c r="F910" s="11">
        <v>0.92606991529464722</v>
      </c>
    </row>
    <row r="911" spans="1:6" hidden="1" x14ac:dyDescent="0.3">
      <c r="A911" s="6">
        <v>7</v>
      </c>
      <c r="B911" s="6" t="s">
        <v>95</v>
      </c>
      <c r="C911" s="6" t="s">
        <v>425</v>
      </c>
      <c r="D911" s="6" t="s">
        <v>96</v>
      </c>
      <c r="E911" s="11">
        <v>1.1019512414932251</v>
      </c>
      <c r="F911" s="11">
        <v>0.92606991529464722</v>
      </c>
    </row>
    <row r="912" spans="1:6" hidden="1" x14ac:dyDescent="0.3">
      <c r="A912" s="6">
        <v>7</v>
      </c>
      <c r="B912" s="6" t="s">
        <v>95</v>
      </c>
      <c r="C912" s="6" t="s">
        <v>426</v>
      </c>
      <c r="D912" s="6" t="s">
        <v>96</v>
      </c>
      <c r="E912" s="11">
        <v>1.0835617780685425</v>
      </c>
      <c r="F912" s="11">
        <v>0.92606991529464722</v>
      </c>
    </row>
    <row r="913" spans="1:6" hidden="1" x14ac:dyDescent="0.3">
      <c r="A913" s="6">
        <v>7</v>
      </c>
      <c r="B913" s="6" t="s">
        <v>95</v>
      </c>
      <c r="C913" s="6" t="s">
        <v>427</v>
      </c>
      <c r="D913" s="6" t="s">
        <v>96</v>
      </c>
      <c r="E913" s="11">
        <v>2.6366722583770752</v>
      </c>
      <c r="F913" s="11">
        <v>0.92606991529464722</v>
      </c>
    </row>
    <row r="914" spans="1:6" hidden="1" x14ac:dyDescent="0.3">
      <c r="A914" s="6">
        <v>7</v>
      </c>
      <c r="B914" s="6" t="s">
        <v>95</v>
      </c>
      <c r="C914" s="6" t="s">
        <v>428</v>
      </c>
      <c r="D914" s="6" t="s">
        <v>96</v>
      </c>
      <c r="E914" s="11"/>
      <c r="F914" s="11">
        <v>0.92606991529464722</v>
      </c>
    </row>
    <row r="915" spans="1:6" hidden="1" x14ac:dyDescent="0.3">
      <c r="A915" s="6">
        <v>7</v>
      </c>
      <c r="B915" s="6" t="s">
        <v>95</v>
      </c>
      <c r="C915" s="6" t="s">
        <v>429</v>
      </c>
      <c r="D915" s="6" t="s">
        <v>96</v>
      </c>
      <c r="E915" s="11">
        <v>1.1476931571960449</v>
      </c>
      <c r="F915" s="11">
        <v>0.92606991529464722</v>
      </c>
    </row>
    <row r="916" spans="1:6" hidden="1" x14ac:dyDescent="0.3">
      <c r="A916" s="6">
        <v>7</v>
      </c>
      <c r="B916" s="6" t="s">
        <v>95</v>
      </c>
      <c r="C916" s="6" t="s">
        <v>430</v>
      </c>
      <c r="D916" s="6" t="s">
        <v>96</v>
      </c>
      <c r="E916" s="11"/>
      <c r="F916" s="11">
        <v>0.92606991529464722</v>
      </c>
    </row>
    <row r="917" spans="1:6" hidden="1" x14ac:dyDescent="0.3">
      <c r="A917" s="6">
        <v>7</v>
      </c>
      <c r="B917" s="6" t="s">
        <v>95</v>
      </c>
      <c r="C917" s="6" t="s">
        <v>431</v>
      </c>
      <c r="D917" s="6" t="s">
        <v>96</v>
      </c>
      <c r="E917" s="11">
        <v>1.0221129655838013</v>
      </c>
      <c r="F917" s="11">
        <v>0.92606991529464722</v>
      </c>
    </row>
    <row r="918" spans="1:6" hidden="1" x14ac:dyDescent="0.3">
      <c r="A918" s="6">
        <v>7</v>
      </c>
      <c r="B918" s="6" t="s">
        <v>95</v>
      </c>
      <c r="C918" s="6" t="s">
        <v>432</v>
      </c>
      <c r="D918" s="6" t="s">
        <v>96</v>
      </c>
      <c r="E918" s="11">
        <v>1.2002042531967163</v>
      </c>
      <c r="F918" s="11">
        <v>0.92606991529464722</v>
      </c>
    </row>
    <row r="919" spans="1:6" hidden="1" x14ac:dyDescent="0.3">
      <c r="A919" s="6">
        <v>7</v>
      </c>
      <c r="B919" s="6" t="s">
        <v>95</v>
      </c>
      <c r="C919" s="6" t="s">
        <v>433</v>
      </c>
      <c r="D919" s="6" t="s">
        <v>96</v>
      </c>
      <c r="E919" s="11">
        <v>2.3540000915527344</v>
      </c>
      <c r="F919" s="11">
        <v>0.92606991529464722</v>
      </c>
    </row>
    <row r="920" spans="1:6" hidden="1" x14ac:dyDescent="0.3">
      <c r="A920" s="6">
        <v>7</v>
      </c>
      <c r="B920" s="6" t="s">
        <v>95</v>
      </c>
      <c r="C920" s="6" t="s">
        <v>434</v>
      </c>
      <c r="D920" s="6" t="s">
        <v>96</v>
      </c>
      <c r="E920" s="11">
        <v>1.1758439540863037</v>
      </c>
      <c r="F920" s="11">
        <v>0.92606991529464722</v>
      </c>
    </row>
    <row r="921" spans="1:6" hidden="1" x14ac:dyDescent="0.3">
      <c r="A921" s="6">
        <v>7</v>
      </c>
      <c r="B921" s="6" t="s">
        <v>95</v>
      </c>
      <c r="C921" s="6" t="s">
        <v>435</v>
      </c>
      <c r="D921" s="6" t="s">
        <v>96</v>
      </c>
      <c r="E921" s="11">
        <v>0.92319363355636597</v>
      </c>
      <c r="F921" s="11">
        <v>0.92606991529464722</v>
      </c>
    </row>
    <row r="922" spans="1:6" hidden="1" x14ac:dyDescent="0.3">
      <c r="A922" s="6">
        <v>7</v>
      </c>
      <c r="B922" s="6" t="s">
        <v>95</v>
      </c>
      <c r="C922" s="6" t="s">
        <v>436</v>
      </c>
      <c r="D922" s="6" t="s">
        <v>96</v>
      </c>
      <c r="E922" s="11">
        <v>0.97051739692687988</v>
      </c>
      <c r="F922" s="11">
        <v>0.92606991529464722</v>
      </c>
    </row>
    <row r="923" spans="1:6" hidden="1" x14ac:dyDescent="0.3">
      <c r="A923" s="6">
        <v>7</v>
      </c>
      <c r="B923" s="6" t="s">
        <v>95</v>
      </c>
      <c r="C923" s="6" t="s">
        <v>437</v>
      </c>
      <c r="D923" s="6" t="s">
        <v>96</v>
      </c>
      <c r="E923" s="11">
        <v>0.65994828939437866</v>
      </c>
      <c r="F923" s="11">
        <v>0.92606991529464722</v>
      </c>
    </row>
    <row r="924" spans="1:6" hidden="1" x14ac:dyDescent="0.3">
      <c r="A924" s="6">
        <v>7</v>
      </c>
      <c r="B924" s="6" t="s">
        <v>95</v>
      </c>
      <c r="C924" s="6" t="s">
        <v>438</v>
      </c>
      <c r="D924" s="6" t="s">
        <v>96</v>
      </c>
      <c r="E924" s="11">
        <v>0.91666841506958008</v>
      </c>
      <c r="F924" s="11">
        <v>0.92606991529464722</v>
      </c>
    </row>
    <row r="925" spans="1:6" hidden="1" x14ac:dyDescent="0.3">
      <c r="A925" s="6">
        <v>7</v>
      </c>
      <c r="B925" s="6" t="s">
        <v>95</v>
      </c>
      <c r="C925" s="6" t="s">
        <v>439</v>
      </c>
      <c r="D925" s="6" t="s">
        <v>96</v>
      </c>
      <c r="E925" s="11">
        <v>1.6008567810058594</v>
      </c>
      <c r="F925" s="11">
        <v>0.92606991529464722</v>
      </c>
    </row>
    <row r="926" spans="1:6" hidden="1" x14ac:dyDescent="0.3">
      <c r="A926" s="6">
        <v>7</v>
      </c>
      <c r="B926" s="6" t="s">
        <v>95</v>
      </c>
      <c r="C926" s="6" t="s">
        <v>440</v>
      </c>
      <c r="D926" s="6" t="s">
        <v>96</v>
      </c>
      <c r="E926" s="11">
        <v>26.312000274658203</v>
      </c>
      <c r="F926" s="11">
        <v>0.92606991529464722</v>
      </c>
    </row>
    <row r="927" spans="1:6" hidden="1" x14ac:dyDescent="0.3">
      <c r="A927" s="6">
        <v>7</v>
      </c>
      <c r="B927" s="6" t="s">
        <v>95</v>
      </c>
      <c r="C927" s="6" t="s">
        <v>441</v>
      </c>
      <c r="D927" s="6" t="s">
        <v>96</v>
      </c>
      <c r="E927" s="11">
        <v>0.87046623229980469</v>
      </c>
      <c r="F927" s="11">
        <v>0.92606991529464722</v>
      </c>
    </row>
    <row r="928" spans="1:6" hidden="1" x14ac:dyDescent="0.3">
      <c r="A928" s="6">
        <v>7</v>
      </c>
      <c r="B928" s="6" t="s">
        <v>95</v>
      </c>
      <c r="C928" s="6" t="s">
        <v>442</v>
      </c>
      <c r="D928" s="6" t="s">
        <v>96</v>
      </c>
      <c r="E928" s="11">
        <v>83.863998413085938</v>
      </c>
      <c r="F928" s="11">
        <v>0.92606991529464722</v>
      </c>
    </row>
    <row r="929" spans="1:6" hidden="1" x14ac:dyDescent="0.3">
      <c r="A929" s="6">
        <v>7</v>
      </c>
      <c r="B929" s="6" t="s">
        <v>95</v>
      </c>
      <c r="C929" s="6" t="s">
        <v>443</v>
      </c>
      <c r="D929" s="6" t="s">
        <v>96</v>
      </c>
      <c r="E929" s="11">
        <v>1.2651157379150391</v>
      </c>
      <c r="F929" s="11">
        <v>0.92606991529464722</v>
      </c>
    </row>
    <row r="930" spans="1:6" hidden="1" x14ac:dyDescent="0.3">
      <c r="A930" s="6">
        <v>7</v>
      </c>
      <c r="B930" s="6" t="s">
        <v>95</v>
      </c>
      <c r="C930" s="6" t="s">
        <v>444</v>
      </c>
      <c r="D930" s="6" t="s">
        <v>96</v>
      </c>
      <c r="E930" s="11">
        <v>1.0251882076263428</v>
      </c>
      <c r="F930" s="11">
        <v>0.92606991529464722</v>
      </c>
    </row>
    <row r="931" spans="1:6" hidden="1" x14ac:dyDescent="0.3">
      <c r="A931" s="6">
        <v>7</v>
      </c>
      <c r="B931" s="6" t="s">
        <v>95</v>
      </c>
      <c r="C931" s="6" t="s">
        <v>445</v>
      </c>
      <c r="D931" s="6" t="s">
        <v>96</v>
      </c>
      <c r="E931" s="11">
        <v>0.8460509181022644</v>
      </c>
      <c r="F931" s="11">
        <v>0.92606991529464722</v>
      </c>
    </row>
    <row r="932" spans="1:6" hidden="1" x14ac:dyDescent="0.3">
      <c r="A932" s="6">
        <v>7</v>
      </c>
      <c r="B932" s="6" t="s">
        <v>95</v>
      </c>
      <c r="C932" s="6" t="s">
        <v>446</v>
      </c>
      <c r="D932" s="6" t="s">
        <v>96</v>
      </c>
      <c r="E932" s="11">
        <v>3.0733280181884766</v>
      </c>
      <c r="F932" s="11">
        <v>0.92606991529464722</v>
      </c>
    </row>
    <row r="933" spans="1:6" hidden="1" x14ac:dyDescent="0.3">
      <c r="A933" s="6">
        <v>7</v>
      </c>
      <c r="B933" s="6" t="s">
        <v>95</v>
      </c>
      <c r="C933" s="6" t="s">
        <v>447</v>
      </c>
      <c r="D933" s="6" t="s">
        <v>96</v>
      </c>
      <c r="E933" s="11">
        <v>1.7216600179672241</v>
      </c>
      <c r="F933" s="11">
        <v>0.92606991529464722</v>
      </c>
    </row>
    <row r="934" spans="1:6" hidden="1" x14ac:dyDescent="0.3">
      <c r="A934" s="6">
        <v>7</v>
      </c>
      <c r="B934" s="6" t="s">
        <v>95</v>
      </c>
      <c r="C934" s="6" t="s">
        <v>448</v>
      </c>
      <c r="D934" s="6" t="s">
        <v>96</v>
      </c>
      <c r="E934" s="11">
        <v>0.75197279453277588</v>
      </c>
      <c r="F934" s="11">
        <v>0.92606991529464722</v>
      </c>
    </row>
    <row r="935" spans="1:6" hidden="1" x14ac:dyDescent="0.3">
      <c r="A935" s="6">
        <v>7</v>
      </c>
      <c r="B935" s="6" t="s">
        <v>95</v>
      </c>
      <c r="C935" s="6" t="s">
        <v>449</v>
      </c>
      <c r="D935" s="6" t="s">
        <v>96</v>
      </c>
      <c r="E935" s="11"/>
      <c r="F935" s="11">
        <v>0.92606991529464722</v>
      </c>
    </row>
    <row r="936" spans="1:6" hidden="1" x14ac:dyDescent="0.3">
      <c r="A936" s="6">
        <v>7</v>
      </c>
      <c r="B936" s="6" t="s">
        <v>95</v>
      </c>
      <c r="C936" s="6" t="s">
        <v>450</v>
      </c>
      <c r="D936" s="6" t="s">
        <v>96</v>
      </c>
      <c r="E936" s="11">
        <v>0.82236820459365845</v>
      </c>
      <c r="F936" s="11">
        <v>0.92606991529464722</v>
      </c>
    </row>
    <row r="937" spans="1:6" hidden="1" x14ac:dyDescent="0.3">
      <c r="A937" s="6">
        <v>7</v>
      </c>
      <c r="B937" s="6" t="s">
        <v>95</v>
      </c>
      <c r="C937" s="6" t="s">
        <v>451</v>
      </c>
      <c r="D937" s="6" t="s">
        <v>96</v>
      </c>
      <c r="E937" s="11">
        <v>3.4905900955200195</v>
      </c>
      <c r="F937" s="11">
        <v>0.92606991529464722</v>
      </c>
    </row>
    <row r="938" spans="1:6" hidden="1" x14ac:dyDescent="0.3">
      <c r="A938" s="6">
        <v>7</v>
      </c>
      <c r="B938" s="6" t="s">
        <v>95</v>
      </c>
      <c r="C938" s="6" t="s">
        <v>452</v>
      </c>
      <c r="D938" s="6" t="s">
        <v>96</v>
      </c>
      <c r="E938" s="11">
        <v>1.168951153755188</v>
      </c>
      <c r="F938" s="11">
        <v>0.92606991529464722</v>
      </c>
    </row>
    <row r="939" spans="1:6" hidden="1" x14ac:dyDescent="0.3">
      <c r="A939" s="6">
        <v>7</v>
      </c>
      <c r="B939" s="6" t="s">
        <v>95</v>
      </c>
      <c r="C939" s="6" t="s">
        <v>453</v>
      </c>
      <c r="D939" s="6" t="s">
        <v>96</v>
      </c>
      <c r="E939" s="11">
        <v>56.892002105712891</v>
      </c>
      <c r="F939" s="11">
        <v>0.92606991529464722</v>
      </c>
    </row>
    <row r="940" spans="1:6" hidden="1" x14ac:dyDescent="0.3">
      <c r="A940" s="6">
        <v>7</v>
      </c>
      <c r="B940" s="6" t="s">
        <v>95</v>
      </c>
      <c r="C940" s="6" t="s">
        <v>454</v>
      </c>
      <c r="D940" s="6" t="s">
        <v>96</v>
      </c>
      <c r="E940" s="11">
        <v>1.1550462245941162</v>
      </c>
      <c r="F940" s="11">
        <v>0.92606991529464722</v>
      </c>
    </row>
    <row r="941" spans="1:6" hidden="1" x14ac:dyDescent="0.3">
      <c r="A941" s="6">
        <v>7</v>
      </c>
      <c r="B941" s="6" t="s">
        <v>95</v>
      </c>
      <c r="C941" s="6" t="s">
        <v>455</v>
      </c>
      <c r="D941" s="6" t="s">
        <v>96</v>
      </c>
      <c r="E941" s="11">
        <v>2.1662673950195313</v>
      </c>
      <c r="F941" s="11">
        <v>0.92606991529464722</v>
      </c>
    </row>
    <row r="942" spans="1:6" hidden="1" x14ac:dyDescent="0.3">
      <c r="A942" s="6">
        <v>7</v>
      </c>
      <c r="B942" s="6" t="s">
        <v>95</v>
      </c>
      <c r="C942" s="6" t="s">
        <v>456</v>
      </c>
      <c r="D942" s="6" t="s">
        <v>96</v>
      </c>
      <c r="E942" s="11">
        <v>1.651715874671936</v>
      </c>
      <c r="F942" s="11">
        <v>0.92606991529464722</v>
      </c>
    </row>
    <row r="943" spans="1:6" hidden="1" x14ac:dyDescent="0.3">
      <c r="A943" s="6">
        <v>7</v>
      </c>
      <c r="B943" s="6" t="s">
        <v>95</v>
      </c>
      <c r="C943" s="6" t="s">
        <v>457</v>
      </c>
      <c r="D943" s="6" t="s">
        <v>96</v>
      </c>
      <c r="E943" s="11">
        <v>0.70525795221328735</v>
      </c>
      <c r="F943" s="11">
        <v>0.92606991529464722</v>
      </c>
    </row>
    <row r="944" spans="1:6" hidden="1" x14ac:dyDescent="0.3">
      <c r="A944" s="6">
        <v>7</v>
      </c>
      <c r="B944" s="6" t="s">
        <v>95</v>
      </c>
      <c r="C944" s="6" t="s">
        <v>458</v>
      </c>
      <c r="D944" s="6" t="s">
        <v>96</v>
      </c>
      <c r="E944" s="11">
        <v>1.7479079961776733</v>
      </c>
      <c r="F944" s="11">
        <v>0.92606991529464722</v>
      </c>
    </row>
    <row r="945" spans="1:6" hidden="1" x14ac:dyDescent="0.3">
      <c r="A945" s="6">
        <v>7</v>
      </c>
      <c r="B945" s="6" t="s">
        <v>95</v>
      </c>
      <c r="C945" s="6" t="s">
        <v>459</v>
      </c>
      <c r="D945" s="6" t="s">
        <v>96</v>
      </c>
      <c r="E945" s="11">
        <v>1.9459993839263916</v>
      </c>
      <c r="F945" s="11">
        <v>0.92606991529464722</v>
      </c>
    </row>
    <row r="946" spans="1:6" hidden="1" x14ac:dyDescent="0.3">
      <c r="A946" s="6">
        <v>7</v>
      </c>
      <c r="B946" s="6" t="s">
        <v>95</v>
      </c>
      <c r="C946" s="6" t="s">
        <v>460</v>
      </c>
      <c r="D946" s="6" t="s">
        <v>96</v>
      </c>
      <c r="E946" s="11">
        <v>1.6418731212615967</v>
      </c>
      <c r="F946" s="11">
        <v>0.92606991529464722</v>
      </c>
    </row>
    <row r="947" spans="1:6" hidden="1" x14ac:dyDescent="0.3">
      <c r="A947" s="6">
        <v>7</v>
      </c>
      <c r="B947" s="6" t="s">
        <v>95</v>
      </c>
      <c r="C947" s="6" t="s">
        <v>461</v>
      </c>
      <c r="D947" s="6" t="s">
        <v>96</v>
      </c>
      <c r="E947" s="11">
        <v>0.90165024995803833</v>
      </c>
      <c r="F947" s="11">
        <v>0.92606991529464722</v>
      </c>
    </row>
    <row r="948" spans="1:6" hidden="1" x14ac:dyDescent="0.3">
      <c r="A948" s="6">
        <v>7</v>
      </c>
      <c r="B948" s="6" t="s">
        <v>95</v>
      </c>
      <c r="C948" s="6" t="s">
        <v>462</v>
      </c>
      <c r="D948" s="6" t="s">
        <v>96</v>
      </c>
      <c r="E948" s="11">
        <v>0.7327888011932373</v>
      </c>
      <c r="F948" s="11">
        <v>0.92606991529464722</v>
      </c>
    </row>
    <row r="949" spans="1:6" hidden="1" x14ac:dyDescent="0.3">
      <c r="A949" s="6">
        <v>7</v>
      </c>
      <c r="B949" s="6" t="s">
        <v>95</v>
      </c>
      <c r="C949" s="6" t="s">
        <v>463</v>
      </c>
      <c r="D949" s="6" t="s">
        <v>96</v>
      </c>
      <c r="E949" s="11">
        <v>1.5302590131759644</v>
      </c>
      <c r="F949" s="11">
        <v>0.92606991529464722</v>
      </c>
    </row>
    <row r="950" spans="1:6" hidden="1" x14ac:dyDescent="0.3">
      <c r="A950" s="6">
        <v>7</v>
      </c>
      <c r="B950" s="6" t="s">
        <v>95</v>
      </c>
      <c r="C950" s="6" t="s">
        <v>464</v>
      </c>
      <c r="D950" s="6" t="s">
        <v>96</v>
      </c>
      <c r="E950" s="11">
        <v>1.4286549091339111</v>
      </c>
      <c r="F950" s="11">
        <v>0.92606991529464722</v>
      </c>
    </row>
    <row r="951" spans="1:6" hidden="1" x14ac:dyDescent="0.3">
      <c r="A951" s="6">
        <v>7</v>
      </c>
      <c r="B951" s="6" t="s">
        <v>95</v>
      </c>
      <c r="C951" s="6" t="s">
        <v>465</v>
      </c>
      <c r="D951" s="6" t="s">
        <v>96</v>
      </c>
      <c r="E951" s="11">
        <v>1.1074924468994141</v>
      </c>
      <c r="F951" s="11">
        <v>0.92606991529464722</v>
      </c>
    </row>
    <row r="952" spans="1:6" hidden="1" x14ac:dyDescent="0.3">
      <c r="A952" s="6">
        <v>7</v>
      </c>
      <c r="B952" s="6" t="s">
        <v>95</v>
      </c>
      <c r="C952" s="6" t="s">
        <v>466</v>
      </c>
      <c r="D952" s="6" t="s">
        <v>96</v>
      </c>
      <c r="E952" s="11">
        <v>1.4221258163452148</v>
      </c>
      <c r="F952" s="11">
        <v>0.92606991529464722</v>
      </c>
    </row>
    <row r="953" spans="1:6" hidden="1" x14ac:dyDescent="0.3">
      <c r="A953" s="6">
        <v>7</v>
      </c>
      <c r="B953" s="6" t="s">
        <v>95</v>
      </c>
      <c r="C953" s="6" t="s">
        <v>467</v>
      </c>
      <c r="D953" s="6" t="s">
        <v>96</v>
      </c>
      <c r="E953" s="11">
        <v>1.1046291589736938</v>
      </c>
      <c r="F953" s="11">
        <v>0.92606991529464722</v>
      </c>
    </row>
    <row r="954" spans="1:6" hidden="1" x14ac:dyDescent="0.3">
      <c r="A954" s="6">
        <v>7</v>
      </c>
      <c r="B954" s="6" t="s">
        <v>95</v>
      </c>
      <c r="C954" s="6" t="s">
        <v>468</v>
      </c>
      <c r="D954" s="6" t="s">
        <v>96</v>
      </c>
      <c r="E954" s="11">
        <v>1.0518326759338379</v>
      </c>
      <c r="F954" s="11">
        <v>0.92606991529464722</v>
      </c>
    </row>
    <row r="955" spans="1:6" hidden="1" x14ac:dyDescent="0.3">
      <c r="A955" s="6">
        <v>7</v>
      </c>
      <c r="B955" s="6" t="s">
        <v>95</v>
      </c>
      <c r="C955" s="6" t="s">
        <v>469</v>
      </c>
      <c r="D955" s="6" t="s">
        <v>96</v>
      </c>
      <c r="E955" s="11">
        <v>1.0793538093566895</v>
      </c>
      <c r="F955" s="11">
        <v>0.92606991529464722</v>
      </c>
    </row>
    <row r="956" spans="1:6" hidden="1" x14ac:dyDescent="0.3">
      <c r="A956" s="6">
        <v>7</v>
      </c>
      <c r="B956" s="6" t="s">
        <v>95</v>
      </c>
      <c r="C956" s="6" t="s">
        <v>470</v>
      </c>
      <c r="D956" s="6" t="s">
        <v>96</v>
      </c>
      <c r="E956" s="11">
        <v>0.76677954196929932</v>
      </c>
      <c r="F956" s="11">
        <v>0.92606991529464722</v>
      </c>
    </row>
    <row r="957" spans="1:6" hidden="1" x14ac:dyDescent="0.3">
      <c r="A957" s="6">
        <v>7</v>
      </c>
      <c r="B957" s="6" t="s">
        <v>95</v>
      </c>
      <c r="C957" s="6" t="s">
        <v>471</v>
      </c>
      <c r="D957" s="6" t="s">
        <v>96</v>
      </c>
      <c r="E957" s="11">
        <v>1.3344454765319824</v>
      </c>
      <c r="F957" s="11">
        <v>0.92606991529464722</v>
      </c>
    </row>
    <row r="958" spans="1:6" hidden="1" x14ac:dyDescent="0.3">
      <c r="A958" s="6">
        <v>7</v>
      </c>
      <c r="B958" s="6" t="s">
        <v>95</v>
      </c>
      <c r="C958" s="6" t="s">
        <v>472</v>
      </c>
      <c r="D958" s="6" t="s">
        <v>96</v>
      </c>
      <c r="E958" s="11">
        <v>1.3456234931945801</v>
      </c>
      <c r="F958" s="11">
        <v>0.92606991529464722</v>
      </c>
    </row>
    <row r="959" spans="1:6" hidden="1" x14ac:dyDescent="0.3">
      <c r="A959" s="6">
        <v>7</v>
      </c>
      <c r="B959" s="6" t="s">
        <v>95</v>
      </c>
      <c r="C959" s="6" t="s">
        <v>473</v>
      </c>
      <c r="D959" s="6" t="s">
        <v>96</v>
      </c>
      <c r="E959" s="11">
        <v>1.0731939077377319</v>
      </c>
      <c r="F959" s="11">
        <v>0.92606991529464722</v>
      </c>
    </row>
    <row r="960" spans="1:6" hidden="1" x14ac:dyDescent="0.3">
      <c r="A960" s="6">
        <v>7</v>
      </c>
      <c r="B960" s="6" t="s">
        <v>95</v>
      </c>
      <c r="C960" s="6" t="s">
        <v>474</v>
      </c>
      <c r="D960" s="6" t="s">
        <v>96</v>
      </c>
      <c r="E960" s="11">
        <v>1.6389786005020142</v>
      </c>
      <c r="F960" s="11">
        <v>0.92606991529464722</v>
      </c>
    </row>
    <row r="961" spans="1:6" hidden="1" x14ac:dyDescent="0.3">
      <c r="A961" s="6">
        <v>7</v>
      </c>
      <c r="B961" s="6" t="s">
        <v>95</v>
      </c>
      <c r="C961" s="6" t="s">
        <v>475</v>
      </c>
      <c r="D961" s="6" t="s">
        <v>96</v>
      </c>
      <c r="E961" s="11">
        <v>1.113366961479187</v>
      </c>
      <c r="F961" s="11">
        <v>0.92606991529464722</v>
      </c>
    </row>
    <row r="962" spans="1:6" hidden="1" x14ac:dyDescent="0.3">
      <c r="A962" s="6">
        <v>7</v>
      </c>
      <c r="B962" s="6" t="s">
        <v>95</v>
      </c>
      <c r="C962" s="6" t="s">
        <v>476</v>
      </c>
      <c r="D962" s="6" t="s">
        <v>96</v>
      </c>
      <c r="E962" s="11">
        <v>1.081609845161438</v>
      </c>
      <c r="F962" s="11">
        <v>0.92606991529464722</v>
      </c>
    </row>
    <row r="963" spans="1:6" hidden="1" x14ac:dyDescent="0.3">
      <c r="A963" s="6">
        <v>7</v>
      </c>
      <c r="B963" s="6" t="s">
        <v>95</v>
      </c>
      <c r="C963" s="6" t="s">
        <v>477</v>
      </c>
      <c r="D963" s="6" t="s">
        <v>96</v>
      </c>
      <c r="E963" s="11">
        <v>1.4992221593856812</v>
      </c>
      <c r="F963" s="11">
        <v>0.92606991529464722</v>
      </c>
    </row>
    <row r="964" spans="1:6" hidden="1" x14ac:dyDescent="0.3">
      <c r="A964" s="6">
        <v>7</v>
      </c>
      <c r="B964" s="6" t="s">
        <v>95</v>
      </c>
      <c r="C964" s="6" t="s">
        <v>478</v>
      </c>
      <c r="D964" s="6" t="s">
        <v>96</v>
      </c>
      <c r="E964" s="11">
        <v>1.6763721704483032</v>
      </c>
      <c r="F964" s="11">
        <v>0.92606991529464722</v>
      </c>
    </row>
    <row r="965" spans="1:6" hidden="1" x14ac:dyDescent="0.3">
      <c r="A965" s="6">
        <v>7</v>
      </c>
      <c r="B965" s="6" t="s">
        <v>95</v>
      </c>
      <c r="C965" s="6" t="s">
        <v>479</v>
      </c>
      <c r="D965" s="6" t="s">
        <v>96</v>
      </c>
      <c r="E965" s="11">
        <v>1.0481833219528198</v>
      </c>
      <c r="F965" s="11">
        <v>0.92606991529464722</v>
      </c>
    </row>
    <row r="966" spans="1:6" hidden="1" x14ac:dyDescent="0.3">
      <c r="A966" s="6">
        <v>7</v>
      </c>
      <c r="B966" s="6" t="s">
        <v>95</v>
      </c>
      <c r="C966" s="6" t="s">
        <v>480</v>
      </c>
      <c r="D966" s="6" t="s">
        <v>96</v>
      </c>
      <c r="E966" s="11">
        <v>1.1177657842636108</v>
      </c>
      <c r="F966" s="11">
        <v>0.92606991529464722</v>
      </c>
    </row>
    <row r="967" spans="1:6" hidden="1" x14ac:dyDescent="0.3">
      <c r="A967" s="6">
        <v>7</v>
      </c>
      <c r="B967" s="6" t="s">
        <v>95</v>
      </c>
      <c r="C967" s="6" t="s">
        <v>481</v>
      </c>
      <c r="D967" s="6" t="s">
        <v>96</v>
      </c>
      <c r="E967" s="11">
        <v>1.5648415088653564</v>
      </c>
      <c r="F967" s="11">
        <v>0.92606991529464722</v>
      </c>
    </row>
    <row r="968" spans="1:6" hidden="1" x14ac:dyDescent="0.3">
      <c r="A968" s="6">
        <v>7</v>
      </c>
      <c r="B968" s="6" t="s">
        <v>95</v>
      </c>
      <c r="C968" s="6" t="s">
        <v>482</v>
      </c>
      <c r="D968" s="6" t="s">
        <v>96</v>
      </c>
      <c r="E968" s="11">
        <v>1.4458996057510376</v>
      </c>
      <c r="F968" s="11">
        <v>0.92606991529464722</v>
      </c>
    </row>
    <row r="969" spans="1:6" hidden="1" x14ac:dyDescent="0.3">
      <c r="A969" s="6">
        <v>7</v>
      </c>
      <c r="B969" s="6" t="s">
        <v>95</v>
      </c>
      <c r="C969" s="6" t="s">
        <v>483</v>
      </c>
      <c r="D969" s="6" t="s">
        <v>96</v>
      </c>
      <c r="E969" s="11">
        <v>1.6234476566314697</v>
      </c>
      <c r="F969" s="11">
        <v>0.92606991529464722</v>
      </c>
    </row>
    <row r="970" spans="1:6" hidden="1" x14ac:dyDescent="0.3">
      <c r="A970" s="6">
        <v>7</v>
      </c>
      <c r="B970" s="6" t="s">
        <v>95</v>
      </c>
      <c r="C970" s="6" t="s">
        <v>484</v>
      </c>
      <c r="D970" s="6" t="s">
        <v>96</v>
      </c>
      <c r="E970" s="11">
        <v>1.6886498928070068</v>
      </c>
      <c r="F970" s="11">
        <v>0.92606991529464722</v>
      </c>
    </row>
    <row r="971" spans="1:6" hidden="1" x14ac:dyDescent="0.3">
      <c r="A971" s="6">
        <v>7</v>
      </c>
      <c r="B971" s="6" t="s">
        <v>95</v>
      </c>
      <c r="C971" s="6" t="s">
        <v>485</v>
      </c>
      <c r="D971" s="6" t="s">
        <v>96</v>
      </c>
      <c r="E971" s="11">
        <v>0.77847063541412354</v>
      </c>
      <c r="F971" s="11">
        <v>0.92606991529464722</v>
      </c>
    </row>
    <row r="972" spans="1:6" hidden="1" x14ac:dyDescent="0.3">
      <c r="A972" s="6">
        <v>7</v>
      </c>
      <c r="B972" s="6" t="s">
        <v>95</v>
      </c>
      <c r="C972" s="6" t="s">
        <v>486</v>
      </c>
      <c r="D972" s="6" t="s">
        <v>96</v>
      </c>
      <c r="E972" s="11">
        <v>0.79772317409515381</v>
      </c>
      <c r="F972" s="11">
        <v>0.92606991529464722</v>
      </c>
    </row>
    <row r="973" spans="1:6" hidden="1" x14ac:dyDescent="0.3">
      <c r="A973" s="6">
        <v>7</v>
      </c>
      <c r="B973" s="6" t="s">
        <v>95</v>
      </c>
      <c r="C973" s="6" t="s">
        <v>487</v>
      </c>
      <c r="D973" s="6" t="s">
        <v>96</v>
      </c>
      <c r="E973" s="11">
        <v>0.73858869075775146</v>
      </c>
      <c r="F973" s="11">
        <v>0.92606991529464722</v>
      </c>
    </row>
    <row r="974" spans="1:6" hidden="1" x14ac:dyDescent="0.3">
      <c r="A974" s="6">
        <v>7</v>
      </c>
      <c r="B974" s="6" t="s">
        <v>95</v>
      </c>
      <c r="C974" s="6" t="s">
        <v>488</v>
      </c>
      <c r="D974" s="6" t="s">
        <v>96</v>
      </c>
      <c r="E974" s="11">
        <v>1.0060074329376221</v>
      </c>
      <c r="F974" s="11">
        <v>0.92606991529464722</v>
      </c>
    </row>
    <row r="975" spans="1:6" hidden="1" x14ac:dyDescent="0.3">
      <c r="A975" s="6">
        <v>7</v>
      </c>
      <c r="B975" s="6" t="s">
        <v>95</v>
      </c>
      <c r="C975" s="6" t="s">
        <v>489</v>
      </c>
      <c r="D975" s="6" t="s">
        <v>96</v>
      </c>
      <c r="E975" s="11">
        <v>1.0817809104919434</v>
      </c>
      <c r="F975" s="11">
        <v>0.92606991529464722</v>
      </c>
    </row>
    <row r="976" spans="1:6" hidden="1" x14ac:dyDescent="0.3">
      <c r="A976" s="6">
        <v>7</v>
      </c>
      <c r="B976" s="6" t="s">
        <v>95</v>
      </c>
      <c r="C976" s="6" t="s">
        <v>490</v>
      </c>
      <c r="D976" s="6" t="s">
        <v>96</v>
      </c>
      <c r="E976" s="11">
        <v>1.5989999771118164</v>
      </c>
      <c r="F976" s="11">
        <v>0.92606991529464722</v>
      </c>
    </row>
    <row r="977" spans="1:6" hidden="1" x14ac:dyDescent="0.3">
      <c r="A977" s="6">
        <v>7</v>
      </c>
      <c r="B977" s="6" t="s">
        <v>95</v>
      </c>
      <c r="C977" s="6" t="s">
        <v>491</v>
      </c>
      <c r="D977" s="6" t="s">
        <v>96</v>
      </c>
      <c r="E977" s="11">
        <v>1.2146755456924438</v>
      </c>
      <c r="F977" s="11">
        <v>0.92606991529464722</v>
      </c>
    </row>
    <row r="978" spans="1:6" hidden="1" x14ac:dyDescent="0.3">
      <c r="A978" s="6">
        <v>7</v>
      </c>
      <c r="B978" s="6" t="s">
        <v>95</v>
      </c>
      <c r="C978" s="6" t="s">
        <v>492</v>
      </c>
      <c r="D978" s="6" t="s">
        <v>96</v>
      </c>
      <c r="E978" s="11">
        <v>0.93717694282531738</v>
      </c>
      <c r="F978" s="11">
        <v>0.92606991529464722</v>
      </c>
    </row>
    <row r="979" spans="1:6" hidden="1" x14ac:dyDescent="0.3">
      <c r="A979" s="6">
        <v>7</v>
      </c>
      <c r="B979" s="6" t="s">
        <v>95</v>
      </c>
      <c r="C979" s="6" t="s">
        <v>493</v>
      </c>
      <c r="D979" s="6" t="s">
        <v>96</v>
      </c>
      <c r="E979" s="11">
        <v>1.4523026943206787</v>
      </c>
      <c r="F979" s="11">
        <v>0.92606991529464722</v>
      </c>
    </row>
    <row r="980" spans="1:6" hidden="1" x14ac:dyDescent="0.3">
      <c r="A980" s="6">
        <v>7</v>
      </c>
      <c r="B980" s="6" t="s">
        <v>95</v>
      </c>
      <c r="C980" s="6" t="s">
        <v>494</v>
      </c>
      <c r="D980" s="6" t="s">
        <v>96</v>
      </c>
      <c r="E980" s="11">
        <v>1.0303339958190918</v>
      </c>
      <c r="F980" s="11">
        <v>0.92606991529464722</v>
      </c>
    </row>
    <row r="981" spans="1:6" hidden="1" x14ac:dyDescent="0.3">
      <c r="A981" s="6">
        <v>7</v>
      </c>
      <c r="B981" s="6" t="s">
        <v>95</v>
      </c>
      <c r="C981" s="6" t="s">
        <v>495</v>
      </c>
      <c r="D981" s="6" t="s">
        <v>96</v>
      </c>
      <c r="E981" s="11">
        <v>1.2246254682540894</v>
      </c>
      <c r="F981" s="11">
        <v>0.92606991529464722</v>
      </c>
    </row>
    <row r="982" spans="1:6" hidden="1" x14ac:dyDescent="0.3">
      <c r="A982" s="6">
        <v>8</v>
      </c>
      <c r="B982" s="6" t="s">
        <v>97</v>
      </c>
      <c r="C982" s="6" t="s">
        <v>356</v>
      </c>
      <c r="D982" s="6" t="s">
        <v>98</v>
      </c>
      <c r="E982" s="11">
        <v>0.78890699148178101</v>
      </c>
      <c r="F982" s="11">
        <v>0.84786814451217651</v>
      </c>
    </row>
    <row r="983" spans="1:6" hidden="1" x14ac:dyDescent="0.3">
      <c r="A983" s="6">
        <v>8</v>
      </c>
      <c r="B983" s="6" t="s">
        <v>97</v>
      </c>
      <c r="C983" s="6" t="s">
        <v>357</v>
      </c>
      <c r="D983" s="6" t="s">
        <v>98</v>
      </c>
      <c r="E983" s="11">
        <v>0.90842944383621216</v>
      </c>
      <c r="F983" s="11">
        <v>0.84786814451217651</v>
      </c>
    </row>
    <row r="984" spans="1:6" hidden="1" x14ac:dyDescent="0.3">
      <c r="A984" s="6">
        <v>8</v>
      </c>
      <c r="B984" s="6" t="s">
        <v>97</v>
      </c>
      <c r="C984" s="6" t="s">
        <v>358</v>
      </c>
      <c r="D984" s="6" t="s">
        <v>98</v>
      </c>
      <c r="E984" s="11">
        <v>0.78922921419143677</v>
      </c>
      <c r="F984" s="11">
        <v>0.84786814451217651</v>
      </c>
    </row>
    <row r="985" spans="1:6" hidden="1" x14ac:dyDescent="0.3">
      <c r="A985" s="6">
        <v>8</v>
      </c>
      <c r="B985" s="6" t="s">
        <v>97</v>
      </c>
      <c r="C985" s="6" t="s">
        <v>359</v>
      </c>
      <c r="D985" s="6" t="s">
        <v>98</v>
      </c>
      <c r="E985" s="11">
        <v>1.0125372409820557</v>
      </c>
      <c r="F985" s="11">
        <v>0.84786814451217651</v>
      </c>
    </row>
    <row r="986" spans="1:6" hidden="1" x14ac:dyDescent="0.3">
      <c r="A986" s="6">
        <v>8</v>
      </c>
      <c r="B986" s="6" t="s">
        <v>97</v>
      </c>
      <c r="C986" s="6" t="s">
        <v>360</v>
      </c>
      <c r="D986" s="6" t="s">
        <v>98</v>
      </c>
      <c r="E986" s="11">
        <v>0.6483110785484314</v>
      </c>
      <c r="F986" s="11">
        <v>0.84786814451217651</v>
      </c>
    </row>
    <row r="987" spans="1:6" hidden="1" x14ac:dyDescent="0.3">
      <c r="A987" s="6">
        <v>8</v>
      </c>
      <c r="B987" s="6" t="s">
        <v>97</v>
      </c>
      <c r="C987" s="6" t="s">
        <v>361</v>
      </c>
      <c r="D987" s="6" t="s">
        <v>98</v>
      </c>
      <c r="E987" s="11">
        <v>1.3230547904968262</v>
      </c>
      <c r="F987" s="11">
        <v>0.84786814451217651</v>
      </c>
    </row>
    <row r="988" spans="1:6" hidden="1" x14ac:dyDescent="0.3">
      <c r="A988" s="6">
        <v>8</v>
      </c>
      <c r="B988" s="6" t="s">
        <v>97</v>
      </c>
      <c r="C988" s="6" t="s">
        <v>362</v>
      </c>
      <c r="D988" s="6" t="s">
        <v>98</v>
      </c>
      <c r="E988" s="11">
        <v>0.88759851455688477</v>
      </c>
      <c r="F988" s="11">
        <v>0.84786814451217651</v>
      </c>
    </row>
    <row r="989" spans="1:6" hidden="1" x14ac:dyDescent="0.3">
      <c r="A989" s="6">
        <v>8</v>
      </c>
      <c r="B989" s="6" t="s">
        <v>97</v>
      </c>
      <c r="C989" s="6" t="s">
        <v>363</v>
      </c>
      <c r="D989" s="6" t="s">
        <v>98</v>
      </c>
      <c r="E989" s="11">
        <v>1.0760035514831543</v>
      </c>
      <c r="F989" s="11">
        <v>0.84786814451217651</v>
      </c>
    </row>
    <row r="990" spans="1:6" hidden="1" x14ac:dyDescent="0.3">
      <c r="A990" s="6">
        <v>8</v>
      </c>
      <c r="B990" s="6" t="s">
        <v>97</v>
      </c>
      <c r="C990" s="6" t="s">
        <v>364</v>
      </c>
      <c r="D990" s="6" t="s">
        <v>98</v>
      </c>
      <c r="E990" s="11">
        <v>1.1536611318588257</v>
      </c>
      <c r="F990" s="11">
        <v>0.84786814451217651</v>
      </c>
    </row>
    <row r="991" spans="1:6" hidden="1" x14ac:dyDescent="0.3">
      <c r="A991" s="6">
        <v>8</v>
      </c>
      <c r="B991" s="6" t="s">
        <v>97</v>
      </c>
      <c r="C991" s="6" t="s">
        <v>365</v>
      </c>
      <c r="D991" s="6" t="s">
        <v>98</v>
      </c>
      <c r="E991" s="11">
        <v>1.1504162549972534</v>
      </c>
      <c r="F991" s="11">
        <v>0.84786814451217651</v>
      </c>
    </row>
    <row r="992" spans="1:6" hidden="1" x14ac:dyDescent="0.3">
      <c r="A992" s="6">
        <v>8</v>
      </c>
      <c r="B992" s="6" t="s">
        <v>97</v>
      </c>
      <c r="C992" s="6" t="s">
        <v>366</v>
      </c>
      <c r="D992" s="6" t="s">
        <v>98</v>
      </c>
      <c r="E992" s="11">
        <v>0.96213757991790771</v>
      </c>
      <c r="F992" s="11">
        <v>0.84786814451217651</v>
      </c>
    </row>
    <row r="993" spans="1:6" hidden="1" x14ac:dyDescent="0.3">
      <c r="A993" s="6">
        <v>8</v>
      </c>
      <c r="B993" s="6" t="s">
        <v>97</v>
      </c>
      <c r="C993" s="6" t="s">
        <v>367</v>
      </c>
      <c r="D993" s="6" t="s">
        <v>98</v>
      </c>
      <c r="E993" s="11">
        <v>0.95631885528564453</v>
      </c>
      <c r="F993" s="11">
        <v>0.84786814451217651</v>
      </c>
    </row>
    <row r="994" spans="1:6" hidden="1" x14ac:dyDescent="0.3">
      <c r="A994" s="6">
        <v>8</v>
      </c>
      <c r="B994" s="6" t="s">
        <v>97</v>
      </c>
      <c r="C994" s="6" t="s">
        <v>368</v>
      </c>
      <c r="D994" s="6" t="s">
        <v>98</v>
      </c>
      <c r="E994" s="11">
        <v>0.90702241659164429</v>
      </c>
      <c r="F994" s="11">
        <v>0.84786814451217651</v>
      </c>
    </row>
    <row r="995" spans="1:6" hidden="1" x14ac:dyDescent="0.3">
      <c r="A995" s="6">
        <v>8</v>
      </c>
      <c r="B995" s="6" t="s">
        <v>97</v>
      </c>
      <c r="C995" s="6" t="s">
        <v>369</v>
      </c>
      <c r="D995" s="6" t="s">
        <v>98</v>
      </c>
      <c r="E995" s="11">
        <v>1.2144229412078857</v>
      </c>
      <c r="F995" s="11">
        <v>0.84786814451217651</v>
      </c>
    </row>
    <row r="996" spans="1:6" hidden="1" x14ac:dyDescent="0.3">
      <c r="A996" s="6">
        <v>8</v>
      </c>
      <c r="B996" s="6" t="s">
        <v>97</v>
      </c>
      <c r="C996" s="6" t="s">
        <v>370</v>
      </c>
      <c r="D996" s="6" t="s">
        <v>98</v>
      </c>
      <c r="E996" s="11">
        <v>0.84279364347457886</v>
      </c>
      <c r="F996" s="11">
        <v>0.84786814451217651</v>
      </c>
    </row>
    <row r="997" spans="1:6" hidden="1" x14ac:dyDescent="0.3">
      <c r="A997" s="6">
        <v>8</v>
      </c>
      <c r="B997" s="6" t="s">
        <v>97</v>
      </c>
      <c r="C997" s="6" t="s">
        <v>371</v>
      </c>
      <c r="D997" s="6" t="s">
        <v>98</v>
      </c>
      <c r="E997" s="11">
        <v>0.7719840407371521</v>
      </c>
      <c r="F997" s="11">
        <v>0.84786814451217651</v>
      </c>
    </row>
    <row r="998" spans="1:6" hidden="1" x14ac:dyDescent="0.3">
      <c r="A998" s="6">
        <v>8</v>
      </c>
      <c r="B998" s="6" t="s">
        <v>97</v>
      </c>
      <c r="C998" s="6" t="s">
        <v>372</v>
      </c>
      <c r="D998" s="6" t="s">
        <v>98</v>
      </c>
      <c r="E998" s="11">
        <v>1.2977390289306641</v>
      </c>
      <c r="F998" s="11">
        <v>0.84786814451217651</v>
      </c>
    </row>
    <row r="999" spans="1:6" hidden="1" x14ac:dyDescent="0.3">
      <c r="A999" s="6">
        <v>8</v>
      </c>
      <c r="B999" s="6" t="s">
        <v>97</v>
      </c>
      <c r="C999" s="6" t="s">
        <v>373</v>
      </c>
      <c r="D999" s="6" t="s">
        <v>98</v>
      </c>
      <c r="E999" s="11">
        <v>0.81022578477859497</v>
      </c>
      <c r="F999" s="11">
        <v>0.84786814451217651</v>
      </c>
    </row>
    <row r="1000" spans="1:6" hidden="1" x14ac:dyDescent="0.3">
      <c r="A1000" s="6">
        <v>8</v>
      </c>
      <c r="B1000" s="6" t="s">
        <v>97</v>
      </c>
      <c r="C1000" s="6" t="s">
        <v>374</v>
      </c>
      <c r="D1000" s="6" t="s">
        <v>98</v>
      </c>
      <c r="E1000" s="11">
        <v>0.88324809074401855</v>
      </c>
      <c r="F1000" s="11">
        <v>0.84786814451217651</v>
      </c>
    </row>
    <row r="1001" spans="1:6" hidden="1" x14ac:dyDescent="0.3">
      <c r="A1001" s="6">
        <v>8</v>
      </c>
      <c r="B1001" s="6" t="s">
        <v>97</v>
      </c>
      <c r="C1001" s="6" t="s">
        <v>375</v>
      </c>
      <c r="D1001" s="6" t="s">
        <v>98</v>
      </c>
      <c r="E1001" s="11">
        <v>0.64839965105056763</v>
      </c>
      <c r="F1001" s="11">
        <v>0.84786814451217651</v>
      </c>
    </row>
    <row r="1002" spans="1:6" hidden="1" x14ac:dyDescent="0.3">
      <c r="A1002" s="6">
        <v>8</v>
      </c>
      <c r="B1002" s="6" t="s">
        <v>97</v>
      </c>
      <c r="C1002" s="6" t="s">
        <v>376</v>
      </c>
      <c r="D1002" s="6" t="s">
        <v>98</v>
      </c>
      <c r="E1002" s="11">
        <v>0.84916216135025024</v>
      </c>
      <c r="F1002" s="11">
        <v>0.84786814451217651</v>
      </c>
    </row>
    <row r="1003" spans="1:6" hidden="1" x14ac:dyDescent="0.3">
      <c r="A1003" s="6">
        <v>8</v>
      </c>
      <c r="B1003" s="6" t="s">
        <v>97</v>
      </c>
      <c r="C1003" s="6" t="s">
        <v>377</v>
      </c>
      <c r="D1003" s="6" t="s">
        <v>98</v>
      </c>
      <c r="E1003" s="11">
        <v>0.81077057123184204</v>
      </c>
      <c r="F1003" s="11">
        <v>0.84786814451217651</v>
      </c>
    </row>
    <row r="1004" spans="1:6" hidden="1" x14ac:dyDescent="0.3">
      <c r="A1004" s="6">
        <v>8</v>
      </c>
      <c r="B1004" s="6" t="s">
        <v>97</v>
      </c>
      <c r="C1004" s="6" t="s">
        <v>378</v>
      </c>
      <c r="D1004" s="6" t="s">
        <v>98</v>
      </c>
      <c r="E1004" s="11">
        <v>1.2771487236022949</v>
      </c>
      <c r="F1004" s="11">
        <v>0.84786814451217651</v>
      </c>
    </row>
    <row r="1005" spans="1:6" hidden="1" x14ac:dyDescent="0.3">
      <c r="A1005" s="6">
        <v>8</v>
      </c>
      <c r="B1005" s="6" t="s">
        <v>97</v>
      </c>
      <c r="C1005" s="6" t="s">
        <v>379</v>
      </c>
      <c r="D1005" s="6" t="s">
        <v>98</v>
      </c>
      <c r="E1005" s="11">
        <v>1.2597241401672363</v>
      </c>
      <c r="F1005" s="11">
        <v>0.84786814451217651</v>
      </c>
    </row>
    <row r="1006" spans="1:6" hidden="1" x14ac:dyDescent="0.3">
      <c r="A1006" s="6">
        <v>8</v>
      </c>
      <c r="B1006" s="6" t="s">
        <v>97</v>
      </c>
      <c r="C1006" s="6" t="s">
        <v>380</v>
      </c>
      <c r="D1006" s="6" t="s">
        <v>98</v>
      </c>
      <c r="E1006" s="11">
        <v>0.89237028360366821</v>
      </c>
      <c r="F1006" s="11">
        <v>0.84786814451217651</v>
      </c>
    </row>
    <row r="1007" spans="1:6" hidden="1" x14ac:dyDescent="0.3">
      <c r="A1007" s="6">
        <v>8</v>
      </c>
      <c r="B1007" s="6" t="s">
        <v>97</v>
      </c>
      <c r="C1007" s="6" t="s">
        <v>381</v>
      </c>
      <c r="D1007" s="6" t="s">
        <v>98</v>
      </c>
      <c r="E1007" s="11">
        <v>0.82112324237823486</v>
      </c>
      <c r="F1007" s="11">
        <v>0.84786814451217651</v>
      </c>
    </row>
    <row r="1008" spans="1:6" hidden="1" x14ac:dyDescent="0.3">
      <c r="A1008" s="6">
        <v>8</v>
      </c>
      <c r="B1008" s="6" t="s">
        <v>97</v>
      </c>
      <c r="C1008" s="6" t="s">
        <v>382</v>
      </c>
      <c r="D1008" s="6" t="s">
        <v>98</v>
      </c>
      <c r="E1008" s="11">
        <v>0.97003781795501709</v>
      </c>
      <c r="F1008" s="11">
        <v>0.84786814451217651</v>
      </c>
    </row>
    <row r="1009" spans="1:6" hidden="1" x14ac:dyDescent="0.3">
      <c r="A1009" s="6">
        <v>8</v>
      </c>
      <c r="B1009" s="6" t="s">
        <v>97</v>
      </c>
      <c r="C1009" s="6" t="s">
        <v>383</v>
      </c>
      <c r="D1009" s="6" t="s">
        <v>98</v>
      </c>
      <c r="E1009" s="11">
        <v>0.98497855663299561</v>
      </c>
      <c r="F1009" s="11">
        <v>0.84786814451217651</v>
      </c>
    </row>
    <row r="1010" spans="1:6" hidden="1" x14ac:dyDescent="0.3">
      <c r="A1010" s="6">
        <v>8</v>
      </c>
      <c r="B1010" s="6" t="s">
        <v>97</v>
      </c>
      <c r="C1010" s="6" t="s">
        <v>384</v>
      </c>
      <c r="D1010" s="6" t="s">
        <v>98</v>
      </c>
      <c r="E1010" s="11">
        <v>1.0117338895797729</v>
      </c>
      <c r="F1010" s="11">
        <v>0.84786814451217651</v>
      </c>
    </row>
    <row r="1011" spans="1:6" hidden="1" x14ac:dyDescent="0.3">
      <c r="A1011" s="6">
        <v>8</v>
      </c>
      <c r="B1011" s="6" t="s">
        <v>97</v>
      </c>
      <c r="C1011" s="6" t="s">
        <v>385</v>
      </c>
      <c r="D1011" s="6" t="s">
        <v>98</v>
      </c>
      <c r="E1011" s="11">
        <v>0.88317650556564331</v>
      </c>
      <c r="F1011" s="11">
        <v>0.84786814451217651</v>
      </c>
    </row>
    <row r="1012" spans="1:6" hidden="1" x14ac:dyDescent="0.3">
      <c r="A1012" s="6">
        <v>8</v>
      </c>
      <c r="B1012" s="6" t="s">
        <v>97</v>
      </c>
      <c r="C1012" s="6" t="s">
        <v>386</v>
      </c>
      <c r="D1012" s="6" t="s">
        <v>98</v>
      </c>
      <c r="E1012" s="11">
        <v>0.77707475423812866</v>
      </c>
      <c r="F1012" s="11">
        <v>0.84786814451217651</v>
      </c>
    </row>
    <row r="1013" spans="1:6" hidden="1" x14ac:dyDescent="0.3">
      <c r="A1013" s="6">
        <v>8</v>
      </c>
      <c r="B1013" s="6" t="s">
        <v>97</v>
      </c>
      <c r="C1013" s="6" t="s">
        <v>387</v>
      </c>
      <c r="D1013" s="6" t="s">
        <v>98</v>
      </c>
      <c r="E1013" s="11">
        <v>0.89503860473632813</v>
      </c>
      <c r="F1013" s="11">
        <v>0.84786814451217651</v>
      </c>
    </row>
    <row r="1014" spans="1:6" hidden="1" x14ac:dyDescent="0.3">
      <c r="A1014" s="6">
        <v>8</v>
      </c>
      <c r="B1014" s="6" t="s">
        <v>97</v>
      </c>
      <c r="C1014" s="6" t="s">
        <v>388</v>
      </c>
      <c r="D1014" s="6" t="s">
        <v>98</v>
      </c>
      <c r="E1014" s="11">
        <v>0.85558491945266724</v>
      </c>
      <c r="F1014" s="11">
        <v>0.84786814451217651</v>
      </c>
    </row>
    <row r="1015" spans="1:6" hidden="1" x14ac:dyDescent="0.3">
      <c r="A1015" s="6">
        <v>8</v>
      </c>
      <c r="B1015" s="6" t="s">
        <v>97</v>
      </c>
      <c r="C1015" s="6" t="s">
        <v>389</v>
      </c>
      <c r="D1015" s="6" t="s">
        <v>98</v>
      </c>
      <c r="E1015" s="11">
        <v>0.98877954483032227</v>
      </c>
      <c r="F1015" s="11">
        <v>0.84786814451217651</v>
      </c>
    </row>
    <row r="1016" spans="1:6" hidden="1" x14ac:dyDescent="0.3">
      <c r="A1016" s="6">
        <v>8</v>
      </c>
      <c r="B1016" s="6" t="s">
        <v>97</v>
      </c>
      <c r="C1016" s="6" t="s">
        <v>390</v>
      </c>
      <c r="D1016" s="6" t="s">
        <v>98</v>
      </c>
      <c r="E1016" s="11">
        <v>1.1334455013275146</v>
      </c>
      <c r="F1016" s="11">
        <v>0.84786814451217651</v>
      </c>
    </row>
    <row r="1017" spans="1:6" hidden="1" x14ac:dyDescent="0.3">
      <c r="A1017" s="6">
        <v>8</v>
      </c>
      <c r="B1017" s="6" t="s">
        <v>97</v>
      </c>
      <c r="C1017" s="6" t="s">
        <v>391</v>
      </c>
      <c r="D1017" s="6" t="s">
        <v>98</v>
      </c>
      <c r="E1017" s="11">
        <v>1.2201911211013794</v>
      </c>
      <c r="F1017" s="11">
        <v>0.84786814451217651</v>
      </c>
    </row>
    <row r="1018" spans="1:6" hidden="1" x14ac:dyDescent="0.3">
      <c r="A1018" s="6">
        <v>8</v>
      </c>
      <c r="B1018" s="6" t="s">
        <v>97</v>
      </c>
      <c r="C1018" s="6" t="s">
        <v>392</v>
      </c>
      <c r="D1018" s="6" t="s">
        <v>98</v>
      </c>
      <c r="E1018" s="11">
        <v>1.2125653028488159</v>
      </c>
      <c r="F1018" s="11">
        <v>0.84786814451217651</v>
      </c>
    </row>
    <row r="1019" spans="1:6" hidden="1" x14ac:dyDescent="0.3">
      <c r="A1019" s="6">
        <v>8</v>
      </c>
      <c r="B1019" s="6" t="s">
        <v>97</v>
      </c>
      <c r="C1019" s="6" t="s">
        <v>393</v>
      </c>
      <c r="D1019" s="6" t="s">
        <v>98</v>
      </c>
      <c r="E1019" s="11">
        <v>1.1141027212142944</v>
      </c>
      <c r="F1019" s="11">
        <v>0.84786814451217651</v>
      </c>
    </row>
    <row r="1020" spans="1:6" hidden="1" x14ac:dyDescent="0.3">
      <c r="A1020" s="6">
        <v>8</v>
      </c>
      <c r="B1020" s="6" t="s">
        <v>97</v>
      </c>
      <c r="C1020" s="6" t="s">
        <v>394</v>
      </c>
      <c r="D1020" s="6" t="s">
        <v>98</v>
      </c>
      <c r="E1020" s="11">
        <v>1.2889095544815063</v>
      </c>
      <c r="F1020" s="11">
        <v>0.84786814451217651</v>
      </c>
    </row>
    <row r="1021" spans="1:6" hidden="1" x14ac:dyDescent="0.3">
      <c r="A1021" s="6">
        <v>8</v>
      </c>
      <c r="B1021" s="6" t="s">
        <v>97</v>
      </c>
      <c r="C1021" s="6" t="s">
        <v>395</v>
      </c>
      <c r="D1021" s="6" t="s">
        <v>98</v>
      </c>
      <c r="E1021" s="11">
        <v>1.0370277166366577</v>
      </c>
      <c r="F1021" s="11">
        <v>0.84786814451217651</v>
      </c>
    </row>
    <row r="1022" spans="1:6" hidden="1" x14ac:dyDescent="0.3">
      <c r="A1022" s="6">
        <v>8</v>
      </c>
      <c r="B1022" s="6" t="s">
        <v>97</v>
      </c>
      <c r="C1022" s="6" t="s">
        <v>396</v>
      </c>
      <c r="D1022" s="6" t="s">
        <v>98</v>
      </c>
      <c r="E1022" s="11">
        <v>1.228795051574707</v>
      </c>
      <c r="F1022" s="11">
        <v>0.84786814451217651</v>
      </c>
    </row>
    <row r="1023" spans="1:6" hidden="1" x14ac:dyDescent="0.3">
      <c r="A1023" s="6">
        <v>8</v>
      </c>
      <c r="B1023" s="6" t="s">
        <v>97</v>
      </c>
      <c r="C1023" s="6" t="s">
        <v>397</v>
      </c>
      <c r="D1023" s="6" t="s">
        <v>98</v>
      </c>
      <c r="E1023" s="11">
        <v>1.1503058671951294</v>
      </c>
      <c r="F1023" s="11">
        <v>0.84786814451217651</v>
      </c>
    </row>
    <row r="1024" spans="1:6" hidden="1" x14ac:dyDescent="0.3">
      <c r="A1024" s="6">
        <v>8</v>
      </c>
      <c r="B1024" s="6" t="s">
        <v>97</v>
      </c>
      <c r="C1024" s="6" t="s">
        <v>398</v>
      </c>
      <c r="D1024" s="6" t="s">
        <v>98</v>
      </c>
      <c r="E1024" s="11">
        <v>1.398869514465332</v>
      </c>
      <c r="F1024" s="11">
        <v>0.84786814451217651</v>
      </c>
    </row>
    <row r="1025" spans="1:6" hidden="1" x14ac:dyDescent="0.3">
      <c r="A1025" s="6">
        <v>8</v>
      </c>
      <c r="B1025" s="6" t="s">
        <v>97</v>
      </c>
      <c r="C1025" s="6" t="s">
        <v>399</v>
      </c>
      <c r="D1025" s="6" t="s">
        <v>98</v>
      </c>
      <c r="E1025" s="11">
        <v>0.78795528411865234</v>
      </c>
      <c r="F1025" s="11">
        <v>0.84786814451217651</v>
      </c>
    </row>
    <row r="1026" spans="1:6" hidden="1" x14ac:dyDescent="0.3">
      <c r="A1026" s="6">
        <v>8</v>
      </c>
      <c r="B1026" s="6" t="s">
        <v>97</v>
      </c>
      <c r="C1026" s="6" t="s">
        <v>400</v>
      </c>
      <c r="D1026" s="6" t="s">
        <v>98</v>
      </c>
      <c r="E1026" s="11">
        <v>0.81217509508132935</v>
      </c>
      <c r="F1026" s="11">
        <v>0.84786814451217651</v>
      </c>
    </row>
    <row r="1027" spans="1:6" hidden="1" x14ac:dyDescent="0.3">
      <c r="A1027" s="6">
        <v>8</v>
      </c>
      <c r="B1027" s="6" t="s">
        <v>97</v>
      </c>
      <c r="C1027" s="6" t="s">
        <v>401</v>
      </c>
      <c r="D1027" s="6" t="s">
        <v>98</v>
      </c>
      <c r="E1027" s="11">
        <v>0.90865874290466309</v>
      </c>
      <c r="F1027" s="11">
        <v>0.84786814451217651</v>
      </c>
    </row>
    <row r="1028" spans="1:6" hidden="1" x14ac:dyDescent="0.3">
      <c r="A1028" s="6">
        <v>8</v>
      </c>
      <c r="B1028" s="6" t="s">
        <v>97</v>
      </c>
      <c r="C1028" s="6" t="s">
        <v>402</v>
      </c>
      <c r="D1028" s="6" t="s">
        <v>98</v>
      </c>
      <c r="E1028" s="11">
        <v>1.6553125381469727</v>
      </c>
      <c r="F1028" s="11">
        <v>0.84786814451217651</v>
      </c>
    </row>
    <row r="1029" spans="1:6" hidden="1" x14ac:dyDescent="0.3">
      <c r="A1029" s="6">
        <v>8</v>
      </c>
      <c r="B1029" s="6" t="s">
        <v>97</v>
      </c>
      <c r="C1029" s="6" t="s">
        <v>403</v>
      </c>
      <c r="D1029" s="6" t="s">
        <v>98</v>
      </c>
      <c r="E1029" s="11">
        <v>0.97251498699188232</v>
      </c>
      <c r="F1029" s="11">
        <v>0.84786814451217651</v>
      </c>
    </row>
    <row r="1030" spans="1:6" hidden="1" x14ac:dyDescent="0.3">
      <c r="A1030" s="6">
        <v>8</v>
      </c>
      <c r="B1030" s="6" t="s">
        <v>97</v>
      </c>
      <c r="C1030" s="6" t="s">
        <v>404</v>
      </c>
      <c r="D1030" s="6" t="s">
        <v>98</v>
      </c>
      <c r="E1030" s="11">
        <v>0.78237646818161011</v>
      </c>
      <c r="F1030" s="11">
        <v>0.84786814451217651</v>
      </c>
    </row>
    <row r="1031" spans="1:6" hidden="1" x14ac:dyDescent="0.3">
      <c r="A1031" s="6">
        <v>8</v>
      </c>
      <c r="B1031" s="6" t="s">
        <v>97</v>
      </c>
      <c r="C1031" s="6" t="s">
        <v>405</v>
      </c>
      <c r="D1031" s="6" t="s">
        <v>98</v>
      </c>
      <c r="E1031" s="11">
        <v>0.80077815055847168</v>
      </c>
      <c r="F1031" s="11">
        <v>0.84786814451217651</v>
      </c>
    </row>
    <row r="1032" spans="1:6" hidden="1" x14ac:dyDescent="0.3">
      <c r="A1032" s="6">
        <v>8</v>
      </c>
      <c r="B1032" s="6" t="s">
        <v>97</v>
      </c>
      <c r="C1032" s="6" t="s">
        <v>406</v>
      </c>
      <c r="D1032" s="6" t="s">
        <v>98</v>
      </c>
      <c r="E1032" s="11">
        <v>1.2557575702667236</v>
      </c>
      <c r="F1032" s="11">
        <v>0.84786814451217651</v>
      </c>
    </row>
    <row r="1033" spans="1:6" hidden="1" x14ac:dyDescent="0.3">
      <c r="A1033" s="6">
        <v>8</v>
      </c>
      <c r="B1033" s="6" t="s">
        <v>97</v>
      </c>
      <c r="C1033" s="6" t="s">
        <v>407</v>
      </c>
      <c r="D1033" s="6" t="s">
        <v>98</v>
      </c>
      <c r="E1033" s="11">
        <v>0.91908466815948486</v>
      </c>
      <c r="F1033" s="11">
        <v>0.84786814451217651</v>
      </c>
    </row>
    <row r="1034" spans="1:6" hidden="1" x14ac:dyDescent="0.3">
      <c r="A1034" s="6">
        <v>8</v>
      </c>
      <c r="B1034" s="6" t="s">
        <v>97</v>
      </c>
      <c r="C1034" s="6" t="s">
        <v>408</v>
      </c>
      <c r="D1034" s="6" t="s">
        <v>98</v>
      </c>
      <c r="E1034" s="11">
        <v>0.80753028392791748</v>
      </c>
      <c r="F1034" s="11">
        <v>0.84786814451217651</v>
      </c>
    </row>
    <row r="1035" spans="1:6" hidden="1" x14ac:dyDescent="0.3">
      <c r="A1035" s="6">
        <v>8</v>
      </c>
      <c r="B1035" s="6" t="s">
        <v>97</v>
      </c>
      <c r="C1035" s="6" t="s">
        <v>409</v>
      </c>
      <c r="D1035" s="6" t="s">
        <v>98</v>
      </c>
      <c r="E1035" s="11">
        <v>0.90165448188781738</v>
      </c>
      <c r="F1035" s="11">
        <v>0.84786814451217651</v>
      </c>
    </row>
    <row r="1036" spans="1:6" hidden="1" x14ac:dyDescent="0.3">
      <c r="A1036" s="6">
        <v>8</v>
      </c>
      <c r="B1036" s="6" t="s">
        <v>97</v>
      </c>
      <c r="C1036" s="6" t="s">
        <v>410</v>
      </c>
      <c r="D1036" s="6" t="s">
        <v>98</v>
      </c>
      <c r="E1036" s="11">
        <v>0.99541777372360229</v>
      </c>
      <c r="F1036" s="11">
        <v>0.84786814451217651</v>
      </c>
    </row>
    <row r="1037" spans="1:6" hidden="1" x14ac:dyDescent="0.3">
      <c r="A1037" s="6">
        <v>8</v>
      </c>
      <c r="B1037" s="6" t="s">
        <v>97</v>
      </c>
      <c r="C1037" s="6" t="s">
        <v>411</v>
      </c>
      <c r="D1037" s="6" t="s">
        <v>98</v>
      </c>
      <c r="E1037" s="11">
        <v>0.99301552772521973</v>
      </c>
      <c r="F1037" s="11">
        <v>0.84786814451217651</v>
      </c>
    </row>
    <row r="1038" spans="1:6" hidden="1" x14ac:dyDescent="0.3">
      <c r="A1038" s="6">
        <v>8</v>
      </c>
      <c r="B1038" s="6" t="s">
        <v>97</v>
      </c>
      <c r="C1038" s="6" t="s">
        <v>412</v>
      </c>
      <c r="D1038" s="6" t="s">
        <v>98</v>
      </c>
      <c r="E1038" s="11">
        <v>0.95282292366027832</v>
      </c>
      <c r="F1038" s="11">
        <v>0.84786814451217651</v>
      </c>
    </row>
    <row r="1039" spans="1:6" hidden="1" x14ac:dyDescent="0.3">
      <c r="A1039" s="6">
        <v>8</v>
      </c>
      <c r="B1039" s="6" t="s">
        <v>97</v>
      </c>
      <c r="C1039" s="6" t="s">
        <v>413</v>
      </c>
      <c r="D1039" s="6" t="s">
        <v>98</v>
      </c>
      <c r="E1039" s="11">
        <v>0.97263681888580322</v>
      </c>
      <c r="F1039" s="11">
        <v>0.84786814451217651</v>
      </c>
    </row>
    <row r="1040" spans="1:6" hidden="1" x14ac:dyDescent="0.3">
      <c r="A1040" s="6">
        <v>8</v>
      </c>
      <c r="B1040" s="6" t="s">
        <v>97</v>
      </c>
      <c r="C1040" s="6" t="s">
        <v>414</v>
      </c>
      <c r="D1040" s="6" t="s">
        <v>98</v>
      </c>
      <c r="E1040" s="11">
        <v>1.2899013757705688</v>
      </c>
      <c r="F1040" s="11">
        <v>0.84786814451217651</v>
      </c>
    </row>
    <row r="1041" spans="1:6" hidden="1" x14ac:dyDescent="0.3">
      <c r="A1041" s="6">
        <v>8</v>
      </c>
      <c r="B1041" s="6" t="s">
        <v>97</v>
      </c>
      <c r="C1041" s="6" t="s">
        <v>415</v>
      </c>
      <c r="D1041" s="6" t="s">
        <v>98</v>
      </c>
      <c r="E1041" s="11">
        <v>0.98084628582000732</v>
      </c>
      <c r="F1041" s="11">
        <v>0.84786814451217651</v>
      </c>
    </row>
    <row r="1042" spans="1:6" hidden="1" x14ac:dyDescent="0.3">
      <c r="A1042" s="6">
        <v>8</v>
      </c>
      <c r="B1042" s="6" t="s">
        <v>97</v>
      </c>
      <c r="C1042" s="6" t="s">
        <v>416</v>
      </c>
      <c r="D1042" s="6" t="s">
        <v>98</v>
      </c>
      <c r="E1042" s="11">
        <v>0.78246170282363892</v>
      </c>
      <c r="F1042" s="11">
        <v>0.84786814451217651</v>
      </c>
    </row>
    <row r="1043" spans="1:6" hidden="1" x14ac:dyDescent="0.3">
      <c r="A1043" s="6">
        <v>8</v>
      </c>
      <c r="B1043" s="6" t="s">
        <v>97</v>
      </c>
      <c r="C1043" s="6" t="s">
        <v>417</v>
      </c>
      <c r="D1043" s="6" t="s">
        <v>98</v>
      </c>
      <c r="E1043" s="11">
        <v>0.84229588508605957</v>
      </c>
      <c r="F1043" s="11">
        <v>0.84786814451217651</v>
      </c>
    </row>
    <row r="1044" spans="1:6" hidden="1" x14ac:dyDescent="0.3">
      <c r="A1044" s="6">
        <v>8</v>
      </c>
      <c r="B1044" s="6" t="s">
        <v>97</v>
      </c>
      <c r="C1044" s="6" t="s">
        <v>418</v>
      </c>
      <c r="D1044" s="6" t="s">
        <v>98</v>
      </c>
      <c r="E1044" s="11">
        <v>0.95641982555389404</v>
      </c>
      <c r="F1044" s="11">
        <v>0.84786814451217651</v>
      </c>
    </row>
    <row r="1045" spans="1:6" hidden="1" x14ac:dyDescent="0.3">
      <c r="A1045" s="6">
        <v>8</v>
      </c>
      <c r="B1045" s="6" t="s">
        <v>97</v>
      </c>
      <c r="C1045" s="6" t="s">
        <v>419</v>
      </c>
      <c r="D1045" s="6" t="s">
        <v>98</v>
      </c>
      <c r="E1045" s="11">
        <v>0.72224336862564087</v>
      </c>
      <c r="F1045" s="11">
        <v>0.84786814451217651</v>
      </c>
    </row>
    <row r="1046" spans="1:6" hidden="1" x14ac:dyDescent="0.3">
      <c r="A1046" s="6">
        <v>8</v>
      </c>
      <c r="B1046" s="6" t="s">
        <v>97</v>
      </c>
      <c r="C1046" s="6" t="s">
        <v>420</v>
      </c>
      <c r="D1046" s="6" t="s">
        <v>98</v>
      </c>
      <c r="E1046" s="11">
        <v>0.74644237756729126</v>
      </c>
      <c r="F1046" s="11">
        <v>0.84786814451217651</v>
      </c>
    </row>
    <row r="1047" spans="1:6" hidden="1" x14ac:dyDescent="0.3">
      <c r="A1047" s="6">
        <v>8</v>
      </c>
      <c r="B1047" s="6" t="s">
        <v>97</v>
      </c>
      <c r="C1047" s="6" t="s">
        <v>421</v>
      </c>
      <c r="D1047" s="6" t="s">
        <v>98</v>
      </c>
      <c r="E1047" s="11">
        <v>0.95301878452301025</v>
      </c>
      <c r="F1047" s="11">
        <v>0.84786814451217651</v>
      </c>
    </row>
    <row r="1048" spans="1:6" hidden="1" x14ac:dyDescent="0.3">
      <c r="A1048" s="6">
        <v>8</v>
      </c>
      <c r="B1048" s="6" t="s">
        <v>97</v>
      </c>
      <c r="C1048" s="6" t="s">
        <v>422</v>
      </c>
      <c r="D1048" s="6" t="s">
        <v>98</v>
      </c>
      <c r="E1048" s="11">
        <v>1.0169873237609863</v>
      </c>
      <c r="F1048" s="11">
        <v>0.84786814451217651</v>
      </c>
    </row>
    <row r="1049" spans="1:6" hidden="1" x14ac:dyDescent="0.3">
      <c r="A1049" s="6">
        <v>8</v>
      </c>
      <c r="B1049" s="6" t="s">
        <v>97</v>
      </c>
      <c r="C1049" s="6" t="s">
        <v>423</v>
      </c>
      <c r="D1049" s="6" t="s">
        <v>98</v>
      </c>
      <c r="E1049" s="11">
        <v>2.070472240447998</v>
      </c>
      <c r="F1049" s="11">
        <v>0.84786814451217651</v>
      </c>
    </row>
    <row r="1050" spans="1:6" hidden="1" x14ac:dyDescent="0.3">
      <c r="A1050" s="6">
        <v>8</v>
      </c>
      <c r="B1050" s="6" t="s">
        <v>97</v>
      </c>
      <c r="C1050" s="6" t="s">
        <v>424</v>
      </c>
      <c r="D1050" s="6" t="s">
        <v>98</v>
      </c>
      <c r="E1050" s="11">
        <v>0.95785510540008545</v>
      </c>
      <c r="F1050" s="11">
        <v>0.84786814451217651</v>
      </c>
    </row>
    <row r="1051" spans="1:6" hidden="1" x14ac:dyDescent="0.3">
      <c r="A1051" s="6">
        <v>8</v>
      </c>
      <c r="B1051" s="6" t="s">
        <v>97</v>
      </c>
      <c r="C1051" s="6" t="s">
        <v>425</v>
      </c>
      <c r="D1051" s="6" t="s">
        <v>98</v>
      </c>
      <c r="E1051" s="11">
        <v>1.0775455236434937</v>
      </c>
      <c r="F1051" s="11">
        <v>0.84786814451217651</v>
      </c>
    </row>
    <row r="1052" spans="1:6" hidden="1" x14ac:dyDescent="0.3">
      <c r="A1052" s="6">
        <v>8</v>
      </c>
      <c r="B1052" s="6" t="s">
        <v>97</v>
      </c>
      <c r="C1052" s="6" t="s">
        <v>426</v>
      </c>
      <c r="D1052" s="6" t="s">
        <v>98</v>
      </c>
      <c r="E1052" s="11">
        <v>0.75304687023162842</v>
      </c>
      <c r="F1052" s="11">
        <v>0.84786814451217651</v>
      </c>
    </row>
    <row r="1053" spans="1:6" hidden="1" x14ac:dyDescent="0.3">
      <c r="A1053" s="6">
        <v>8</v>
      </c>
      <c r="B1053" s="6" t="s">
        <v>97</v>
      </c>
      <c r="C1053" s="6" t="s">
        <v>427</v>
      </c>
      <c r="D1053" s="6" t="s">
        <v>98</v>
      </c>
      <c r="E1053" s="11">
        <v>1.0541424751281738</v>
      </c>
      <c r="F1053" s="11">
        <v>0.84786814451217651</v>
      </c>
    </row>
    <row r="1054" spans="1:6" hidden="1" x14ac:dyDescent="0.3">
      <c r="A1054" s="6">
        <v>8</v>
      </c>
      <c r="B1054" s="6" t="s">
        <v>97</v>
      </c>
      <c r="C1054" s="6" t="s">
        <v>428</v>
      </c>
      <c r="D1054" s="6" t="s">
        <v>98</v>
      </c>
      <c r="E1054" s="11">
        <v>34.8656005859375</v>
      </c>
      <c r="F1054" s="11">
        <v>0.84786814451217651</v>
      </c>
    </row>
    <row r="1055" spans="1:6" hidden="1" x14ac:dyDescent="0.3">
      <c r="A1055" s="6">
        <v>8</v>
      </c>
      <c r="B1055" s="6" t="s">
        <v>97</v>
      </c>
      <c r="C1055" s="6" t="s">
        <v>429</v>
      </c>
      <c r="D1055" s="6" t="s">
        <v>98</v>
      </c>
      <c r="E1055" s="11">
        <v>1.0265458822250366</v>
      </c>
      <c r="F1055" s="11">
        <v>0.84786814451217651</v>
      </c>
    </row>
    <row r="1056" spans="1:6" hidden="1" x14ac:dyDescent="0.3">
      <c r="A1056" s="6">
        <v>8</v>
      </c>
      <c r="B1056" s="6" t="s">
        <v>97</v>
      </c>
      <c r="C1056" s="6" t="s">
        <v>430</v>
      </c>
      <c r="D1056" s="6" t="s">
        <v>98</v>
      </c>
      <c r="E1056" s="11">
        <v>0.89131397008895874</v>
      </c>
      <c r="F1056" s="11">
        <v>0.84786814451217651</v>
      </c>
    </row>
    <row r="1057" spans="1:6" hidden="1" x14ac:dyDescent="0.3">
      <c r="A1057" s="6">
        <v>8</v>
      </c>
      <c r="B1057" s="6" t="s">
        <v>97</v>
      </c>
      <c r="C1057" s="6" t="s">
        <v>431</v>
      </c>
      <c r="D1057" s="6" t="s">
        <v>98</v>
      </c>
      <c r="E1057" s="11">
        <v>0.99834007024765015</v>
      </c>
      <c r="F1057" s="11">
        <v>0.84786814451217651</v>
      </c>
    </row>
    <row r="1058" spans="1:6" hidden="1" x14ac:dyDescent="0.3">
      <c r="A1058" s="6">
        <v>8</v>
      </c>
      <c r="B1058" s="6" t="s">
        <v>97</v>
      </c>
      <c r="C1058" s="6" t="s">
        <v>432</v>
      </c>
      <c r="D1058" s="6" t="s">
        <v>98</v>
      </c>
      <c r="E1058" s="11">
        <v>0.84509730339050293</v>
      </c>
      <c r="F1058" s="11">
        <v>0.84786814451217651</v>
      </c>
    </row>
    <row r="1059" spans="1:6" hidden="1" x14ac:dyDescent="0.3">
      <c r="A1059" s="6">
        <v>8</v>
      </c>
      <c r="B1059" s="6" t="s">
        <v>97</v>
      </c>
      <c r="C1059" s="6" t="s">
        <v>433</v>
      </c>
      <c r="D1059" s="6" t="s">
        <v>98</v>
      </c>
      <c r="E1059" s="11">
        <v>2.4158158302307129</v>
      </c>
      <c r="F1059" s="11">
        <v>0.84786814451217651</v>
      </c>
    </row>
    <row r="1060" spans="1:6" hidden="1" x14ac:dyDescent="0.3">
      <c r="A1060" s="6">
        <v>8</v>
      </c>
      <c r="B1060" s="6" t="s">
        <v>97</v>
      </c>
      <c r="C1060" s="6" t="s">
        <v>434</v>
      </c>
      <c r="D1060" s="6" t="s">
        <v>98</v>
      </c>
      <c r="E1060" s="11">
        <v>1.1487196683883667</v>
      </c>
      <c r="F1060" s="11">
        <v>0.84786814451217651</v>
      </c>
    </row>
    <row r="1061" spans="1:6" hidden="1" x14ac:dyDescent="0.3">
      <c r="A1061" s="6">
        <v>8</v>
      </c>
      <c r="B1061" s="6" t="s">
        <v>97</v>
      </c>
      <c r="C1061" s="6" t="s">
        <v>435</v>
      </c>
      <c r="D1061" s="6" t="s">
        <v>98</v>
      </c>
      <c r="E1061" s="11">
        <v>0.81469166278839111</v>
      </c>
      <c r="F1061" s="11">
        <v>0.84786814451217651</v>
      </c>
    </row>
    <row r="1062" spans="1:6" hidden="1" x14ac:dyDescent="0.3">
      <c r="A1062" s="6">
        <v>8</v>
      </c>
      <c r="B1062" s="6" t="s">
        <v>97</v>
      </c>
      <c r="C1062" s="6" t="s">
        <v>436</v>
      </c>
      <c r="D1062" s="6" t="s">
        <v>98</v>
      </c>
      <c r="E1062" s="11">
        <v>1.1631885766983032</v>
      </c>
      <c r="F1062" s="11">
        <v>0.84786814451217651</v>
      </c>
    </row>
    <row r="1063" spans="1:6" hidden="1" x14ac:dyDescent="0.3">
      <c r="A1063" s="6">
        <v>8</v>
      </c>
      <c r="B1063" s="6" t="s">
        <v>97</v>
      </c>
      <c r="C1063" s="6" t="s">
        <v>437</v>
      </c>
      <c r="D1063" s="6" t="s">
        <v>98</v>
      </c>
      <c r="E1063" s="11">
        <v>0.65176975727081299</v>
      </c>
      <c r="F1063" s="11">
        <v>0.84786814451217651</v>
      </c>
    </row>
    <row r="1064" spans="1:6" hidden="1" x14ac:dyDescent="0.3">
      <c r="A1064" s="6">
        <v>8</v>
      </c>
      <c r="B1064" s="6" t="s">
        <v>97</v>
      </c>
      <c r="C1064" s="6" t="s">
        <v>438</v>
      </c>
      <c r="D1064" s="6" t="s">
        <v>98</v>
      </c>
      <c r="E1064" s="11">
        <v>0.92016881704330444</v>
      </c>
      <c r="F1064" s="11">
        <v>0.84786814451217651</v>
      </c>
    </row>
    <row r="1065" spans="1:6" hidden="1" x14ac:dyDescent="0.3">
      <c r="A1065" s="6">
        <v>8</v>
      </c>
      <c r="B1065" s="6" t="s">
        <v>97</v>
      </c>
      <c r="C1065" s="6" t="s">
        <v>439</v>
      </c>
      <c r="D1065" s="6" t="s">
        <v>98</v>
      </c>
      <c r="E1065" s="11">
        <v>0.82219135761260986</v>
      </c>
      <c r="F1065" s="11">
        <v>0.84786814451217651</v>
      </c>
    </row>
    <row r="1066" spans="1:6" hidden="1" x14ac:dyDescent="0.3">
      <c r="A1066" s="6">
        <v>8</v>
      </c>
      <c r="B1066" s="6" t="s">
        <v>97</v>
      </c>
      <c r="C1066" s="6" t="s">
        <v>440</v>
      </c>
      <c r="D1066" s="6" t="s">
        <v>98</v>
      </c>
      <c r="E1066" s="11">
        <v>1.090204119682312</v>
      </c>
      <c r="F1066" s="11">
        <v>0.84786814451217651</v>
      </c>
    </row>
    <row r="1067" spans="1:6" hidden="1" x14ac:dyDescent="0.3">
      <c r="A1067" s="6">
        <v>8</v>
      </c>
      <c r="B1067" s="6" t="s">
        <v>97</v>
      </c>
      <c r="C1067" s="6" t="s">
        <v>441</v>
      </c>
      <c r="D1067" s="6" t="s">
        <v>98</v>
      </c>
      <c r="E1067" s="11">
        <v>0.73710924386978149</v>
      </c>
      <c r="F1067" s="11">
        <v>0.84786814451217651</v>
      </c>
    </row>
    <row r="1068" spans="1:6" hidden="1" x14ac:dyDescent="0.3">
      <c r="A1068" s="6">
        <v>8</v>
      </c>
      <c r="B1068" s="6" t="s">
        <v>97</v>
      </c>
      <c r="C1068" s="6" t="s">
        <v>442</v>
      </c>
      <c r="D1068" s="6" t="s">
        <v>98</v>
      </c>
      <c r="E1068" s="11">
        <v>1.1528873443603516</v>
      </c>
      <c r="F1068" s="11">
        <v>0.84786814451217651</v>
      </c>
    </row>
    <row r="1069" spans="1:6" hidden="1" x14ac:dyDescent="0.3">
      <c r="A1069" s="6">
        <v>8</v>
      </c>
      <c r="B1069" s="6" t="s">
        <v>97</v>
      </c>
      <c r="C1069" s="6" t="s">
        <v>443</v>
      </c>
      <c r="D1069" s="6" t="s">
        <v>98</v>
      </c>
      <c r="E1069" s="11">
        <v>1.0192151069641113</v>
      </c>
      <c r="F1069" s="11">
        <v>0.84786814451217651</v>
      </c>
    </row>
    <row r="1070" spans="1:6" hidden="1" x14ac:dyDescent="0.3">
      <c r="A1070" s="6">
        <v>8</v>
      </c>
      <c r="B1070" s="6" t="s">
        <v>97</v>
      </c>
      <c r="C1070" s="6" t="s">
        <v>444</v>
      </c>
      <c r="D1070" s="6" t="s">
        <v>98</v>
      </c>
      <c r="E1070" s="11">
        <v>0.83465850353240967</v>
      </c>
      <c r="F1070" s="11">
        <v>0.84786814451217651</v>
      </c>
    </row>
    <row r="1071" spans="1:6" hidden="1" x14ac:dyDescent="0.3">
      <c r="A1071" s="6">
        <v>8</v>
      </c>
      <c r="B1071" s="6" t="s">
        <v>97</v>
      </c>
      <c r="C1071" s="6" t="s">
        <v>445</v>
      </c>
      <c r="D1071" s="6" t="s">
        <v>98</v>
      </c>
      <c r="E1071" s="11">
        <v>1.0724043846130371</v>
      </c>
      <c r="F1071" s="11">
        <v>0.84786814451217651</v>
      </c>
    </row>
    <row r="1072" spans="1:6" hidden="1" x14ac:dyDescent="0.3">
      <c r="A1072" s="6">
        <v>8</v>
      </c>
      <c r="B1072" s="6" t="s">
        <v>97</v>
      </c>
      <c r="C1072" s="6" t="s">
        <v>446</v>
      </c>
      <c r="D1072" s="6" t="s">
        <v>98</v>
      </c>
      <c r="E1072" s="11">
        <v>0.82139962911605835</v>
      </c>
      <c r="F1072" s="11">
        <v>0.84786814451217651</v>
      </c>
    </row>
    <row r="1073" spans="1:6" hidden="1" x14ac:dyDescent="0.3">
      <c r="A1073" s="6">
        <v>8</v>
      </c>
      <c r="B1073" s="6" t="s">
        <v>97</v>
      </c>
      <c r="C1073" s="6" t="s">
        <v>447</v>
      </c>
      <c r="D1073" s="6" t="s">
        <v>98</v>
      </c>
      <c r="E1073" s="11">
        <v>0.96307927370071411</v>
      </c>
      <c r="F1073" s="11">
        <v>0.84786814451217651</v>
      </c>
    </row>
    <row r="1074" spans="1:6" hidden="1" x14ac:dyDescent="0.3">
      <c r="A1074" s="6">
        <v>8</v>
      </c>
      <c r="B1074" s="6" t="s">
        <v>97</v>
      </c>
      <c r="C1074" s="6" t="s">
        <v>448</v>
      </c>
      <c r="D1074" s="6" t="s">
        <v>98</v>
      </c>
      <c r="E1074" s="11">
        <v>0.73788893222808838</v>
      </c>
      <c r="F1074" s="11">
        <v>0.84786814451217651</v>
      </c>
    </row>
    <row r="1075" spans="1:6" hidden="1" x14ac:dyDescent="0.3">
      <c r="A1075" s="6">
        <v>8</v>
      </c>
      <c r="B1075" s="6" t="s">
        <v>97</v>
      </c>
      <c r="C1075" s="6" t="s">
        <v>449</v>
      </c>
      <c r="D1075" s="6" t="s">
        <v>98</v>
      </c>
      <c r="E1075" s="11">
        <v>0.81672245264053345</v>
      </c>
      <c r="F1075" s="11">
        <v>0.84786814451217651</v>
      </c>
    </row>
    <row r="1076" spans="1:6" hidden="1" x14ac:dyDescent="0.3">
      <c r="A1076" s="6">
        <v>8</v>
      </c>
      <c r="B1076" s="6" t="s">
        <v>97</v>
      </c>
      <c r="C1076" s="6" t="s">
        <v>450</v>
      </c>
      <c r="D1076" s="6" t="s">
        <v>98</v>
      </c>
      <c r="E1076" s="11">
        <v>0.94518554210662842</v>
      </c>
      <c r="F1076" s="11">
        <v>0.84786814451217651</v>
      </c>
    </row>
    <row r="1077" spans="1:6" hidden="1" x14ac:dyDescent="0.3">
      <c r="A1077" s="6">
        <v>8</v>
      </c>
      <c r="B1077" s="6" t="s">
        <v>97</v>
      </c>
      <c r="C1077" s="6" t="s">
        <v>451</v>
      </c>
      <c r="D1077" s="6" t="s">
        <v>98</v>
      </c>
      <c r="E1077" s="11">
        <v>1.1423828601837158</v>
      </c>
      <c r="F1077" s="11">
        <v>0.84786814451217651</v>
      </c>
    </row>
    <row r="1078" spans="1:6" hidden="1" x14ac:dyDescent="0.3">
      <c r="A1078" s="6">
        <v>8</v>
      </c>
      <c r="B1078" s="6" t="s">
        <v>97</v>
      </c>
      <c r="C1078" s="6" t="s">
        <v>452</v>
      </c>
      <c r="D1078" s="6" t="s">
        <v>98</v>
      </c>
      <c r="E1078" s="11">
        <v>1.1179969310760498</v>
      </c>
      <c r="F1078" s="11">
        <v>0.84786814451217651</v>
      </c>
    </row>
    <row r="1079" spans="1:6" hidden="1" x14ac:dyDescent="0.3">
      <c r="A1079" s="6">
        <v>8</v>
      </c>
      <c r="B1079" s="6" t="s">
        <v>97</v>
      </c>
      <c r="C1079" s="6" t="s">
        <v>453</v>
      </c>
      <c r="D1079" s="6" t="s">
        <v>98</v>
      </c>
      <c r="E1079" s="11">
        <v>4.4900541305541992</v>
      </c>
      <c r="F1079" s="11">
        <v>0.84786814451217651</v>
      </c>
    </row>
    <row r="1080" spans="1:6" hidden="1" x14ac:dyDescent="0.3">
      <c r="A1080" s="6">
        <v>8</v>
      </c>
      <c r="B1080" s="6" t="s">
        <v>97</v>
      </c>
      <c r="C1080" s="6" t="s">
        <v>454</v>
      </c>
      <c r="D1080" s="6" t="s">
        <v>98</v>
      </c>
      <c r="E1080" s="11">
        <v>1.0772517919540405</v>
      </c>
      <c r="F1080" s="11">
        <v>0.84786814451217651</v>
      </c>
    </row>
    <row r="1081" spans="1:6" hidden="1" x14ac:dyDescent="0.3">
      <c r="A1081" s="6">
        <v>8</v>
      </c>
      <c r="B1081" s="6" t="s">
        <v>97</v>
      </c>
      <c r="C1081" s="6" t="s">
        <v>455</v>
      </c>
      <c r="D1081" s="6" t="s">
        <v>98</v>
      </c>
      <c r="E1081" s="11">
        <v>0.83607500791549683</v>
      </c>
      <c r="F1081" s="11">
        <v>0.84786814451217651</v>
      </c>
    </row>
    <row r="1082" spans="1:6" hidden="1" x14ac:dyDescent="0.3">
      <c r="A1082" s="6">
        <v>8</v>
      </c>
      <c r="B1082" s="6" t="s">
        <v>97</v>
      </c>
      <c r="C1082" s="6" t="s">
        <v>456</v>
      </c>
      <c r="D1082" s="6" t="s">
        <v>98</v>
      </c>
      <c r="E1082" s="11">
        <v>0.80942291021347046</v>
      </c>
      <c r="F1082" s="11">
        <v>0.84786814451217651</v>
      </c>
    </row>
    <row r="1083" spans="1:6" hidden="1" x14ac:dyDescent="0.3">
      <c r="A1083" s="6">
        <v>8</v>
      </c>
      <c r="B1083" s="6" t="s">
        <v>97</v>
      </c>
      <c r="C1083" s="6" t="s">
        <v>457</v>
      </c>
      <c r="D1083" s="6" t="s">
        <v>98</v>
      </c>
      <c r="E1083" s="11">
        <v>0.87948304414749146</v>
      </c>
      <c r="F1083" s="11">
        <v>0.84786814451217651</v>
      </c>
    </row>
    <row r="1084" spans="1:6" hidden="1" x14ac:dyDescent="0.3">
      <c r="A1084" s="6">
        <v>8</v>
      </c>
      <c r="B1084" s="6" t="s">
        <v>97</v>
      </c>
      <c r="C1084" s="6" t="s">
        <v>458</v>
      </c>
      <c r="D1084" s="6" t="s">
        <v>98</v>
      </c>
      <c r="E1084" s="11">
        <v>0.89794772863388062</v>
      </c>
      <c r="F1084" s="11">
        <v>0.84786814451217651</v>
      </c>
    </row>
    <row r="1085" spans="1:6" hidden="1" x14ac:dyDescent="0.3">
      <c r="A1085" s="6">
        <v>8</v>
      </c>
      <c r="B1085" s="6" t="s">
        <v>97</v>
      </c>
      <c r="C1085" s="6" t="s">
        <v>459</v>
      </c>
      <c r="D1085" s="6" t="s">
        <v>98</v>
      </c>
      <c r="E1085" s="11">
        <v>1.0647208690643311</v>
      </c>
      <c r="F1085" s="11">
        <v>0.84786814451217651</v>
      </c>
    </row>
    <row r="1086" spans="1:6" hidden="1" x14ac:dyDescent="0.3">
      <c r="A1086" s="6">
        <v>8</v>
      </c>
      <c r="B1086" s="6" t="s">
        <v>97</v>
      </c>
      <c r="C1086" s="6" t="s">
        <v>460</v>
      </c>
      <c r="D1086" s="6" t="s">
        <v>98</v>
      </c>
      <c r="E1086" s="11">
        <v>1.2518260478973389</v>
      </c>
      <c r="F1086" s="11">
        <v>0.84786814451217651</v>
      </c>
    </row>
    <row r="1087" spans="1:6" hidden="1" x14ac:dyDescent="0.3">
      <c r="A1087" s="6">
        <v>8</v>
      </c>
      <c r="B1087" s="6" t="s">
        <v>97</v>
      </c>
      <c r="C1087" s="6" t="s">
        <v>461</v>
      </c>
      <c r="D1087" s="6" t="s">
        <v>98</v>
      </c>
      <c r="E1087" s="11">
        <v>0.86563748121261597</v>
      </c>
      <c r="F1087" s="11">
        <v>0.84786814451217651</v>
      </c>
    </row>
    <row r="1088" spans="1:6" hidden="1" x14ac:dyDescent="0.3">
      <c r="A1088" s="6">
        <v>8</v>
      </c>
      <c r="B1088" s="6" t="s">
        <v>97</v>
      </c>
      <c r="C1088" s="6" t="s">
        <v>462</v>
      </c>
      <c r="D1088" s="6" t="s">
        <v>98</v>
      </c>
      <c r="E1088" s="11">
        <v>0.72295761108398438</v>
      </c>
      <c r="F1088" s="11">
        <v>0.84786814451217651</v>
      </c>
    </row>
    <row r="1089" spans="1:6" hidden="1" x14ac:dyDescent="0.3">
      <c r="A1089" s="6">
        <v>8</v>
      </c>
      <c r="B1089" s="6" t="s">
        <v>97</v>
      </c>
      <c r="C1089" s="6" t="s">
        <v>463</v>
      </c>
      <c r="D1089" s="6" t="s">
        <v>98</v>
      </c>
      <c r="E1089" s="11">
        <v>0.89860224723815918</v>
      </c>
      <c r="F1089" s="11">
        <v>0.84786814451217651</v>
      </c>
    </row>
    <row r="1090" spans="1:6" hidden="1" x14ac:dyDescent="0.3">
      <c r="A1090" s="6">
        <v>8</v>
      </c>
      <c r="B1090" s="6" t="s">
        <v>97</v>
      </c>
      <c r="C1090" s="6" t="s">
        <v>464</v>
      </c>
      <c r="D1090" s="6" t="s">
        <v>98</v>
      </c>
      <c r="E1090" s="11">
        <v>0.92316395044326782</v>
      </c>
      <c r="F1090" s="11">
        <v>0.84786814451217651</v>
      </c>
    </row>
    <row r="1091" spans="1:6" hidden="1" x14ac:dyDescent="0.3">
      <c r="A1091" s="6">
        <v>8</v>
      </c>
      <c r="B1091" s="6" t="s">
        <v>97</v>
      </c>
      <c r="C1091" s="6" t="s">
        <v>465</v>
      </c>
      <c r="D1091" s="6" t="s">
        <v>98</v>
      </c>
      <c r="E1091" s="11">
        <v>0.95587152242660522</v>
      </c>
      <c r="F1091" s="11">
        <v>0.84786814451217651</v>
      </c>
    </row>
    <row r="1092" spans="1:6" hidden="1" x14ac:dyDescent="0.3">
      <c r="A1092" s="6">
        <v>8</v>
      </c>
      <c r="B1092" s="6" t="s">
        <v>97</v>
      </c>
      <c r="C1092" s="6" t="s">
        <v>466</v>
      </c>
      <c r="D1092" s="6" t="s">
        <v>98</v>
      </c>
      <c r="E1092" s="11">
        <v>0.93426704406738281</v>
      </c>
      <c r="F1092" s="11">
        <v>0.84786814451217651</v>
      </c>
    </row>
    <row r="1093" spans="1:6" hidden="1" x14ac:dyDescent="0.3">
      <c r="A1093" s="6">
        <v>8</v>
      </c>
      <c r="B1093" s="6" t="s">
        <v>97</v>
      </c>
      <c r="C1093" s="6" t="s">
        <v>467</v>
      </c>
      <c r="D1093" s="6" t="s">
        <v>98</v>
      </c>
      <c r="E1093" s="11">
        <v>1.0824580192565918</v>
      </c>
      <c r="F1093" s="11">
        <v>0.84786814451217651</v>
      </c>
    </row>
    <row r="1094" spans="1:6" hidden="1" x14ac:dyDescent="0.3">
      <c r="A1094" s="6">
        <v>8</v>
      </c>
      <c r="B1094" s="6" t="s">
        <v>97</v>
      </c>
      <c r="C1094" s="6" t="s">
        <v>468</v>
      </c>
      <c r="D1094" s="6" t="s">
        <v>98</v>
      </c>
      <c r="E1094" s="11">
        <v>0.88341379165649414</v>
      </c>
      <c r="F1094" s="11">
        <v>0.84786814451217651</v>
      </c>
    </row>
    <row r="1095" spans="1:6" hidden="1" x14ac:dyDescent="0.3">
      <c r="A1095" s="6">
        <v>8</v>
      </c>
      <c r="B1095" s="6" t="s">
        <v>97</v>
      </c>
      <c r="C1095" s="6" t="s">
        <v>469</v>
      </c>
      <c r="D1095" s="6" t="s">
        <v>98</v>
      </c>
      <c r="E1095" s="11">
        <v>1.386599063873291</v>
      </c>
      <c r="F1095" s="11">
        <v>0.84786814451217651</v>
      </c>
    </row>
    <row r="1096" spans="1:6" hidden="1" x14ac:dyDescent="0.3">
      <c r="A1096" s="6">
        <v>8</v>
      </c>
      <c r="B1096" s="6" t="s">
        <v>97</v>
      </c>
      <c r="C1096" s="6" t="s">
        <v>470</v>
      </c>
      <c r="D1096" s="6" t="s">
        <v>98</v>
      </c>
      <c r="E1096" s="11">
        <v>0.64543056488037109</v>
      </c>
      <c r="F1096" s="11">
        <v>0.84786814451217651</v>
      </c>
    </row>
    <row r="1097" spans="1:6" hidden="1" x14ac:dyDescent="0.3">
      <c r="A1097" s="6">
        <v>8</v>
      </c>
      <c r="B1097" s="6" t="s">
        <v>97</v>
      </c>
      <c r="C1097" s="6" t="s">
        <v>471</v>
      </c>
      <c r="D1097" s="6" t="s">
        <v>98</v>
      </c>
      <c r="E1097" s="11">
        <v>0.86930960416793823</v>
      </c>
      <c r="F1097" s="11">
        <v>0.84786814451217651</v>
      </c>
    </row>
    <row r="1098" spans="1:6" hidden="1" x14ac:dyDescent="0.3">
      <c r="A1098" s="6">
        <v>8</v>
      </c>
      <c r="B1098" s="6" t="s">
        <v>97</v>
      </c>
      <c r="C1098" s="6" t="s">
        <v>472</v>
      </c>
      <c r="D1098" s="6" t="s">
        <v>98</v>
      </c>
      <c r="E1098" s="11">
        <v>0.83057266473770142</v>
      </c>
      <c r="F1098" s="11">
        <v>0.84786814451217651</v>
      </c>
    </row>
    <row r="1099" spans="1:6" hidden="1" x14ac:dyDescent="0.3">
      <c r="A1099" s="6">
        <v>8</v>
      </c>
      <c r="B1099" s="6" t="s">
        <v>97</v>
      </c>
      <c r="C1099" s="6" t="s">
        <v>473</v>
      </c>
      <c r="D1099" s="6" t="s">
        <v>98</v>
      </c>
      <c r="E1099" s="11">
        <v>1.1353936195373535</v>
      </c>
      <c r="F1099" s="11">
        <v>0.84786814451217651</v>
      </c>
    </row>
    <row r="1100" spans="1:6" hidden="1" x14ac:dyDescent="0.3">
      <c r="A1100" s="6">
        <v>8</v>
      </c>
      <c r="B1100" s="6" t="s">
        <v>97</v>
      </c>
      <c r="C1100" s="6" t="s">
        <v>474</v>
      </c>
      <c r="D1100" s="6" t="s">
        <v>98</v>
      </c>
      <c r="E1100" s="11">
        <v>0.97815519571304321</v>
      </c>
      <c r="F1100" s="11">
        <v>0.84786814451217651</v>
      </c>
    </row>
    <row r="1101" spans="1:6" hidden="1" x14ac:dyDescent="0.3">
      <c r="A1101" s="6">
        <v>8</v>
      </c>
      <c r="B1101" s="6" t="s">
        <v>97</v>
      </c>
      <c r="C1101" s="6" t="s">
        <v>475</v>
      </c>
      <c r="D1101" s="6" t="s">
        <v>98</v>
      </c>
      <c r="E1101" s="11">
        <v>0.85877305269241333</v>
      </c>
      <c r="F1101" s="11">
        <v>0.84786814451217651</v>
      </c>
    </row>
    <row r="1102" spans="1:6" hidden="1" x14ac:dyDescent="0.3">
      <c r="A1102" s="6">
        <v>8</v>
      </c>
      <c r="B1102" s="6" t="s">
        <v>97</v>
      </c>
      <c r="C1102" s="6" t="s">
        <v>476</v>
      </c>
      <c r="D1102" s="6" t="s">
        <v>98</v>
      </c>
      <c r="E1102" s="11">
        <v>1.0984926223754883</v>
      </c>
      <c r="F1102" s="11">
        <v>0.84786814451217651</v>
      </c>
    </row>
    <row r="1103" spans="1:6" hidden="1" x14ac:dyDescent="0.3">
      <c r="A1103" s="6">
        <v>8</v>
      </c>
      <c r="B1103" s="6" t="s">
        <v>97</v>
      </c>
      <c r="C1103" s="6" t="s">
        <v>477</v>
      </c>
      <c r="D1103" s="6" t="s">
        <v>98</v>
      </c>
      <c r="E1103" s="11">
        <v>0.9581870436668396</v>
      </c>
      <c r="F1103" s="11">
        <v>0.84786814451217651</v>
      </c>
    </row>
    <row r="1104" spans="1:6" hidden="1" x14ac:dyDescent="0.3">
      <c r="A1104" s="6">
        <v>8</v>
      </c>
      <c r="B1104" s="6" t="s">
        <v>97</v>
      </c>
      <c r="C1104" s="6" t="s">
        <v>478</v>
      </c>
      <c r="D1104" s="6" t="s">
        <v>98</v>
      </c>
      <c r="E1104" s="11">
        <v>1.1115672588348389</v>
      </c>
      <c r="F1104" s="11">
        <v>0.84786814451217651</v>
      </c>
    </row>
    <row r="1105" spans="1:6" hidden="1" x14ac:dyDescent="0.3">
      <c r="A1105" s="6">
        <v>8</v>
      </c>
      <c r="B1105" s="6" t="s">
        <v>97</v>
      </c>
      <c r="C1105" s="6" t="s">
        <v>479</v>
      </c>
      <c r="D1105" s="6" t="s">
        <v>98</v>
      </c>
      <c r="E1105" s="11">
        <v>0.98010939359664917</v>
      </c>
      <c r="F1105" s="11">
        <v>0.84786814451217651</v>
      </c>
    </row>
    <row r="1106" spans="1:6" hidden="1" x14ac:dyDescent="0.3">
      <c r="A1106" s="6">
        <v>8</v>
      </c>
      <c r="B1106" s="6" t="s">
        <v>97</v>
      </c>
      <c r="C1106" s="6" t="s">
        <v>480</v>
      </c>
      <c r="D1106" s="6" t="s">
        <v>98</v>
      </c>
      <c r="E1106" s="11">
        <v>1.1792697906494141</v>
      </c>
      <c r="F1106" s="11">
        <v>0.84786814451217651</v>
      </c>
    </row>
    <row r="1107" spans="1:6" hidden="1" x14ac:dyDescent="0.3">
      <c r="A1107" s="6">
        <v>8</v>
      </c>
      <c r="B1107" s="6" t="s">
        <v>97</v>
      </c>
      <c r="C1107" s="6" t="s">
        <v>481</v>
      </c>
      <c r="D1107" s="6" t="s">
        <v>98</v>
      </c>
      <c r="E1107" s="11">
        <v>0.94137072563171387</v>
      </c>
      <c r="F1107" s="11">
        <v>0.84786814451217651</v>
      </c>
    </row>
    <row r="1108" spans="1:6" hidden="1" x14ac:dyDescent="0.3">
      <c r="A1108" s="6">
        <v>8</v>
      </c>
      <c r="B1108" s="6" t="s">
        <v>97</v>
      </c>
      <c r="C1108" s="6" t="s">
        <v>482</v>
      </c>
      <c r="D1108" s="6" t="s">
        <v>98</v>
      </c>
      <c r="E1108" s="11">
        <v>0.91474729776382446</v>
      </c>
      <c r="F1108" s="11">
        <v>0.84786814451217651</v>
      </c>
    </row>
    <row r="1109" spans="1:6" hidden="1" x14ac:dyDescent="0.3">
      <c r="A1109" s="6">
        <v>8</v>
      </c>
      <c r="B1109" s="6" t="s">
        <v>97</v>
      </c>
      <c r="C1109" s="6" t="s">
        <v>483</v>
      </c>
      <c r="D1109" s="6" t="s">
        <v>98</v>
      </c>
      <c r="E1109" s="11">
        <v>0.91273647546768188</v>
      </c>
      <c r="F1109" s="11">
        <v>0.84786814451217651</v>
      </c>
    </row>
    <row r="1110" spans="1:6" hidden="1" x14ac:dyDescent="0.3">
      <c r="A1110" s="6">
        <v>8</v>
      </c>
      <c r="B1110" s="6" t="s">
        <v>97</v>
      </c>
      <c r="C1110" s="6" t="s">
        <v>484</v>
      </c>
      <c r="D1110" s="6" t="s">
        <v>98</v>
      </c>
      <c r="E1110" s="11">
        <v>0.77379351854324341</v>
      </c>
      <c r="F1110" s="11">
        <v>0.84786814451217651</v>
      </c>
    </row>
    <row r="1111" spans="1:6" hidden="1" x14ac:dyDescent="0.3">
      <c r="A1111" s="6">
        <v>8</v>
      </c>
      <c r="B1111" s="6" t="s">
        <v>97</v>
      </c>
      <c r="C1111" s="6" t="s">
        <v>485</v>
      </c>
      <c r="D1111" s="6" t="s">
        <v>98</v>
      </c>
      <c r="E1111" s="11">
        <v>0.74426525831222534</v>
      </c>
      <c r="F1111" s="11">
        <v>0.84786814451217651</v>
      </c>
    </row>
    <row r="1112" spans="1:6" hidden="1" x14ac:dyDescent="0.3">
      <c r="A1112" s="6">
        <v>8</v>
      </c>
      <c r="B1112" s="6" t="s">
        <v>97</v>
      </c>
      <c r="C1112" s="6" t="s">
        <v>486</v>
      </c>
      <c r="D1112" s="6" t="s">
        <v>98</v>
      </c>
      <c r="E1112" s="11">
        <v>0.80370026826858521</v>
      </c>
      <c r="F1112" s="11">
        <v>0.84786814451217651</v>
      </c>
    </row>
    <row r="1113" spans="1:6" hidden="1" x14ac:dyDescent="0.3">
      <c r="A1113" s="6">
        <v>8</v>
      </c>
      <c r="B1113" s="6" t="s">
        <v>97</v>
      </c>
      <c r="C1113" s="6" t="s">
        <v>487</v>
      </c>
      <c r="D1113" s="6" t="s">
        <v>98</v>
      </c>
      <c r="E1113" s="11">
        <v>0.7250562310218811</v>
      </c>
      <c r="F1113" s="11">
        <v>0.84786814451217651</v>
      </c>
    </row>
    <row r="1114" spans="1:6" hidden="1" x14ac:dyDescent="0.3">
      <c r="A1114" s="6">
        <v>8</v>
      </c>
      <c r="B1114" s="6" t="s">
        <v>97</v>
      </c>
      <c r="C1114" s="6" t="s">
        <v>488</v>
      </c>
      <c r="D1114" s="6" t="s">
        <v>98</v>
      </c>
      <c r="E1114" s="11">
        <v>0.8311607837677002</v>
      </c>
      <c r="F1114" s="11">
        <v>0.84786814451217651</v>
      </c>
    </row>
    <row r="1115" spans="1:6" hidden="1" x14ac:dyDescent="0.3">
      <c r="A1115" s="6">
        <v>8</v>
      </c>
      <c r="B1115" s="6" t="s">
        <v>97</v>
      </c>
      <c r="C1115" s="6" t="s">
        <v>489</v>
      </c>
      <c r="D1115" s="6" t="s">
        <v>98</v>
      </c>
      <c r="E1115" s="11">
        <v>0.97662794589996338</v>
      </c>
      <c r="F1115" s="11">
        <v>0.84786814451217651</v>
      </c>
    </row>
    <row r="1116" spans="1:6" hidden="1" x14ac:dyDescent="0.3">
      <c r="A1116" s="6">
        <v>8</v>
      </c>
      <c r="B1116" s="6" t="s">
        <v>97</v>
      </c>
      <c r="C1116" s="6" t="s">
        <v>490</v>
      </c>
      <c r="D1116" s="6" t="s">
        <v>98</v>
      </c>
      <c r="E1116" s="11">
        <v>0.87105041742324829</v>
      </c>
      <c r="F1116" s="11">
        <v>0.84786814451217651</v>
      </c>
    </row>
    <row r="1117" spans="1:6" hidden="1" x14ac:dyDescent="0.3">
      <c r="A1117" s="6">
        <v>8</v>
      </c>
      <c r="B1117" s="6" t="s">
        <v>97</v>
      </c>
      <c r="C1117" s="6" t="s">
        <v>491</v>
      </c>
      <c r="D1117" s="6" t="s">
        <v>98</v>
      </c>
      <c r="E1117" s="11">
        <v>1.1847736835479736</v>
      </c>
      <c r="F1117" s="11">
        <v>0.84786814451217651</v>
      </c>
    </row>
    <row r="1118" spans="1:6" hidden="1" x14ac:dyDescent="0.3">
      <c r="A1118" s="6">
        <v>8</v>
      </c>
      <c r="B1118" s="6" t="s">
        <v>97</v>
      </c>
      <c r="C1118" s="6" t="s">
        <v>492</v>
      </c>
      <c r="D1118" s="6" t="s">
        <v>98</v>
      </c>
      <c r="E1118" s="11">
        <v>0.90563154220581055</v>
      </c>
      <c r="F1118" s="11">
        <v>0.84786814451217651</v>
      </c>
    </row>
    <row r="1119" spans="1:6" hidden="1" x14ac:dyDescent="0.3">
      <c r="A1119" s="6">
        <v>8</v>
      </c>
      <c r="B1119" s="6" t="s">
        <v>97</v>
      </c>
      <c r="C1119" s="6" t="s">
        <v>493</v>
      </c>
      <c r="D1119" s="6" t="s">
        <v>98</v>
      </c>
      <c r="E1119" s="11">
        <v>0.79414194822311401</v>
      </c>
      <c r="F1119" s="11">
        <v>0.84786814451217651</v>
      </c>
    </row>
    <row r="1120" spans="1:6" hidden="1" x14ac:dyDescent="0.3">
      <c r="A1120" s="6">
        <v>8</v>
      </c>
      <c r="B1120" s="6" t="s">
        <v>97</v>
      </c>
      <c r="C1120" s="6" t="s">
        <v>494</v>
      </c>
      <c r="D1120" s="6" t="s">
        <v>98</v>
      </c>
      <c r="E1120" s="11">
        <v>1.1442203521728516</v>
      </c>
      <c r="F1120" s="11">
        <v>0.84786814451217651</v>
      </c>
    </row>
    <row r="1121" spans="1:6" hidden="1" x14ac:dyDescent="0.3">
      <c r="A1121" s="6">
        <v>8</v>
      </c>
      <c r="B1121" s="6" t="s">
        <v>97</v>
      </c>
      <c r="C1121" s="6" t="s">
        <v>495</v>
      </c>
      <c r="D1121" s="6" t="s">
        <v>98</v>
      </c>
      <c r="E1121" s="11">
        <v>1.1798859834671021</v>
      </c>
      <c r="F1121" s="11">
        <v>0.84786814451217651</v>
      </c>
    </row>
    <row r="1122" spans="1:6" hidden="1" x14ac:dyDescent="0.3">
      <c r="A1122" s="6">
        <v>9</v>
      </c>
      <c r="B1122" s="6" t="s">
        <v>99</v>
      </c>
      <c r="C1122" s="6" t="s">
        <v>356</v>
      </c>
      <c r="D1122" s="6" t="s">
        <v>100</v>
      </c>
      <c r="E1122" s="11">
        <v>1.155989408493042</v>
      </c>
      <c r="F1122" s="11">
        <v>1.0225555896759033</v>
      </c>
    </row>
    <row r="1123" spans="1:6" hidden="1" x14ac:dyDescent="0.3">
      <c r="A1123" s="6">
        <v>9</v>
      </c>
      <c r="B1123" s="6" t="s">
        <v>99</v>
      </c>
      <c r="C1123" s="6" t="s">
        <v>357</v>
      </c>
      <c r="D1123" s="6" t="s">
        <v>100</v>
      </c>
      <c r="E1123" s="11">
        <v>0.99779337644577026</v>
      </c>
      <c r="F1123" s="11">
        <v>1.0225555896759033</v>
      </c>
    </row>
    <row r="1124" spans="1:6" hidden="1" x14ac:dyDescent="0.3">
      <c r="A1124" s="6">
        <v>9</v>
      </c>
      <c r="B1124" s="6" t="s">
        <v>99</v>
      </c>
      <c r="C1124" s="6" t="s">
        <v>358</v>
      </c>
      <c r="D1124" s="6" t="s">
        <v>100</v>
      </c>
      <c r="E1124" s="11">
        <v>0.88228350877761841</v>
      </c>
      <c r="F1124" s="11">
        <v>1.0225555896759033</v>
      </c>
    </row>
    <row r="1125" spans="1:6" hidden="1" x14ac:dyDescent="0.3">
      <c r="A1125" s="6">
        <v>9</v>
      </c>
      <c r="B1125" s="6" t="s">
        <v>99</v>
      </c>
      <c r="C1125" s="6" t="s">
        <v>359</v>
      </c>
      <c r="D1125" s="6" t="s">
        <v>100</v>
      </c>
      <c r="E1125" s="11">
        <v>1.4141541719436646</v>
      </c>
      <c r="F1125" s="11">
        <v>1.0225555896759033</v>
      </c>
    </row>
    <row r="1126" spans="1:6" hidden="1" x14ac:dyDescent="0.3">
      <c r="A1126" s="6">
        <v>9</v>
      </c>
      <c r="B1126" s="6" t="s">
        <v>99</v>
      </c>
      <c r="C1126" s="6" t="s">
        <v>360</v>
      </c>
      <c r="D1126" s="6" t="s">
        <v>100</v>
      </c>
      <c r="E1126" s="11">
        <v>0.87201708555221558</v>
      </c>
      <c r="F1126" s="11">
        <v>1.0225555896759033</v>
      </c>
    </row>
    <row r="1127" spans="1:6" hidden="1" x14ac:dyDescent="0.3">
      <c r="A1127" s="6">
        <v>9</v>
      </c>
      <c r="B1127" s="6" t="s">
        <v>99</v>
      </c>
      <c r="C1127" s="6" t="s">
        <v>361</v>
      </c>
      <c r="D1127" s="6" t="s">
        <v>100</v>
      </c>
      <c r="E1127" s="11">
        <v>2.873382568359375</v>
      </c>
      <c r="F1127" s="11">
        <v>1.0225555896759033</v>
      </c>
    </row>
    <row r="1128" spans="1:6" hidden="1" x14ac:dyDescent="0.3">
      <c r="A1128" s="6">
        <v>9</v>
      </c>
      <c r="B1128" s="6" t="s">
        <v>99</v>
      </c>
      <c r="C1128" s="6" t="s">
        <v>362</v>
      </c>
      <c r="D1128" s="6" t="s">
        <v>100</v>
      </c>
      <c r="E1128" s="11">
        <v>1.0016467571258545</v>
      </c>
      <c r="F1128" s="11">
        <v>1.0225555896759033</v>
      </c>
    </row>
    <row r="1129" spans="1:6" hidden="1" x14ac:dyDescent="0.3">
      <c r="A1129" s="6">
        <v>9</v>
      </c>
      <c r="B1129" s="6" t="s">
        <v>99</v>
      </c>
      <c r="C1129" s="6" t="s">
        <v>363</v>
      </c>
      <c r="D1129" s="6" t="s">
        <v>100</v>
      </c>
      <c r="E1129" s="11">
        <v>2.8188700675964355</v>
      </c>
      <c r="F1129" s="11">
        <v>1.0225555896759033</v>
      </c>
    </row>
    <row r="1130" spans="1:6" hidden="1" x14ac:dyDescent="0.3">
      <c r="A1130" s="6">
        <v>9</v>
      </c>
      <c r="B1130" s="6" t="s">
        <v>99</v>
      </c>
      <c r="C1130" s="6" t="s">
        <v>364</v>
      </c>
      <c r="D1130" s="6" t="s">
        <v>100</v>
      </c>
      <c r="E1130" s="11">
        <v>1.3431309461593628</v>
      </c>
      <c r="F1130" s="11">
        <v>1.0225555896759033</v>
      </c>
    </row>
    <row r="1131" spans="1:6" hidden="1" x14ac:dyDescent="0.3">
      <c r="A1131" s="6">
        <v>9</v>
      </c>
      <c r="B1131" s="6" t="s">
        <v>99</v>
      </c>
      <c r="C1131" s="6" t="s">
        <v>365</v>
      </c>
      <c r="D1131" s="6" t="s">
        <v>100</v>
      </c>
      <c r="E1131" s="11">
        <v>1.173498272895813</v>
      </c>
      <c r="F1131" s="11">
        <v>1.0225555896759033</v>
      </c>
    </row>
    <row r="1132" spans="1:6" hidden="1" x14ac:dyDescent="0.3">
      <c r="A1132" s="6">
        <v>9</v>
      </c>
      <c r="B1132" s="6" t="s">
        <v>99</v>
      </c>
      <c r="C1132" s="6" t="s">
        <v>366</v>
      </c>
      <c r="D1132" s="6" t="s">
        <v>100</v>
      </c>
      <c r="E1132" s="11">
        <v>1.494513988494873</v>
      </c>
      <c r="F1132" s="11">
        <v>1.0225555896759033</v>
      </c>
    </row>
    <row r="1133" spans="1:6" hidden="1" x14ac:dyDescent="0.3">
      <c r="A1133" s="6">
        <v>9</v>
      </c>
      <c r="B1133" s="6" t="s">
        <v>99</v>
      </c>
      <c r="C1133" s="6" t="s">
        <v>367</v>
      </c>
      <c r="D1133" s="6" t="s">
        <v>100</v>
      </c>
      <c r="E1133" s="11">
        <v>1.5121889114379883</v>
      </c>
      <c r="F1133" s="11">
        <v>1.0225555896759033</v>
      </c>
    </row>
    <row r="1134" spans="1:6" hidden="1" x14ac:dyDescent="0.3">
      <c r="A1134" s="6">
        <v>9</v>
      </c>
      <c r="B1134" s="6" t="s">
        <v>99</v>
      </c>
      <c r="C1134" s="6" t="s">
        <v>368</v>
      </c>
      <c r="D1134" s="6" t="s">
        <v>100</v>
      </c>
      <c r="E1134" s="11">
        <v>1.0403019189834595</v>
      </c>
      <c r="F1134" s="11">
        <v>1.0225555896759033</v>
      </c>
    </row>
    <row r="1135" spans="1:6" hidden="1" x14ac:dyDescent="0.3">
      <c r="A1135" s="6">
        <v>9</v>
      </c>
      <c r="B1135" s="6" t="s">
        <v>99</v>
      </c>
      <c r="C1135" s="6" t="s">
        <v>369</v>
      </c>
      <c r="D1135" s="6" t="s">
        <v>100</v>
      </c>
      <c r="E1135" s="11">
        <v>3.9715497493743896</v>
      </c>
      <c r="F1135" s="11">
        <v>1.0225555896759033</v>
      </c>
    </row>
    <row r="1136" spans="1:6" hidden="1" x14ac:dyDescent="0.3">
      <c r="A1136" s="6">
        <v>9</v>
      </c>
      <c r="B1136" s="6" t="s">
        <v>99</v>
      </c>
      <c r="C1136" s="6" t="s">
        <v>370</v>
      </c>
      <c r="D1136" s="6" t="s">
        <v>100</v>
      </c>
      <c r="E1136" s="11">
        <v>0.92395347356796265</v>
      </c>
      <c r="F1136" s="11">
        <v>1.0225555896759033</v>
      </c>
    </row>
    <row r="1137" spans="1:6" hidden="1" x14ac:dyDescent="0.3">
      <c r="A1137" s="6">
        <v>9</v>
      </c>
      <c r="B1137" s="6" t="s">
        <v>99</v>
      </c>
      <c r="C1137" s="6" t="s">
        <v>371</v>
      </c>
      <c r="D1137" s="6" t="s">
        <v>100</v>
      </c>
      <c r="E1137" s="11">
        <v>0.80961000919342041</v>
      </c>
      <c r="F1137" s="11">
        <v>1.0225555896759033</v>
      </c>
    </row>
    <row r="1138" spans="1:6" hidden="1" x14ac:dyDescent="0.3">
      <c r="A1138" s="6">
        <v>9</v>
      </c>
      <c r="B1138" s="6" t="s">
        <v>99</v>
      </c>
      <c r="C1138" s="6" t="s">
        <v>372</v>
      </c>
      <c r="D1138" s="6" t="s">
        <v>100</v>
      </c>
      <c r="E1138" s="11">
        <v>2.6814465522766113</v>
      </c>
      <c r="F1138" s="11">
        <v>1.0225555896759033</v>
      </c>
    </row>
    <row r="1139" spans="1:6" hidden="1" x14ac:dyDescent="0.3">
      <c r="A1139" s="6">
        <v>9</v>
      </c>
      <c r="B1139" s="6" t="s">
        <v>99</v>
      </c>
      <c r="C1139" s="6" t="s">
        <v>373</v>
      </c>
      <c r="D1139" s="6" t="s">
        <v>100</v>
      </c>
      <c r="E1139" s="11">
        <v>0.73268020153045654</v>
      </c>
      <c r="F1139" s="11">
        <v>1.0225555896759033</v>
      </c>
    </row>
    <row r="1140" spans="1:6" hidden="1" x14ac:dyDescent="0.3">
      <c r="A1140" s="6">
        <v>9</v>
      </c>
      <c r="B1140" s="6" t="s">
        <v>99</v>
      </c>
      <c r="C1140" s="6" t="s">
        <v>374</v>
      </c>
      <c r="D1140" s="6" t="s">
        <v>100</v>
      </c>
      <c r="E1140" s="11">
        <v>1.3021504878997803</v>
      </c>
      <c r="F1140" s="11">
        <v>1.0225555896759033</v>
      </c>
    </row>
    <row r="1141" spans="1:6" hidden="1" x14ac:dyDescent="0.3">
      <c r="A1141" s="6">
        <v>9</v>
      </c>
      <c r="B1141" s="6" t="s">
        <v>99</v>
      </c>
      <c r="C1141" s="6" t="s">
        <v>375</v>
      </c>
      <c r="D1141" s="6" t="s">
        <v>100</v>
      </c>
      <c r="E1141" s="11">
        <v>0.61502385139465332</v>
      </c>
      <c r="F1141" s="11">
        <v>1.0225555896759033</v>
      </c>
    </row>
    <row r="1142" spans="1:6" hidden="1" x14ac:dyDescent="0.3">
      <c r="A1142" s="6">
        <v>9</v>
      </c>
      <c r="B1142" s="6" t="s">
        <v>99</v>
      </c>
      <c r="C1142" s="6" t="s">
        <v>376</v>
      </c>
      <c r="D1142" s="6" t="s">
        <v>100</v>
      </c>
      <c r="E1142" s="11">
        <v>0.92539834976196289</v>
      </c>
      <c r="F1142" s="11">
        <v>1.0225555896759033</v>
      </c>
    </row>
    <row r="1143" spans="1:6" hidden="1" x14ac:dyDescent="0.3">
      <c r="A1143" s="6">
        <v>9</v>
      </c>
      <c r="B1143" s="6" t="s">
        <v>99</v>
      </c>
      <c r="C1143" s="6" t="s">
        <v>377</v>
      </c>
      <c r="D1143" s="6" t="s">
        <v>100</v>
      </c>
      <c r="E1143" s="11">
        <v>0.99536985158920288</v>
      </c>
      <c r="F1143" s="11">
        <v>1.0225555896759033</v>
      </c>
    </row>
    <row r="1144" spans="1:6" hidden="1" x14ac:dyDescent="0.3">
      <c r="A1144" s="6">
        <v>9</v>
      </c>
      <c r="B1144" s="6" t="s">
        <v>99</v>
      </c>
      <c r="C1144" s="6" t="s">
        <v>378</v>
      </c>
      <c r="D1144" s="6" t="s">
        <v>100</v>
      </c>
      <c r="E1144" s="11">
        <v>5.4306659698486328</v>
      </c>
      <c r="F1144" s="11">
        <v>1.0225555896759033</v>
      </c>
    </row>
    <row r="1145" spans="1:6" hidden="1" x14ac:dyDescent="0.3">
      <c r="A1145" s="6">
        <v>9</v>
      </c>
      <c r="B1145" s="6" t="s">
        <v>99</v>
      </c>
      <c r="C1145" s="6" t="s">
        <v>379</v>
      </c>
      <c r="D1145" s="6" t="s">
        <v>100</v>
      </c>
      <c r="E1145" s="11">
        <v>1.1175295114517212</v>
      </c>
      <c r="F1145" s="11">
        <v>1.0225555896759033</v>
      </c>
    </row>
    <row r="1146" spans="1:6" hidden="1" x14ac:dyDescent="0.3">
      <c r="A1146" s="6">
        <v>9</v>
      </c>
      <c r="B1146" s="6" t="s">
        <v>99</v>
      </c>
      <c r="C1146" s="6" t="s">
        <v>380</v>
      </c>
      <c r="D1146" s="6" t="s">
        <v>100</v>
      </c>
      <c r="E1146" s="11">
        <v>0.77604228258132935</v>
      </c>
      <c r="F1146" s="11">
        <v>1.0225555896759033</v>
      </c>
    </row>
    <row r="1147" spans="1:6" hidden="1" x14ac:dyDescent="0.3">
      <c r="A1147" s="6">
        <v>9</v>
      </c>
      <c r="B1147" s="6" t="s">
        <v>99</v>
      </c>
      <c r="C1147" s="6" t="s">
        <v>381</v>
      </c>
      <c r="D1147" s="6" t="s">
        <v>100</v>
      </c>
      <c r="E1147" s="11">
        <v>0.85107481479644775</v>
      </c>
      <c r="F1147" s="11">
        <v>1.0225555896759033</v>
      </c>
    </row>
    <row r="1148" spans="1:6" hidden="1" x14ac:dyDescent="0.3">
      <c r="A1148" s="6">
        <v>9</v>
      </c>
      <c r="B1148" s="6" t="s">
        <v>99</v>
      </c>
      <c r="C1148" s="6" t="s">
        <v>382</v>
      </c>
      <c r="D1148" s="6" t="s">
        <v>100</v>
      </c>
      <c r="E1148" s="11">
        <v>1.0726269483566284</v>
      </c>
      <c r="F1148" s="11">
        <v>1.0225555896759033</v>
      </c>
    </row>
    <row r="1149" spans="1:6" hidden="1" x14ac:dyDescent="0.3">
      <c r="A1149" s="6">
        <v>9</v>
      </c>
      <c r="B1149" s="6" t="s">
        <v>99</v>
      </c>
      <c r="C1149" s="6" t="s">
        <v>383</v>
      </c>
      <c r="D1149" s="6" t="s">
        <v>100</v>
      </c>
      <c r="E1149" s="11">
        <v>2.8348937034606934</v>
      </c>
      <c r="F1149" s="11">
        <v>1.0225555896759033</v>
      </c>
    </row>
    <row r="1150" spans="1:6" hidden="1" x14ac:dyDescent="0.3">
      <c r="A1150" s="6">
        <v>9</v>
      </c>
      <c r="B1150" s="6" t="s">
        <v>99</v>
      </c>
      <c r="C1150" s="6" t="s">
        <v>384</v>
      </c>
      <c r="D1150" s="6" t="s">
        <v>100</v>
      </c>
      <c r="E1150" s="11">
        <v>1.7652688026428223</v>
      </c>
      <c r="F1150" s="11">
        <v>1.0225555896759033</v>
      </c>
    </row>
    <row r="1151" spans="1:6" hidden="1" x14ac:dyDescent="0.3">
      <c r="A1151" s="6">
        <v>9</v>
      </c>
      <c r="B1151" s="6" t="s">
        <v>99</v>
      </c>
      <c r="C1151" s="6" t="s">
        <v>385</v>
      </c>
      <c r="D1151" s="6" t="s">
        <v>100</v>
      </c>
      <c r="E1151" s="11">
        <v>2.0089373588562012</v>
      </c>
      <c r="F1151" s="11">
        <v>1.0225555896759033</v>
      </c>
    </row>
    <row r="1152" spans="1:6" hidden="1" x14ac:dyDescent="0.3">
      <c r="A1152" s="6">
        <v>9</v>
      </c>
      <c r="B1152" s="6" t="s">
        <v>99</v>
      </c>
      <c r="C1152" s="6" t="s">
        <v>386</v>
      </c>
      <c r="D1152" s="6" t="s">
        <v>100</v>
      </c>
      <c r="E1152" s="11">
        <v>0.81092375516891479</v>
      </c>
      <c r="F1152" s="11">
        <v>1.0225555896759033</v>
      </c>
    </row>
    <row r="1153" spans="1:6" hidden="1" x14ac:dyDescent="0.3">
      <c r="A1153" s="6">
        <v>9</v>
      </c>
      <c r="B1153" s="6" t="s">
        <v>99</v>
      </c>
      <c r="C1153" s="6" t="s">
        <v>387</v>
      </c>
      <c r="D1153" s="6" t="s">
        <v>100</v>
      </c>
      <c r="E1153" s="11">
        <v>1.1478101015090942</v>
      </c>
      <c r="F1153" s="11">
        <v>1.0225555896759033</v>
      </c>
    </row>
    <row r="1154" spans="1:6" hidden="1" x14ac:dyDescent="0.3">
      <c r="A1154" s="6">
        <v>9</v>
      </c>
      <c r="B1154" s="6" t="s">
        <v>99</v>
      </c>
      <c r="C1154" s="6" t="s">
        <v>388</v>
      </c>
      <c r="D1154" s="6" t="s">
        <v>100</v>
      </c>
      <c r="E1154" s="11">
        <v>3.4227797985076904</v>
      </c>
      <c r="F1154" s="11">
        <v>1.0225555896759033</v>
      </c>
    </row>
    <row r="1155" spans="1:6" hidden="1" x14ac:dyDescent="0.3">
      <c r="A1155" s="6">
        <v>9</v>
      </c>
      <c r="B1155" s="6" t="s">
        <v>99</v>
      </c>
      <c r="C1155" s="6" t="s">
        <v>389</v>
      </c>
      <c r="D1155" s="6" t="s">
        <v>100</v>
      </c>
      <c r="E1155" s="11">
        <v>1.5436581373214722</v>
      </c>
      <c r="F1155" s="11">
        <v>1.0225555896759033</v>
      </c>
    </row>
    <row r="1156" spans="1:6" hidden="1" x14ac:dyDescent="0.3">
      <c r="A1156" s="6">
        <v>9</v>
      </c>
      <c r="B1156" s="6" t="s">
        <v>99</v>
      </c>
      <c r="C1156" s="6" t="s">
        <v>390</v>
      </c>
      <c r="D1156" s="6" t="s">
        <v>100</v>
      </c>
      <c r="E1156" s="11">
        <v>3.6225450038909912</v>
      </c>
      <c r="F1156" s="11">
        <v>1.0225555896759033</v>
      </c>
    </row>
    <row r="1157" spans="1:6" hidden="1" x14ac:dyDescent="0.3">
      <c r="A1157" s="6">
        <v>9</v>
      </c>
      <c r="B1157" s="6" t="s">
        <v>99</v>
      </c>
      <c r="C1157" s="6" t="s">
        <v>391</v>
      </c>
      <c r="D1157" s="6" t="s">
        <v>100</v>
      </c>
      <c r="E1157" s="11">
        <v>1.2300180196762085</v>
      </c>
      <c r="F1157" s="11">
        <v>1.0225555896759033</v>
      </c>
    </row>
    <row r="1158" spans="1:6" hidden="1" x14ac:dyDescent="0.3">
      <c r="A1158" s="6">
        <v>9</v>
      </c>
      <c r="B1158" s="6" t="s">
        <v>99</v>
      </c>
      <c r="C1158" s="6" t="s">
        <v>392</v>
      </c>
      <c r="D1158" s="6" t="s">
        <v>100</v>
      </c>
      <c r="E1158" s="11">
        <v>2.5941677093505859</v>
      </c>
      <c r="F1158" s="11">
        <v>1.0225555896759033</v>
      </c>
    </row>
    <row r="1159" spans="1:6" hidden="1" x14ac:dyDescent="0.3">
      <c r="A1159" s="6">
        <v>9</v>
      </c>
      <c r="B1159" s="6" t="s">
        <v>99</v>
      </c>
      <c r="C1159" s="6" t="s">
        <v>393</v>
      </c>
      <c r="D1159" s="6" t="s">
        <v>100</v>
      </c>
      <c r="E1159" s="11">
        <v>2.5032501220703125</v>
      </c>
      <c r="F1159" s="11">
        <v>1.0225555896759033</v>
      </c>
    </row>
    <row r="1160" spans="1:6" hidden="1" x14ac:dyDescent="0.3">
      <c r="A1160" s="6">
        <v>9</v>
      </c>
      <c r="B1160" s="6" t="s">
        <v>99</v>
      </c>
      <c r="C1160" s="6" t="s">
        <v>394</v>
      </c>
      <c r="D1160" s="6" t="s">
        <v>100</v>
      </c>
      <c r="E1160" s="11">
        <v>1.1396530866622925</v>
      </c>
      <c r="F1160" s="11">
        <v>1.0225555896759033</v>
      </c>
    </row>
    <row r="1161" spans="1:6" hidden="1" x14ac:dyDescent="0.3">
      <c r="A1161" s="6">
        <v>9</v>
      </c>
      <c r="B1161" s="6" t="s">
        <v>99</v>
      </c>
      <c r="C1161" s="6" t="s">
        <v>395</v>
      </c>
      <c r="D1161" s="6" t="s">
        <v>100</v>
      </c>
      <c r="E1161" s="11">
        <v>1.1563732624053955</v>
      </c>
      <c r="F1161" s="11">
        <v>1.0225555896759033</v>
      </c>
    </row>
    <row r="1162" spans="1:6" hidden="1" x14ac:dyDescent="0.3">
      <c r="A1162" s="6">
        <v>9</v>
      </c>
      <c r="B1162" s="6" t="s">
        <v>99</v>
      </c>
      <c r="C1162" s="6" t="s">
        <v>396</v>
      </c>
      <c r="D1162" s="6" t="s">
        <v>100</v>
      </c>
      <c r="E1162" s="11">
        <v>1.2515329122543335</v>
      </c>
      <c r="F1162" s="11">
        <v>1.0225555896759033</v>
      </c>
    </row>
    <row r="1163" spans="1:6" hidden="1" x14ac:dyDescent="0.3">
      <c r="A1163" s="6">
        <v>9</v>
      </c>
      <c r="B1163" s="6" t="s">
        <v>99</v>
      </c>
      <c r="C1163" s="6" t="s">
        <v>397</v>
      </c>
      <c r="D1163" s="6" t="s">
        <v>100</v>
      </c>
      <c r="E1163" s="11">
        <v>1.2246007919311523</v>
      </c>
      <c r="F1163" s="11">
        <v>1.0225555896759033</v>
      </c>
    </row>
    <row r="1164" spans="1:6" hidden="1" x14ac:dyDescent="0.3">
      <c r="A1164" s="6">
        <v>9</v>
      </c>
      <c r="B1164" s="6" t="s">
        <v>99</v>
      </c>
      <c r="C1164" s="6" t="s">
        <v>398</v>
      </c>
      <c r="D1164" s="6" t="s">
        <v>100</v>
      </c>
      <c r="E1164" s="11">
        <v>1.3693253993988037</v>
      </c>
      <c r="F1164" s="11">
        <v>1.0225555896759033</v>
      </c>
    </row>
    <row r="1165" spans="1:6" hidden="1" x14ac:dyDescent="0.3">
      <c r="A1165" s="6">
        <v>9</v>
      </c>
      <c r="B1165" s="6" t="s">
        <v>99</v>
      </c>
      <c r="C1165" s="6" t="s">
        <v>399</v>
      </c>
      <c r="D1165" s="6" t="s">
        <v>100</v>
      </c>
      <c r="E1165" s="11">
        <v>0.9147682785987854</v>
      </c>
      <c r="F1165" s="11">
        <v>1.0225555896759033</v>
      </c>
    </row>
    <row r="1166" spans="1:6" hidden="1" x14ac:dyDescent="0.3">
      <c r="A1166" s="6">
        <v>9</v>
      </c>
      <c r="B1166" s="6" t="s">
        <v>99</v>
      </c>
      <c r="C1166" s="6" t="s">
        <v>400</v>
      </c>
      <c r="D1166" s="6" t="s">
        <v>100</v>
      </c>
      <c r="E1166" s="11">
        <v>1.3472912311553955</v>
      </c>
      <c r="F1166" s="11">
        <v>1.0225555896759033</v>
      </c>
    </row>
    <row r="1167" spans="1:6" hidden="1" x14ac:dyDescent="0.3">
      <c r="A1167" s="6">
        <v>9</v>
      </c>
      <c r="B1167" s="6" t="s">
        <v>99</v>
      </c>
      <c r="C1167" s="6" t="s">
        <v>401</v>
      </c>
      <c r="D1167" s="6" t="s">
        <v>100</v>
      </c>
      <c r="E1167" s="11">
        <v>0.90891569852828979</v>
      </c>
      <c r="F1167" s="11">
        <v>1.0225555896759033</v>
      </c>
    </row>
    <row r="1168" spans="1:6" hidden="1" x14ac:dyDescent="0.3">
      <c r="A1168" s="6">
        <v>9</v>
      </c>
      <c r="B1168" s="6" t="s">
        <v>99</v>
      </c>
      <c r="C1168" s="6" t="s">
        <v>402</v>
      </c>
      <c r="D1168" s="6" t="s">
        <v>100</v>
      </c>
      <c r="E1168" s="11">
        <v>1.6560944318771362</v>
      </c>
      <c r="F1168" s="11">
        <v>1.0225555896759033</v>
      </c>
    </row>
    <row r="1169" spans="1:6" hidden="1" x14ac:dyDescent="0.3">
      <c r="A1169" s="6">
        <v>9</v>
      </c>
      <c r="B1169" s="6" t="s">
        <v>99</v>
      </c>
      <c r="C1169" s="6" t="s">
        <v>403</v>
      </c>
      <c r="D1169" s="6" t="s">
        <v>100</v>
      </c>
      <c r="E1169" s="11">
        <v>2.1831252574920654</v>
      </c>
      <c r="F1169" s="11">
        <v>1.0225555896759033</v>
      </c>
    </row>
    <row r="1170" spans="1:6" hidden="1" x14ac:dyDescent="0.3">
      <c r="A1170" s="6">
        <v>9</v>
      </c>
      <c r="B1170" s="6" t="s">
        <v>99</v>
      </c>
      <c r="C1170" s="6" t="s">
        <v>404</v>
      </c>
      <c r="D1170" s="6" t="s">
        <v>100</v>
      </c>
      <c r="E1170" s="11">
        <v>0.87386375665664673</v>
      </c>
      <c r="F1170" s="11">
        <v>1.0225555896759033</v>
      </c>
    </row>
    <row r="1171" spans="1:6" hidden="1" x14ac:dyDescent="0.3">
      <c r="A1171" s="6">
        <v>9</v>
      </c>
      <c r="B1171" s="6" t="s">
        <v>99</v>
      </c>
      <c r="C1171" s="6" t="s">
        <v>405</v>
      </c>
      <c r="D1171" s="6" t="s">
        <v>100</v>
      </c>
      <c r="E1171" s="11">
        <v>1.136988639831543</v>
      </c>
      <c r="F1171" s="11">
        <v>1.0225555896759033</v>
      </c>
    </row>
    <row r="1172" spans="1:6" hidden="1" x14ac:dyDescent="0.3">
      <c r="A1172" s="6">
        <v>9</v>
      </c>
      <c r="B1172" s="6" t="s">
        <v>99</v>
      </c>
      <c r="C1172" s="6" t="s">
        <v>406</v>
      </c>
      <c r="D1172" s="6" t="s">
        <v>100</v>
      </c>
      <c r="E1172" s="11">
        <v>0.95875710248947144</v>
      </c>
      <c r="F1172" s="11">
        <v>1.0225555896759033</v>
      </c>
    </row>
    <row r="1173" spans="1:6" hidden="1" x14ac:dyDescent="0.3">
      <c r="A1173" s="6">
        <v>9</v>
      </c>
      <c r="B1173" s="6" t="s">
        <v>99</v>
      </c>
      <c r="C1173" s="6" t="s">
        <v>407</v>
      </c>
      <c r="D1173" s="6" t="s">
        <v>100</v>
      </c>
      <c r="E1173" s="11">
        <v>1.3426581621170044</v>
      </c>
      <c r="F1173" s="11">
        <v>1.0225555896759033</v>
      </c>
    </row>
    <row r="1174" spans="1:6" hidden="1" x14ac:dyDescent="0.3">
      <c r="A1174" s="6">
        <v>9</v>
      </c>
      <c r="B1174" s="6" t="s">
        <v>99</v>
      </c>
      <c r="C1174" s="6" t="s">
        <v>408</v>
      </c>
      <c r="D1174" s="6" t="s">
        <v>100</v>
      </c>
      <c r="E1174" s="11">
        <v>1.0899109840393066</v>
      </c>
      <c r="F1174" s="11">
        <v>1.0225555896759033</v>
      </c>
    </row>
    <row r="1175" spans="1:6" hidden="1" x14ac:dyDescent="0.3">
      <c r="A1175" s="6">
        <v>9</v>
      </c>
      <c r="B1175" s="6" t="s">
        <v>99</v>
      </c>
      <c r="C1175" s="6" t="s">
        <v>409</v>
      </c>
      <c r="D1175" s="6" t="s">
        <v>100</v>
      </c>
      <c r="E1175" s="11">
        <v>2.9073648452758789</v>
      </c>
      <c r="F1175" s="11">
        <v>1.0225555896759033</v>
      </c>
    </row>
    <row r="1176" spans="1:6" hidden="1" x14ac:dyDescent="0.3">
      <c r="A1176" s="6">
        <v>9</v>
      </c>
      <c r="B1176" s="6" t="s">
        <v>99</v>
      </c>
      <c r="C1176" s="6" t="s">
        <v>410</v>
      </c>
      <c r="D1176" s="6" t="s">
        <v>100</v>
      </c>
      <c r="E1176" s="11">
        <v>1.2289887666702271</v>
      </c>
      <c r="F1176" s="11">
        <v>1.0225555896759033</v>
      </c>
    </row>
    <row r="1177" spans="1:6" hidden="1" x14ac:dyDescent="0.3">
      <c r="A1177" s="6">
        <v>9</v>
      </c>
      <c r="B1177" s="6" t="s">
        <v>99</v>
      </c>
      <c r="C1177" s="6" t="s">
        <v>411</v>
      </c>
      <c r="D1177" s="6" t="s">
        <v>100</v>
      </c>
      <c r="E1177" s="11">
        <v>1.3962575197219849</v>
      </c>
      <c r="F1177" s="11">
        <v>1.0225555896759033</v>
      </c>
    </row>
    <row r="1178" spans="1:6" hidden="1" x14ac:dyDescent="0.3">
      <c r="A1178" s="6">
        <v>9</v>
      </c>
      <c r="B1178" s="6" t="s">
        <v>99</v>
      </c>
      <c r="C1178" s="6" t="s">
        <v>412</v>
      </c>
      <c r="D1178" s="6" t="s">
        <v>100</v>
      </c>
      <c r="E1178" s="11">
        <v>1.3564808368682861</v>
      </c>
      <c r="F1178" s="11">
        <v>1.0225555896759033</v>
      </c>
    </row>
    <row r="1179" spans="1:6" hidden="1" x14ac:dyDescent="0.3">
      <c r="A1179" s="6">
        <v>9</v>
      </c>
      <c r="B1179" s="6" t="s">
        <v>99</v>
      </c>
      <c r="C1179" s="6" t="s">
        <v>413</v>
      </c>
      <c r="D1179" s="6" t="s">
        <v>100</v>
      </c>
      <c r="E1179" s="11">
        <v>1.4095114469528198</v>
      </c>
      <c r="F1179" s="11">
        <v>1.0225555896759033</v>
      </c>
    </row>
    <row r="1180" spans="1:6" hidden="1" x14ac:dyDescent="0.3">
      <c r="A1180" s="6">
        <v>9</v>
      </c>
      <c r="B1180" s="6" t="s">
        <v>99</v>
      </c>
      <c r="C1180" s="6" t="s">
        <v>414</v>
      </c>
      <c r="D1180" s="6" t="s">
        <v>100</v>
      </c>
      <c r="E1180" s="11">
        <v>1.2899866104125977</v>
      </c>
      <c r="F1180" s="11">
        <v>1.0225555896759033</v>
      </c>
    </row>
    <row r="1181" spans="1:6" hidden="1" x14ac:dyDescent="0.3">
      <c r="A1181" s="6">
        <v>9</v>
      </c>
      <c r="B1181" s="6" t="s">
        <v>99</v>
      </c>
      <c r="C1181" s="6" t="s">
        <v>415</v>
      </c>
      <c r="D1181" s="6" t="s">
        <v>100</v>
      </c>
      <c r="E1181" s="11">
        <v>1.2835794687271118</v>
      </c>
      <c r="F1181" s="11">
        <v>1.0225555896759033</v>
      </c>
    </row>
    <row r="1182" spans="1:6" hidden="1" x14ac:dyDescent="0.3">
      <c r="A1182" s="6">
        <v>9</v>
      </c>
      <c r="B1182" s="6" t="s">
        <v>99</v>
      </c>
      <c r="C1182" s="6" t="s">
        <v>416</v>
      </c>
      <c r="D1182" s="6" t="s">
        <v>100</v>
      </c>
      <c r="E1182" s="11">
        <v>0.74788922071456909</v>
      </c>
      <c r="F1182" s="11">
        <v>1.0225555896759033</v>
      </c>
    </row>
    <row r="1183" spans="1:6" hidden="1" x14ac:dyDescent="0.3">
      <c r="A1183" s="6">
        <v>9</v>
      </c>
      <c r="B1183" s="6" t="s">
        <v>99</v>
      </c>
      <c r="C1183" s="6" t="s">
        <v>417</v>
      </c>
      <c r="D1183" s="6" t="s">
        <v>100</v>
      </c>
      <c r="E1183" s="11">
        <v>1.1040885448455811</v>
      </c>
      <c r="F1183" s="11">
        <v>1.0225555896759033</v>
      </c>
    </row>
    <row r="1184" spans="1:6" hidden="1" x14ac:dyDescent="0.3">
      <c r="A1184" s="6">
        <v>9</v>
      </c>
      <c r="B1184" s="6" t="s">
        <v>99</v>
      </c>
      <c r="C1184" s="6" t="s">
        <v>418</v>
      </c>
      <c r="D1184" s="6" t="s">
        <v>100</v>
      </c>
      <c r="E1184" s="11">
        <v>1.0637456178665161</v>
      </c>
      <c r="F1184" s="11">
        <v>1.0225555896759033</v>
      </c>
    </row>
    <row r="1185" spans="1:6" hidden="1" x14ac:dyDescent="0.3">
      <c r="A1185" s="6">
        <v>9</v>
      </c>
      <c r="B1185" s="6" t="s">
        <v>99</v>
      </c>
      <c r="C1185" s="6" t="s">
        <v>419</v>
      </c>
      <c r="D1185" s="6" t="s">
        <v>100</v>
      </c>
      <c r="E1185" s="11">
        <v>0.82911759614944458</v>
      </c>
      <c r="F1185" s="11">
        <v>1.0225555896759033</v>
      </c>
    </row>
    <row r="1186" spans="1:6" hidden="1" x14ac:dyDescent="0.3">
      <c r="A1186" s="6">
        <v>9</v>
      </c>
      <c r="B1186" s="6" t="s">
        <v>99</v>
      </c>
      <c r="C1186" s="6" t="s">
        <v>420</v>
      </c>
      <c r="D1186" s="6" t="s">
        <v>100</v>
      </c>
      <c r="E1186" s="11">
        <v>0.7385745644569397</v>
      </c>
      <c r="F1186" s="11">
        <v>1.0225555896759033</v>
      </c>
    </row>
    <row r="1187" spans="1:6" hidden="1" x14ac:dyDescent="0.3">
      <c r="A1187" s="6">
        <v>9</v>
      </c>
      <c r="B1187" s="6" t="s">
        <v>99</v>
      </c>
      <c r="C1187" s="6" t="s">
        <v>421</v>
      </c>
      <c r="D1187" s="6" t="s">
        <v>100</v>
      </c>
      <c r="E1187" s="11">
        <v>1.6262193918228149</v>
      </c>
      <c r="F1187" s="11">
        <v>1.0225555896759033</v>
      </c>
    </row>
    <row r="1188" spans="1:6" hidden="1" x14ac:dyDescent="0.3">
      <c r="A1188" s="6">
        <v>9</v>
      </c>
      <c r="B1188" s="6" t="s">
        <v>99</v>
      </c>
      <c r="C1188" s="6" t="s">
        <v>422</v>
      </c>
      <c r="D1188" s="6" t="s">
        <v>100</v>
      </c>
      <c r="E1188" s="11">
        <v>22.131126403808594</v>
      </c>
      <c r="F1188" s="11">
        <v>1.0225555896759033</v>
      </c>
    </row>
    <row r="1189" spans="1:6" hidden="1" x14ac:dyDescent="0.3">
      <c r="A1189" s="6">
        <v>9</v>
      </c>
      <c r="B1189" s="6" t="s">
        <v>99</v>
      </c>
      <c r="C1189" s="6" t="s">
        <v>423</v>
      </c>
      <c r="D1189" s="6" t="s">
        <v>100</v>
      </c>
      <c r="E1189" s="11">
        <v>3.0231294631958008</v>
      </c>
      <c r="F1189" s="11">
        <v>1.0225555896759033</v>
      </c>
    </row>
    <row r="1190" spans="1:6" hidden="1" x14ac:dyDescent="0.3">
      <c r="A1190" s="6">
        <v>9</v>
      </c>
      <c r="B1190" s="6" t="s">
        <v>99</v>
      </c>
      <c r="C1190" s="6" t="s">
        <v>424</v>
      </c>
      <c r="D1190" s="6" t="s">
        <v>100</v>
      </c>
      <c r="E1190" s="11">
        <v>0.901020348072052</v>
      </c>
      <c r="F1190" s="11">
        <v>1.0225555896759033</v>
      </c>
    </row>
    <row r="1191" spans="1:6" hidden="1" x14ac:dyDescent="0.3">
      <c r="A1191" s="6">
        <v>9</v>
      </c>
      <c r="B1191" s="6" t="s">
        <v>99</v>
      </c>
      <c r="C1191" s="6" t="s">
        <v>425</v>
      </c>
      <c r="D1191" s="6" t="s">
        <v>100</v>
      </c>
      <c r="E1191" s="11">
        <v>1.393287181854248</v>
      </c>
      <c r="F1191" s="11">
        <v>1.0225555896759033</v>
      </c>
    </row>
    <row r="1192" spans="1:6" hidden="1" x14ac:dyDescent="0.3">
      <c r="A1192" s="6">
        <v>9</v>
      </c>
      <c r="B1192" s="6" t="s">
        <v>99</v>
      </c>
      <c r="C1192" s="6" t="s">
        <v>426</v>
      </c>
      <c r="D1192" s="6" t="s">
        <v>100</v>
      </c>
      <c r="E1192" s="11">
        <v>0.89692068099975586</v>
      </c>
      <c r="F1192" s="11">
        <v>1.0225555896759033</v>
      </c>
    </row>
    <row r="1193" spans="1:6" hidden="1" x14ac:dyDescent="0.3">
      <c r="A1193" s="6">
        <v>9</v>
      </c>
      <c r="B1193" s="6" t="s">
        <v>99</v>
      </c>
      <c r="C1193" s="6" t="s">
        <v>427</v>
      </c>
      <c r="D1193" s="6" t="s">
        <v>100</v>
      </c>
      <c r="E1193" s="11">
        <v>3.1090466976165771</v>
      </c>
      <c r="F1193" s="11">
        <v>1.0225555896759033</v>
      </c>
    </row>
    <row r="1194" spans="1:6" hidden="1" x14ac:dyDescent="0.3">
      <c r="A1194" s="6">
        <v>9</v>
      </c>
      <c r="B1194" s="6" t="s">
        <v>99</v>
      </c>
      <c r="C1194" s="6" t="s">
        <v>428</v>
      </c>
      <c r="D1194" s="6" t="s">
        <v>100</v>
      </c>
      <c r="E1194" s="11">
        <v>0.85713660717010498</v>
      </c>
      <c r="F1194" s="11">
        <v>1.0225555896759033</v>
      </c>
    </row>
    <row r="1195" spans="1:6" hidden="1" x14ac:dyDescent="0.3">
      <c r="A1195" s="6">
        <v>9</v>
      </c>
      <c r="B1195" s="6" t="s">
        <v>99</v>
      </c>
      <c r="C1195" s="6" t="s">
        <v>429</v>
      </c>
      <c r="D1195" s="6" t="s">
        <v>100</v>
      </c>
      <c r="E1195" s="11">
        <v>0.97756999731063843</v>
      </c>
      <c r="F1195" s="11">
        <v>1.0225555896759033</v>
      </c>
    </row>
    <row r="1196" spans="1:6" hidden="1" x14ac:dyDescent="0.3">
      <c r="A1196" s="6">
        <v>9</v>
      </c>
      <c r="B1196" s="6" t="s">
        <v>99</v>
      </c>
      <c r="C1196" s="6" t="s">
        <v>430</v>
      </c>
      <c r="D1196" s="6" t="s">
        <v>100</v>
      </c>
      <c r="E1196" s="11">
        <v>1.1144366264343262</v>
      </c>
      <c r="F1196" s="11">
        <v>1.0225555896759033</v>
      </c>
    </row>
    <row r="1197" spans="1:6" hidden="1" x14ac:dyDescent="0.3">
      <c r="A1197" s="6">
        <v>9</v>
      </c>
      <c r="B1197" s="6" t="s">
        <v>99</v>
      </c>
      <c r="C1197" s="6" t="s">
        <v>431</v>
      </c>
      <c r="D1197" s="6" t="s">
        <v>100</v>
      </c>
      <c r="E1197" s="11">
        <v>0.88055402040481567</v>
      </c>
      <c r="F1197" s="11">
        <v>1.0225555896759033</v>
      </c>
    </row>
    <row r="1198" spans="1:6" hidden="1" x14ac:dyDescent="0.3">
      <c r="A1198" s="6">
        <v>9</v>
      </c>
      <c r="B1198" s="6" t="s">
        <v>99</v>
      </c>
      <c r="C1198" s="6" t="s">
        <v>432</v>
      </c>
      <c r="D1198" s="6" t="s">
        <v>100</v>
      </c>
      <c r="E1198" s="11">
        <v>0.87635624408721924</v>
      </c>
      <c r="F1198" s="11">
        <v>1.0225555896759033</v>
      </c>
    </row>
    <row r="1199" spans="1:6" hidden="1" x14ac:dyDescent="0.3">
      <c r="A1199" s="6">
        <v>9</v>
      </c>
      <c r="B1199" s="6" t="s">
        <v>99</v>
      </c>
      <c r="C1199" s="6" t="s">
        <v>433</v>
      </c>
      <c r="D1199" s="6" t="s">
        <v>100</v>
      </c>
      <c r="E1199" s="11">
        <v>0.73381245136260986</v>
      </c>
      <c r="F1199" s="11">
        <v>1.0225555896759033</v>
      </c>
    </row>
    <row r="1200" spans="1:6" hidden="1" x14ac:dyDescent="0.3">
      <c r="A1200" s="6">
        <v>9</v>
      </c>
      <c r="B1200" s="6" t="s">
        <v>99</v>
      </c>
      <c r="C1200" s="6" t="s">
        <v>434</v>
      </c>
      <c r="D1200" s="6" t="s">
        <v>100</v>
      </c>
      <c r="E1200" s="11">
        <v>1.1156971454620361</v>
      </c>
      <c r="F1200" s="11">
        <v>1.0225555896759033</v>
      </c>
    </row>
    <row r="1201" spans="1:6" hidden="1" x14ac:dyDescent="0.3">
      <c r="A1201" s="6">
        <v>9</v>
      </c>
      <c r="B1201" s="6" t="s">
        <v>99</v>
      </c>
      <c r="C1201" s="6" t="s">
        <v>435</v>
      </c>
      <c r="D1201" s="6" t="s">
        <v>100</v>
      </c>
      <c r="E1201" s="11">
        <v>0.80418020486831665</v>
      </c>
      <c r="F1201" s="11">
        <v>1.0225555896759033</v>
      </c>
    </row>
    <row r="1202" spans="1:6" hidden="1" x14ac:dyDescent="0.3">
      <c r="A1202" s="6">
        <v>9</v>
      </c>
      <c r="B1202" s="6" t="s">
        <v>99</v>
      </c>
      <c r="C1202" s="6" t="s">
        <v>436</v>
      </c>
      <c r="D1202" s="6" t="s">
        <v>100</v>
      </c>
      <c r="E1202" s="11">
        <v>1.2084650993347168</v>
      </c>
      <c r="F1202" s="11">
        <v>1.0225555896759033</v>
      </c>
    </row>
    <row r="1203" spans="1:6" hidden="1" x14ac:dyDescent="0.3">
      <c r="A1203" s="6">
        <v>9</v>
      </c>
      <c r="B1203" s="6" t="s">
        <v>99</v>
      </c>
      <c r="C1203" s="6" t="s">
        <v>437</v>
      </c>
      <c r="D1203" s="6" t="s">
        <v>100</v>
      </c>
      <c r="E1203" s="11">
        <v>0.56710988283157349</v>
      </c>
      <c r="F1203" s="11">
        <v>1.0225555896759033</v>
      </c>
    </row>
    <row r="1204" spans="1:6" hidden="1" x14ac:dyDescent="0.3">
      <c r="A1204" s="6">
        <v>9</v>
      </c>
      <c r="B1204" s="6" t="s">
        <v>99</v>
      </c>
      <c r="C1204" s="6" t="s">
        <v>438</v>
      </c>
      <c r="D1204" s="6" t="s">
        <v>100</v>
      </c>
      <c r="E1204" s="11">
        <v>1.040391206741333</v>
      </c>
      <c r="F1204" s="11">
        <v>1.0225555896759033</v>
      </c>
    </row>
    <row r="1205" spans="1:6" hidden="1" x14ac:dyDescent="0.3">
      <c r="A1205" s="6">
        <v>9</v>
      </c>
      <c r="B1205" s="6" t="s">
        <v>99</v>
      </c>
      <c r="C1205" s="6" t="s">
        <v>439</v>
      </c>
      <c r="D1205" s="6" t="s">
        <v>100</v>
      </c>
      <c r="E1205" s="11">
        <v>1.1019351482391357</v>
      </c>
      <c r="F1205" s="11">
        <v>1.0225555896759033</v>
      </c>
    </row>
    <row r="1206" spans="1:6" hidden="1" x14ac:dyDescent="0.3">
      <c r="A1206" s="6">
        <v>9</v>
      </c>
      <c r="B1206" s="6" t="s">
        <v>99</v>
      </c>
      <c r="C1206" s="6" t="s">
        <v>440</v>
      </c>
      <c r="D1206" s="6" t="s">
        <v>100</v>
      </c>
      <c r="E1206" s="11">
        <v>1.5173949003219604</v>
      </c>
      <c r="F1206" s="11">
        <v>1.0225555896759033</v>
      </c>
    </row>
    <row r="1207" spans="1:6" hidden="1" x14ac:dyDescent="0.3">
      <c r="A1207" s="6">
        <v>9</v>
      </c>
      <c r="B1207" s="6" t="s">
        <v>99</v>
      </c>
      <c r="C1207" s="6" t="s">
        <v>441</v>
      </c>
      <c r="D1207" s="6" t="s">
        <v>100</v>
      </c>
      <c r="E1207" s="11">
        <v>0.99638360738754272</v>
      </c>
      <c r="F1207" s="11">
        <v>1.0225555896759033</v>
      </c>
    </row>
    <row r="1208" spans="1:6" hidden="1" x14ac:dyDescent="0.3">
      <c r="A1208" s="6">
        <v>9</v>
      </c>
      <c r="B1208" s="6" t="s">
        <v>99</v>
      </c>
      <c r="C1208" s="6" t="s">
        <v>442</v>
      </c>
      <c r="D1208" s="6" t="s">
        <v>100</v>
      </c>
      <c r="E1208" s="11">
        <v>1.0509333610534668</v>
      </c>
      <c r="F1208" s="11">
        <v>1.0225555896759033</v>
      </c>
    </row>
    <row r="1209" spans="1:6" hidden="1" x14ac:dyDescent="0.3">
      <c r="A1209" s="6">
        <v>9</v>
      </c>
      <c r="B1209" s="6" t="s">
        <v>99</v>
      </c>
      <c r="C1209" s="6" t="s">
        <v>443</v>
      </c>
      <c r="D1209" s="6" t="s">
        <v>100</v>
      </c>
      <c r="E1209" s="11">
        <v>1.1967991590499878</v>
      </c>
      <c r="F1209" s="11">
        <v>1.0225555896759033</v>
      </c>
    </row>
    <row r="1210" spans="1:6" hidden="1" x14ac:dyDescent="0.3">
      <c r="A1210" s="6">
        <v>9</v>
      </c>
      <c r="B1210" s="6" t="s">
        <v>99</v>
      </c>
      <c r="C1210" s="6" t="s">
        <v>444</v>
      </c>
      <c r="D1210" s="6" t="s">
        <v>100</v>
      </c>
      <c r="E1210" s="11">
        <v>0.85876244306564331</v>
      </c>
      <c r="F1210" s="11">
        <v>1.0225555896759033</v>
      </c>
    </row>
    <row r="1211" spans="1:6" hidden="1" x14ac:dyDescent="0.3">
      <c r="A1211" s="6">
        <v>9</v>
      </c>
      <c r="B1211" s="6" t="s">
        <v>99</v>
      </c>
      <c r="C1211" s="6" t="s">
        <v>445</v>
      </c>
      <c r="D1211" s="6" t="s">
        <v>100</v>
      </c>
      <c r="E1211" s="11">
        <v>3.2379686832427979</v>
      </c>
      <c r="F1211" s="11">
        <v>1.0225555896759033</v>
      </c>
    </row>
    <row r="1212" spans="1:6" hidden="1" x14ac:dyDescent="0.3">
      <c r="A1212" s="6">
        <v>9</v>
      </c>
      <c r="B1212" s="6" t="s">
        <v>99</v>
      </c>
      <c r="C1212" s="6" t="s">
        <v>446</v>
      </c>
      <c r="D1212" s="6" t="s">
        <v>100</v>
      </c>
      <c r="E1212" s="11">
        <v>1.0549296140670776</v>
      </c>
      <c r="F1212" s="11">
        <v>1.0225555896759033</v>
      </c>
    </row>
    <row r="1213" spans="1:6" hidden="1" x14ac:dyDescent="0.3">
      <c r="A1213" s="6">
        <v>9</v>
      </c>
      <c r="B1213" s="6" t="s">
        <v>99</v>
      </c>
      <c r="C1213" s="6" t="s">
        <v>447</v>
      </c>
      <c r="D1213" s="6" t="s">
        <v>100</v>
      </c>
      <c r="E1213" s="11">
        <v>2.3940021991729736</v>
      </c>
      <c r="F1213" s="11">
        <v>1.0225555896759033</v>
      </c>
    </row>
    <row r="1214" spans="1:6" hidden="1" x14ac:dyDescent="0.3">
      <c r="A1214" s="6">
        <v>9</v>
      </c>
      <c r="B1214" s="6" t="s">
        <v>99</v>
      </c>
      <c r="C1214" s="6" t="s">
        <v>448</v>
      </c>
      <c r="D1214" s="6" t="s">
        <v>100</v>
      </c>
      <c r="E1214" s="11">
        <v>0.84975534677505493</v>
      </c>
      <c r="F1214" s="11">
        <v>1.0225555896759033</v>
      </c>
    </row>
    <row r="1215" spans="1:6" hidden="1" x14ac:dyDescent="0.3">
      <c r="A1215" s="6">
        <v>9</v>
      </c>
      <c r="B1215" s="6" t="s">
        <v>99</v>
      </c>
      <c r="C1215" s="6" t="s">
        <v>449</v>
      </c>
      <c r="D1215" s="6" t="s">
        <v>100</v>
      </c>
      <c r="E1215" s="11">
        <v>0.87424755096435547</v>
      </c>
      <c r="F1215" s="11">
        <v>1.0225555896759033</v>
      </c>
    </row>
    <row r="1216" spans="1:6" hidden="1" x14ac:dyDescent="0.3">
      <c r="A1216" s="6">
        <v>9</v>
      </c>
      <c r="B1216" s="6" t="s">
        <v>99</v>
      </c>
      <c r="C1216" s="6" t="s">
        <v>450</v>
      </c>
      <c r="D1216" s="6" t="s">
        <v>100</v>
      </c>
      <c r="E1216" s="11">
        <v>2.0457694530487061</v>
      </c>
      <c r="F1216" s="11">
        <v>1.0225555896759033</v>
      </c>
    </row>
    <row r="1217" spans="1:6" hidden="1" x14ac:dyDescent="0.3">
      <c r="A1217" s="6">
        <v>9</v>
      </c>
      <c r="B1217" s="6" t="s">
        <v>99</v>
      </c>
      <c r="C1217" s="6" t="s">
        <v>451</v>
      </c>
      <c r="D1217" s="6" t="s">
        <v>100</v>
      </c>
      <c r="E1217" s="11">
        <v>1.2120025157928467</v>
      </c>
      <c r="F1217" s="11">
        <v>1.0225555896759033</v>
      </c>
    </row>
    <row r="1218" spans="1:6" hidden="1" x14ac:dyDescent="0.3">
      <c r="A1218" s="6">
        <v>9</v>
      </c>
      <c r="B1218" s="6" t="s">
        <v>99</v>
      </c>
      <c r="C1218" s="6" t="s">
        <v>452</v>
      </c>
      <c r="D1218" s="6" t="s">
        <v>100</v>
      </c>
      <c r="E1218" s="11">
        <v>1.0771001577377319</v>
      </c>
      <c r="F1218" s="11">
        <v>1.0225555896759033</v>
      </c>
    </row>
    <row r="1219" spans="1:6" hidden="1" x14ac:dyDescent="0.3">
      <c r="A1219" s="6">
        <v>9</v>
      </c>
      <c r="B1219" s="6" t="s">
        <v>99</v>
      </c>
      <c r="C1219" s="6" t="s">
        <v>453</v>
      </c>
      <c r="D1219" s="6" t="s">
        <v>100</v>
      </c>
      <c r="E1219" s="11">
        <v>1.0228475332260132</v>
      </c>
      <c r="F1219" s="11">
        <v>1.0225555896759033</v>
      </c>
    </row>
    <row r="1220" spans="1:6" hidden="1" x14ac:dyDescent="0.3">
      <c r="A1220" s="6">
        <v>9</v>
      </c>
      <c r="B1220" s="6" t="s">
        <v>99</v>
      </c>
      <c r="C1220" s="6" t="s">
        <v>454</v>
      </c>
      <c r="D1220" s="6" t="s">
        <v>100</v>
      </c>
      <c r="E1220" s="11">
        <v>1.1039925813674927</v>
      </c>
      <c r="F1220" s="11">
        <v>1.0225555896759033</v>
      </c>
    </row>
    <row r="1221" spans="1:6" hidden="1" x14ac:dyDescent="0.3">
      <c r="A1221" s="6">
        <v>9</v>
      </c>
      <c r="B1221" s="6" t="s">
        <v>99</v>
      </c>
      <c r="C1221" s="6" t="s">
        <v>455</v>
      </c>
      <c r="D1221" s="6" t="s">
        <v>100</v>
      </c>
      <c r="E1221" s="11">
        <v>0.86010336875915527</v>
      </c>
      <c r="F1221" s="11">
        <v>1.0225555896759033</v>
      </c>
    </row>
    <row r="1222" spans="1:6" hidden="1" x14ac:dyDescent="0.3">
      <c r="A1222" s="6">
        <v>9</v>
      </c>
      <c r="B1222" s="6" t="s">
        <v>99</v>
      </c>
      <c r="C1222" s="6" t="s">
        <v>456</v>
      </c>
      <c r="D1222" s="6" t="s">
        <v>100</v>
      </c>
      <c r="E1222" s="11">
        <v>0.86176598072052002</v>
      </c>
      <c r="F1222" s="11">
        <v>1.0225555896759033</v>
      </c>
    </row>
    <row r="1223" spans="1:6" hidden="1" x14ac:dyDescent="0.3">
      <c r="A1223" s="6">
        <v>9</v>
      </c>
      <c r="B1223" s="6" t="s">
        <v>99</v>
      </c>
      <c r="C1223" s="6" t="s">
        <v>457</v>
      </c>
      <c r="D1223" s="6" t="s">
        <v>100</v>
      </c>
      <c r="E1223" s="11">
        <v>1.1610233783721924</v>
      </c>
      <c r="F1223" s="11">
        <v>1.0225555896759033</v>
      </c>
    </row>
    <row r="1224" spans="1:6" hidden="1" x14ac:dyDescent="0.3">
      <c r="A1224" s="6">
        <v>9</v>
      </c>
      <c r="B1224" s="6" t="s">
        <v>99</v>
      </c>
      <c r="C1224" s="6" t="s">
        <v>458</v>
      </c>
      <c r="D1224" s="6" t="s">
        <v>100</v>
      </c>
      <c r="E1224" s="11">
        <v>1.5450552701950073</v>
      </c>
      <c r="F1224" s="11">
        <v>1.0225555896759033</v>
      </c>
    </row>
    <row r="1225" spans="1:6" hidden="1" x14ac:dyDescent="0.3">
      <c r="A1225" s="6">
        <v>9</v>
      </c>
      <c r="B1225" s="6" t="s">
        <v>99</v>
      </c>
      <c r="C1225" s="6" t="s">
        <v>459</v>
      </c>
      <c r="D1225" s="6" t="s">
        <v>100</v>
      </c>
      <c r="E1225" s="11">
        <v>3.0371057987213135</v>
      </c>
      <c r="F1225" s="11">
        <v>1.0225555896759033</v>
      </c>
    </row>
    <row r="1226" spans="1:6" hidden="1" x14ac:dyDescent="0.3">
      <c r="A1226" s="6">
        <v>9</v>
      </c>
      <c r="B1226" s="6" t="s">
        <v>99</v>
      </c>
      <c r="C1226" s="6" t="s">
        <v>460</v>
      </c>
      <c r="D1226" s="6" t="s">
        <v>100</v>
      </c>
      <c r="E1226" s="11">
        <v>1.3053649663925171</v>
      </c>
      <c r="F1226" s="11">
        <v>1.0225555896759033</v>
      </c>
    </row>
    <row r="1227" spans="1:6" hidden="1" x14ac:dyDescent="0.3">
      <c r="A1227" s="6">
        <v>9</v>
      </c>
      <c r="B1227" s="6" t="s">
        <v>99</v>
      </c>
      <c r="C1227" s="6" t="s">
        <v>461</v>
      </c>
      <c r="D1227" s="6" t="s">
        <v>100</v>
      </c>
      <c r="E1227" s="11">
        <v>0.77667808532714844</v>
      </c>
      <c r="F1227" s="11">
        <v>1.0225555896759033</v>
      </c>
    </row>
    <row r="1228" spans="1:6" hidden="1" x14ac:dyDescent="0.3">
      <c r="A1228" s="6">
        <v>9</v>
      </c>
      <c r="B1228" s="6" t="s">
        <v>99</v>
      </c>
      <c r="C1228" s="6" t="s">
        <v>462</v>
      </c>
      <c r="D1228" s="6" t="s">
        <v>100</v>
      </c>
      <c r="E1228" s="11">
        <v>1.2047076225280762</v>
      </c>
      <c r="F1228" s="11">
        <v>1.0225555896759033</v>
      </c>
    </row>
    <row r="1229" spans="1:6" hidden="1" x14ac:dyDescent="0.3">
      <c r="A1229" s="6">
        <v>9</v>
      </c>
      <c r="B1229" s="6" t="s">
        <v>99</v>
      </c>
      <c r="C1229" s="6" t="s">
        <v>463</v>
      </c>
      <c r="D1229" s="6" t="s">
        <v>100</v>
      </c>
      <c r="E1229" s="11">
        <v>1.0362941026687622</v>
      </c>
      <c r="F1229" s="11">
        <v>1.0225555896759033</v>
      </c>
    </row>
    <row r="1230" spans="1:6" hidden="1" x14ac:dyDescent="0.3">
      <c r="A1230" s="6">
        <v>9</v>
      </c>
      <c r="B1230" s="6" t="s">
        <v>99</v>
      </c>
      <c r="C1230" s="6" t="s">
        <v>464</v>
      </c>
      <c r="D1230" s="6" t="s">
        <v>100</v>
      </c>
      <c r="E1230" s="11">
        <v>0.81600141525268555</v>
      </c>
      <c r="F1230" s="11">
        <v>1.0225555896759033</v>
      </c>
    </row>
    <row r="1231" spans="1:6" hidden="1" x14ac:dyDescent="0.3">
      <c r="A1231" s="6">
        <v>9</v>
      </c>
      <c r="B1231" s="6" t="s">
        <v>99</v>
      </c>
      <c r="C1231" s="6" t="s">
        <v>465</v>
      </c>
      <c r="D1231" s="6" t="s">
        <v>100</v>
      </c>
      <c r="E1231" s="11">
        <v>1.7777752876281738</v>
      </c>
      <c r="F1231" s="11">
        <v>1.0225555896759033</v>
      </c>
    </row>
    <row r="1232" spans="1:6" hidden="1" x14ac:dyDescent="0.3">
      <c r="A1232" s="6">
        <v>9</v>
      </c>
      <c r="B1232" s="6" t="s">
        <v>99</v>
      </c>
      <c r="C1232" s="6" t="s">
        <v>466</v>
      </c>
      <c r="D1232" s="6" t="s">
        <v>100</v>
      </c>
      <c r="E1232" s="11">
        <v>0.92303133010864258</v>
      </c>
      <c r="F1232" s="11">
        <v>1.0225555896759033</v>
      </c>
    </row>
    <row r="1233" spans="1:6" hidden="1" x14ac:dyDescent="0.3">
      <c r="A1233" s="6">
        <v>9</v>
      </c>
      <c r="B1233" s="6" t="s">
        <v>99</v>
      </c>
      <c r="C1233" s="6" t="s">
        <v>467</v>
      </c>
      <c r="D1233" s="6" t="s">
        <v>100</v>
      </c>
      <c r="E1233" s="11">
        <v>1.4545881748199463</v>
      </c>
      <c r="F1233" s="11">
        <v>1.0225555896759033</v>
      </c>
    </row>
    <row r="1234" spans="1:6" hidden="1" x14ac:dyDescent="0.3">
      <c r="A1234" s="6">
        <v>9</v>
      </c>
      <c r="B1234" s="6" t="s">
        <v>99</v>
      </c>
      <c r="C1234" s="6" t="s">
        <v>468</v>
      </c>
      <c r="D1234" s="6" t="s">
        <v>100</v>
      </c>
      <c r="E1234" s="11">
        <v>1.5206878185272217</v>
      </c>
      <c r="F1234" s="11">
        <v>1.0225555896759033</v>
      </c>
    </row>
    <row r="1235" spans="1:6" hidden="1" x14ac:dyDescent="0.3">
      <c r="A1235" s="6">
        <v>9</v>
      </c>
      <c r="B1235" s="6" t="s">
        <v>99</v>
      </c>
      <c r="C1235" s="6" t="s">
        <v>469</v>
      </c>
      <c r="D1235" s="6" t="s">
        <v>100</v>
      </c>
      <c r="E1235" s="11">
        <v>0.81889677047729492</v>
      </c>
      <c r="F1235" s="11">
        <v>1.0225555896759033</v>
      </c>
    </row>
    <row r="1236" spans="1:6" hidden="1" x14ac:dyDescent="0.3">
      <c r="A1236" s="6">
        <v>9</v>
      </c>
      <c r="B1236" s="6" t="s">
        <v>99</v>
      </c>
      <c r="C1236" s="6" t="s">
        <v>470</v>
      </c>
      <c r="D1236" s="6" t="s">
        <v>100</v>
      </c>
      <c r="E1236" s="11">
        <v>1.3927592039108276</v>
      </c>
      <c r="F1236" s="11">
        <v>1.0225555896759033</v>
      </c>
    </row>
    <row r="1237" spans="1:6" hidden="1" x14ac:dyDescent="0.3">
      <c r="A1237" s="6">
        <v>9</v>
      </c>
      <c r="B1237" s="6" t="s">
        <v>99</v>
      </c>
      <c r="C1237" s="6" t="s">
        <v>471</v>
      </c>
      <c r="D1237" s="6" t="s">
        <v>100</v>
      </c>
      <c r="E1237" s="11">
        <v>1.0155855417251587</v>
      </c>
      <c r="F1237" s="11">
        <v>1.0225555896759033</v>
      </c>
    </row>
    <row r="1238" spans="1:6" hidden="1" x14ac:dyDescent="0.3">
      <c r="A1238" s="6">
        <v>9</v>
      </c>
      <c r="B1238" s="6" t="s">
        <v>99</v>
      </c>
      <c r="C1238" s="6" t="s">
        <v>472</v>
      </c>
      <c r="D1238" s="6" t="s">
        <v>100</v>
      </c>
      <c r="E1238" s="11">
        <v>0.92565882205963135</v>
      </c>
      <c r="F1238" s="11">
        <v>1.0225555896759033</v>
      </c>
    </row>
    <row r="1239" spans="1:6" hidden="1" x14ac:dyDescent="0.3">
      <c r="A1239" s="6">
        <v>9</v>
      </c>
      <c r="B1239" s="6" t="s">
        <v>99</v>
      </c>
      <c r="C1239" s="6" t="s">
        <v>473</v>
      </c>
      <c r="D1239" s="6" t="s">
        <v>100</v>
      </c>
      <c r="E1239" s="11">
        <v>0.94303828477859497</v>
      </c>
      <c r="F1239" s="11">
        <v>1.0225555896759033</v>
      </c>
    </row>
    <row r="1240" spans="1:6" hidden="1" x14ac:dyDescent="0.3">
      <c r="A1240" s="6">
        <v>9</v>
      </c>
      <c r="B1240" s="6" t="s">
        <v>99</v>
      </c>
      <c r="C1240" s="6" t="s">
        <v>474</v>
      </c>
      <c r="D1240" s="6" t="s">
        <v>100</v>
      </c>
      <c r="E1240" s="11">
        <v>1.4448555707931519</v>
      </c>
      <c r="F1240" s="11">
        <v>1.0225555896759033</v>
      </c>
    </row>
    <row r="1241" spans="1:6" hidden="1" x14ac:dyDescent="0.3">
      <c r="A1241" s="6">
        <v>9</v>
      </c>
      <c r="B1241" s="6" t="s">
        <v>99</v>
      </c>
      <c r="C1241" s="6" t="s">
        <v>475</v>
      </c>
      <c r="D1241" s="6" t="s">
        <v>100</v>
      </c>
      <c r="E1241" s="11">
        <v>0.98870348930358887</v>
      </c>
      <c r="F1241" s="11">
        <v>1.0225555896759033</v>
      </c>
    </row>
    <row r="1242" spans="1:6" hidden="1" x14ac:dyDescent="0.3">
      <c r="A1242" s="6">
        <v>9</v>
      </c>
      <c r="B1242" s="6" t="s">
        <v>99</v>
      </c>
      <c r="C1242" s="6" t="s">
        <v>476</v>
      </c>
      <c r="D1242" s="6" t="s">
        <v>100</v>
      </c>
      <c r="E1242" s="11">
        <v>1.0796363353729248</v>
      </c>
      <c r="F1242" s="11">
        <v>1.0225555896759033</v>
      </c>
    </row>
    <row r="1243" spans="1:6" hidden="1" x14ac:dyDescent="0.3">
      <c r="A1243" s="6">
        <v>9</v>
      </c>
      <c r="B1243" s="6" t="s">
        <v>99</v>
      </c>
      <c r="C1243" s="6" t="s">
        <v>477</v>
      </c>
      <c r="D1243" s="6" t="s">
        <v>100</v>
      </c>
      <c r="E1243" s="11">
        <v>0.77684849500656128</v>
      </c>
      <c r="F1243" s="11">
        <v>1.0225555896759033</v>
      </c>
    </row>
    <row r="1244" spans="1:6" hidden="1" x14ac:dyDescent="0.3">
      <c r="A1244" s="6">
        <v>9</v>
      </c>
      <c r="B1244" s="6" t="s">
        <v>99</v>
      </c>
      <c r="C1244" s="6" t="s">
        <v>478</v>
      </c>
      <c r="D1244" s="6" t="s">
        <v>100</v>
      </c>
      <c r="E1244" s="11">
        <v>1.4224045276641846</v>
      </c>
      <c r="F1244" s="11">
        <v>1.0225555896759033</v>
      </c>
    </row>
    <row r="1245" spans="1:6" hidden="1" x14ac:dyDescent="0.3">
      <c r="A1245" s="6">
        <v>9</v>
      </c>
      <c r="B1245" s="6" t="s">
        <v>99</v>
      </c>
      <c r="C1245" s="6" t="s">
        <v>479</v>
      </c>
      <c r="D1245" s="6" t="s">
        <v>100</v>
      </c>
      <c r="E1245" s="11">
        <v>1.397862434387207</v>
      </c>
      <c r="F1245" s="11">
        <v>1.0225555896759033</v>
      </c>
    </row>
    <row r="1246" spans="1:6" hidden="1" x14ac:dyDescent="0.3">
      <c r="A1246" s="6">
        <v>9</v>
      </c>
      <c r="B1246" s="6" t="s">
        <v>99</v>
      </c>
      <c r="C1246" s="6" t="s">
        <v>480</v>
      </c>
      <c r="D1246" s="6" t="s">
        <v>100</v>
      </c>
      <c r="E1246" s="11">
        <v>2.2873787879943848</v>
      </c>
      <c r="F1246" s="11">
        <v>1.0225555896759033</v>
      </c>
    </row>
    <row r="1247" spans="1:6" hidden="1" x14ac:dyDescent="0.3">
      <c r="A1247" s="6">
        <v>9</v>
      </c>
      <c r="B1247" s="6" t="s">
        <v>99</v>
      </c>
      <c r="C1247" s="6" t="s">
        <v>481</v>
      </c>
      <c r="D1247" s="6" t="s">
        <v>100</v>
      </c>
      <c r="E1247" s="11">
        <v>1.4514209032058716</v>
      </c>
      <c r="F1247" s="11">
        <v>1.0225555896759033</v>
      </c>
    </row>
    <row r="1248" spans="1:6" hidden="1" x14ac:dyDescent="0.3">
      <c r="A1248" s="6">
        <v>9</v>
      </c>
      <c r="B1248" s="6" t="s">
        <v>99</v>
      </c>
      <c r="C1248" s="6" t="s">
        <v>482</v>
      </c>
      <c r="D1248" s="6" t="s">
        <v>100</v>
      </c>
      <c r="E1248" s="11">
        <v>1.6555389165878296</v>
      </c>
      <c r="F1248" s="11">
        <v>1.0225555896759033</v>
      </c>
    </row>
    <row r="1249" spans="1:6" hidden="1" x14ac:dyDescent="0.3">
      <c r="A1249" s="6">
        <v>9</v>
      </c>
      <c r="B1249" s="6" t="s">
        <v>99</v>
      </c>
      <c r="C1249" s="6" t="s">
        <v>483</v>
      </c>
      <c r="D1249" s="6" t="s">
        <v>100</v>
      </c>
      <c r="E1249" s="11">
        <v>1.0640045404434204</v>
      </c>
      <c r="F1249" s="11">
        <v>1.0225555896759033</v>
      </c>
    </row>
    <row r="1250" spans="1:6" hidden="1" x14ac:dyDescent="0.3">
      <c r="A1250" s="6">
        <v>9</v>
      </c>
      <c r="B1250" s="6" t="s">
        <v>99</v>
      </c>
      <c r="C1250" s="6" t="s">
        <v>484</v>
      </c>
      <c r="D1250" s="6" t="s">
        <v>100</v>
      </c>
      <c r="E1250" s="11">
        <v>1.1335352659225464</v>
      </c>
      <c r="F1250" s="11">
        <v>1.0225555896759033</v>
      </c>
    </row>
    <row r="1251" spans="1:6" hidden="1" x14ac:dyDescent="0.3">
      <c r="A1251" s="6">
        <v>9</v>
      </c>
      <c r="B1251" s="6" t="s">
        <v>99</v>
      </c>
      <c r="C1251" s="6" t="s">
        <v>485</v>
      </c>
      <c r="D1251" s="6" t="s">
        <v>100</v>
      </c>
      <c r="E1251" s="11">
        <v>0.88980084657669067</v>
      </c>
      <c r="F1251" s="11">
        <v>1.0225555896759033</v>
      </c>
    </row>
    <row r="1252" spans="1:6" hidden="1" x14ac:dyDescent="0.3">
      <c r="A1252" s="6">
        <v>9</v>
      </c>
      <c r="B1252" s="6" t="s">
        <v>99</v>
      </c>
      <c r="C1252" s="6" t="s">
        <v>486</v>
      </c>
      <c r="D1252" s="6" t="s">
        <v>100</v>
      </c>
      <c r="E1252" s="11">
        <v>0.69267213344573975</v>
      </c>
      <c r="F1252" s="11">
        <v>1.0225555896759033</v>
      </c>
    </row>
    <row r="1253" spans="1:6" hidden="1" x14ac:dyDescent="0.3">
      <c r="A1253" s="6">
        <v>9</v>
      </c>
      <c r="B1253" s="6" t="s">
        <v>99</v>
      </c>
      <c r="C1253" s="6" t="s">
        <v>487</v>
      </c>
      <c r="D1253" s="6" t="s">
        <v>100</v>
      </c>
      <c r="E1253" s="11">
        <v>0.82412266731262207</v>
      </c>
      <c r="F1253" s="11">
        <v>1.0225555896759033</v>
      </c>
    </row>
    <row r="1254" spans="1:6" hidden="1" x14ac:dyDescent="0.3">
      <c r="A1254" s="6">
        <v>9</v>
      </c>
      <c r="B1254" s="6" t="s">
        <v>99</v>
      </c>
      <c r="C1254" s="6" t="s">
        <v>488</v>
      </c>
      <c r="D1254" s="6" t="s">
        <v>100</v>
      </c>
      <c r="E1254" s="11">
        <v>0.94187474250793457</v>
      </c>
      <c r="F1254" s="11">
        <v>1.0225555896759033</v>
      </c>
    </row>
    <row r="1255" spans="1:6" hidden="1" x14ac:dyDescent="0.3">
      <c r="A1255" s="6">
        <v>9</v>
      </c>
      <c r="B1255" s="6" t="s">
        <v>99</v>
      </c>
      <c r="C1255" s="6" t="s">
        <v>489</v>
      </c>
      <c r="D1255" s="6" t="s">
        <v>100</v>
      </c>
      <c r="E1255" s="11">
        <v>1.3575186729431152</v>
      </c>
      <c r="F1255" s="11">
        <v>1.0225555896759033</v>
      </c>
    </row>
    <row r="1256" spans="1:6" hidden="1" x14ac:dyDescent="0.3">
      <c r="A1256" s="6">
        <v>9</v>
      </c>
      <c r="B1256" s="6" t="s">
        <v>99</v>
      </c>
      <c r="C1256" s="6" t="s">
        <v>490</v>
      </c>
      <c r="D1256" s="6" t="s">
        <v>100</v>
      </c>
      <c r="E1256" s="11">
        <v>1.2306431531906128</v>
      </c>
      <c r="F1256" s="11">
        <v>1.0225555896759033</v>
      </c>
    </row>
    <row r="1257" spans="1:6" hidden="1" x14ac:dyDescent="0.3">
      <c r="A1257" s="6">
        <v>9</v>
      </c>
      <c r="B1257" s="6" t="s">
        <v>99</v>
      </c>
      <c r="C1257" s="6" t="s">
        <v>491</v>
      </c>
      <c r="D1257" s="6" t="s">
        <v>100</v>
      </c>
      <c r="E1257" s="11">
        <v>1.2970277070999146</v>
      </c>
      <c r="F1257" s="11">
        <v>1.0225555896759033</v>
      </c>
    </row>
    <row r="1258" spans="1:6" hidden="1" x14ac:dyDescent="0.3">
      <c r="A1258" s="6">
        <v>9</v>
      </c>
      <c r="B1258" s="6" t="s">
        <v>99</v>
      </c>
      <c r="C1258" s="6" t="s">
        <v>492</v>
      </c>
      <c r="D1258" s="6" t="s">
        <v>100</v>
      </c>
      <c r="E1258" s="11">
        <v>1.097408652305603</v>
      </c>
      <c r="F1258" s="11">
        <v>1.0225555896759033</v>
      </c>
    </row>
    <row r="1259" spans="1:6" hidden="1" x14ac:dyDescent="0.3">
      <c r="A1259" s="6">
        <v>9</v>
      </c>
      <c r="B1259" s="6" t="s">
        <v>99</v>
      </c>
      <c r="C1259" s="6" t="s">
        <v>493</v>
      </c>
      <c r="D1259" s="6" t="s">
        <v>100</v>
      </c>
      <c r="E1259" s="11">
        <v>1.0128422975540161</v>
      </c>
      <c r="F1259" s="11">
        <v>1.0225555896759033</v>
      </c>
    </row>
    <row r="1260" spans="1:6" hidden="1" x14ac:dyDescent="0.3">
      <c r="A1260" s="6">
        <v>9</v>
      </c>
      <c r="B1260" s="6" t="s">
        <v>99</v>
      </c>
      <c r="C1260" s="6" t="s">
        <v>494</v>
      </c>
      <c r="D1260" s="6" t="s">
        <v>100</v>
      </c>
      <c r="E1260" s="11">
        <v>1.0627589225769043</v>
      </c>
      <c r="F1260" s="11">
        <v>1.0225555896759033</v>
      </c>
    </row>
    <row r="1261" spans="1:6" hidden="1" x14ac:dyDescent="0.3">
      <c r="A1261" s="6">
        <v>9</v>
      </c>
      <c r="B1261" s="6" t="s">
        <v>99</v>
      </c>
      <c r="C1261" s="6" t="s">
        <v>495</v>
      </c>
      <c r="D1261" s="6" t="s">
        <v>100</v>
      </c>
      <c r="E1261" s="11">
        <v>1.3355486392974854</v>
      </c>
      <c r="F1261" s="11">
        <v>1.0225555896759033</v>
      </c>
    </row>
    <row r="1262" spans="1:6" hidden="1" x14ac:dyDescent="0.3">
      <c r="A1262" s="6">
        <v>10</v>
      </c>
      <c r="B1262" s="6" t="s">
        <v>101</v>
      </c>
      <c r="C1262" s="6" t="s">
        <v>356</v>
      </c>
      <c r="D1262" s="6" t="s">
        <v>102</v>
      </c>
      <c r="E1262" s="11">
        <v>1.5824061632156372</v>
      </c>
      <c r="F1262" s="11">
        <v>1.1338205337524414</v>
      </c>
    </row>
    <row r="1263" spans="1:6" hidden="1" x14ac:dyDescent="0.3">
      <c r="A1263" s="6">
        <v>10</v>
      </c>
      <c r="B1263" s="6" t="s">
        <v>101</v>
      </c>
      <c r="C1263" s="6" t="s">
        <v>357</v>
      </c>
      <c r="D1263" s="6" t="s">
        <v>102</v>
      </c>
      <c r="E1263" s="11">
        <v>1.082984447479248</v>
      </c>
      <c r="F1263" s="11">
        <v>1.1338205337524414</v>
      </c>
    </row>
    <row r="1264" spans="1:6" hidden="1" x14ac:dyDescent="0.3">
      <c r="A1264" s="6">
        <v>10</v>
      </c>
      <c r="B1264" s="6" t="s">
        <v>101</v>
      </c>
      <c r="C1264" s="6" t="s">
        <v>358</v>
      </c>
      <c r="D1264" s="6" t="s">
        <v>102</v>
      </c>
      <c r="E1264" s="11">
        <v>1.6176705360412598</v>
      </c>
      <c r="F1264" s="11">
        <v>1.1338205337524414</v>
      </c>
    </row>
    <row r="1265" spans="1:6" hidden="1" x14ac:dyDescent="0.3">
      <c r="A1265" s="6">
        <v>10</v>
      </c>
      <c r="B1265" s="6" t="s">
        <v>101</v>
      </c>
      <c r="C1265" s="6" t="s">
        <v>359</v>
      </c>
      <c r="D1265" s="6" t="s">
        <v>102</v>
      </c>
      <c r="E1265" s="11">
        <v>1.6068457365036011</v>
      </c>
      <c r="F1265" s="11">
        <v>1.1338205337524414</v>
      </c>
    </row>
    <row r="1266" spans="1:6" hidden="1" x14ac:dyDescent="0.3">
      <c r="A1266" s="6">
        <v>10</v>
      </c>
      <c r="B1266" s="6" t="s">
        <v>101</v>
      </c>
      <c r="C1266" s="6" t="s">
        <v>360</v>
      </c>
      <c r="D1266" s="6" t="s">
        <v>102</v>
      </c>
      <c r="E1266" s="11">
        <v>0.93897330760955811</v>
      </c>
      <c r="F1266" s="11">
        <v>1.1338205337524414</v>
      </c>
    </row>
    <row r="1267" spans="1:6" hidden="1" x14ac:dyDescent="0.3">
      <c r="A1267" s="6">
        <v>10</v>
      </c>
      <c r="B1267" s="6" t="s">
        <v>101</v>
      </c>
      <c r="C1267" s="6" t="s">
        <v>361</v>
      </c>
      <c r="D1267" s="6" t="s">
        <v>102</v>
      </c>
      <c r="E1267" s="11">
        <v>1.0825216770172119</v>
      </c>
      <c r="F1267" s="11">
        <v>1.1338205337524414</v>
      </c>
    </row>
    <row r="1268" spans="1:6" hidden="1" x14ac:dyDescent="0.3">
      <c r="A1268" s="6">
        <v>10</v>
      </c>
      <c r="B1268" s="6" t="s">
        <v>101</v>
      </c>
      <c r="C1268" s="6" t="s">
        <v>362</v>
      </c>
      <c r="D1268" s="6" t="s">
        <v>102</v>
      </c>
      <c r="E1268" s="11">
        <v>0.98140710592269897</v>
      </c>
      <c r="F1268" s="11">
        <v>1.1338205337524414</v>
      </c>
    </row>
    <row r="1269" spans="1:6" hidden="1" x14ac:dyDescent="0.3">
      <c r="A1269" s="6">
        <v>10</v>
      </c>
      <c r="B1269" s="6" t="s">
        <v>101</v>
      </c>
      <c r="C1269" s="6" t="s">
        <v>363</v>
      </c>
      <c r="D1269" s="6" t="s">
        <v>102</v>
      </c>
      <c r="E1269" s="11">
        <v>2.3878061771392822</v>
      </c>
      <c r="F1269" s="11">
        <v>1.1338205337524414</v>
      </c>
    </row>
    <row r="1270" spans="1:6" hidden="1" x14ac:dyDescent="0.3">
      <c r="A1270" s="6">
        <v>10</v>
      </c>
      <c r="B1270" s="6" t="s">
        <v>101</v>
      </c>
      <c r="C1270" s="6" t="s">
        <v>364</v>
      </c>
      <c r="D1270" s="6" t="s">
        <v>102</v>
      </c>
      <c r="E1270" s="11">
        <v>1.1780905723571777</v>
      </c>
      <c r="F1270" s="11">
        <v>1.1338205337524414</v>
      </c>
    </row>
    <row r="1271" spans="1:6" hidden="1" x14ac:dyDescent="0.3">
      <c r="A1271" s="6">
        <v>10</v>
      </c>
      <c r="B1271" s="6" t="s">
        <v>101</v>
      </c>
      <c r="C1271" s="6" t="s">
        <v>365</v>
      </c>
      <c r="D1271" s="6" t="s">
        <v>102</v>
      </c>
      <c r="E1271" s="11">
        <v>1.1670417785644531</v>
      </c>
      <c r="F1271" s="11">
        <v>1.1338205337524414</v>
      </c>
    </row>
    <row r="1272" spans="1:6" hidden="1" x14ac:dyDescent="0.3">
      <c r="A1272" s="6">
        <v>10</v>
      </c>
      <c r="B1272" s="6" t="s">
        <v>101</v>
      </c>
      <c r="C1272" s="6" t="s">
        <v>366</v>
      </c>
      <c r="D1272" s="6" t="s">
        <v>102</v>
      </c>
      <c r="E1272" s="11">
        <v>1.1541856527328491</v>
      </c>
      <c r="F1272" s="11">
        <v>1.1338205337524414</v>
      </c>
    </row>
    <row r="1273" spans="1:6" hidden="1" x14ac:dyDescent="0.3">
      <c r="A1273" s="6">
        <v>10</v>
      </c>
      <c r="B1273" s="6" t="s">
        <v>101</v>
      </c>
      <c r="C1273" s="6" t="s">
        <v>367</v>
      </c>
      <c r="D1273" s="6" t="s">
        <v>102</v>
      </c>
      <c r="E1273" s="11">
        <v>0.934173583984375</v>
      </c>
      <c r="F1273" s="11">
        <v>1.1338205337524414</v>
      </c>
    </row>
    <row r="1274" spans="1:6" hidden="1" x14ac:dyDescent="0.3">
      <c r="A1274" s="6">
        <v>10</v>
      </c>
      <c r="B1274" s="6" t="s">
        <v>101</v>
      </c>
      <c r="C1274" s="6" t="s">
        <v>368</v>
      </c>
      <c r="D1274" s="6" t="s">
        <v>102</v>
      </c>
      <c r="E1274" s="11">
        <v>1.0663386583328247</v>
      </c>
      <c r="F1274" s="11">
        <v>1.1338205337524414</v>
      </c>
    </row>
    <row r="1275" spans="1:6" hidden="1" x14ac:dyDescent="0.3">
      <c r="A1275" s="6">
        <v>10</v>
      </c>
      <c r="B1275" s="6" t="s">
        <v>101</v>
      </c>
      <c r="C1275" s="6" t="s">
        <v>369</v>
      </c>
      <c r="D1275" s="6" t="s">
        <v>102</v>
      </c>
      <c r="E1275" s="11">
        <v>2.0629494190216064</v>
      </c>
      <c r="F1275" s="11">
        <v>1.1338205337524414</v>
      </c>
    </row>
    <row r="1276" spans="1:6" hidden="1" x14ac:dyDescent="0.3">
      <c r="A1276" s="6">
        <v>10</v>
      </c>
      <c r="B1276" s="6" t="s">
        <v>101</v>
      </c>
      <c r="C1276" s="6" t="s">
        <v>370</v>
      </c>
      <c r="D1276" s="6" t="s">
        <v>102</v>
      </c>
      <c r="E1276" s="11">
        <v>0.9692075252532959</v>
      </c>
      <c r="F1276" s="11">
        <v>1.1338205337524414</v>
      </c>
    </row>
    <row r="1277" spans="1:6" hidden="1" x14ac:dyDescent="0.3">
      <c r="A1277" s="6">
        <v>10</v>
      </c>
      <c r="B1277" s="6" t="s">
        <v>101</v>
      </c>
      <c r="C1277" s="6" t="s">
        <v>371</v>
      </c>
      <c r="D1277" s="6" t="s">
        <v>102</v>
      </c>
      <c r="E1277" s="11">
        <v>0.83491581678390503</v>
      </c>
      <c r="F1277" s="11">
        <v>1.1338205337524414</v>
      </c>
    </row>
    <row r="1278" spans="1:6" hidden="1" x14ac:dyDescent="0.3">
      <c r="A1278" s="6">
        <v>10</v>
      </c>
      <c r="B1278" s="6" t="s">
        <v>101</v>
      </c>
      <c r="C1278" s="6" t="s">
        <v>372</v>
      </c>
      <c r="D1278" s="6" t="s">
        <v>102</v>
      </c>
      <c r="E1278" s="11">
        <v>1.7565035820007324</v>
      </c>
      <c r="F1278" s="11">
        <v>1.1338205337524414</v>
      </c>
    </row>
    <row r="1279" spans="1:6" hidden="1" x14ac:dyDescent="0.3">
      <c r="A1279" s="6">
        <v>10</v>
      </c>
      <c r="B1279" s="6" t="s">
        <v>101</v>
      </c>
      <c r="C1279" s="6" t="s">
        <v>373</v>
      </c>
      <c r="D1279" s="6" t="s">
        <v>102</v>
      </c>
      <c r="E1279" s="11">
        <v>0.77343446016311646</v>
      </c>
      <c r="F1279" s="11">
        <v>1.1338205337524414</v>
      </c>
    </row>
    <row r="1280" spans="1:6" hidden="1" x14ac:dyDescent="0.3">
      <c r="A1280" s="6">
        <v>10</v>
      </c>
      <c r="B1280" s="6" t="s">
        <v>101</v>
      </c>
      <c r="C1280" s="6" t="s">
        <v>374</v>
      </c>
      <c r="D1280" s="6" t="s">
        <v>102</v>
      </c>
      <c r="E1280" s="11">
        <v>1.2921191453933716</v>
      </c>
      <c r="F1280" s="11">
        <v>1.1338205337524414</v>
      </c>
    </row>
    <row r="1281" spans="1:6" hidden="1" x14ac:dyDescent="0.3">
      <c r="A1281" s="6">
        <v>10</v>
      </c>
      <c r="B1281" s="6" t="s">
        <v>101</v>
      </c>
      <c r="C1281" s="6" t="s">
        <v>375</v>
      </c>
      <c r="D1281" s="6" t="s">
        <v>102</v>
      </c>
      <c r="E1281" s="11">
        <v>0.85799592733383179</v>
      </c>
      <c r="F1281" s="11">
        <v>1.1338205337524414</v>
      </c>
    </row>
    <row r="1282" spans="1:6" hidden="1" x14ac:dyDescent="0.3">
      <c r="A1282" s="6">
        <v>10</v>
      </c>
      <c r="B1282" s="6" t="s">
        <v>101</v>
      </c>
      <c r="C1282" s="6" t="s">
        <v>376</v>
      </c>
      <c r="D1282" s="6" t="s">
        <v>102</v>
      </c>
      <c r="E1282" s="11">
        <v>1.2049504518508911</v>
      </c>
      <c r="F1282" s="11">
        <v>1.1338205337524414</v>
      </c>
    </row>
    <row r="1283" spans="1:6" hidden="1" x14ac:dyDescent="0.3">
      <c r="A1283" s="6">
        <v>10</v>
      </c>
      <c r="B1283" s="6" t="s">
        <v>101</v>
      </c>
      <c r="C1283" s="6" t="s">
        <v>377</v>
      </c>
      <c r="D1283" s="6" t="s">
        <v>102</v>
      </c>
      <c r="E1283" s="11">
        <v>1.1430680751800537</v>
      </c>
      <c r="F1283" s="11">
        <v>1.1338205337524414</v>
      </c>
    </row>
    <row r="1284" spans="1:6" hidden="1" x14ac:dyDescent="0.3">
      <c r="A1284" s="6">
        <v>10</v>
      </c>
      <c r="B1284" s="6" t="s">
        <v>101</v>
      </c>
      <c r="C1284" s="6" t="s">
        <v>378</v>
      </c>
      <c r="D1284" s="6" t="s">
        <v>102</v>
      </c>
      <c r="E1284" s="11">
        <v>5.7883567810058594</v>
      </c>
      <c r="F1284" s="11">
        <v>1.1338205337524414</v>
      </c>
    </row>
    <row r="1285" spans="1:6" hidden="1" x14ac:dyDescent="0.3">
      <c r="A1285" s="6">
        <v>10</v>
      </c>
      <c r="B1285" s="6" t="s">
        <v>101</v>
      </c>
      <c r="C1285" s="6" t="s">
        <v>379</v>
      </c>
      <c r="D1285" s="6" t="s">
        <v>102</v>
      </c>
      <c r="E1285" s="11">
        <v>1.4305274486541748</v>
      </c>
      <c r="F1285" s="11">
        <v>1.1338205337524414</v>
      </c>
    </row>
    <row r="1286" spans="1:6" hidden="1" x14ac:dyDescent="0.3">
      <c r="A1286" s="6">
        <v>10</v>
      </c>
      <c r="B1286" s="6" t="s">
        <v>101</v>
      </c>
      <c r="C1286" s="6" t="s">
        <v>380</v>
      </c>
      <c r="D1286" s="6" t="s">
        <v>102</v>
      </c>
      <c r="E1286" s="11">
        <v>0.7759125828742981</v>
      </c>
      <c r="F1286" s="11">
        <v>1.1338205337524414</v>
      </c>
    </row>
    <row r="1287" spans="1:6" hidden="1" x14ac:dyDescent="0.3">
      <c r="A1287" s="6">
        <v>10</v>
      </c>
      <c r="B1287" s="6" t="s">
        <v>101</v>
      </c>
      <c r="C1287" s="6" t="s">
        <v>381</v>
      </c>
      <c r="D1287" s="6" t="s">
        <v>102</v>
      </c>
      <c r="E1287" s="11">
        <v>0.99088561534881592</v>
      </c>
      <c r="F1287" s="11">
        <v>1.1338205337524414</v>
      </c>
    </row>
    <row r="1288" spans="1:6" hidden="1" x14ac:dyDescent="0.3">
      <c r="A1288" s="6">
        <v>10</v>
      </c>
      <c r="B1288" s="6" t="s">
        <v>101</v>
      </c>
      <c r="C1288" s="6" t="s">
        <v>382</v>
      </c>
      <c r="D1288" s="6" t="s">
        <v>102</v>
      </c>
      <c r="E1288" s="11">
        <v>0.94988775253295898</v>
      </c>
      <c r="F1288" s="11">
        <v>1.1338205337524414</v>
      </c>
    </row>
    <row r="1289" spans="1:6" hidden="1" x14ac:dyDescent="0.3">
      <c r="A1289" s="6">
        <v>10</v>
      </c>
      <c r="B1289" s="6" t="s">
        <v>101</v>
      </c>
      <c r="C1289" s="6" t="s">
        <v>383</v>
      </c>
      <c r="D1289" s="6" t="s">
        <v>102</v>
      </c>
      <c r="E1289" s="11">
        <v>1.5066962242126465</v>
      </c>
      <c r="F1289" s="11">
        <v>1.1338205337524414</v>
      </c>
    </row>
    <row r="1290" spans="1:6" hidden="1" x14ac:dyDescent="0.3">
      <c r="A1290" s="6">
        <v>10</v>
      </c>
      <c r="B1290" s="6" t="s">
        <v>101</v>
      </c>
      <c r="C1290" s="6" t="s">
        <v>384</v>
      </c>
      <c r="D1290" s="6" t="s">
        <v>102</v>
      </c>
      <c r="E1290" s="11">
        <v>1.4045710563659668</v>
      </c>
      <c r="F1290" s="11">
        <v>1.1338205337524414</v>
      </c>
    </row>
    <row r="1291" spans="1:6" hidden="1" x14ac:dyDescent="0.3">
      <c r="A1291" s="6">
        <v>10</v>
      </c>
      <c r="B1291" s="6" t="s">
        <v>101</v>
      </c>
      <c r="C1291" s="6" t="s">
        <v>385</v>
      </c>
      <c r="D1291" s="6" t="s">
        <v>102</v>
      </c>
      <c r="E1291" s="11">
        <v>1.2362594604492188</v>
      </c>
      <c r="F1291" s="11">
        <v>1.1338205337524414</v>
      </c>
    </row>
    <row r="1292" spans="1:6" hidden="1" x14ac:dyDescent="0.3">
      <c r="A1292" s="6">
        <v>10</v>
      </c>
      <c r="B1292" s="6" t="s">
        <v>101</v>
      </c>
      <c r="C1292" s="6" t="s">
        <v>386</v>
      </c>
      <c r="D1292" s="6" t="s">
        <v>102</v>
      </c>
      <c r="E1292" s="11">
        <v>0.82980251312255859</v>
      </c>
      <c r="F1292" s="11">
        <v>1.1338205337524414</v>
      </c>
    </row>
    <row r="1293" spans="1:6" hidden="1" x14ac:dyDescent="0.3">
      <c r="A1293" s="6">
        <v>10</v>
      </c>
      <c r="B1293" s="6" t="s">
        <v>101</v>
      </c>
      <c r="C1293" s="6" t="s">
        <v>387</v>
      </c>
      <c r="D1293" s="6" t="s">
        <v>102</v>
      </c>
      <c r="E1293" s="11">
        <v>1.4104282855987549</v>
      </c>
      <c r="F1293" s="11">
        <v>1.1338205337524414</v>
      </c>
    </row>
    <row r="1294" spans="1:6" hidden="1" x14ac:dyDescent="0.3">
      <c r="A1294" s="6">
        <v>10</v>
      </c>
      <c r="B1294" s="6" t="s">
        <v>101</v>
      </c>
      <c r="C1294" s="6" t="s">
        <v>388</v>
      </c>
      <c r="D1294" s="6" t="s">
        <v>102</v>
      </c>
      <c r="E1294" s="11">
        <v>3.9400403499603271</v>
      </c>
      <c r="F1294" s="11">
        <v>1.1338205337524414</v>
      </c>
    </row>
    <row r="1295" spans="1:6" hidden="1" x14ac:dyDescent="0.3">
      <c r="A1295" s="6">
        <v>10</v>
      </c>
      <c r="B1295" s="6" t="s">
        <v>101</v>
      </c>
      <c r="C1295" s="6" t="s">
        <v>389</v>
      </c>
      <c r="D1295" s="6" t="s">
        <v>102</v>
      </c>
      <c r="E1295" s="11">
        <v>1.2779741287231445</v>
      </c>
      <c r="F1295" s="11">
        <v>1.1338205337524414</v>
      </c>
    </row>
    <row r="1296" spans="1:6" hidden="1" x14ac:dyDescent="0.3">
      <c r="A1296" s="6">
        <v>10</v>
      </c>
      <c r="B1296" s="6" t="s">
        <v>101</v>
      </c>
      <c r="C1296" s="6" t="s">
        <v>390</v>
      </c>
      <c r="D1296" s="6" t="s">
        <v>102</v>
      </c>
      <c r="E1296" s="11">
        <v>1.0852932929992676</v>
      </c>
      <c r="F1296" s="11">
        <v>1.1338205337524414</v>
      </c>
    </row>
    <row r="1297" spans="1:6" hidden="1" x14ac:dyDescent="0.3">
      <c r="A1297" s="6">
        <v>10</v>
      </c>
      <c r="B1297" s="6" t="s">
        <v>101</v>
      </c>
      <c r="C1297" s="6" t="s">
        <v>391</v>
      </c>
      <c r="D1297" s="6" t="s">
        <v>102</v>
      </c>
      <c r="E1297" s="11">
        <v>1.2158695459365845</v>
      </c>
      <c r="F1297" s="11">
        <v>1.1338205337524414</v>
      </c>
    </row>
    <row r="1298" spans="1:6" hidden="1" x14ac:dyDescent="0.3">
      <c r="A1298" s="6">
        <v>10</v>
      </c>
      <c r="B1298" s="6" t="s">
        <v>101</v>
      </c>
      <c r="C1298" s="6" t="s">
        <v>392</v>
      </c>
      <c r="D1298" s="6" t="s">
        <v>102</v>
      </c>
      <c r="E1298" s="11">
        <v>1.2134197950363159</v>
      </c>
      <c r="F1298" s="11">
        <v>1.1338205337524414</v>
      </c>
    </row>
    <row r="1299" spans="1:6" hidden="1" x14ac:dyDescent="0.3">
      <c r="A1299" s="6">
        <v>10</v>
      </c>
      <c r="B1299" s="6" t="s">
        <v>101</v>
      </c>
      <c r="C1299" s="6" t="s">
        <v>393</v>
      </c>
      <c r="D1299" s="6" t="s">
        <v>102</v>
      </c>
      <c r="E1299" s="11">
        <v>1.4559824466705322</v>
      </c>
      <c r="F1299" s="11">
        <v>1.1338205337524414</v>
      </c>
    </row>
    <row r="1300" spans="1:6" hidden="1" x14ac:dyDescent="0.3">
      <c r="A1300" s="6">
        <v>10</v>
      </c>
      <c r="B1300" s="6" t="s">
        <v>101</v>
      </c>
      <c r="C1300" s="6" t="s">
        <v>394</v>
      </c>
      <c r="D1300" s="6" t="s">
        <v>102</v>
      </c>
      <c r="E1300" s="11">
        <v>1.048580527305603</v>
      </c>
      <c r="F1300" s="11">
        <v>1.1338205337524414</v>
      </c>
    </row>
    <row r="1301" spans="1:6" hidden="1" x14ac:dyDescent="0.3">
      <c r="A1301" s="6">
        <v>10</v>
      </c>
      <c r="B1301" s="6" t="s">
        <v>101</v>
      </c>
      <c r="C1301" s="6" t="s">
        <v>395</v>
      </c>
      <c r="D1301" s="6" t="s">
        <v>102</v>
      </c>
      <c r="E1301" s="11">
        <v>1.214263916015625</v>
      </c>
      <c r="F1301" s="11">
        <v>1.1338205337524414</v>
      </c>
    </row>
    <row r="1302" spans="1:6" hidden="1" x14ac:dyDescent="0.3">
      <c r="A1302" s="6">
        <v>10</v>
      </c>
      <c r="B1302" s="6" t="s">
        <v>101</v>
      </c>
      <c r="C1302" s="6" t="s">
        <v>396</v>
      </c>
      <c r="D1302" s="6" t="s">
        <v>102</v>
      </c>
      <c r="E1302" s="11">
        <v>1.692876935005188</v>
      </c>
      <c r="F1302" s="11">
        <v>1.1338205337524414</v>
      </c>
    </row>
    <row r="1303" spans="1:6" hidden="1" x14ac:dyDescent="0.3">
      <c r="A1303" s="6">
        <v>10</v>
      </c>
      <c r="B1303" s="6" t="s">
        <v>101</v>
      </c>
      <c r="C1303" s="6" t="s">
        <v>397</v>
      </c>
      <c r="D1303" s="6" t="s">
        <v>102</v>
      </c>
      <c r="E1303" s="11">
        <v>1.5071225166320801</v>
      </c>
      <c r="F1303" s="11">
        <v>1.1338205337524414</v>
      </c>
    </row>
    <row r="1304" spans="1:6" hidden="1" x14ac:dyDescent="0.3">
      <c r="A1304" s="6">
        <v>10</v>
      </c>
      <c r="B1304" s="6" t="s">
        <v>101</v>
      </c>
      <c r="C1304" s="6" t="s">
        <v>398</v>
      </c>
      <c r="D1304" s="6" t="s">
        <v>102</v>
      </c>
      <c r="E1304" s="11">
        <v>1.2085946798324585</v>
      </c>
      <c r="F1304" s="11">
        <v>1.1338205337524414</v>
      </c>
    </row>
    <row r="1305" spans="1:6" hidden="1" x14ac:dyDescent="0.3">
      <c r="A1305" s="6">
        <v>10</v>
      </c>
      <c r="B1305" s="6" t="s">
        <v>101</v>
      </c>
      <c r="C1305" s="6" t="s">
        <v>399</v>
      </c>
      <c r="D1305" s="6" t="s">
        <v>102</v>
      </c>
      <c r="E1305" s="11">
        <v>1.0179675817489624</v>
      </c>
      <c r="F1305" s="11">
        <v>1.1338205337524414</v>
      </c>
    </row>
    <row r="1306" spans="1:6" hidden="1" x14ac:dyDescent="0.3">
      <c r="A1306" s="6">
        <v>10</v>
      </c>
      <c r="B1306" s="6" t="s">
        <v>101</v>
      </c>
      <c r="C1306" s="6" t="s">
        <v>400</v>
      </c>
      <c r="D1306" s="6" t="s">
        <v>102</v>
      </c>
      <c r="E1306" s="11">
        <v>1.0793209075927734</v>
      </c>
      <c r="F1306" s="11">
        <v>1.1338205337524414</v>
      </c>
    </row>
    <row r="1307" spans="1:6" hidden="1" x14ac:dyDescent="0.3">
      <c r="A1307" s="6">
        <v>10</v>
      </c>
      <c r="B1307" s="6" t="s">
        <v>101</v>
      </c>
      <c r="C1307" s="6" t="s">
        <v>401</v>
      </c>
      <c r="D1307" s="6" t="s">
        <v>102</v>
      </c>
      <c r="E1307" s="11">
        <v>1.8682900667190552</v>
      </c>
      <c r="F1307" s="11">
        <v>1.1338205337524414</v>
      </c>
    </row>
    <row r="1308" spans="1:6" hidden="1" x14ac:dyDescent="0.3">
      <c r="A1308" s="6">
        <v>10</v>
      </c>
      <c r="B1308" s="6" t="s">
        <v>101</v>
      </c>
      <c r="C1308" s="6" t="s">
        <v>402</v>
      </c>
      <c r="D1308" s="6" t="s">
        <v>102</v>
      </c>
      <c r="E1308" s="11">
        <v>1.4290757179260254</v>
      </c>
      <c r="F1308" s="11">
        <v>1.1338205337524414</v>
      </c>
    </row>
    <row r="1309" spans="1:6" hidden="1" x14ac:dyDescent="0.3">
      <c r="A1309" s="6">
        <v>10</v>
      </c>
      <c r="B1309" s="6" t="s">
        <v>101</v>
      </c>
      <c r="C1309" s="6" t="s">
        <v>403</v>
      </c>
      <c r="D1309" s="6" t="s">
        <v>102</v>
      </c>
      <c r="E1309" s="11">
        <v>1.3880475759506226</v>
      </c>
      <c r="F1309" s="11">
        <v>1.1338205337524414</v>
      </c>
    </row>
    <row r="1310" spans="1:6" hidden="1" x14ac:dyDescent="0.3">
      <c r="A1310" s="6">
        <v>10</v>
      </c>
      <c r="B1310" s="6" t="s">
        <v>101</v>
      </c>
      <c r="C1310" s="6" t="s">
        <v>404</v>
      </c>
      <c r="D1310" s="6" t="s">
        <v>102</v>
      </c>
      <c r="E1310" s="11">
        <v>1.0271652936935425</v>
      </c>
      <c r="F1310" s="11">
        <v>1.1338205337524414</v>
      </c>
    </row>
    <row r="1311" spans="1:6" hidden="1" x14ac:dyDescent="0.3">
      <c r="A1311" s="6">
        <v>10</v>
      </c>
      <c r="B1311" s="6" t="s">
        <v>101</v>
      </c>
      <c r="C1311" s="6" t="s">
        <v>405</v>
      </c>
      <c r="D1311" s="6" t="s">
        <v>102</v>
      </c>
      <c r="E1311" s="11">
        <v>0.89158135652542114</v>
      </c>
      <c r="F1311" s="11">
        <v>1.1338205337524414</v>
      </c>
    </row>
    <row r="1312" spans="1:6" hidden="1" x14ac:dyDescent="0.3">
      <c r="A1312" s="6">
        <v>10</v>
      </c>
      <c r="B1312" s="6" t="s">
        <v>101</v>
      </c>
      <c r="C1312" s="6" t="s">
        <v>406</v>
      </c>
      <c r="D1312" s="6" t="s">
        <v>102</v>
      </c>
      <c r="E1312" s="11">
        <v>0.88816726207733154</v>
      </c>
      <c r="F1312" s="11">
        <v>1.1338205337524414</v>
      </c>
    </row>
    <row r="1313" spans="1:6" hidden="1" x14ac:dyDescent="0.3">
      <c r="A1313" s="6">
        <v>10</v>
      </c>
      <c r="B1313" s="6" t="s">
        <v>101</v>
      </c>
      <c r="C1313" s="6" t="s">
        <v>407</v>
      </c>
      <c r="D1313" s="6" t="s">
        <v>102</v>
      </c>
      <c r="E1313" s="11">
        <v>1.3461002111434937</v>
      </c>
      <c r="F1313" s="11">
        <v>1.1338205337524414</v>
      </c>
    </row>
    <row r="1314" spans="1:6" hidden="1" x14ac:dyDescent="0.3">
      <c r="A1314" s="6">
        <v>10</v>
      </c>
      <c r="B1314" s="6" t="s">
        <v>101</v>
      </c>
      <c r="C1314" s="6" t="s">
        <v>408</v>
      </c>
      <c r="D1314" s="6" t="s">
        <v>102</v>
      </c>
      <c r="E1314" s="11">
        <v>1.1695612668991089</v>
      </c>
      <c r="F1314" s="11">
        <v>1.1338205337524414</v>
      </c>
    </row>
    <row r="1315" spans="1:6" hidden="1" x14ac:dyDescent="0.3">
      <c r="A1315" s="6">
        <v>10</v>
      </c>
      <c r="B1315" s="6" t="s">
        <v>101</v>
      </c>
      <c r="C1315" s="6" t="s">
        <v>409</v>
      </c>
      <c r="D1315" s="6" t="s">
        <v>102</v>
      </c>
      <c r="E1315" s="11">
        <v>1.1891366243362427</v>
      </c>
      <c r="F1315" s="11">
        <v>1.1338205337524414</v>
      </c>
    </row>
    <row r="1316" spans="1:6" hidden="1" x14ac:dyDescent="0.3">
      <c r="A1316" s="6">
        <v>10</v>
      </c>
      <c r="B1316" s="6" t="s">
        <v>101</v>
      </c>
      <c r="C1316" s="6" t="s">
        <v>410</v>
      </c>
      <c r="D1316" s="6" t="s">
        <v>102</v>
      </c>
      <c r="E1316" s="11">
        <v>1.7563196420669556</v>
      </c>
      <c r="F1316" s="11">
        <v>1.1338205337524414</v>
      </c>
    </row>
    <row r="1317" spans="1:6" hidden="1" x14ac:dyDescent="0.3">
      <c r="A1317" s="6">
        <v>10</v>
      </c>
      <c r="B1317" s="6" t="s">
        <v>101</v>
      </c>
      <c r="C1317" s="6" t="s">
        <v>411</v>
      </c>
      <c r="D1317" s="6" t="s">
        <v>102</v>
      </c>
      <c r="E1317" s="11">
        <v>1.4632387161254883</v>
      </c>
      <c r="F1317" s="11">
        <v>1.1338205337524414</v>
      </c>
    </row>
    <row r="1318" spans="1:6" hidden="1" x14ac:dyDescent="0.3">
      <c r="A1318" s="6">
        <v>10</v>
      </c>
      <c r="B1318" s="6" t="s">
        <v>101</v>
      </c>
      <c r="C1318" s="6" t="s">
        <v>412</v>
      </c>
      <c r="D1318" s="6" t="s">
        <v>102</v>
      </c>
      <c r="E1318" s="11">
        <v>2.0844449996948242</v>
      </c>
      <c r="F1318" s="11">
        <v>1.1338205337524414</v>
      </c>
    </row>
    <row r="1319" spans="1:6" hidden="1" x14ac:dyDescent="0.3">
      <c r="A1319" s="6">
        <v>10</v>
      </c>
      <c r="B1319" s="6" t="s">
        <v>101</v>
      </c>
      <c r="C1319" s="6" t="s">
        <v>413</v>
      </c>
      <c r="D1319" s="6" t="s">
        <v>102</v>
      </c>
      <c r="E1319" s="11">
        <v>1.2549704313278198</v>
      </c>
      <c r="F1319" s="11">
        <v>1.1338205337524414</v>
      </c>
    </row>
    <row r="1320" spans="1:6" hidden="1" x14ac:dyDescent="0.3">
      <c r="A1320" s="6">
        <v>10</v>
      </c>
      <c r="B1320" s="6" t="s">
        <v>101</v>
      </c>
      <c r="C1320" s="6" t="s">
        <v>414</v>
      </c>
      <c r="D1320" s="6" t="s">
        <v>102</v>
      </c>
      <c r="E1320" s="11">
        <v>17.359136581420898</v>
      </c>
      <c r="F1320" s="11">
        <v>1.1338205337524414</v>
      </c>
    </row>
    <row r="1321" spans="1:6" hidden="1" x14ac:dyDescent="0.3">
      <c r="A1321" s="6">
        <v>10</v>
      </c>
      <c r="B1321" s="6" t="s">
        <v>101</v>
      </c>
      <c r="C1321" s="6" t="s">
        <v>415</v>
      </c>
      <c r="D1321" s="6" t="s">
        <v>102</v>
      </c>
      <c r="E1321" s="11">
        <v>1.052241325378418</v>
      </c>
      <c r="F1321" s="11">
        <v>1.1338205337524414</v>
      </c>
    </row>
    <row r="1322" spans="1:6" hidden="1" x14ac:dyDescent="0.3">
      <c r="A1322" s="6">
        <v>10</v>
      </c>
      <c r="B1322" s="6" t="s">
        <v>101</v>
      </c>
      <c r="C1322" s="6" t="s">
        <v>416</v>
      </c>
      <c r="D1322" s="6" t="s">
        <v>102</v>
      </c>
      <c r="E1322" s="11">
        <v>1.0263974666595459</v>
      </c>
      <c r="F1322" s="11">
        <v>1.1338205337524414</v>
      </c>
    </row>
    <row r="1323" spans="1:6" hidden="1" x14ac:dyDescent="0.3">
      <c r="A1323" s="6">
        <v>10</v>
      </c>
      <c r="B1323" s="6" t="s">
        <v>101</v>
      </c>
      <c r="C1323" s="6" t="s">
        <v>417</v>
      </c>
      <c r="D1323" s="6" t="s">
        <v>102</v>
      </c>
      <c r="E1323" s="11">
        <v>1.9038345813751221</v>
      </c>
      <c r="F1323" s="11">
        <v>1.1338205337524414</v>
      </c>
    </row>
    <row r="1324" spans="1:6" hidden="1" x14ac:dyDescent="0.3">
      <c r="A1324" s="6">
        <v>10</v>
      </c>
      <c r="B1324" s="6" t="s">
        <v>101</v>
      </c>
      <c r="C1324" s="6" t="s">
        <v>418</v>
      </c>
      <c r="D1324" s="6" t="s">
        <v>102</v>
      </c>
      <c r="E1324" s="11">
        <v>1.0680280923843384</v>
      </c>
      <c r="F1324" s="11">
        <v>1.1338205337524414</v>
      </c>
    </row>
    <row r="1325" spans="1:6" hidden="1" x14ac:dyDescent="0.3">
      <c r="A1325" s="6">
        <v>10</v>
      </c>
      <c r="B1325" s="6" t="s">
        <v>101</v>
      </c>
      <c r="C1325" s="6" t="s">
        <v>419</v>
      </c>
      <c r="D1325" s="6" t="s">
        <v>102</v>
      </c>
      <c r="E1325" s="11">
        <v>1.4643154144287109</v>
      </c>
      <c r="F1325" s="11">
        <v>1.1338205337524414</v>
      </c>
    </row>
    <row r="1326" spans="1:6" hidden="1" x14ac:dyDescent="0.3">
      <c r="A1326" s="6">
        <v>10</v>
      </c>
      <c r="B1326" s="6" t="s">
        <v>101</v>
      </c>
      <c r="C1326" s="6" t="s">
        <v>420</v>
      </c>
      <c r="D1326" s="6" t="s">
        <v>102</v>
      </c>
      <c r="E1326" s="11">
        <v>0.79221189022064209</v>
      </c>
      <c r="F1326" s="11">
        <v>1.1338205337524414</v>
      </c>
    </row>
    <row r="1327" spans="1:6" hidden="1" x14ac:dyDescent="0.3">
      <c r="A1327" s="6">
        <v>10</v>
      </c>
      <c r="B1327" s="6" t="s">
        <v>101</v>
      </c>
      <c r="C1327" s="6" t="s">
        <v>421</v>
      </c>
      <c r="D1327" s="6" t="s">
        <v>102</v>
      </c>
      <c r="E1327" s="11">
        <v>0.92288917303085327</v>
      </c>
      <c r="F1327" s="11">
        <v>1.1338205337524414</v>
      </c>
    </row>
    <row r="1328" spans="1:6" hidden="1" x14ac:dyDescent="0.3">
      <c r="A1328" s="6">
        <v>10</v>
      </c>
      <c r="B1328" s="6" t="s">
        <v>101</v>
      </c>
      <c r="C1328" s="6" t="s">
        <v>422</v>
      </c>
      <c r="D1328" s="6" t="s">
        <v>102</v>
      </c>
      <c r="E1328" s="11">
        <v>5.5833740234375</v>
      </c>
      <c r="F1328" s="11">
        <v>1.1338205337524414</v>
      </c>
    </row>
    <row r="1329" spans="1:6" hidden="1" x14ac:dyDescent="0.3">
      <c r="A1329" s="6">
        <v>10</v>
      </c>
      <c r="B1329" s="6" t="s">
        <v>101</v>
      </c>
      <c r="C1329" s="6" t="s">
        <v>423</v>
      </c>
      <c r="D1329" s="6" t="s">
        <v>102</v>
      </c>
      <c r="E1329" s="11">
        <v>1.0841528177261353</v>
      </c>
      <c r="F1329" s="11">
        <v>1.1338205337524414</v>
      </c>
    </row>
    <row r="1330" spans="1:6" hidden="1" x14ac:dyDescent="0.3">
      <c r="A1330" s="6">
        <v>10</v>
      </c>
      <c r="B1330" s="6" t="s">
        <v>101</v>
      </c>
      <c r="C1330" s="6" t="s">
        <v>424</v>
      </c>
      <c r="D1330" s="6" t="s">
        <v>102</v>
      </c>
      <c r="E1330" s="11">
        <v>0.93032485246658325</v>
      </c>
      <c r="F1330" s="11">
        <v>1.1338205337524414</v>
      </c>
    </row>
    <row r="1331" spans="1:6" hidden="1" x14ac:dyDescent="0.3">
      <c r="A1331" s="6">
        <v>10</v>
      </c>
      <c r="B1331" s="6" t="s">
        <v>101</v>
      </c>
      <c r="C1331" s="6" t="s">
        <v>425</v>
      </c>
      <c r="D1331" s="6" t="s">
        <v>102</v>
      </c>
      <c r="E1331" s="11">
        <v>1.3912403583526611</v>
      </c>
      <c r="F1331" s="11">
        <v>1.1338205337524414</v>
      </c>
    </row>
    <row r="1332" spans="1:6" hidden="1" x14ac:dyDescent="0.3">
      <c r="A1332" s="6">
        <v>10</v>
      </c>
      <c r="B1332" s="6" t="s">
        <v>101</v>
      </c>
      <c r="C1332" s="6" t="s">
        <v>426</v>
      </c>
      <c r="D1332" s="6" t="s">
        <v>102</v>
      </c>
      <c r="E1332" s="11">
        <v>1.0871818065643311</v>
      </c>
      <c r="F1332" s="11">
        <v>1.1338205337524414</v>
      </c>
    </row>
    <row r="1333" spans="1:6" hidden="1" x14ac:dyDescent="0.3">
      <c r="A1333" s="6">
        <v>10</v>
      </c>
      <c r="B1333" s="6" t="s">
        <v>101</v>
      </c>
      <c r="C1333" s="6" t="s">
        <v>427</v>
      </c>
      <c r="D1333" s="6" t="s">
        <v>102</v>
      </c>
      <c r="E1333" s="11">
        <v>1.5654540061950684</v>
      </c>
      <c r="F1333" s="11">
        <v>1.1338205337524414</v>
      </c>
    </row>
    <row r="1334" spans="1:6" hidden="1" x14ac:dyDescent="0.3">
      <c r="A1334" s="6">
        <v>10</v>
      </c>
      <c r="B1334" s="6" t="s">
        <v>101</v>
      </c>
      <c r="C1334" s="6" t="s">
        <v>428</v>
      </c>
      <c r="D1334" s="6" t="s">
        <v>102</v>
      </c>
      <c r="E1334" s="11">
        <v>0.90185838937759399</v>
      </c>
      <c r="F1334" s="11">
        <v>1.1338205337524414</v>
      </c>
    </row>
    <row r="1335" spans="1:6" hidden="1" x14ac:dyDescent="0.3">
      <c r="A1335" s="6">
        <v>10</v>
      </c>
      <c r="B1335" s="6" t="s">
        <v>101</v>
      </c>
      <c r="C1335" s="6" t="s">
        <v>429</v>
      </c>
      <c r="D1335" s="6" t="s">
        <v>102</v>
      </c>
      <c r="E1335" s="11">
        <v>0.91462647914886475</v>
      </c>
      <c r="F1335" s="11">
        <v>1.1338205337524414</v>
      </c>
    </row>
    <row r="1336" spans="1:6" hidden="1" x14ac:dyDescent="0.3">
      <c r="A1336" s="6">
        <v>10</v>
      </c>
      <c r="B1336" s="6" t="s">
        <v>101</v>
      </c>
      <c r="C1336" s="6" t="s">
        <v>430</v>
      </c>
      <c r="D1336" s="6" t="s">
        <v>102</v>
      </c>
      <c r="E1336" s="11">
        <v>1.0219428539276123</v>
      </c>
      <c r="F1336" s="11">
        <v>1.1338205337524414</v>
      </c>
    </row>
    <row r="1337" spans="1:6" hidden="1" x14ac:dyDescent="0.3">
      <c r="A1337" s="6">
        <v>10</v>
      </c>
      <c r="B1337" s="6" t="s">
        <v>101</v>
      </c>
      <c r="C1337" s="6" t="s">
        <v>431</v>
      </c>
      <c r="D1337" s="6" t="s">
        <v>102</v>
      </c>
      <c r="E1337" s="11">
        <v>1.3755868673324585</v>
      </c>
      <c r="F1337" s="11">
        <v>1.1338205337524414</v>
      </c>
    </row>
    <row r="1338" spans="1:6" hidden="1" x14ac:dyDescent="0.3">
      <c r="A1338" s="6">
        <v>10</v>
      </c>
      <c r="B1338" s="6" t="s">
        <v>101</v>
      </c>
      <c r="C1338" s="6" t="s">
        <v>432</v>
      </c>
      <c r="D1338" s="6" t="s">
        <v>102</v>
      </c>
      <c r="E1338" s="11">
        <v>0.96796506643295288</v>
      </c>
      <c r="F1338" s="11">
        <v>1.1338205337524414</v>
      </c>
    </row>
    <row r="1339" spans="1:6" hidden="1" x14ac:dyDescent="0.3">
      <c r="A1339" s="6">
        <v>10</v>
      </c>
      <c r="B1339" s="6" t="s">
        <v>101</v>
      </c>
      <c r="C1339" s="6" t="s">
        <v>433</v>
      </c>
      <c r="D1339" s="6" t="s">
        <v>102</v>
      </c>
      <c r="E1339" s="11">
        <v>0.73113882541656494</v>
      </c>
      <c r="F1339" s="11">
        <v>1.1338205337524414</v>
      </c>
    </row>
    <row r="1340" spans="1:6" hidden="1" x14ac:dyDescent="0.3">
      <c r="A1340" s="6">
        <v>10</v>
      </c>
      <c r="B1340" s="6" t="s">
        <v>101</v>
      </c>
      <c r="C1340" s="6" t="s">
        <v>434</v>
      </c>
      <c r="D1340" s="6" t="s">
        <v>102</v>
      </c>
      <c r="E1340" s="11">
        <v>1.1553640365600586</v>
      </c>
      <c r="F1340" s="11">
        <v>1.1338205337524414</v>
      </c>
    </row>
    <row r="1341" spans="1:6" hidden="1" x14ac:dyDescent="0.3">
      <c r="A1341" s="6">
        <v>10</v>
      </c>
      <c r="B1341" s="6" t="s">
        <v>101</v>
      </c>
      <c r="C1341" s="6" t="s">
        <v>435</v>
      </c>
      <c r="D1341" s="6" t="s">
        <v>102</v>
      </c>
      <c r="E1341" s="11">
        <v>0.85780131816864014</v>
      </c>
      <c r="F1341" s="11">
        <v>1.1338205337524414</v>
      </c>
    </row>
    <row r="1342" spans="1:6" hidden="1" x14ac:dyDescent="0.3">
      <c r="A1342" s="6">
        <v>10</v>
      </c>
      <c r="B1342" s="6" t="s">
        <v>101</v>
      </c>
      <c r="C1342" s="6" t="s">
        <v>436</v>
      </c>
      <c r="D1342" s="6" t="s">
        <v>102</v>
      </c>
      <c r="E1342" s="11">
        <v>1.5265190601348877</v>
      </c>
      <c r="F1342" s="11">
        <v>1.1338205337524414</v>
      </c>
    </row>
    <row r="1343" spans="1:6" hidden="1" x14ac:dyDescent="0.3">
      <c r="A1343" s="6">
        <v>10</v>
      </c>
      <c r="B1343" s="6" t="s">
        <v>101</v>
      </c>
      <c r="C1343" s="6" t="s">
        <v>437</v>
      </c>
      <c r="D1343" s="6" t="s">
        <v>102</v>
      </c>
      <c r="E1343" s="11">
        <v>0.72286003828048706</v>
      </c>
      <c r="F1343" s="11">
        <v>1.1338205337524414</v>
      </c>
    </row>
    <row r="1344" spans="1:6" hidden="1" x14ac:dyDescent="0.3">
      <c r="A1344" s="6">
        <v>10</v>
      </c>
      <c r="B1344" s="6" t="s">
        <v>101</v>
      </c>
      <c r="C1344" s="6" t="s">
        <v>438</v>
      </c>
      <c r="D1344" s="6" t="s">
        <v>102</v>
      </c>
      <c r="E1344" s="11">
        <v>1.0058428049087524</v>
      </c>
      <c r="F1344" s="11">
        <v>1.1338205337524414</v>
      </c>
    </row>
    <row r="1345" spans="1:6" hidden="1" x14ac:dyDescent="0.3">
      <c r="A1345" s="6">
        <v>10</v>
      </c>
      <c r="B1345" s="6" t="s">
        <v>101</v>
      </c>
      <c r="C1345" s="6" t="s">
        <v>439</v>
      </c>
      <c r="D1345" s="6" t="s">
        <v>102</v>
      </c>
      <c r="E1345" s="11">
        <v>1.0986127853393555</v>
      </c>
      <c r="F1345" s="11">
        <v>1.1338205337524414</v>
      </c>
    </row>
    <row r="1346" spans="1:6" hidden="1" x14ac:dyDescent="0.3">
      <c r="A1346" s="6">
        <v>10</v>
      </c>
      <c r="B1346" s="6" t="s">
        <v>101</v>
      </c>
      <c r="C1346" s="6" t="s">
        <v>440</v>
      </c>
      <c r="D1346" s="6" t="s">
        <v>102</v>
      </c>
      <c r="E1346" s="11">
        <v>1.6734417676925659</v>
      </c>
      <c r="F1346" s="11">
        <v>1.1338205337524414</v>
      </c>
    </row>
    <row r="1347" spans="1:6" hidden="1" x14ac:dyDescent="0.3">
      <c r="A1347" s="6">
        <v>10</v>
      </c>
      <c r="B1347" s="6" t="s">
        <v>101</v>
      </c>
      <c r="C1347" s="6" t="s">
        <v>441</v>
      </c>
      <c r="D1347" s="6" t="s">
        <v>102</v>
      </c>
      <c r="E1347" s="11">
        <v>0.93859434127807617</v>
      </c>
      <c r="F1347" s="11">
        <v>1.1338205337524414</v>
      </c>
    </row>
    <row r="1348" spans="1:6" hidden="1" x14ac:dyDescent="0.3">
      <c r="A1348" s="6">
        <v>10</v>
      </c>
      <c r="B1348" s="6" t="s">
        <v>101</v>
      </c>
      <c r="C1348" s="6" t="s">
        <v>442</v>
      </c>
      <c r="D1348" s="6" t="s">
        <v>102</v>
      </c>
      <c r="E1348" s="11">
        <v>0.90810608863830566</v>
      </c>
      <c r="F1348" s="11">
        <v>1.1338205337524414</v>
      </c>
    </row>
    <row r="1349" spans="1:6" hidden="1" x14ac:dyDescent="0.3">
      <c r="A1349" s="6">
        <v>10</v>
      </c>
      <c r="B1349" s="6" t="s">
        <v>101</v>
      </c>
      <c r="C1349" s="6" t="s">
        <v>443</v>
      </c>
      <c r="D1349" s="6" t="s">
        <v>102</v>
      </c>
      <c r="E1349" s="11">
        <v>1.2502951622009277</v>
      </c>
      <c r="F1349" s="11">
        <v>1.1338205337524414</v>
      </c>
    </row>
    <row r="1350" spans="1:6" hidden="1" x14ac:dyDescent="0.3">
      <c r="A1350" s="6">
        <v>10</v>
      </c>
      <c r="B1350" s="6" t="s">
        <v>101</v>
      </c>
      <c r="C1350" s="6" t="s">
        <v>444</v>
      </c>
      <c r="D1350" s="6" t="s">
        <v>102</v>
      </c>
      <c r="E1350" s="11">
        <v>0.91864490509033203</v>
      </c>
      <c r="F1350" s="11">
        <v>1.1338205337524414</v>
      </c>
    </row>
    <row r="1351" spans="1:6" hidden="1" x14ac:dyDescent="0.3">
      <c r="A1351" s="6">
        <v>10</v>
      </c>
      <c r="B1351" s="6" t="s">
        <v>101</v>
      </c>
      <c r="C1351" s="6" t="s">
        <v>445</v>
      </c>
      <c r="D1351" s="6" t="s">
        <v>102</v>
      </c>
      <c r="E1351" s="11">
        <v>1.1191723346710205</v>
      </c>
      <c r="F1351" s="11">
        <v>1.1338205337524414</v>
      </c>
    </row>
    <row r="1352" spans="1:6" hidden="1" x14ac:dyDescent="0.3">
      <c r="A1352" s="6">
        <v>10</v>
      </c>
      <c r="B1352" s="6" t="s">
        <v>101</v>
      </c>
      <c r="C1352" s="6" t="s">
        <v>446</v>
      </c>
      <c r="D1352" s="6" t="s">
        <v>102</v>
      </c>
      <c r="E1352" s="11">
        <v>1.2889790534973145</v>
      </c>
      <c r="F1352" s="11">
        <v>1.1338205337524414</v>
      </c>
    </row>
    <row r="1353" spans="1:6" hidden="1" x14ac:dyDescent="0.3">
      <c r="A1353" s="6">
        <v>10</v>
      </c>
      <c r="B1353" s="6" t="s">
        <v>101</v>
      </c>
      <c r="C1353" s="6" t="s">
        <v>447</v>
      </c>
      <c r="D1353" s="6" t="s">
        <v>102</v>
      </c>
      <c r="E1353" s="11">
        <v>1.3859684467315674</v>
      </c>
      <c r="F1353" s="11">
        <v>1.1338205337524414</v>
      </c>
    </row>
    <row r="1354" spans="1:6" hidden="1" x14ac:dyDescent="0.3">
      <c r="A1354" s="6">
        <v>10</v>
      </c>
      <c r="B1354" s="6" t="s">
        <v>101</v>
      </c>
      <c r="C1354" s="6" t="s">
        <v>448</v>
      </c>
      <c r="D1354" s="6" t="s">
        <v>102</v>
      </c>
      <c r="E1354" s="11">
        <v>0.89568036794662476</v>
      </c>
      <c r="F1354" s="11">
        <v>1.1338205337524414</v>
      </c>
    </row>
    <row r="1355" spans="1:6" hidden="1" x14ac:dyDescent="0.3">
      <c r="A1355" s="6">
        <v>10</v>
      </c>
      <c r="B1355" s="6" t="s">
        <v>101</v>
      </c>
      <c r="C1355" s="6" t="s">
        <v>449</v>
      </c>
      <c r="D1355" s="6" t="s">
        <v>102</v>
      </c>
      <c r="E1355" s="11">
        <v>1.0499634742736816</v>
      </c>
      <c r="F1355" s="11">
        <v>1.1338205337524414</v>
      </c>
    </row>
    <row r="1356" spans="1:6" hidden="1" x14ac:dyDescent="0.3">
      <c r="A1356" s="6">
        <v>10</v>
      </c>
      <c r="B1356" s="6" t="s">
        <v>101</v>
      </c>
      <c r="C1356" s="6" t="s">
        <v>450</v>
      </c>
      <c r="D1356" s="6" t="s">
        <v>102</v>
      </c>
      <c r="E1356" s="11">
        <v>0.99005264043807983</v>
      </c>
      <c r="F1356" s="11">
        <v>1.1338205337524414</v>
      </c>
    </row>
    <row r="1357" spans="1:6" hidden="1" x14ac:dyDescent="0.3">
      <c r="A1357" s="6">
        <v>10</v>
      </c>
      <c r="B1357" s="6" t="s">
        <v>101</v>
      </c>
      <c r="C1357" s="6" t="s">
        <v>451</v>
      </c>
      <c r="D1357" s="6" t="s">
        <v>102</v>
      </c>
      <c r="E1357" s="11">
        <v>1.6721565723419189</v>
      </c>
      <c r="F1357" s="11">
        <v>1.1338205337524414</v>
      </c>
    </row>
    <row r="1358" spans="1:6" hidden="1" x14ac:dyDescent="0.3">
      <c r="A1358" s="6">
        <v>10</v>
      </c>
      <c r="B1358" s="6" t="s">
        <v>101</v>
      </c>
      <c r="C1358" s="6" t="s">
        <v>452</v>
      </c>
      <c r="D1358" s="6" t="s">
        <v>102</v>
      </c>
      <c r="E1358" s="11">
        <v>1.0811336040496826</v>
      </c>
      <c r="F1358" s="11">
        <v>1.1338205337524414</v>
      </c>
    </row>
    <row r="1359" spans="1:6" hidden="1" x14ac:dyDescent="0.3">
      <c r="A1359" s="6">
        <v>10</v>
      </c>
      <c r="B1359" s="6" t="s">
        <v>101</v>
      </c>
      <c r="C1359" s="6" t="s">
        <v>453</v>
      </c>
      <c r="D1359" s="6" t="s">
        <v>102</v>
      </c>
      <c r="E1359" s="11">
        <v>1.1037180423736572</v>
      </c>
      <c r="F1359" s="11">
        <v>1.1338205337524414</v>
      </c>
    </row>
    <row r="1360" spans="1:6" hidden="1" x14ac:dyDescent="0.3">
      <c r="A1360" s="6">
        <v>10</v>
      </c>
      <c r="B1360" s="6" t="s">
        <v>101</v>
      </c>
      <c r="C1360" s="6" t="s">
        <v>454</v>
      </c>
      <c r="D1360" s="6" t="s">
        <v>102</v>
      </c>
      <c r="E1360" s="11">
        <v>1.1245272159576416</v>
      </c>
      <c r="F1360" s="11">
        <v>1.1338205337524414</v>
      </c>
    </row>
    <row r="1361" spans="1:6" hidden="1" x14ac:dyDescent="0.3">
      <c r="A1361" s="6">
        <v>10</v>
      </c>
      <c r="B1361" s="6" t="s">
        <v>101</v>
      </c>
      <c r="C1361" s="6" t="s">
        <v>455</v>
      </c>
      <c r="D1361" s="6" t="s">
        <v>102</v>
      </c>
      <c r="E1361" s="11">
        <v>1.6914682388305664</v>
      </c>
      <c r="F1361" s="11">
        <v>1.1338205337524414</v>
      </c>
    </row>
    <row r="1362" spans="1:6" hidden="1" x14ac:dyDescent="0.3">
      <c r="A1362" s="6">
        <v>10</v>
      </c>
      <c r="B1362" s="6" t="s">
        <v>101</v>
      </c>
      <c r="C1362" s="6" t="s">
        <v>456</v>
      </c>
      <c r="D1362" s="6" t="s">
        <v>102</v>
      </c>
      <c r="E1362" s="11">
        <v>1.3993098735809326</v>
      </c>
      <c r="F1362" s="11">
        <v>1.1338205337524414</v>
      </c>
    </row>
    <row r="1363" spans="1:6" hidden="1" x14ac:dyDescent="0.3">
      <c r="A1363" s="6">
        <v>10</v>
      </c>
      <c r="B1363" s="6" t="s">
        <v>101</v>
      </c>
      <c r="C1363" s="6" t="s">
        <v>457</v>
      </c>
      <c r="D1363" s="6" t="s">
        <v>102</v>
      </c>
      <c r="E1363" s="11">
        <v>1.2375365495681763</v>
      </c>
      <c r="F1363" s="11">
        <v>1.1338205337524414</v>
      </c>
    </row>
    <row r="1364" spans="1:6" hidden="1" x14ac:dyDescent="0.3">
      <c r="A1364" s="6">
        <v>10</v>
      </c>
      <c r="B1364" s="6" t="s">
        <v>101</v>
      </c>
      <c r="C1364" s="6" t="s">
        <v>458</v>
      </c>
      <c r="D1364" s="6" t="s">
        <v>102</v>
      </c>
      <c r="E1364" s="11">
        <v>1.2531495094299316</v>
      </c>
      <c r="F1364" s="11">
        <v>1.1338205337524414</v>
      </c>
    </row>
    <row r="1365" spans="1:6" hidden="1" x14ac:dyDescent="0.3">
      <c r="A1365" s="6">
        <v>10</v>
      </c>
      <c r="B1365" s="6" t="s">
        <v>101</v>
      </c>
      <c r="C1365" s="6" t="s">
        <v>459</v>
      </c>
      <c r="D1365" s="6" t="s">
        <v>102</v>
      </c>
      <c r="E1365" s="11">
        <v>1.2224582433700562</v>
      </c>
      <c r="F1365" s="11">
        <v>1.1338205337524414</v>
      </c>
    </row>
    <row r="1366" spans="1:6" hidden="1" x14ac:dyDescent="0.3">
      <c r="A1366" s="6">
        <v>10</v>
      </c>
      <c r="B1366" s="6" t="s">
        <v>101</v>
      </c>
      <c r="C1366" s="6" t="s">
        <v>460</v>
      </c>
      <c r="D1366" s="6" t="s">
        <v>102</v>
      </c>
      <c r="E1366" s="11">
        <v>1.3005479574203491</v>
      </c>
      <c r="F1366" s="11">
        <v>1.1338205337524414</v>
      </c>
    </row>
    <row r="1367" spans="1:6" hidden="1" x14ac:dyDescent="0.3">
      <c r="A1367" s="6">
        <v>10</v>
      </c>
      <c r="B1367" s="6" t="s">
        <v>101</v>
      </c>
      <c r="C1367" s="6" t="s">
        <v>461</v>
      </c>
      <c r="D1367" s="6" t="s">
        <v>102</v>
      </c>
      <c r="E1367" s="11">
        <v>1.2362761497497559</v>
      </c>
      <c r="F1367" s="11">
        <v>1.1338205337524414</v>
      </c>
    </row>
    <row r="1368" spans="1:6" hidden="1" x14ac:dyDescent="0.3">
      <c r="A1368" s="6">
        <v>10</v>
      </c>
      <c r="B1368" s="6" t="s">
        <v>101</v>
      </c>
      <c r="C1368" s="6" t="s">
        <v>462</v>
      </c>
      <c r="D1368" s="6" t="s">
        <v>102</v>
      </c>
      <c r="E1368" s="11">
        <v>2.5439400672912598</v>
      </c>
      <c r="F1368" s="11">
        <v>1.1338205337524414</v>
      </c>
    </row>
    <row r="1369" spans="1:6" hidden="1" x14ac:dyDescent="0.3">
      <c r="A1369" s="6">
        <v>10</v>
      </c>
      <c r="B1369" s="6" t="s">
        <v>101</v>
      </c>
      <c r="C1369" s="6" t="s">
        <v>463</v>
      </c>
      <c r="D1369" s="6" t="s">
        <v>102</v>
      </c>
      <c r="E1369" s="11">
        <v>1.071891188621521</v>
      </c>
      <c r="F1369" s="11">
        <v>1.1338205337524414</v>
      </c>
    </row>
    <row r="1370" spans="1:6" hidden="1" x14ac:dyDescent="0.3">
      <c r="A1370" s="6">
        <v>10</v>
      </c>
      <c r="B1370" s="6" t="s">
        <v>101</v>
      </c>
      <c r="C1370" s="6" t="s">
        <v>464</v>
      </c>
      <c r="D1370" s="6" t="s">
        <v>102</v>
      </c>
      <c r="E1370" s="11">
        <v>1.2228291034698486</v>
      </c>
      <c r="F1370" s="11">
        <v>1.1338205337524414</v>
      </c>
    </row>
    <row r="1371" spans="1:6" hidden="1" x14ac:dyDescent="0.3">
      <c r="A1371" s="6">
        <v>10</v>
      </c>
      <c r="B1371" s="6" t="s">
        <v>101</v>
      </c>
      <c r="C1371" s="6" t="s">
        <v>465</v>
      </c>
      <c r="D1371" s="6" t="s">
        <v>102</v>
      </c>
      <c r="E1371" s="11">
        <v>1.7274800539016724</v>
      </c>
      <c r="F1371" s="11">
        <v>1.1338205337524414</v>
      </c>
    </row>
    <row r="1372" spans="1:6" hidden="1" x14ac:dyDescent="0.3">
      <c r="A1372" s="6">
        <v>10</v>
      </c>
      <c r="B1372" s="6" t="s">
        <v>101</v>
      </c>
      <c r="C1372" s="6" t="s">
        <v>466</v>
      </c>
      <c r="D1372" s="6" t="s">
        <v>102</v>
      </c>
      <c r="E1372" s="11">
        <v>0.92529511451721191</v>
      </c>
      <c r="F1372" s="11">
        <v>1.1338205337524414</v>
      </c>
    </row>
    <row r="1373" spans="1:6" hidden="1" x14ac:dyDescent="0.3">
      <c r="A1373" s="6">
        <v>10</v>
      </c>
      <c r="B1373" s="6" t="s">
        <v>101</v>
      </c>
      <c r="C1373" s="6" t="s">
        <v>467</v>
      </c>
      <c r="D1373" s="6" t="s">
        <v>102</v>
      </c>
      <c r="E1373" s="11">
        <v>1.3043206930160522</v>
      </c>
      <c r="F1373" s="11">
        <v>1.1338205337524414</v>
      </c>
    </row>
    <row r="1374" spans="1:6" hidden="1" x14ac:dyDescent="0.3">
      <c r="A1374" s="6">
        <v>10</v>
      </c>
      <c r="B1374" s="6" t="s">
        <v>101</v>
      </c>
      <c r="C1374" s="6" t="s">
        <v>468</v>
      </c>
      <c r="D1374" s="6" t="s">
        <v>102</v>
      </c>
      <c r="E1374" s="11">
        <v>1.6398768424987793</v>
      </c>
      <c r="F1374" s="11">
        <v>1.1338205337524414</v>
      </c>
    </row>
    <row r="1375" spans="1:6" hidden="1" x14ac:dyDescent="0.3">
      <c r="A1375" s="6">
        <v>10</v>
      </c>
      <c r="B1375" s="6" t="s">
        <v>101</v>
      </c>
      <c r="C1375" s="6" t="s">
        <v>469</v>
      </c>
      <c r="D1375" s="6" t="s">
        <v>102</v>
      </c>
      <c r="E1375" s="11">
        <v>1.3540891408920288</v>
      </c>
      <c r="F1375" s="11">
        <v>1.1338205337524414</v>
      </c>
    </row>
    <row r="1376" spans="1:6" hidden="1" x14ac:dyDescent="0.3">
      <c r="A1376" s="6">
        <v>10</v>
      </c>
      <c r="B1376" s="6" t="s">
        <v>101</v>
      </c>
      <c r="C1376" s="6" t="s">
        <v>470</v>
      </c>
      <c r="D1376" s="6" t="s">
        <v>102</v>
      </c>
      <c r="E1376" s="11">
        <v>1.5335582494735718</v>
      </c>
      <c r="F1376" s="11">
        <v>1.1338205337524414</v>
      </c>
    </row>
    <row r="1377" spans="1:6" hidden="1" x14ac:dyDescent="0.3">
      <c r="A1377" s="6">
        <v>10</v>
      </c>
      <c r="B1377" s="6" t="s">
        <v>101</v>
      </c>
      <c r="C1377" s="6" t="s">
        <v>471</v>
      </c>
      <c r="D1377" s="6" t="s">
        <v>102</v>
      </c>
      <c r="E1377" s="11">
        <v>1.0432099103927612</v>
      </c>
      <c r="F1377" s="11">
        <v>1.1338205337524414</v>
      </c>
    </row>
    <row r="1378" spans="1:6" hidden="1" x14ac:dyDescent="0.3">
      <c r="A1378" s="6">
        <v>10</v>
      </c>
      <c r="B1378" s="6" t="s">
        <v>101</v>
      </c>
      <c r="C1378" s="6" t="s">
        <v>472</v>
      </c>
      <c r="D1378" s="6" t="s">
        <v>102</v>
      </c>
      <c r="E1378" s="11">
        <v>1.1564184427261353</v>
      </c>
      <c r="F1378" s="11">
        <v>1.1338205337524414</v>
      </c>
    </row>
    <row r="1379" spans="1:6" hidden="1" x14ac:dyDescent="0.3">
      <c r="A1379" s="6">
        <v>10</v>
      </c>
      <c r="B1379" s="6" t="s">
        <v>101</v>
      </c>
      <c r="C1379" s="6" t="s">
        <v>473</v>
      </c>
      <c r="D1379" s="6" t="s">
        <v>102</v>
      </c>
      <c r="E1379" s="11">
        <v>1.118499755859375</v>
      </c>
      <c r="F1379" s="11">
        <v>1.1338205337524414</v>
      </c>
    </row>
    <row r="1380" spans="1:6" hidden="1" x14ac:dyDescent="0.3">
      <c r="A1380" s="6">
        <v>10</v>
      </c>
      <c r="B1380" s="6" t="s">
        <v>101</v>
      </c>
      <c r="C1380" s="6" t="s">
        <v>474</v>
      </c>
      <c r="D1380" s="6" t="s">
        <v>102</v>
      </c>
      <c r="E1380" s="11">
        <v>1.7485971450805664</v>
      </c>
      <c r="F1380" s="11">
        <v>1.1338205337524414</v>
      </c>
    </row>
    <row r="1381" spans="1:6" hidden="1" x14ac:dyDescent="0.3">
      <c r="A1381" s="6">
        <v>10</v>
      </c>
      <c r="B1381" s="6" t="s">
        <v>101</v>
      </c>
      <c r="C1381" s="6" t="s">
        <v>475</v>
      </c>
      <c r="D1381" s="6" t="s">
        <v>102</v>
      </c>
      <c r="E1381" s="11">
        <v>1.0724138021469116</v>
      </c>
      <c r="F1381" s="11">
        <v>1.1338205337524414</v>
      </c>
    </row>
    <row r="1382" spans="1:6" hidden="1" x14ac:dyDescent="0.3">
      <c r="A1382" s="6">
        <v>10</v>
      </c>
      <c r="B1382" s="6" t="s">
        <v>101</v>
      </c>
      <c r="C1382" s="6" t="s">
        <v>476</v>
      </c>
      <c r="D1382" s="6" t="s">
        <v>102</v>
      </c>
      <c r="E1382" s="11">
        <v>1.1164288520812988</v>
      </c>
      <c r="F1382" s="11">
        <v>1.1338205337524414</v>
      </c>
    </row>
    <row r="1383" spans="1:6" hidden="1" x14ac:dyDescent="0.3">
      <c r="A1383" s="6">
        <v>10</v>
      </c>
      <c r="B1383" s="6" t="s">
        <v>101</v>
      </c>
      <c r="C1383" s="6" t="s">
        <v>477</v>
      </c>
      <c r="D1383" s="6" t="s">
        <v>102</v>
      </c>
      <c r="E1383" s="11">
        <v>0.87398409843444824</v>
      </c>
      <c r="F1383" s="11">
        <v>1.1338205337524414</v>
      </c>
    </row>
    <row r="1384" spans="1:6" hidden="1" x14ac:dyDescent="0.3">
      <c r="A1384" s="6">
        <v>10</v>
      </c>
      <c r="B1384" s="6" t="s">
        <v>101</v>
      </c>
      <c r="C1384" s="6" t="s">
        <v>478</v>
      </c>
      <c r="D1384" s="6" t="s">
        <v>102</v>
      </c>
      <c r="E1384" s="11">
        <v>1.3611714839935303</v>
      </c>
      <c r="F1384" s="11">
        <v>1.1338205337524414</v>
      </c>
    </row>
    <row r="1385" spans="1:6" hidden="1" x14ac:dyDescent="0.3">
      <c r="A1385" s="6">
        <v>10</v>
      </c>
      <c r="B1385" s="6" t="s">
        <v>101</v>
      </c>
      <c r="C1385" s="6" t="s">
        <v>479</v>
      </c>
      <c r="D1385" s="6" t="s">
        <v>102</v>
      </c>
      <c r="E1385" s="11">
        <v>1.594865083694458</v>
      </c>
      <c r="F1385" s="11">
        <v>1.1338205337524414</v>
      </c>
    </row>
    <row r="1386" spans="1:6" hidden="1" x14ac:dyDescent="0.3">
      <c r="A1386" s="6">
        <v>10</v>
      </c>
      <c r="B1386" s="6" t="s">
        <v>101</v>
      </c>
      <c r="C1386" s="6" t="s">
        <v>480</v>
      </c>
      <c r="D1386" s="6" t="s">
        <v>102</v>
      </c>
      <c r="E1386" s="11">
        <v>1.1378763914108276</v>
      </c>
      <c r="F1386" s="11">
        <v>1.1338205337524414</v>
      </c>
    </row>
    <row r="1387" spans="1:6" hidden="1" x14ac:dyDescent="0.3">
      <c r="A1387" s="6">
        <v>10</v>
      </c>
      <c r="B1387" s="6" t="s">
        <v>101</v>
      </c>
      <c r="C1387" s="6" t="s">
        <v>481</v>
      </c>
      <c r="D1387" s="6" t="s">
        <v>102</v>
      </c>
      <c r="E1387" s="11">
        <v>1.2676857709884644</v>
      </c>
      <c r="F1387" s="11">
        <v>1.1338205337524414</v>
      </c>
    </row>
    <row r="1388" spans="1:6" hidden="1" x14ac:dyDescent="0.3">
      <c r="A1388" s="6">
        <v>10</v>
      </c>
      <c r="B1388" s="6" t="s">
        <v>101</v>
      </c>
      <c r="C1388" s="6" t="s">
        <v>482</v>
      </c>
      <c r="D1388" s="6" t="s">
        <v>102</v>
      </c>
      <c r="E1388" s="11">
        <v>1.6045083999633789</v>
      </c>
      <c r="F1388" s="11">
        <v>1.1338205337524414</v>
      </c>
    </row>
    <row r="1389" spans="1:6" hidden="1" x14ac:dyDescent="0.3">
      <c r="A1389" s="6">
        <v>10</v>
      </c>
      <c r="B1389" s="6" t="s">
        <v>101</v>
      </c>
      <c r="C1389" s="6" t="s">
        <v>483</v>
      </c>
      <c r="D1389" s="6" t="s">
        <v>102</v>
      </c>
      <c r="E1389" s="11">
        <v>1.1012108325958252</v>
      </c>
      <c r="F1389" s="11">
        <v>1.1338205337524414</v>
      </c>
    </row>
    <row r="1390" spans="1:6" hidden="1" x14ac:dyDescent="0.3">
      <c r="A1390" s="6">
        <v>10</v>
      </c>
      <c r="B1390" s="6" t="s">
        <v>101</v>
      </c>
      <c r="C1390" s="6" t="s">
        <v>484</v>
      </c>
      <c r="D1390" s="6" t="s">
        <v>102</v>
      </c>
      <c r="E1390" s="11">
        <v>1.2474319934844971</v>
      </c>
      <c r="F1390" s="11">
        <v>1.1338205337524414</v>
      </c>
    </row>
    <row r="1391" spans="1:6" hidden="1" x14ac:dyDescent="0.3">
      <c r="A1391" s="6">
        <v>10</v>
      </c>
      <c r="B1391" s="6" t="s">
        <v>101</v>
      </c>
      <c r="C1391" s="6" t="s">
        <v>485</v>
      </c>
      <c r="D1391" s="6" t="s">
        <v>102</v>
      </c>
      <c r="E1391" s="11">
        <v>0.84521704912185669</v>
      </c>
      <c r="F1391" s="11">
        <v>1.1338205337524414</v>
      </c>
    </row>
    <row r="1392" spans="1:6" hidden="1" x14ac:dyDescent="0.3">
      <c r="A1392" s="6">
        <v>10</v>
      </c>
      <c r="B1392" s="6" t="s">
        <v>101</v>
      </c>
      <c r="C1392" s="6" t="s">
        <v>486</v>
      </c>
      <c r="D1392" s="6" t="s">
        <v>102</v>
      </c>
      <c r="E1392" s="11">
        <v>0.87605279684066772</v>
      </c>
      <c r="F1392" s="11">
        <v>1.1338205337524414</v>
      </c>
    </row>
    <row r="1393" spans="1:6" hidden="1" x14ac:dyDescent="0.3">
      <c r="A1393" s="6">
        <v>10</v>
      </c>
      <c r="B1393" s="6" t="s">
        <v>101</v>
      </c>
      <c r="C1393" s="6" t="s">
        <v>487</v>
      </c>
      <c r="D1393" s="6" t="s">
        <v>102</v>
      </c>
      <c r="E1393" s="11">
        <v>1.412351131439209</v>
      </c>
      <c r="F1393" s="11">
        <v>1.1338205337524414</v>
      </c>
    </row>
    <row r="1394" spans="1:6" hidden="1" x14ac:dyDescent="0.3">
      <c r="A1394" s="6">
        <v>10</v>
      </c>
      <c r="B1394" s="6" t="s">
        <v>101</v>
      </c>
      <c r="C1394" s="6" t="s">
        <v>488</v>
      </c>
      <c r="D1394" s="6" t="s">
        <v>102</v>
      </c>
      <c r="E1394" s="11">
        <v>1.2159295082092285</v>
      </c>
      <c r="F1394" s="11">
        <v>1.1338205337524414</v>
      </c>
    </row>
    <row r="1395" spans="1:6" hidden="1" x14ac:dyDescent="0.3">
      <c r="A1395" s="6">
        <v>10</v>
      </c>
      <c r="B1395" s="6" t="s">
        <v>101</v>
      </c>
      <c r="C1395" s="6" t="s">
        <v>489</v>
      </c>
      <c r="D1395" s="6" t="s">
        <v>102</v>
      </c>
      <c r="E1395" s="11">
        <v>1.0890661478042603</v>
      </c>
      <c r="F1395" s="11">
        <v>1.1338205337524414</v>
      </c>
    </row>
    <row r="1396" spans="1:6" hidden="1" x14ac:dyDescent="0.3">
      <c r="A1396" s="6">
        <v>10</v>
      </c>
      <c r="B1396" s="6" t="s">
        <v>101</v>
      </c>
      <c r="C1396" s="6" t="s">
        <v>490</v>
      </c>
      <c r="D1396" s="6" t="s">
        <v>102</v>
      </c>
      <c r="E1396" s="11">
        <v>1.1657462120056152</v>
      </c>
      <c r="F1396" s="11">
        <v>1.1338205337524414</v>
      </c>
    </row>
    <row r="1397" spans="1:6" hidden="1" x14ac:dyDescent="0.3">
      <c r="A1397" s="6">
        <v>10</v>
      </c>
      <c r="B1397" s="6" t="s">
        <v>101</v>
      </c>
      <c r="C1397" s="6" t="s">
        <v>491</v>
      </c>
      <c r="D1397" s="6" t="s">
        <v>102</v>
      </c>
      <c r="E1397" s="11">
        <v>1.6146606206893921</v>
      </c>
      <c r="F1397" s="11">
        <v>1.1338205337524414</v>
      </c>
    </row>
    <row r="1398" spans="1:6" hidden="1" x14ac:dyDescent="0.3">
      <c r="A1398" s="6">
        <v>10</v>
      </c>
      <c r="B1398" s="6" t="s">
        <v>101</v>
      </c>
      <c r="C1398" s="6" t="s">
        <v>492</v>
      </c>
      <c r="D1398" s="6" t="s">
        <v>102</v>
      </c>
      <c r="E1398" s="11">
        <v>1.1172071695327759</v>
      </c>
      <c r="F1398" s="11">
        <v>1.1338205337524414</v>
      </c>
    </row>
    <row r="1399" spans="1:6" hidden="1" x14ac:dyDescent="0.3">
      <c r="A1399" s="6">
        <v>10</v>
      </c>
      <c r="B1399" s="6" t="s">
        <v>101</v>
      </c>
      <c r="C1399" s="6" t="s">
        <v>493</v>
      </c>
      <c r="D1399" s="6" t="s">
        <v>102</v>
      </c>
      <c r="E1399" s="11">
        <v>1.2715494632720947</v>
      </c>
      <c r="F1399" s="11">
        <v>1.1338205337524414</v>
      </c>
    </row>
    <row r="1400" spans="1:6" hidden="1" x14ac:dyDescent="0.3">
      <c r="A1400" s="6">
        <v>10</v>
      </c>
      <c r="B1400" s="6" t="s">
        <v>101</v>
      </c>
      <c r="C1400" s="6" t="s">
        <v>494</v>
      </c>
      <c r="D1400" s="6" t="s">
        <v>102</v>
      </c>
      <c r="E1400" s="11">
        <v>1.633188009262085</v>
      </c>
      <c r="F1400" s="11">
        <v>1.1338205337524414</v>
      </c>
    </row>
    <row r="1401" spans="1:6" hidden="1" x14ac:dyDescent="0.3">
      <c r="A1401" s="6">
        <v>10</v>
      </c>
      <c r="B1401" s="6" t="s">
        <v>101</v>
      </c>
      <c r="C1401" s="6" t="s">
        <v>495</v>
      </c>
      <c r="D1401" s="6" t="s">
        <v>102</v>
      </c>
      <c r="E1401" s="11">
        <v>1.1867485046386719</v>
      </c>
      <c r="F1401" s="11">
        <v>1.1338205337524414</v>
      </c>
    </row>
    <row r="1402" spans="1:6" hidden="1" x14ac:dyDescent="0.3">
      <c r="A1402" s="6">
        <v>11</v>
      </c>
      <c r="B1402" s="6" t="s">
        <v>103</v>
      </c>
      <c r="C1402" s="6" t="s">
        <v>356</v>
      </c>
      <c r="D1402" s="6" t="s">
        <v>104</v>
      </c>
      <c r="E1402" s="11">
        <v>1.2312043905258179</v>
      </c>
      <c r="F1402" s="11">
        <v>0.95849555730819702</v>
      </c>
    </row>
    <row r="1403" spans="1:6" hidden="1" x14ac:dyDescent="0.3">
      <c r="A1403" s="6">
        <v>11</v>
      </c>
      <c r="B1403" s="6" t="s">
        <v>103</v>
      </c>
      <c r="C1403" s="6" t="s">
        <v>357</v>
      </c>
      <c r="D1403" s="6" t="s">
        <v>104</v>
      </c>
      <c r="E1403" s="11">
        <v>4.9008827209472656</v>
      </c>
      <c r="F1403" s="11">
        <v>0.95849555730819702</v>
      </c>
    </row>
    <row r="1404" spans="1:6" hidden="1" x14ac:dyDescent="0.3">
      <c r="A1404" s="6">
        <v>11</v>
      </c>
      <c r="B1404" s="6" t="s">
        <v>103</v>
      </c>
      <c r="C1404" s="6" t="s">
        <v>358</v>
      </c>
      <c r="D1404" s="6" t="s">
        <v>104</v>
      </c>
      <c r="E1404" s="11">
        <v>0.99922752380371094</v>
      </c>
      <c r="F1404" s="11">
        <v>0.95849555730819702</v>
      </c>
    </row>
    <row r="1405" spans="1:6" hidden="1" x14ac:dyDescent="0.3">
      <c r="A1405" s="6">
        <v>11</v>
      </c>
      <c r="B1405" s="6" t="s">
        <v>103</v>
      </c>
      <c r="C1405" s="6" t="s">
        <v>359</v>
      </c>
      <c r="D1405" s="6" t="s">
        <v>104</v>
      </c>
      <c r="E1405" s="11">
        <v>1.1809871196746826</v>
      </c>
      <c r="F1405" s="11">
        <v>0.95849555730819702</v>
      </c>
    </row>
    <row r="1406" spans="1:6" hidden="1" x14ac:dyDescent="0.3">
      <c r="A1406" s="6">
        <v>11</v>
      </c>
      <c r="B1406" s="6" t="s">
        <v>103</v>
      </c>
      <c r="C1406" s="6" t="s">
        <v>360</v>
      </c>
      <c r="D1406" s="6" t="s">
        <v>104</v>
      </c>
      <c r="E1406" s="11">
        <v>0.91482102870941162</v>
      </c>
      <c r="F1406" s="11">
        <v>0.95849555730819702</v>
      </c>
    </row>
    <row r="1407" spans="1:6" hidden="1" x14ac:dyDescent="0.3">
      <c r="A1407" s="6">
        <v>11</v>
      </c>
      <c r="B1407" s="6" t="s">
        <v>103</v>
      </c>
      <c r="C1407" s="6" t="s">
        <v>361</v>
      </c>
      <c r="D1407" s="6" t="s">
        <v>104</v>
      </c>
      <c r="E1407" s="11">
        <v>1.3557806015014648</v>
      </c>
      <c r="F1407" s="11">
        <v>0.95849555730819702</v>
      </c>
    </row>
    <row r="1408" spans="1:6" hidden="1" x14ac:dyDescent="0.3">
      <c r="A1408" s="6">
        <v>11</v>
      </c>
      <c r="B1408" s="6" t="s">
        <v>103</v>
      </c>
      <c r="C1408" s="6" t="s">
        <v>362</v>
      </c>
      <c r="D1408" s="6" t="s">
        <v>104</v>
      </c>
      <c r="E1408" s="11">
        <v>1.1441850662231445</v>
      </c>
      <c r="F1408" s="11">
        <v>0.95849555730819702</v>
      </c>
    </row>
    <row r="1409" spans="1:6" hidden="1" x14ac:dyDescent="0.3">
      <c r="A1409" s="6">
        <v>11</v>
      </c>
      <c r="B1409" s="6" t="s">
        <v>103</v>
      </c>
      <c r="C1409" s="6" t="s">
        <v>363</v>
      </c>
      <c r="D1409" s="6" t="s">
        <v>104</v>
      </c>
      <c r="E1409" s="11">
        <v>1.1320017576217651</v>
      </c>
      <c r="F1409" s="11">
        <v>0.95849555730819702</v>
      </c>
    </row>
    <row r="1410" spans="1:6" hidden="1" x14ac:dyDescent="0.3">
      <c r="A1410" s="6">
        <v>11</v>
      </c>
      <c r="B1410" s="6" t="s">
        <v>103</v>
      </c>
      <c r="C1410" s="6" t="s">
        <v>364</v>
      </c>
      <c r="D1410" s="6" t="s">
        <v>104</v>
      </c>
      <c r="E1410" s="11">
        <v>1.4766592979431152</v>
      </c>
      <c r="F1410" s="11">
        <v>0.95849555730819702</v>
      </c>
    </row>
    <row r="1411" spans="1:6" hidden="1" x14ac:dyDescent="0.3">
      <c r="A1411" s="6">
        <v>11</v>
      </c>
      <c r="B1411" s="6" t="s">
        <v>103</v>
      </c>
      <c r="C1411" s="6" t="s">
        <v>365</v>
      </c>
      <c r="D1411" s="6" t="s">
        <v>104</v>
      </c>
      <c r="E1411" s="11">
        <v>1.1747174263000488</v>
      </c>
      <c r="F1411" s="11">
        <v>0.95849555730819702</v>
      </c>
    </row>
    <row r="1412" spans="1:6" hidden="1" x14ac:dyDescent="0.3">
      <c r="A1412" s="6">
        <v>11</v>
      </c>
      <c r="B1412" s="6" t="s">
        <v>103</v>
      </c>
      <c r="C1412" s="6" t="s">
        <v>366</v>
      </c>
      <c r="D1412" s="6" t="s">
        <v>104</v>
      </c>
      <c r="E1412" s="11">
        <v>1.4998668432235718</v>
      </c>
      <c r="F1412" s="11">
        <v>0.95849555730819702</v>
      </c>
    </row>
    <row r="1413" spans="1:6" hidden="1" x14ac:dyDescent="0.3">
      <c r="A1413" s="6">
        <v>11</v>
      </c>
      <c r="B1413" s="6" t="s">
        <v>103</v>
      </c>
      <c r="C1413" s="6" t="s">
        <v>367</v>
      </c>
      <c r="D1413" s="6" t="s">
        <v>104</v>
      </c>
      <c r="E1413" s="11">
        <v>0.91768866777420044</v>
      </c>
      <c r="F1413" s="11">
        <v>0.95849555730819702</v>
      </c>
    </row>
    <row r="1414" spans="1:6" hidden="1" x14ac:dyDescent="0.3">
      <c r="A1414" s="6">
        <v>11</v>
      </c>
      <c r="B1414" s="6" t="s">
        <v>103</v>
      </c>
      <c r="C1414" s="6" t="s">
        <v>368</v>
      </c>
      <c r="D1414" s="6" t="s">
        <v>104</v>
      </c>
      <c r="E1414" s="11">
        <v>1.3058884143829346</v>
      </c>
      <c r="F1414" s="11">
        <v>0.95849555730819702</v>
      </c>
    </row>
    <row r="1415" spans="1:6" hidden="1" x14ac:dyDescent="0.3">
      <c r="A1415" s="6">
        <v>11</v>
      </c>
      <c r="B1415" s="6" t="s">
        <v>103</v>
      </c>
      <c r="C1415" s="6" t="s">
        <v>369</v>
      </c>
      <c r="D1415" s="6" t="s">
        <v>104</v>
      </c>
      <c r="E1415" s="11">
        <v>2.9788122177124023</v>
      </c>
      <c r="F1415" s="11">
        <v>0.95849555730819702</v>
      </c>
    </row>
    <row r="1416" spans="1:6" hidden="1" x14ac:dyDescent="0.3">
      <c r="A1416" s="6">
        <v>11</v>
      </c>
      <c r="B1416" s="6" t="s">
        <v>103</v>
      </c>
      <c r="C1416" s="6" t="s">
        <v>370</v>
      </c>
      <c r="D1416" s="6" t="s">
        <v>104</v>
      </c>
      <c r="E1416" s="11">
        <v>0.99900680780410767</v>
      </c>
      <c r="F1416" s="11">
        <v>0.95849555730819702</v>
      </c>
    </row>
    <row r="1417" spans="1:6" hidden="1" x14ac:dyDescent="0.3">
      <c r="A1417" s="6">
        <v>11</v>
      </c>
      <c r="B1417" s="6" t="s">
        <v>103</v>
      </c>
      <c r="C1417" s="6" t="s">
        <v>371</v>
      </c>
      <c r="D1417" s="6" t="s">
        <v>104</v>
      </c>
      <c r="E1417" s="11">
        <v>0.82194072008132935</v>
      </c>
      <c r="F1417" s="11">
        <v>0.95849555730819702</v>
      </c>
    </row>
    <row r="1418" spans="1:6" hidden="1" x14ac:dyDescent="0.3">
      <c r="A1418" s="6">
        <v>11</v>
      </c>
      <c r="B1418" s="6" t="s">
        <v>103</v>
      </c>
      <c r="C1418" s="6" t="s">
        <v>372</v>
      </c>
      <c r="D1418" s="6" t="s">
        <v>104</v>
      </c>
      <c r="E1418" s="11">
        <v>3.7400000095367432</v>
      </c>
      <c r="F1418" s="11">
        <v>0.95849555730819702</v>
      </c>
    </row>
    <row r="1419" spans="1:6" hidden="1" x14ac:dyDescent="0.3">
      <c r="A1419" s="6">
        <v>11</v>
      </c>
      <c r="B1419" s="6" t="s">
        <v>103</v>
      </c>
      <c r="C1419" s="6" t="s">
        <v>373</v>
      </c>
      <c r="D1419" s="6" t="s">
        <v>104</v>
      </c>
      <c r="E1419" s="11">
        <v>0.69785332679748535</v>
      </c>
      <c r="F1419" s="11">
        <v>0.95849555730819702</v>
      </c>
    </row>
    <row r="1420" spans="1:6" hidden="1" x14ac:dyDescent="0.3">
      <c r="A1420" s="6">
        <v>11</v>
      </c>
      <c r="B1420" s="6" t="s">
        <v>103</v>
      </c>
      <c r="C1420" s="6" t="s">
        <v>374</v>
      </c>
      <c r="D1420" s="6" t="s">
        <v>104</v>
      </c>
      <c r="E1420" s="11">
        <v>1.1885006427764893</v>
      </c>
      <c r="F1420" s="11">
        <v>0.95849555730819702</v>
      </c>
    </row>
    <row r="1421" spans="1:6" hidden="1" x14ac:dyDescent="0.3">
      <c r="A1421" s="6">
        <v>11</v>
      </c>
      <c r="B1421" s="6" t="s">
        <v>103</v>
      </c>
      <c r="C1421" s="6" t="s">
        <v>375</v>
      </c>
      <c r="D1421" s="6" t="s">
        <v>104</v>
      </c>
      <c r="E1421" s="11">
        <v>0.65037572383880615</v>
      </c>
      <c r="F1421" s="11">
        <v>0.95849555730819702</v>
      </c>
    </row>
    <row r="1422" spans="1:6" hidden="1" x14ac:dyDescent="0.3">
      <c r="A1422" s="6">
        <v>11</v>
      </c>
      <c r="B1422" s="6" t="s">
        <v>103</v>
      </c>
      <c r="C1422" s="6" t="s">
        <v>376</v>
      </c>
      <c r="D1422" s="6" t="s">
        <v>104</v>
      </c>
      <c r="E1422" s="11">
        <v>1.0230646133422852</v>
      </c>
      <c r="F1422" s="11">
        <v>0.95849555730819702</v>
      </c>
    </row>
    <row r="1423" spans="1:6" hidden="1" x14ac:dyDescent="0.3">
      <c r="A1423" s="6">
        <v>11</v>
      </c>
      <c r="B1423" s="6" t="s">
        <v>103</v>
      </c>
      <c r="C1423" s="6" t="s">
        <v>377</v>
      </c>
      <c r="D1423" s="6" t="s">
        <v>104</v>
      </c>
      <c r="E1423" s="11">
        <v>1.0402493476867676</v>
      </c>
      <c r="F1423" s="11">
        <v>0.95849555730819702</v>
      </c>
    </row>
    <row r="1424" spans="1:6" hidden="1" x14ac:dyDescent="0.3">
      <c r="A1424" s="6">
        <v>11</v>
      </c>
      <c r="B1424" s="6" t="s">
        <v>103</v>
      </c>
      <c r="C1424" s="6" t="s">
        <v>378</v>
      </c>
      <c r="D1424" s="6" t="s">
        <v>104</v>
      </c>
      <c r="E1424" s="11">
        <v>2.4337983131408691</v>
      </c>
      <c r="F1424" s="11">
        <v>0.95849555730819702</v>
      </c>
    </row>
    <row r="1425" spans="1:6" hidden="1" x14ac:dyDescent="0.3">
      <c r="A1425" s="6">
        <v>11</v>
      </c>
      <c r="B1425" s="6" t="s">
        <v>103</v>
      </c>
      <c r="C1425" s="6" t="s">
        <v>379</v>
      </c>
      <c r="D1425" s="6" t="s">
        <v>104</v>
      </c>
      <c r="E1425" s="11"/>
      <c r="F1425" s="11">
        <v>0.95849555730819702</v>
      </c>
    </row>
    <row r="1426" spans="1:6" hidden="1" x14ac:dyDescent="0.3">
      <c r="A1426" s="6">
        <v>11</v>
      </c>
      <c r="B1426" s="6" t="s">
        <v>103</v>
      </c>
      <c r="C1426" s="6" t="s">
        <v>380</v>
      </c>
      <c r="D1426" s="6" t="s">
        <v>104</v>
      </c>
      <c r="E1426" s="11">
        <v>0.77612054347991943</v>
      </c>
      <c r="F1426" s="11">
        <v>0.95849555730819702</v>
      </c>
    </row>
    <row r="1427" spans="1:6" hidden="1" x14ac:dyDescent="0.3">
      <c r="A1427" s="6">
        <v>11</v>
      </c>
      <c r="B1427" s="6" t="s">
        <v>103</v>
      </c>
      <c r="C1427" s="6" t="s">
        <v>381</v>
      </c>
      <c r="D1427" s="6" t="s">
        <v>104</v>
      </c>
      <c r="E1427" s="11">
        <v>1.0417884588241577</v>
      </c>
      <c r="F1427" s="11">
        <v>0.95849555730819702</v>
      </c>
    </row>
    <row r="1428" spans="1:6" hidden="1" x14ac:dyDescent="0.3">
      <c r="A1428" s="6">
        <v>11</v>
      </c>
      <c r="B1428" s="6" t="s">
        <v>103</v>
      </c>
      <c r="C1428" s="6" t="s">
        <v>382</v>
      </c>
      <c r="D1428" s="6" t="s">
        <v>104</v>
      </c>
      <c r="E1428" s="11">
        <v>1.0129400491714478</v>
      </c>
      <c r="F1428" s="11">
        <v>0.95849555730819702</v>
      </c>
    </row>
    <row r="1429" spans="1:6" hidden="1" x14ac:dyDescent="0.3">
      <c r="A1429" s="6">
        <v>11</v>
      </c>
      <c r="B1429" s="6" t="s">
        <v>103</v>
      </c>
      <c r="C1429" s="6" t="s">
        <v>383</v>
      </c>
      <c r="D1429" s="6" t="s">
        <v>104</v>
      </c>
      <c r="E1429" s="11">
        <v>1.0129354000091553</v>
      </c>
      <c r="F1429" s="11">
        <v>0.95849555730819702</v>
      </c>
    </row>
    <row r="1430" spans="1:6" hidden="1" x14ac:dyDescent="0.3">
      <c r="A1430" s="6">
        <v>11</v>
      </c>
      <c r="B1430" s="6" t="s">
        <v>103</v>
      </c>
      <c r="C1430" s="6" t="s">
        <v>384</v>
      </c>
      <c r="D1430" s="6" t="s">
        <v>104</v>
      </c>
      <c r="E1430" s="11">
        <v>0.92429202795028687</v>
      </c>
      <c r="F1430" s="11">
        <v>0.95849555730819702</v>
      </c>
    </row>
    <row r="1431" spans="1:6" hidden="1" x14ac:dyDescent="0.3">
      <c r="A1431" s="6">
        <v>11</v>
      </c>
      <c r="B1431" s="6" t="s">
        <v>103</v>
      </c>
      <c r="C1431" s="6" t="s">
        <v>385</v>
      </c>
      <c r="D1431" s="6" t="s">
        <v>104</v>
      </c>
      <c r="E1431" s="11">
        <v>0.88882720470428467</v>
      </c>
      <c r="F1431" s="11">
        <v>0.95849555730819702</v>
      </c>
    </row>
    <row r="1432" spans="1:6" hidden="1" x14ac:dyDescent="0.3">
      <c r="A1432" s="6">
        <v>11</v>
      </c>
      <c r="B1432" s="6" t="s">
        <v>103</v>
      </c>
      <c r="C1432" s="6" t="s">
        <v>386</v>
      </c>
      <c r="D1432" s="6" t="s">
        <v>104</v>
      </c>
      <c r="E1432" s="11">
        <v>0.83114629983901978</v>
      </c>
      <c r="F1432" s="11">
        <v>0.95849555730819702</v>
      </c>
    </row>
    <row r="1433" spans="1:6" hidden="1" x14ac:dyDescent="0.3">
      <c r="A1433" s="6">
        <v>11</v>
      </c>
      <c r="B1433" s="6" t="s">
        <v>103</v>
      </c>
      <c r="C1433" s="6" t="s">
        <v>387</v>
      </c>
      <c r="D1433" s="6" t="s">
        <v>104</v>
      </c>
      <c r="E1433" s="11">
        <v>1.3005452156066895</v>
      </c>
      <c r="F1433" s="11">
        <v>0.95849555730819702</v>
      </c>
    </row>
    <row r="1434" spans="1:6" hidden="1" x14ac:dyDescent="0.3">
      <c r="A1434" s="6">
        <v>11</v>
      </c>
      <c r="B1434" s="6" t="s">
        <v>103</v>
      </c>
      <c r="C1434" s="6" t="s">
        <v>388</v>
      </c>
      <c r="D1434" s="6" t="s">
        <v>104</v>
      </c>
      <c r="E1434" s="11">
        <v>3.44736647605896</v>
      </c>
      <c r="F1434" s="11">
        <v>0.95849555730819702</v>
      </c>
    </row>
    <row r="1435" spans="1:6" hidden="1" x14ac:dyDescent="0.3">
      <c r="A1435" s="6">
        <v>11</v>
      </c>
      <c r="B1435" s="6" t="s">
        <v>103</v>
      </c>
      <c r="C1435" s="6" t="s">
        <v>389</v>
      </c>
      <c r="D1435" s="6" t="s">
        <v>104</v>
      </c>
      <c r="E1435" s="11">
        <v>1.398659348487854</v>
      </c>
      <c r="F1435" s="11">
        <v>0.95849555730819702</v>
      </c>
    </row>
    <row r="1436" spans="1:6" hidden="1" x14ac:dyDescent="0.3">
      <c r="A1436" s="6">
        <v>11</v>
      </c>
      <c r="B1436" s="6" t="s">
        <v>103</v>
      </c>
      <c r="C1436" s="6" t="s">
        <v>390</v>
      </c>
      <c r="D1436" s="6" t="s">
        <v>104</v>
      </c>
      <c r="E1436" s="11">
        <v>1.9884607791900635</v>
      </c>
      <c r="F1436" s="11">
        <v>0.95849555730819702</v>
      </c>
    </row>
    <row r="1437" spans="1:6" hidden="1" x14ac:dyDescent="0.3">
      <c r="A1437" s="6">
        <v>11</v>
      </c>
      <c r="B1437" s="6" t="s">
        <v>103</v>
      </c>
      <c r="C1437" s="6" t="s">
        <v>391</v>
      </c>
      <c r="D1437" s="6" t="s">
        <v>104</v>
      </c>
      <c r="E1437" s="11">
        <v>1.2166777849197388</v>
      </c>
      <c r="F1437" s="11">
        <v>0.95849555730819702</v>
      </c>
    </row>
    <row r="1438" spans="1:6" hidden="1" x14ac:dyDescent="0.3">
      <c r="A1438" s="6">
        <v>11</v>
      </c>
      <c r="B1438" s="6" t="s">
        <v>103</v>
      </c>
      <c r="C1438" s="6" t="s">
        <v>392</v>
      </c>
      <c r="D1438" s="6" t="s">
        <v>104</v>
      </c>
      <c r="E1438" s="11">
        <v>0.96973574161529541</v>
      </c>
      <c r="F1438" s="11">
        <v>0.95849555730819702</v>
      </c>
    </row>
    <row r="1439" spans="1:6" hidden="1" x14ac:dyDescent="0.3">
      <c r="A1439" s="6">
        <v>11</v>
      </c>
      <c r="B1439" s="6" t="s">
        <v>103</v>
      </c>
      <c r="C1439" s="6" t="s">
        <v>393</v>
      </c>
      <c r="D1439" s="6" t="s">
        <v>104</v>
      </c>
      <c r="E1439" s="11">
        <v>1.357224702835083</v>
      </c>
      <c r="F1439" s="11">
        <v>0.95849555730819702</v>
      </c>
    </row>
    <row r="1440" spans="1:6" hidden="1" x14ac:dyDescent="0.3">
      <c r="A1440" s="6">
        <v>11</v>
      </c>
      <c r="B1440" s="6" t="s">
        <v>103</v>
      </c>
      <c r="C1440" s="6" t="s">
        <v>394</v>
      </c>
      <c r="D1440" s="6" t="s">
        <v>104</v>
      </c>
      <c r="E1440" s="11">
        <v>1.0224782228469849</v>
      </c>
      <c r="F1440" s="11">
        <v>0.95849555730819702</v>
      </c>
    </row>
    <row r="1441" spans="1:6" hidden="1" x14ac:dyDescent="0.3">
      <c r="A1441" s="6">
        <v>11</v>
      </c>
      <c r="B1441" s="6" t="s">
        <v>103</v>
      </c>
      <c r="C1441" s="6" t="s">
        <v>395</v>
      </c>
      <c r="D1441" s="6" t="s">
        <v>104</v>
      </c>
      <c r="E1441" s="11">
        <v>1.1264879703521729</v>
      </c>
      <c r="F1441" s="11">
        <v>0.95849555730819702</v>
      </c>
    </row>
    <row r="1442" spans="1:6" hidden="1" x14ac:dyDescent="0.3">
      <c r="A1442" s="6">
        <v>11</v>
      </c>
      <c r="B1442" s="6" t="s">
        <v>103</v>
      </c>
      <c r="C1442" s="6" t="s">
        <v>396</v>
      </c>
      <c r="D1442" s="6" t="s">
        <v>104</v>
      </c>
      <c r="E1442" s="11">
        <v>2.2770600318908691</v>
      </c>
      <c r="F1442" s="11">
        <v>0.95849555730819702</v>
      </c>
    </row>
    <row r="1443" spans="1:6" hidden="1" x14ac:dyDescent="0.3">
      <c r="A1443" s="6">
        <v>11</v>
      </c>
      <c r="B1443" s="6" t="s">
        <v>103</v>
      </c>
      <c r="C1443" s="6" t="s">
        <v>397</v>
      </c>
      <c r="D1443" s="6" t="s">
        <v>104</v>
      </c>
      <c r="E1443" s="11">
        <v>1.2974033355712891</v>
      </c>
      <c r="F1443" s="11">
        <v>0.95849555730819702</v>
      </c>
    </row>
    <row r="1444" spans="1:6" hidden="1" x14ac:dyDescent="0.3">
      <c r="A1444" s="6">
        <v>11</v>
      </c>
      <c r="B1444" s="6" t="s">
        <v>103</v>
      </c>
      <c r="C1444" s="6" t="s">
        <v>398</v>
      </c>
      <c r="D1444" s="6" t="s">
        <v>104</v>
      </c>
      <c r="E1444" s="11">
        <v>1.4163142442703247</v>
      </c>
      <c r="F1444" s="11">
        <v>0.95849555730819702</v>
      </c>
    </row>
    <row r="1445" spans="1:6" hidden="1" x14ac:dyDescent="0.3">
      <c r="A1445" s="6">
        <v>11</v>
      </c>
      <c r="B1445" s="6" t="s">
        <v>103</v>
      </c>
      <c r="C1445" s="6" t="s">
        <v>399</v>
      </c>
      <c r="D1445" s="6" t="s">
        <v>104</v>
      </c>
      <c r="E1445" s="11">
        <v>0.8902587890625</v>
      </c>
      <c r="F1445" s="11">
        <v>0.95849555730819702</v>
      </c>
    </row>
    <row r="1446" spans="1:6" hidden="1" x14ac:dyDescent="0.3">
      <c r="A1446" s="6">
        <v>11</v>
      </c>
      <c r="B1446" s="6" t="s">
        <v>103</v>
      </c>
      <c r="C1446" s="6" t="s">
        <v>400</v>
      </c>
      <c r="D1446" s="6" t="s">
        <v>104</v>
      </c>
      <c r="E1446" s="11">
        <v>12.188114166259766</v>
      </c>
      <c r="F1446" s="11">
        <v>0.95849555730819702</v>
      </c>
    </row>
    <row r="1447" spans="1:6" hidden="1" x14ac:dyDescent="0.3">
      <c r="A1447" s="6">
        <v>11</v>
      </c>
      <c r="B1447" s="6" t="s">
        <v>103</v>
      </c>
      <c r="C1447" s="6" t="s">
        <v>401</v>
      </c>
      <c r="D1447" s="6" t="s">
        <v>104</v>
      </c>
      <c r="E1447" s="11">
        <v>0.9137083888053894</v>
      </c>
      <c r="F1447" s="11">
        <v>0.95849555730819702</v>
      </c>
    </row>
    <row r="1448" spans="1:6" hidden="1" x14ac:dyDescent="0.3">
      <c r="A1448" s="6">
        <v>11</v>
      </c>
      <c r="B1448" s="6" t="s">
        <v>103</v>
      </c>
      <c r="C1448" s="6" t="s">
        <v>402</v>
      </c>
      <c r="D1448" s="6" t="s">
        <v>104</v>
      </c>
      <c r="E1448" s="11">
        <v>1.3312054872512817</v>
      </c>
      <c r="F1448" s="11">
        <v>0.95849555730819702</v>
      </c>
    </row>
    <row r="1449" spans="1:6" hidden="1" x14ac:dyDescent="0.3">
      <c r="A1449" s="6">
        <v>11</v>
      </c>
      <c r="B1449" s="6" t="s">
        <v>103</v>
      </c>
      <c r="C1449" s="6" t="s">
        <v>403</v>
      </c>
      <c r="D1449" s="6" t="s">
        <v>104</v>
      </c>
      <c r="E1449" s="11">
        <v>0.95723897218704224</v>
      </c>
      <c r="F1449" s="11">
        <v>0.95849555730819702</v>
      </c>
    </row>
    <row r="1450" spans="1:6" hidden="1" x14ac:dyDescent="0.3">
      <c r="A1450" s="6">
        <v>11</v>
      </c>
      <c r="B1450" s="6" t="s">
        <v>103</v>
      </c>
      <c r="C1450" s="6" t="s">
        <v>404</v>
      </c>
      <c r="D1450" s="6" t="s">
        <v>104</v>
      </c>
      <c r="E1450" s="11">
        <v>0.95521456003189087</v>
      </c>
      <c r="F1450" s="11">
        <v>0.95849555730819702</v>
      </c>
    </row>
    <row r="1451" spans="1:6" hidden="1" x14ac:dyDescent="0.3">
      <c r="A1451" s="6">
        <v>11</v>
      </c>
      <c r="B1451" s="6" t="s">
        <v>103</v>
      </c>
      <c r="C1451" s="6" t="s">
        <v>405</v>
      </c>
      <c r="D1451" s="6" t="s">
        <v>104</v>
      </c>
      <c r="E1451" s="11">
        <v>0.75746160745620728</v>
      </c>
      <c r="F1451" s="11">
        <v>0.95849555730819702</v>
      </c>
    </row>
    <row r="1452" spans="1:6" hidden="1" x14ac:dyDescent="0.3">
      <c r="A1452" s="6">
        <v>11</v>
      </c>
      <c r="B1452" s="6" t="s">
        <v>103</v>
      </c>
      <c r="C1452" s="6" t="s">
        <v>406</v>
      </c>
      <c r="D1452" s="6" t="s">
        <v>104</v>
      </c>
      <c r="E1452" s="11">
        <v>0.71619617938995361</v>
      </c>
      <c r="F1452" s="11">
        <v>0.95849555730819702</v>
      </c>
    </row>
    <row r="1453" spans="1:6" hidden="1" x14ac:dyDescent="0.3">
      <c r="A1453" s="6">
        <v>11</v>
      </c>
      <c r="B1453" s="6" t="s">
        <v>103</v>
      </c>
      <c r="C1453" s="6" t="s">
        <v>407</v>
      </c>
      <c r="D1453" s="6" t="s">
        <v>104</v>
      </c>
      <c r="E1453" s="11">
        <v>1.1717236042022705</v>
      </c>
      <c r="F1453" s="11">
        <v>0.95849555730819702</v>
      </c>
    </row>
    <row r="1454" spans="1:6" hidden="1" x14ac:dyDescent="0.3">
      <c r="A1454" s="6">
        <v>11</v>
      </c>
      <c r="B1454" s="6" t="s">
        <v>103</v>
      </c>
      <c r="C1454" s="6" t="s">
        <v>408</v>
      </c>
      <c r="D1454" s="6" t="s">
        <v>104</v>
      </c>
      <c r="E1454" s="11">
        <v>1.451777458190918</v>
      </c>
      <c r="F1454" s="11">
        <v>0.95849555730819702</v>
      </c>
    </row>
    <row r="1455" spans="1:6" hidden="1" x14ac:dyDescent="0.3">
      <c r="A1455" s="6">
        <v>11</v>
      </c>
      <c r="B1455" s="6" t="s">
        <v>103</v>
      </c>
      <c r="C1455" s="6" t="s">
        <v>409</v>
      </c>
      <c r="D1455" s="6" t="s">
        <v>104</v>
      </c>
      <c r="E1455" s="11">
        <v>1.2572566270828247</v>
      </c>
      <c r="F1455" s="11">
        <v>0.95849555730819702</v>
      </c>
    </row>
    <row r="1456" spans="1:6" hidden="1" x14ac:dyDescent="0.3">
      <c r="A1456" s="6">
        <v>11</v>
      </c>
      <c r="B1456" s="6" t="s">
        <v>103</v>
      </c>
      <c r="C1456" s="6" t="s">
        <v>410</v>
      </c>
      <c r="D1456" s="6" t="s">
        <v>104</v>
      </c>
      <c r="E1456" s="11">
        <v>5.2777400016784668</v>
      </c>
      <c r="F1456" s="11">
        <v>0.95849555730819702</v>
      </c>
    </row>
    <row r="1457" spans="1:6" hidden="1" x14ac:dyDescent="0.3">
      <c r="A1457" s="6">
        <v>11</v>
      </c>
      <c r="B1457" s="6" t="s">
        <v>103</v>
      </c>
      <c r="C1457" s="6" t="s">
        <v>411</v>
      </c>
      <c r="D1457" s="6" t="s">
        <v>104</v>
      </c>
      <c r="E1457" s="11">
        <v>1.172453761100769</v>
      </c>
      <c r="F1457" s="11">
        <v>0.95849555730819702</v>
      </c>
    </row>
    <row r="1458" spans="1:6" hidden="1" x14ac:dyDescent="0.3">
      <c r="A1458" s="6">
        <v>11</v>
      </c>
      <c r="B1458" s="6" t="s">
        <v>103</v>
      </c>
      <c r="C1458" s="6" t="s">
        <v>412</v>
      </c>
      <c r="D1458" s="6" t="s">
        <v>104</v>
      </c>
      <c r="E1458" s="11">
        <v>1.1242324113845825</v>
      </c>
      <c r="F1458" s="11">
        <v>0.95849555730819702</v>
      </c>
    </row>
    <row r="1459" spans="1:6" hidden="1" x14ac:dyDescent="0.3">
      <c r="A1459" s="6">
        <v>11</v>
      </c>
      <c r="B1459" s="6" t="s">
        <v>103</v>
      </c>
      <c r="C1459" s="6" t="s">
        <v>413</v>
      </c>
      <c r="D1459" s="6" t="s">
        <v>104</v>
      </c>
      <c r="E1459" s="11">
        <v>1.3569209575653076</v>
      </c>
      <c r="F1459" s="11">
        <v>0.95849555730819702</v>
      </c>
    </row>
    <row r="1460" spans="1:6" hidden="1" x14ac:dyDescent="0.3">
      <c r="A1460" s="6">
        <v>11</v>
      </c>
      <c r="B1460" s="6" t="s">
        <v>103</v>
      </c>
      <c r="C1460" s="6" t="s">
        <v>414</v>
      </c>
      <c r="D1460" s="6" t="s">
        <v>104</v>
      </c>
      <c r="E1460" s="11">
        <v>1.1227284669876099</v>
      </c>
      <c r="F1460" s="11">
        <v>0.95849555730819702</v>
      </c>
    </row>
    <row r="1461" spans="1:6" hidden="1" x14ac:dyDescent="0.3">
      <c r="A1461" s="6">
        <v>11</v>
      </c>
      <c r="B1461" s="6" t="s">
        <v>103</v>
      </c>
      <c r="C1461" s="6" t="s">
        <v>415</v>
      </c>
      <c r="D1461" s="6" t="s">
        <v>104</v>
      </c>
      <c r="E1461" s="11">
        <v>1.4290612936019897</v>
      </c>
      <c r="F1461" s="11">
        <v>0.95849555730819702</v>
      </c>
    </row>
    <row r="1462" spans="1:6" hidden="1" x14ac:dyDescent="0.3">
      <c r="A1462" s="6">
        <v>11</v>
      </c>
      <c r="B1462" s="6" t="s">
        <v>103</v>
      </c>
      <c r="C1462" s="6" t="s">
        <v>416</v>
      </c>
      <c r="D1462" s="6" t="s">
        <v>104</v>
      </c>
      <c r="E1462" s="11">
        <v>4.619999885559082</v>
      </c>
      <c r="F1462" s="11">
        <v>0.95849555730819702</v>
      </c>
    </row>
    <row r="1463" spans="1:6" hidden="1" x14ac:dyDescent="0.3">
      <c r="A1463" s="6">
        <v>11</v>
      </c>
      <c r="B1463" s="6" t="s">
        <v>103</v>
      </c>
      <c r="C1463" s="6" t="s">
        <v>417</v>
      </c>
      <c r="D1463" s="6" t="s">
        <v>104</v>
      </c>
      <c r="E1463" s="11">
        <v>1.1095104217529297</v>
      </c>
      <c r="F1463" s="11">
        <v>0.95849555730819702</v>
      </c>
    </row>
    <row r="1464" spans="1:6" hidden="1" x14ac:dyDescent="0.3">
      <c r="A1464" s="6">
        <v>11</v>
      </c>
      <c r="B1464" s="6" t="s">
        <v>103</v>
      </c>
      <c r="C1464" s="6" t="s">
        <v>418</v>
      </c>
      <c r="D1464" s="6" t="s">
        <v>104</v>
      </c>
      <c r="E1464" s="11">
        <v>3.8381845951080322</v>
      </c>
      <c r="F1464" s="11">
        <v>0.95849555730819702</v>
      </c>
    </row>
    <row r="1465" spans="1:6" hidden="1" x14ac:dyDescent="0.3">
      <c r="A1465" s="6">
        <v>11</v>
      </c>
      <c r="B1465" s="6" t="s">
        <v>103</v>
      </c>
      <c r="C1465" s="6" t="s">
        <v>419</v>
      </c>
      <c r="D1465" s="6" t="s">
        <v>104</v>
      </c>
      <c r="E1465" s="11"/>
      <c r="F1465" s="11">
        <v>0.95849555730819702</v>
      </c>
    </row>
    <row r="1466" spans="1:6" hidden="1" x14ac:dyDescent="0.3">
      <c r="A1466" s="6">
        <v>11</v>
      </c>
      <c r="B1466" s="6" t="s">
        <v>103</v>
      </c>
      <c r="C1466" s="6" t="s">
        <v>420</v>
      </c>
      <c r="D1466" s="6" t="s">
        <v>104</v>
      </c>
      <c r="E1466" s="11">
        <v>0.76873838901519775</v>
      </c>
      <c r="F1466" s="11">
        <v>0.95849555730819702</v>
      </c>
    </row>
    <row r="1467" spans="1:6" hidden="1" x14ac:dyDescent="0.3">
      <c r="A1467" s="6">
        <v>11</v>
      </c>
      <c r="B1467" s="6" t="s">
        <v>103</v>
      </c>
      <c r="C1467" s="6" t="s">
        <v>421</v>
      </c>
      <c r="D1467" s="6" t="s">
        <v>104</v>
      </c>
      <c r="E1467" s="11">
        <v>1.607738733291626</v>
      </c>
      <c r="F1467" s="11">
        <v>0.95849555730819702</v>
      </c>
    </row>
    <row r="1468" spans="1:6" hidden="1" x14ac:dyDescent="0.3">
      <c r="A1468" s="6">
        <v>11</v>
      </c>
      <c r="B1468" s="6" t="s">
        <v>103</v>
      </c>
      <c r="C1468" s="6" t="s">
        <v>422</v>
      </c>
      <c r="D1468" s="6" t="s">
        <v>104</v>
      </c>
      <c r="E1468" s="11">
        <v>11.993700981140137</v>
      </c>
      <c r="F1468" s="11">
        <v>0.95849555730819702</v>
      </c>
    </row>
    <row r="1469" spans="1:6" hidden="1" x14ac:dyDescent="0.3">
      <c r="A1469" s="6">
        <v>11</v>
      </c>
      <c r="B1469" s="6" t="s">
        <v>103</v>
      </c>
      <c r="C1469" s="6" t="s">
        <v>423</v>
      </c>
      <c r="D1469" s="6" t="s">
        <v>104</v>
      </c>
      <c r="E1469" s="11">
        <v>1.3079483509063721</v>
      </c>
      <c r="F1469" s="11">
        <v>0.95849555730819702</v>
      </c>
    </row>
    <row r="1470" spans="1:6" hidden="1" x14ac:dyDescent="0.3">
      <c r="A1470" s="6">
        <v>11</v>
      </c>
      <c r="B1470" s="6" t="s">
        <v>103</v>
      </c>
      <c r="C1470" s="6" t="s">
        <v>424</v>
      </c>
      <c r="D1470" s="6" t="s">
        <v>104</v>
      </c>
      <c r="E1470" s="11">
        <v>0.91782325506210327</v>
      </c>
      <c r="F1470" s="11">
        <v>0.95849555730819702</v>
      </c>
    </row>
    <row r="1471" spans="1:6" hidden="1" x14ac:dyDescent="0.3">
      <c r="A1471" s="6">
        <v>11</v>
      </c>
      <c r="B1471" s="6" t="s">
        <v>103</v>
      </c>
      <c r="C1471" s="6" t="s">
        <v>425</v>
      </c>
      <c r="D1471" s="6" t="s">
        <v>104</v>
      </c>
      <c r="E1471" s="11">
        <v>1.3903558254241943</v>
      </c>
      <c r="F1471" s="11">
        <v>0.95849555730819702</v>
      </c>
    </row>
    <row r="1472" spans="1:6" hidden="1" x14ac:dyDescent="0.3">
      <c r="A1472" s="6">
        <v>11</v>
      </c>
      <c r="B1472" s="6" t="s">
        <v>103</v>
      </c>
      <c r="C1472" s="6" t="s">
        <v>426</v>
      </c>
      <c r="D1472" s="6" t="s">
        <v>104</v>
      </c>
      <c r="E1472" s="11">
        <v>1.1231998205184937</v>
      </c>
      <c r="F1472" s="11">
        <v>0.95849555730819702</v>
      </c>
    </row>
    <row r="1473" spans="1:6" hidden="1" x14ac:dyDescent="0.3">
      <c r="A1473" s="6">
        <v>11</v>
      </c>
      <c r="B1473" s="6" t="s">
        <v>103</v>
      </c>
      <c r="C1473" s="6" t="s">
        <v>427</v>
      </c>
      <c r="D1473" s="6" t="s">
        <v>104</v>
      </c>
      <c r="E1473" s="11">
        <v>1.8776141405105591</v>
      </c>
      <c r="F1473" s="11">
        <v>0.95849555730819702</v>
      </c>
    </row>
    <row r="1474" spans="1:6" hidden="1" x14ac:dyDescent="0.3">
      <c r="A1474" s="6">
        <v>11</v>
      </c>
      <c r="B1474" s="6" t="s">
        <v>103</v>
      </c>
      <c r="C1474" s="6" t="s">
        <v>428</v>
      </c>
      <c r="D1474" s="6" t="s">
        <v>104</v>
      </c>
      <c r="E1474" s="11">
        <v>0.95482230186462402</v>
      </c>
      <c r="F1474" s="11">
        <v>0.95849555730819702</v>
      </c>
    </row>
    <row r="1475" spans="1:6" hidden="1" x14ac:dyDescent="0.3">
      <c r="A1475" s="6">
        <v>11</v>
      </c>
      <c r="B1475" s="6" t="s">
        <v>103</v>
      </c>
      <c r="C1475" s="6" t="s">
        <v>429</v>
      </c>
      <c r="D1475" s="6" t="s">
        <v>104</v>
      </c>
      <c r="E1475" s="11">
        <v>1.0349370241165161</v>
      </c>
      <c r="F1475" s="11">
        <v>0.95849555730819702</v>
      </c>
    </row>
    <row r="1476" spans="1:6" hidden="1" x14ac:dyDescent="0.3">
      <c r="A1476" s="6">
        <v>11</v>
      </c>
      <c r="B1476" s="6" t="s">
        <v>103</v>
      </c>
      <c r="C1476" s="6" t="s">
        <v>430</v>
      </c>
      <c r="D1476" s="6" t="s">
        <v>104</v>
      </c>
      <c r="E1476" s="11"/>
      <c r="F1476" s="11">
        <v>0.95849555730819702</v>
      </c>
    </row>
    <row r="1477" spans="1:6" hidden="1" x14ac:dyDescent="0.3">
      <c r="A1477" s="6">
        <v>11</v>
      </c>
      <c r="B1477" s="6" t="s">
        <v>103</v>
      </c>
      <c r="C1477" s="6" t="s">
        <v>431</v>
      </c>
      <c r="D1477" s="6" t="s">
        <v>104</v>
      </c>
      <c r="E1477" s="11">
        <v>0.96871888637542725</v>
      </c>
      <c r="F1477" s="11">
        <v>0.95849555730819702</v>
      </c>
    </row>
    <row r="1478" spans="1:6" hidden="1" x14ac:dyDescent="0.3">
      <c r="A1478" s="6">
        <v>11</v>
      </c>
      <c r="B1478" s="6" t="s">
        <v>103</v>
      </c>
      <c r="C1478" s="6" t="s">
        <v>432</v>
      </c>
      <c r="D1478" s="6" t="s">
        <v>104</v>
      </c>
      <c r="E1478" s="11">
        <v>1.6104097366333008</v>
      </c>
      <c r="F1478" s="11">
        <v>0.95849555730819702</v>
      </c>
    </row>
    <row r="1479" spans="1:6" hidden="1" x14ac:dyDescent="0.3">
      <c r="A1479" s="6">
        <v>11</v>
      </c>
      <c r="B1479" s="6" t="s">
        <v>103</v>
      </c>
      <c r="C1479" s="6" t="s">
        <v>433</v>
      </c>
      <c r="D1479" s="6" t="s">
        <v>104</v>
      </c>
      <c r="E1479" s="11">
        <v>0.78866821527481079</v>
      </c>
      <c r="F1479" s="11">
        <v>0.95849555730819702</v>
      </c>
    </row>
    <row r="1480" spans="1:6" hidden="1" x14ac:dyDescent="0.3">
      <c r="A1480" s="6">
        <v>11</v>
      </c>
      <c r="B1480" s="6" t="s">
        <v>103</v>
      </c>
      <c r="C1480" s="6" t="s">
        <v>434</v>
      </c>
      <c r="D1480" s="6" t="s">
        <v>104</v>
      </c>
      <c r="E1480" s="11">
        <v>1.1558701992034912</v>
      </c>
      <c r="F1480" s="11">
        <v>0.95849555730819702</v>
      </c>
    </row>
    <row r="1481" spans="1:6" hidden="1" x14ac:dyDescent="0.3">
      <c r="A1481" s="6">
        <v>11</v>
      </c>
      <c r="B1481" s="6" t="s">
        <v>103</v>
      </c>
      <c r="C1481" s="6" t="s">
        <v>435</v>
      </c>
      <c r="D1481" s="6" t="s">
        <v>104</v>
      </c>
      <c r="E1481" s="11">
        <v>0.83282339572906494</v>
      </c>
      <c r="F1481" s="11">
        <v>0.95849555730819702</v>
      </c>
    </row>
    <row r="1482" spans="1:6" hidden="1" x14ac:dyDescent="0.3">
      <c r="A1482" s="6">
        <v>11</v>
      </c>
      <c r="B1482" s="6" t="s">
        <v>103</v>
      </c>
      <c r="C1482" s="6" t="s">
        <v>436</v>
      </c>
      <c r="D1482" s="6" t="s">
        <v>104</v>
      </c>
      <c r="E1482" s="11">
        <v>0.91318625211715698</v>
      </c>
      <c r="F1482" s="11">
        <v>0.95849555730819702</v>
      </c>
    </row>
    <row r="1483" spans="1:6" hidden="1" x14ac:dyDescent="0.3">
      <c r="A1483" s="6">
        <v>11</v>
      </c>
      <c r="B1483" s="6" t="s">
        <v>103</v>
      </c>
      <c r="C1483" s="6" t="s">
        <v>437</v>
      </c>
      <c r="D1483" s="6" t="s">
        <v>104</v>
      </c>
      <c r="E1483" s="11">
        <v>0.63019537925720215</v>
      </c>
      <c r="F1483" s="11">
        <v>0.95849555730819702</v>
      </c>
    </row>
    <row r="1484" spans="1:6" hidden="1" x14ac:dyDescent="0.3">
      <c r="A1484" s="6">
        <v>11</v>
      </c>
      <c r="B1484" s="6" t="s">
        <v>103</v>
      </c>
      <c r="C1484" s="6" t="s">
        <v>438</v>
      </c>
      <c r="D1484" s="6" t="s">
        <v>104</v>
      </c>
      <c r="E1484" s="11">
        <v>1.0575547218322754</v>
      </c>
      <c r="F1484" s="11">
        <v>0.95849555730819702</v>
      </c>
    </row>
    <row r="1485" spans="1:6" hidden="1" x14ac:dyDescent="0.3">
      <c r="A1485" s="6">
        <v>11</v>
      </c>
      <c r="B1485" s="6" t="s">
        <v>103</v>
      </c>
      <c r="C1485" s="6" t="s">
        <v>439</v>
      </c>
      <c r="D1485" s="6" t="s">
        <v>104</v>
      </c>
      <c r="E1485" s="11">
        <v>0.90191817283630371</v>
      </c>
      <c r="F1485" s="11">
        <v>0.95849555730819702</v>
      </c>
    </row>
    <row r="1486" spans="1:6" hidden="1" x14ac:dyDescent="0.3">
      <c r="A1486" s="6">
        <v>11</v>
      </c>
      <c r="B1486" s="6" t="s">
        <v>103</v>
      </c>
      <c r="C1486" s="6" t="s">
        <v>440</v>
      </c>
      <c r="D1486" s="6" t="s">
        <v>104</v>
      </c>
      <c r="E1486" s="11">
        <v>2.0472745895385742</v>
      </c>
      <c r="F1486" s="11">
        <v>0.95849555730819702</v>
      </c>
    </row>
    <row r="1487" spans="1:6" hidden="1" x14ac:dyDescent="0.3">
      <c r="A1487" s="6">
        <v>11</v>
      </c>
      <c r="B1487" s="6" t="s">
        <v>103</v>
      </c>
      <c r="C1487" s="6" t="s">
        <v>441</v>
      </c>
      <c r="D1487" s="6" t="s">
        <v>104</v>
      </c>
      <c r="E1487" s="11">
        <v>0.93237966299057007</v>
      </c>
      <c r="F1487" s="11">
        <v>0.95849555730819702</v>
      </c>
    </row>
    <row r="1488" spans="1:6" hidden="1" x14ac:dyDescent="0.3">
      <c r="A1488" s="6">
        <v>11</v>
      </c>
      <c r="B1488" s="6" t="s">
        <v>103</v>
      </c>
      <c r="C1488" s="6" t="s">
        <v>442</v>
      </c>
      <c r="D1488" s="6" t="s">
        <v>104</v>
      </c>
      <c r="E1488" s="11">
        <v>0.87602627277374268</v>
      </c>
      <c r="F1488" s="11">
        <v>0.95849555730819702</v>
      </c>
    </row>
    <row r="1489" spans="1:6" hidden="1" x14ac:dyDescent="0.3">
      <c r="A1489" s="6">
        <v>11</v>
      </c>
      <c r="B1489" s="6" t="s">
        <v>103</v>
      </c>
      <c r="C1489" s="6" t="s">
        <v>443</v>
      </c>
      <c r="D1489" s="6" t="s">
        <v>104</v>
      </c>
      <c r="E1489" s="11">
        <v>1.2613348960876465</v>
      </c>
      <c r="F1489" s="11">
        <v>0.95849555730819702</v>
      </c>
    </row>
    <row r="1490" spans="1:6" hidden="1" x14ac:dyDescent="0.3">
      <c r="A1490" s="6">
        <v>11</v>
      </c>
      <c r="B1490" s="6" t="s">
        <v>103</v>
      </c>
      <c r="C1490" s="6" t="s">
        <v>444</v>
      </c>
      <c r="D1490" s="6" t="s">
        <v>104</v>
      </c>
      <c r="E1490" s="11">
        <v>2.8492662906646729</v>
      </c>
      <c r="F1490" s="11">
        <v>0.95849555730819702</v>
      </c>
    </row>
    <row r="1491" spans="1:6" hidden="1" x14ac:dyDescent="0.3">
      <c r="A1491" s="6">
        <v>11</v>
      </c>
      <c r="B1491" s="6" t="s">
        <v>103</v>
      </c>
      <c r="C1491" s="6" t="s">
        <v>445</v>
      </c>
      <c r="D1491" s="6" t="s">
        <v>104</v>
      </c>
      <c r="E1491" s="11">
        <v>1.3424485921859741</v>
      </c>
      <c r="F1491" s="11">
        <v>0.95849555730819702</v>
      </c>
    </row>
    <row r="1492" spans="1:6" hidden="1" x14ac:dyDescent="0.3">
      <c r="A1492" s="6">
        <v>11</v>
      </c>
      <c r="B1492" s="6" t="s">
        <v>103</v>
      </c>
      <c r="C1492" s="6" t="s">
        <v>446</v>
      </c>
      <c r="D1492" s="6" t="s">
        <v>104</v>
      </c>
      <c r="E1492" s="11">
        <v>1.3616193532943726</v>
      </c>
      <c r="F1492" s="11">
        <v>0.95849555730819702</v>
      </c>
    </row>
    <row r="1493" spans="1:6" hidden="1" x14ac:dyDescent="0.3">
      <c r="A1493" s="6">
        <v>11</v>
      </c>
      <c r="B1493" s="6" t="s">
        <v>103</v>
      </c>
      <c r="C1493" s="6" t="s">
        <v>447</v>
      </c>
      <c r="D1493" s="6" t="s">
        <v>104</v>
      </c>
      <c r="E1493" s="11">
        <v>1.2198694944381714</v>
      </c>
      <c r="F1493" s="11">
        <v>0.95849555730819702</v>
      </c>
    </row>
    <row r="1494" spans="1:6" hidden="1" x14ac:dyDescent="0.3">
      <c r="A1494" s="6">
        <v>11</v>
      </c>
      <c r="B1494" s="6" t="s">
        <v>103</v>
      </c>
      <c r="C1494" s="6" t="s">
        <v>448</v>
      </c>
      <c r="D1494" s="6" t="s">
        <v>104</v>
      </c>
      <c r="E1494" s="11">
        <v>0.82924425601959229</v>
      </c>
      <c r="F1494" s="11">
        <v>0.95849555730819702</v>
      </c>
    </row>
    <row r="1495" spans="1:6" hidden="1" x14ac:dyDescent="0.3">
      <c r="A1495" s="6">
        <v>11</v>
      </c>
      <c r="B1495" s="6" t="s">
        <v>103</v>
      </c>
      <c r="C1495" s="6" t="s">
        <v>449</v>
      </c>
      <c r="D1495" s="6" t="s">
        <v>104</v>
      </c>
      <c r="E1495" s="11">
        <v>1.2448438405990601</v>
      </c>
      <c r="F1495" s="11">
        <v>0.95849555730819702</v>
      </c>
    </row>
    <row r="1496" spans="1:6" hidden="1" x14ac:dyDescent="0.3">
      <c r="A1496" s="6">
        <v>11</v>
      </c>
      <c r="B1496" s="6" t="s">
        <v>103</v>
      </c>
      <c r="C1496" s="6" t="s">
        <v>450</v>
      </c>
      <c r="D1496" s="6" t="s">
        <v>104</v>
      </c>
      <c r="E1496" s="11">
        <v>1.1416897773742676</v>
      </c>
      <c r="F1496" s="11">
        <v>0.95849555730819702</v>
      </c>
    </row>
    <row r="1497" spans="1:6" hidden="1" x14ac:dyDescent="0.3">
      <c r="A1497" s="6">
        <v>11</v>
      </c>
      <c r="B1497" s="6" t="s">
        <v>103</v>
      </c>
      <c r="C1497" s="6" t="s">
        <v>451</v>
      </c>
      <c r="D1497" s="6" t="s">
        <v>104</v>
      </c>
      <c r="E1497" s="11">
        <v>1.2108341455459595</v>
      </c>
      <c r="F1497" s="11">
        <v>0.95849555730819702</v>
      </c>
    </row>
    <row r="1498" spans="1:6" hidden="1" x14ac:dyDescent="0.3">
      <c r="A1498" s="6">
        <v>11</v>
      </c>
      <c r="B1498" s="6" t="s">
        <v>103</v>
      </c>
      <c r="C1498" s="6" t="s">
        <v>452</v>
      </c>
      <c r="D1498" s="6" t="s">
        <v>104</v>
      </c>
      <c r="E1498" s="11">
        <v>1.0973657369613647</v>
      </c>
      <c r="F1498" s="11">
        <v>0.95849555730819702</v>
      </c>
    </row>
    <row r="1499" spans="1:6" hidden="1" x14ac:dyDescent="0.3">
      <c r="A1499" s="6">
        <v>11</v>
      </c>
      <c r="B1499" s="6" t="s">
        <v>103</v>
      </c>
      <c r="C1499" s="6" t="s">
        <v>453</v>
      </c>
      <c r="D1499" s="6" t="s">
        <v>104</v>
      </c>
      <c r="E1499" s="11">
        <v>1.1988083124160767</v>
      </c>
      <c r="F1499" s="11">
        <v>0.95849555730819702</v>
      </c>
    </row>
    <row r="1500" spans="1:6" hidden="1" x14ac:dyDescent="0.3">
      <c r="A1500" s="6">
        <v>11</v>
      </c>
      <c r="B1500" s="6" t="s">
        <v>103</v>
      </c>
      <c r="C1500" s="6" t="s">
        <v>454</v>
      </c>
      <c r="D1500" s="6" t="s">
        <v>104</v>
      </c>
      <c r="E1500" s="11">
        <v>1.1455830335617065</v>
      </c>
      <c r="F1500" s="11">
        <v>0.95849555730819702</v>
      </c>
    </row>
    <row r="1501" spans="1:6" hidden="1" x14ac:dyDescent="0.3">
      <c r="A1501" s="6">
        <v>11</v>
      </c>
      <c r="B1501" s="6" t="s">
        <v>103</v>
      </c>
      <c r="C1501" s="6" t="s">
        <v>455</v>
      </c>
      <c r="D1501" s="6" t="s">
        <v>104</v>
      </c>
      <c r="E1501" s="11">
        <v>0.88769257068634033</v>
      </c>
      <c r="F1501" s="11">
        <v>0.95849555730819702</v>
      </c>
    </row>
    <row r="1502" spans="1:6" hidden="1" x14ac:dyDescent="0.3">
      <c r="A1502" s="6">
        <v>11</v>
      </c>
      <c r="B1502" s="6" t="s">
        <v>103</v>
      </c>
      <c r="C1502" s="6" t="s">
        <v>456</v>
      </c>
      <c r="D1502" s="6" t="s">
        <v>104</v>
      </c>
      <c r="E1502" s="11">
        <v>0.89331430196762085</v>
      </c>
      <c r="F1502" s="11">
        <v>0.95849555730819702</v>
      </c>
    </row>
    <row r="1503" spans="1:6" hidden="1" x14ac:dyDescent="0.3">
      <c r="A1503" s="6">
        <v>11</v>
      </c>
      <c r="B1503" s="6" t="s">
        <v>103</v>
      </c>
      <c r="C1503" s="6" t="s">
        <v>457</v>
      </c>
      <c r="D1503" s="6" t="s">
        <v>104</v>
      </c>
      <c r="E1503" s="11">
        <v>0.74101161956787109</v>
      </c>
      <c r="F1503" s="11">
        <v>0.95849555730819702</v>
      </c>
    </row>
    <row r="1504" spans="1:6" hidden="1" x14ac:dyDescent="0.3">
      <c r="A1504" s="6">
        <v>11</v>
      </c>
      <c r="B1504" s="6" t="s">
        <v>103</v>
      </c>
      <c r="C1504" s="6" t="s">
        <v>458</v>
      </c>
      <c r="D1504" s="6" t="s">
        <v>104</v>
      </c>
      <c r="E1504" s="11">
        <v>1.7836169004440308</v>
      </c>
      <c r="F1504" s="11">
        <v>0.95849555730819702</v>
      </c>
    </row>
    <row r="1505" spans="1:6" hidden="1" x14ac:dyDescent="0.3">
      <c r="A1505" s="6">
        <v>11</v>
      </c>
      <c r="B1505" s="6" t="s">
        <v>103</v>
      </c>
      <c r="C1505" s="6" t="s">
        <v>459</v>
      </c>
      <c r="D1505" s="6" t="s">
        <v>104</v>
      </c>
      <c r="E1505" s="11">
        <v>1.3223491907119751</v>
      </c>
      <c r="F1505" s="11">
        <v>0.95849555730819702</v>
      </c>
    </row>
    <row r="1506" spans="1:6" hidden="1" x14ac:dyDescent="0.3">
      <c r="A1506" s="6">
        <v>11</v>
      </c>
      <c r="B1506" s="6" t="s">
        <v>103</v>
      </c>
      <c r="C1506" s="6" t="s">
        <v>460</v>
      </c>
      <c r="D1506" s="6" t="s">
        <v>104</v>
      </c>
      <c r="E1506" s="11">
        <v>1.3063135147094727</v>
      </c>
      <c r="F1506" s="11">
        <v>0.95849555730819702</v>
      </c>
    </row>
    <row r="1507" spans="1:6" hidden="1" x14ac:dyDescent="0.3">
      <c r="A1507" s="6">
        <v>11</v>
      </c>
      <c r="B1507" s="6" t="s">
        <v>103</v>
      </c>
      <c r="C1507" s="6" t="s">
        <v>461</v>
      </c>
      <c r="D1507" s="6" t="s">
        <v>104</v>
      </c>
      <c r="E1507" s="11">
        <v>0.82685726881027222</v>
      </c>
      <c r="F1507" s="11">
        <v>0.95849555730819702</v>
      </c>
    </row>
    <row r="1508" spans="1:6" hidden="1" x14ac:dyDescent="0.3">
      <c r="A1508" s="6">
        <v>11</v>
      </c>
      <c r="B1508" s="6" t="s">
        <v>103</v>
      </c>
      <c r="C1508" s="6" t="s">
        <v>462</v>
      </c>
      <c r="D1508" s="6" t="s">
        <v>104</v>
      </c>
      <c r="E1508" s="11">
        <v>2.5546445846557617</v>
      </c>
      <c r="F1508" s="11">
        <v>0.95849555730819702</v>
      </c>
    </row>
    <row r="1509" spans="1:6" hidden="1" x14ac:dyDescent="0.3">
      <c r="A1509" s="6">
        <v>11</v>
      </c>
      <c r="B1509" s="6" t="s">
        <v>103</v>
      </c>
      <c r="C1509" s="6" t="s">
        <v>463</v>
      </c>
      <c r="D1509" s="6" t="s">
        <v>104</v>
      </c>
      <c r="E1509" s="11">
        <v>4.8880248069763184</v>
      </c>
      <c r="F1509" s="11">
        <v>0.95849555730819702</v>
      </c>
    </row>
    <row r="1510" spans="1:6" hidden="1" x14ac:dyDescent="0.3">
      <c r="A1510" s="6">
        <v>11</v>
      </c>
      <c r="B1510" s="6" t="s">
        <v>103</v>
      </c>
      <c r="C1510" s="6" t="s">
        <v>464</v>
      </c>
      <c r="D1510" s="6" t="s">
        <v>104</v>
      </c>
      <c r="E1510" s="11">
        <v>0.98861491680145264</v>
      </c>
      <c r="F1510" s="11">
        <v>0.95849555730819702</v>
      </c>
    </row>
    <row r="1511" spans="1:6" hidden="1" x14ac:dyDescent="0.3">
      <c r="A1511" s="6">
        <v>11</v>
      </c>
      <c r="B1511" s="6" t="s">
        <v>103</v>
      </c>
      <c r="C1511" s="6" t="s">
        <v>465</v>
      </c>
      <c r="D1511" s="6" t="s">
        <v>104</v>
      </c>
      <c r="E1511" s="11">
        <v>1.9564458131790161</v>
      </c>
      <c r="F1511" s="11">
        <v>0.95849555730819702</v>
      </c>
    </row>
    <row r="1512" spans="1:6" hidden="1" x14ac:dyDescent="0.3">
      <c r="A1512" s="6">
        <v>11</v>
      </c>
      <c r="B1512" s="6" t="s">
        <v>103</v>
      </c>
      <c r="C1512" s="6" t="s">
        <v>466</v>
      </c>
      <c r="D1512" s="6" t="s">
        <v>104</v>
      </c>
      <c r="E1512" s="11">
        <v>0.89750635623931885</v>
      </c>
      <c r="F1512" s="11">
        <v>0.95849555730819702</v>
      </c>
    </row>
    <row r="1513" spans="1:6" hidden="1" x14ac:dyDescent="0.3">
      <c r="A1513" s="6">
        <v>11</v>
      </c>
      <c r="B1513" s="6" t="s">
        <v>103</v>
      </c>
      <c r="C1513" s="6" t="s">
        <v>467</v>
      </c>
      <c r="D1513" s="6" t="s">
        <v>104</v>
      </c>
      <c r="E1513" s="11">
        <v>1.1820502281188965</v>
      </c>
      <c r="F1513" s="11">
        <v>0.95849555730819702</v>
      </c>
    </row>
    <row r="1514" spans="1:6" hidden="1" x14ac:dyDescent="0.3">
      <c r="A1514" s="6">
        <v>11</v>
      </c>
      <c r="B1514" s="6" t="s">
        <v>103</v>
      </c>
      <c r="C1514" s="6" t="s">
        <v>468</v>
      </c>
      <c r="D1514" s="6" t="s">
        <v>104</v>
      </c>
      <c r="E1514" s="11">
        <v>1.1567767858505249</v>
      </c>
      <c r="F1514" s="11">
        <v>0.95849555730819702</v>
      </c>
    </row>
    <row r="1515" spans="1:6" hidden="1" x14ac:dyDescent="0.3">
      <c r="A1515" s="6">
        <v>11</v>
      </c>
      <c r="B1515" s="6" t="s">
        <v>103</v>
      </c>
      <c r="C1515" s="6" t="s">
        <v>469</v>
      </c>
      <c r="D1515" s="6" t="s">
        <v>104</v>
      </c>
      <c r="E1515" s="11">
        <v>0.81332701444625854</v>
      </c>
      <c r="F1515" s="11">
        <v>0.95849555730819702</v>
      </c>
    </row>
    <row r="1516" spans="1:6" hidden="1" x14ac:dyDescent="0.3">
      <c r="A1516" s="6">
        <v>11</v>
      </c>
      <c r="B1516" s="6" t="s">
        <v>103</v>
      </c>
      <c r="C1516" s="6" t="s">
        <v>470</v>
      </c>
      <c r="D1516" s="6" t="s">
        <v>104</v>
      </c>
      <c r="E1516" s="11">
        <v>1.5583391189575195</v>
      </c>
      <c r="F1516" s="11">
        <v>0.95849555730819702</v>
      </c>
    </row>
    <row r="1517" spans="1:6" hidden="1" x14ac:dyDescent="0.3">
      <c r="A1517" s="6">
        <v>11</v>
      </c>
      <c r="B1517" s="6" t="s">
        <v>103</v>
      </c>
      <c r="C1517" s="6" t="s">
        <v>471</v>
      </c>
      <c r="D1517" s="6" t="s">
        <v>104</v>
      </c>
      <c r="E1517" s="11">
        <v>1.3985774517059326</v>
      </c>
      <c r="F1517" s="11">
        <v>0.95849555730819702</v>
      </c>
    </row>
    <row r="1518" spans="1:6" hidden="1" x14ac:dyDescent="0.3">
      <c r="A1518" s="6">
        <v>11</v>
      </c>
      <c r="B1518" s="6" t="s">
        <v>103</v>
      </c>
      <c r="C1518" s="6" t="s">
        <v>472</v>
      </c>
      <c r="D1518" s="6" t="s">
        <v>104</v>
      </c>
      <c r="E1518" s="11">
        <v>26.862001419067383</v>
      </c>
      <c r="F1518" s="11">
        <v>0.95849555730819702</v>
      </c>
    </row>
    <row r="1519" spans="1:6" hidden="1" x14ac:dyDescent="0.3">
      <c r="A1519" s="6">
        <v>11</v>
      </c>
      <c r="B1519" s="6" t="s">
        <v>103</v>
      </c>
      <c r="C1519" s="6" t="s">
        <v>473</v>
      </c>
      <c r="D1519" s="6" t="s">
        <v>104</v>
      </c>
      <c r="E1519" s="11">
        <v>1.0139758586883545</v>
      </c>
      <c r="F1519" s="11">
        <v>0.95849555730819702</v>
      </c>
    </row>
    <row r="1520" spans="1:6" hidden="1" x14ac:dyDescent="0.3">
      <c r="A1520" s="6">
        <v>11</v>
      </c>
      <c r="B1520" s="6" t="s">
        <v>103</v>
      </c>
      <c r="C1520" s="6" t="s">
        <v>474</v>
      </c>
      <c r="D1520" s="6" t="s">
        <v>104</v>
      </c>
      <c r="E1520" s="11">
        <v>1.5738976001739502</v>
      </c>
      <c r="F1520" s="11">
        <v>0.95849555730819702</v>
      </c>
    </row>
    <row r="1521" spans="1:6" hidden="1" x14ac:dyDescent="0.3">
      <c r="A1521" s="6">
        <v>11</v>
      </c>
      <c r="B1521" s="6" t="s">
        <v>103</v>
      </c>
      <c r="C1521" s="6" t="s">
        <v>475</v>
      </c>
      <c r="D1521" s="6" t="s">
        <v>104</v>
      </c>
      <c r="E1521" s="11">
        <v>1.0572750568389893</v>
      </c>
      <c r="F1521" s="11">
        <v>0.95849555730819702</v>
      </c>
    </row>
    <row r="1522" spans="1:6" hidden="1" x14ac:dyDescent="0.3">
      <c r="A1522" s="6">
        <v>11</v>
      </c>
      <c r="B1522" s="6" t="s">
        <v>103</v>
      </c>
      <c r="C1522" s="6" t="s">
        <v>476</v>
      </c>
      <c r="D1522" s="6" t="s">
        <v>104</v>
      </c>
      <c r="E1522" s="11">
        <v>1.1297926902770996</v>
      </c>
      <c r="F1522" s="11">
        <v>0.95849555730819702</v>
      </c>
    </row>
    <row r="1523" spans="1:6" hidden="1" x14ac:dyDescent="0.3">
      <c r="A1523" s="6">
        <v>11</v>
      </c>
      <c r="B1523" s="6" t="s">
        <v>103</v>
      </c>
      <c r="C1523" s="6" t="s">
        <v>477</v>
      </c>
      <c r="D1523" s="6" t="s">
        <v>104</v>
      </c>
      <c r="E1523" s="11">
        <v>0.87774848937988281</v>
      </c>
      <c r="F1523" s="11">
        <v>0.95849555730819702</v>
      </c>
    </row>
    <row r="1524" spans="1:6" hidden="1" x14ac:dyDescent="0.3">
      <c r="A1524" s="6">
        <v>11</v>
      </c>
      <c r="B1524" s="6" t="s">
        <v>103</v>
      </c>
      <c r="C1524" s="6" t="s">
        <v>478</v>
      </c>
      <c r="D1524" s="6" t="s">
        <v>104</v>
      </c>
      <c r="E1524" s="11">
        <v>1.2970424890518188</v>
      </c>
      <c r="F1524" s="11">
        <v>0.95849555730819702</v>
      </c>
    </row>
    <row r="1525" spans="1:6" hidden="1" x14ac:dyDescent="0.3">
      <c r="A1525" s="6">
        <v>11</v>
      </c>
      <c r="B1525" s="6" t="s">
        <v>103</v>
      </c>
      <c r="C1525" s="6" t="s">
        <v>479</v>
      </c>
      <c r="D1525" s="6" t="s">
        <v>104</v>
      </c>
      <c r="E1525" s="11">
        <v>1.1826000213623047</v>
      </c>
      <c r="F1525" s="11">
        <v>0.95849555730819702</v>
      </c>
    </row>
    <row r="1526" spans="1:6" hidden="1" x14ac:dyDescent="0.3">
      <c r="A1526" s="6">
        <v>11</v>
      </c>
      <c r="B1526" s="6" t="s">
        <v>103</v>
      </c>
      <c r="C1526" s="6" t="s">
        <v>480</v>
      </c>
      <c r="D1526" s="6" t="s">
        <v>104</v>
      </c>
      <c r="E1526" s="11">
        <v>0.7837831974029541</v>
      </c>
      <c r="F1526" s="11">
        <v>0.95849555730819702</v>
      </c>
    </row>
    <row r="1527" spans="1:6" hidden="1" x14ac:dyDescent="0.3">
      <c r="A1527" s="6">
        <v>11</v>
      </c>
      <c r="B1527" s="6" t="s">
        <v>103</v>
      </c>
      <c r="C1527" s="6" t="s">
        <v>481</v>
      </c>
      <c r="D1527" s="6" t="s">
        <v>104</v>
      </c>
      <c r="E1527" s="11">
        <v>1.2014926671981812</v>
      </c>
      <c r="F1527" s="11">
        <v>0.95849555730819702</v>
      </c>
    </row>
    <row r="1528" spans="1:6" hidden="1" x14ac:dyDescent="0.3">
      <c r="A1528" s="6">
        <v>11</v>
      </c>
      <c r="B1528" s="6" t="s">
        <v>103</v>
      </c>
      <c r="C1528" s="6" t="s">
        <v>482</v>
      </c>
      <c r="D1528" s="6" t="s">
        <v>104</v>
      </c>
      <c r="E1528" s="11">
        <v>1.4156477451324463</v>
      </c>
      <c r="F1528" s="11">
        <v>0.95849555730819702</v>
      </c>
    </row>
    <row r="1529" spans="1:6" hidden="1" x14ac:dyDescent="0.3">
      <c r="A1529" s="6">
        <v>11</v>
      </c>
      <c r="B1529" s="6" t="s">
        <v>103</v>
      </c>
      <c r="C1529" s="6" t="s">
        <v>483</v>
      </c>
      <c r="D1529" s="6" t="s">
        <v>104</v>
      </c>
      <c r="E1529" s="11">
        <v>4.7148175239562988</v>
      </c>
      <c r="F1529" s="11">
        <v>0.95849555730819702</v>
      </c>
    </row>
    <row r="1530" spans="1:6" hidden="1" x14ac:dyDescent="0.3">
      <c r="A1530" s="6">
        <v>11</v>
      </c>
      <c r="B1530" s="6" t="s">
        <v>103</v>
      </c>
      <c r="C1530" s="6" t="s">
        <v>484</v>
      </c>
      <c r="D1530" s="6" t="s">
        <v>104</v>
      </c>
      <c r="E1530" s="11">
        <v>0.92473781108856201</v>
      </c>
      <c r="F1530" s="11">
        <v>0.95849555730819702</v>
      </c>
    </row>
    <row r="1531" spans="1:6" hidden="1" x14ac:dyDescent="0.3">
      <c r="A1531" s="6">
        <v>11</v>
      </c>
      <c r="B1531" s="6" t="s">
        <v>103</v>
      </c>
      <c r="C1531" s="6" t="s">
        <v>485</v>
      </c>
      <c r="D1531" s="6" t="s">
        <v>104</v>
      </c>
      <c r="E1531" s="11">
        <v>0.88302987813949585</v>
      </c>
      <c r="F1531" s="11">
        <v>0.95849555730819702</v>
      </c>
    </row>
    <row r="1532" spans="1:6" hidden="1" x14ac:dyDescent="0.3">
      <c r="A1532" s="6">
        <v>11</v>
      </c>
      <c r="B1532" s="6" t="s">
        <v>103</v>
      </c>
      <c r="C1532" s="6" t="s">
        <v>486</v>
      </c>
      <c r="D1532" s="6" t="s">
        <v>104</v>
      </c>
      <c r="E1532" s="11">
        <v>0.74387288093566895</v>
      </c>
      <c r="F1532" s="11">
        <v>0.95849555730819702</v>
      </c>
    </row>
    <row r="1533" spans="1:6" hidden="1" x14ac:dyDescent="0.3">
      <c r="A1533" s="6">
        <v>11</v>
      </c>
      <c r="B1533" s="6" t="s">
        <v>103</v>
      </c>
      <c r="C1533" s="6" t="s">
        <v>487</v>
      </c>
      <c r="D1533" s="6" t="s">
        <v>104</v>
      </c>
      <c r="E1533" s="11">
        <v>154.39599609375</v>
      </c>
      <c r="F1533" s="11">
        <v>0.95849555730819702</v>
      </c>
    </row>
    <row r="1534" spans="1:6" hidden="1" x14ac:dyDescent="0.3">
      <c r="A1534" s="6">
        <v>11</v>
      </c>
      <c r="B1534" s="6" t="s">
        <v>103</v>
      </c>
      <c r="C1534" s="6" t="s">
        <v>488</v>
      </c>
      <c r="D1534" s="6" t="s">
        <v>104</v>
      </c>
      <c r="E1534" s="11">
        <v>1.0489479303359985</v>
      </c>
      <c r="F1534" s="11">
        <v>0.95849555730819702</v>
      </c>
    </row>
    <row r="1535" spans="1:6" hidden="1" x14ac:dyDescent="0.3">
      <c r="A1535" s="6">
        <v>11</v>
      </c>
      <c r="B1535" s="6" t="s">
        <v>103</v>
      </c>
      <c r="C1535" s="6" t="s">
        <v>489</v>
      </c>
      <c r="D1535" s="6" t="s">
        <v>104</v>
      </c>
      <c r="E1535" s="11">
        <v>1.5486893653869629</v>
      </c>
      <c r="F1535" s="11">
        <v>0.95849555730819702</v>
      </c>
    </row>
    <row r="1536" spans="1:6" hidden="1" x14ac:dyDescent="0.3">
      <c r="A1536" s="6">
        <v>11</v>
      </c>
      <c r="B1536" s="6" t="s">
        <v>103</v>
      </c>
      <c r="C1536" s="6" t="s">
        <v>490</v>
      </c>
      <c r="D1536" s="6" t="s">
        <v>104</v>
      </c>
      <c r="E1536" s="11">
        <v>1.0306750535964966</v>
      </c>
      <c r="F1536" s="11">
        <v>0.95849555730819702</v>
      </c>
    </row>
    <row r="1537" spans="1:6" hidden="1" x14ac:dyDescent="0.3">
      <c r="A1537" s="6">
        <v>11</v>
      </c>
      <c r="B1537" s="6" t="s">
        <v>103</v>
      </c>
      <c r="C1537" s="6" t="s">
        <v>491</v>
      </c>
      <c r="D1537" s="6" t="s">
        <v>104</v>
      </c>
      <c r="E1537" s="11">
        <v>1.3197839260101318</v>
      </c>
      <c r="F1537" s="11">
        <v>0.95849555730819702</v>
      </c>
    </row>
    <row r="1538" spans="1:6" hidden="1" x14ac:dyDescent="0.3">
      <c r="A1538" s="6">
        <v>11</v>
      </c>
      <c r="B1538" s="6" t="s">
        <v>103</v>
      </c>
      <c r="C1538" s="6" t="s">
        <v>492</v>
      </c>
      <c r="D1538" s="6" t="s">
        <v>104</v>
      </c>
      <c r="E1538" s="11">
        <v>1.1102962493896484</v>
      </c>
      <c r="F1538" s="11">
        <v>0.95849555730819702</v>
      </c>
    </row>
    <row r="1539" spans="1:6" hidden="1" x14ac:dyDescent="0.3">
      <c r="A1539" s="6">
        <v>11</v>
      </c>
      <c r="B1539" s="6" t="s">
        <v>103</v>
      </c>
      <c r="C1539" s="6" t="s">
        <v>493</v>
      </c>
      <c r="D1539" s="6" t="s">
        <v>104</v>
      </c>
      <c r="E1539" s="11">
        <v>1.0600221157073975</v>
      </c>
      <c r="F1539" s="11">
        <v>0.95849555730819702</v>
      </c>
    </row>
    <row r="1540" spans="1:6" hidden="1" x14ac:dyDescent="0.3">
      <c r="A1540" s="6">
        <v>11</v>
      </c>
      <c r="B1540" s="6" t="s">
        <v>103</v>
      </c>
      <c r="C1540" s="6" t="s">
        <v>494</v>
      </c>
      <c r="D1540" s="6" t="s">
        <v>104</v>
      </c>
      <c r="E1540" s="11">
        <v>1.0868154764175415</v>
      </c>
      <c r="F1540" s="11">
        <v>0.95849555730819702</v>
      </c>
    </row>
    <row r="1541" spans="1:6" hidden="1" x14ac:dyDescent="0.3">
      <c r="A1541" s="6">
        <v>11</v>
      </c>
      <c r="B1541" s="6" t="s">
        <v>103</v>
      </c>
      <c r="C1541" s="6" t="s">
        <v>495</v>
      </c>
      <c r="D1541" s="6" t="s">
        <v>104</v>
      </c>
      <c r="E1541" s="11">
        <v>1.3512823581695557</v>
      </c>
      <c r="F1541" s="11">
        <v>0.95849555730819702</v>
      </c>
    </row>
    <row r="1542" spans="1:6" hidden="1" x14ac:dyDescent="0.3">
      <c r="A1542" s="6">
        <v>12</v>
      </c>
      <c r="B1542" s="6" t="s">
        <v>105</v>
      </c>
      <c r="C1542" s="6" t="s">
        <v>356</v>
      </c>
      <c r="D1542" s="6" t="s">
        <v>106</v>
      </c>
      <c r="E1542" s="11">
        <v>1.1747190952301025</v>
      </c>
      <c r="F1542" s="11">
        <v>1.2271959781646729</v>
      </c>
    </row>
    <row r="1543" spans="1:6" hidden="1" x14ac:dyDescent="0.3">
      <c r="A1543" s="6">
        <v>12</v>
      </c>
      <c r="B1543" s="6" t="s">
        <v>105</v>
      </c>
      <c r="C1543" s="6" t="s">
        <v>357</v>
      </c>
      <c r="D1543" s="6" t="s">
        <v>106</v>
      </c>
      <c r="E1543" s="11">
        <v>29.50596809387207</v>
      </c>
      <c r="F1543" s="11">
        <v>1.2271959781646729</v>
      </c>
    </row>
    <row r="1544" spans="1:6" hidden="1" x14ac:dyDescent="0.3">
      <c r="A1544" s="6">
        <v>12</v>
      </c>
      <c r="B1544" s="6" t="s">
        <v>105</v>
      </c>
      <c r="C1544" s="6" t="s">
        <v>358</v>
      </c>
      <c r="D1544" s="6" t="s">
        <v>106</v>
      </c>
      <c r="E1544" s="11">
        <v>0.92389684915542603</v>
      </c>
      <c r="F1544" s="11">
        <v>1.2271959781646729</v>
      </c>
    </row>
    <row r="1545" spans="1:6" hidden="1" x14ac:dyDescent="0.3">
      <c r="A1545" s="6">
        <v>12</v>
      </c>
      <c r="B1545" s="6" t="s">
        <v>105</v>
      </c>
      <c r="C1545" s="6" t="s">
        <v>359</v>
      </c>
      <c r="D1545" s="6" t="s">
        <v>106</v>
      </c>
      <c r="E1545" s="11">
        <v>2.5831975936889648</v>
      </c>
      <c r="F1545" s="11">
        <v>1.2271959781646729</v>
      </c>
    </row>
    <row r="1546" spans="1:6" hidden="1" x14ac:dyDescent="0.3">
      <c r="A1546" s="6">
        <v>12</v>
      </c>
      <c r="B1546" s="6" t="s">
        <v>105</v>
      </c>
      <c r="C1546" s="6" t="s">
        <v>360</v>
      </c>
      <c r="D1546" s="6" t="s">
        <v>106</v>
      </c>
      <c r="E1546" s="11">
        <v>1.8119487762451172</v>
      </c>
      <c r="F1546" s="11">
        <v>1.2271959781646729</v>
      </c>
    </row>
    <row r="1547" spans="1:6" hidden="1" x14ac:dyDescent="0.3">
      <c r="A1547" s="6">
        <v>12</v>
      </c>
      <c r="B1547" s="6" t="s">
        <v>105</v>
      </c>
      <c r="C1547" s="6" t="s">
        <v>361</v>
      </c>
      <c r="D1547" s="6" t="s">
        <v>106</v>
      </c>
      <c r="E1547" s="11">
        <v>1.8709630966186523</v>
      </c>
      <c r="F1547" s="11">
        <v>1.2271959781646729</v>
      </c>
    </row>
    <row r="1548" spans="1:6" hidden="1" x14ac:dyDescent="0.3">
      <c r="A1548" s="6">
        <v>12</v>
      </c>
      <c r="B1548" s="6" t="s">
        <v>105</v>
      </c>
      <c r="C1548" s="6" t="s">
        <v>362</v>
      </c>
      <c r="D1548" s="6" t="s">
        <v>106</v>
      </c>
      <c r="E1548" s="11">
        <v>1.9166725873947144</v>
      </c>
      <c r="F1548" s="11">
        <v>1.2271959781646729</v>
      </c>
    </row>
    <row r="1549" spans="1:6" hidden="1" x14ac:dyDescent="0.3">
      <c r="A1549" s="6">
        <v>12</v>
      </c>
      <c r="B1549" s="6" t="s">
        <v>105</v>
      </c>
      <c r="C1549" s="6" t="s">
        <v>363</v>
      </c>
      <c r="D1549" s="6" t="s">
        <v>106</v>
      </c>
      <c r="E1549" s="11">
        <v>9.062617301940918</v>
      </c>
      <c r="F1549" s="11">
        <v>1.2271959781646729</v>
      </c>
    </row>
    <row r="1550" spans="1:6" hidden="1" x14ac:dyDescent="0.3">
      <c r="A1550" s="6">
        <v>12</v>
      </c>
      <c r="B1550" s="6" t="s">
        <v>105</v>
      </c>
      <c r="C1550" s="6" t="s">
        <v>364</v>
      </c>
      <c r="D1550" s="6" t="s">
        <v>106</v>
      </c>
      <c r="E1550" s="11"/>
      <c r="F1550" s="11">
        <v>1.2271959781646729</v>
      </c>
    </row>
    <row r="1551" spans="1:6" hidden="1" x14ac:dyDescent="0.3">
      <c r="A1551" s="6">
        <v>12</v>
      </c>
      <c r="B1551" s="6" t="s">
        <v>105</v>
      </c>
      <c r="C1551" s="6" t="s">
        <v>365</v>
      </c>
      <c r="D1551" s="6" t="s">
        <v>106</v>
      </c>
      <c r="E1551" s="11">
        <v>2.4551999568939209</v>
      </c>
      <c r="F1551" s="11">
        <v>1.2271959781646729</v>
      </c>
    </row>
    <row r="1552" spans="1:6" hidden="1" x14ac:dyDescent="0.3">
      <c r="A1552" s="6">
        <v>12</v>
      </c>
      <c r="B1552" s="6" t="s">
        <v>105</v>
      </c>
      <c r="C1552" s="6" t="s">
        <v>366</v>
      </c>
      <c r="D1552" s="6" t="s">
        <v>106</v>
      </c>
      <c r="E1552" s="11">
        <v>8.3065710067749023</v>
      </c>
      <c r="F1552" s="11">
        <v>1.2271959781646729</v>
      </c>
    </row>
    <row r="1553" spans="1:6" hidden="1" x14ac:dyDescent="0.3">
      <c r="A1553" s="6">
        <v>12</v>
      </c>
      <c r="B1553" s="6" t="s">
        <v>105</v>
      </c>
      <c r="C1553" s="6" t="s">
        <v>367</v>
      </c>
      <c r="D1553" s="6" t="s">
        <v>106</v>
      </c>
      <c r="E1553" s="11">
        <v>1.7047913074493408</v>
      </c>
      <c r="F1553" s="11">
        <v>1.2271959781646729</v>
      </c>
    </row>
    <row r="1554" spans="1:6" hidden="1" x14ac:dyDescent="0.3">
      <c r="A1554" s="6">
        <v>12</v>
      </c>
      <c r="B1554" s="6" t="s">
        <v>105</v>
      </c>
      <c r="C1554" s="6" t="s">
        <v>368</v>
      </c>
      <c r="D1554" s="6" t="s">
        <v>106</v>
      </c>
      <c r="E1554" s="11"/>
      <c r="F1554" s="11">
        <v>1.2271959781646729</v>
      </c>
    </row>
    <row r="1555" spans="1:6" hidden="1" x14ac:dyDescent="0.3">
      <c r="A1555" s="6">
        <v>12</v>
      </c>
      <c r="B1555" s="6" t="s">
        <v>105</v>
      </c>
      <c r="C1555" s="6" t="s">
        <v>369</v>
      </c>
      <c r="D1555" s="6" t="s">
        <v>106</v>
      </c>
      <c r="E1555" s="11">
        <v>1.8534015417098999</v>
      </c>
      <c r="F1555" s="11">
        <v>1.2271959781646729</v>
      </c>
    </row>
    <row r="1556" spans="1:6" hidden="1" x14ac:dyDescent="0.3">
      <c r="A1556" s="6">
        <v>12</v>
      </c>
      <c r="B1556" s="6" t="s">
        <v>105</v>
      </c>
      <c r="C1556" s="6" t="s">
        <v>370</v>
      </c>
      <c r="D1556" s="6" t="s">
        <v>106</v>
      </c>
      <c r="E1556" s="11">
        <v>1.3075834512710571</v>
      </c>
      <c r="F1556" s="11">
        <v>1.2271959781646729</v>
      </c>
    </row>
    <row r="1557" spans="1:6" hidden="1" x14ac:dyDescent="0.3">
      <c r="A1557" s="6">
        <v>12</v>
      </c>
      <c r="B1557" s="6" t="s">
        <v>105</v>
      </c>
      <c r="C1557" s="6" t="s">
        <v>371</v>
      </c>
      <c r="D1557" s="6" t="s">
        <v>106</v>
      </c>
      <c r="E1557" s="11">
        <v>1.0122935771942139</v>
      </c>
      <c r="F1557" s="11">
        <v>1.2271959781646729</v>
      </c>
    </row>
    <row r="1558" spans="1:6" hidden="1" x14ac:dyDescent="0.3">
      <c r="A1558" s="6">
        <v>12</v>
      </c>
      <c r="B1558" s="6" t="s">
        <v>105</v>
      </c>
      <c r="C1558" s="6" t="s">
        <v>372</v>
      </c>
      <c r="D1558" s="6" t="s">
        <v>106</v>
      </c>
      <c r="E1558" s="11"/>
      <c r="F1558" s="11">
        <v>1.2271959781646729</v>
      </c>
    </row>
    <row r="1559" spans="1:6" hidden="1" x14ac:dyDescent="0.3">
      <c r="A1559" s="6">
        <v>12</v>
      </c>
      <c r="B1559" s="6" t="s">
        <v>105</v>
      </c>
      <c r="C1559" s="6" t="s">
        <v>373</v>
      </c>
      <c r="D1559" s="6" t="s">
        <v>106</v>
      </c>
      <c r="E1559" s="11"/>
      <c r="F1559" s="11">
        <v>1.2271959781646729</v>
      </c>
    </row>
    <row r="1560" spans="1:6" hidden="1" x14ac:dyDescent="0.3">
      <c r="A1560" s="6">
        <v>12</v>
      </c>
      <c r="B1560" s="6" t="s">
        <v>105</v>
      </c>
      <c r="C1560" s="6" t="s">
        <v>374</v>
      </c>
      <c r="D1560" s="6" t="s">
        <v>106</v>
      </c>
      <c r="E1560" s="11">
        <v>5.9711837768554688</v>
      </c>
      <c r="F1560" s="11">
        <v>1.2271959781646729</v>
      </c>
    </row>
    <row r="1561" spans="1:6" hidden="1" x14ac:dyDescent="0.3">
      <c r="A1561" s="6">
        <v>12</v>
      </c>
      <c r="B1561" s="6" t="s">
        <v>105</v>
      </c>
      <c r="C1561" s="6" t="s">
        <v>375</v>
      </c>
      <c r="D1561" s="6" t="s">
        <v>106</v>
      </c>
      <c r="E1561" s="11">
        <v>1.1038765907287598</v>
      </c>
      <c r="F1561" s="11">
        <v>1.2271959781646729</v>
      </c>
    </row>
    <row r="1562" spans="1:6" hidden="1" x14ac:dyDescent="0.3">
      <c r="A1562" s="6">
        <v>12</v>
      </c>
      <c r="B1562" s="6" t="s">
        <v>105</v>
      </c>
      <c r="C1562" s="6" t="s">
        <v>376</v>
      </c>
      <c r="D1562" s="6" t="s">
        <v>106</v>
      </c>
      <c r="E1562" s="11">
        <v>1.2556140422821045</v>
      </c>
      <c r="F1562" s="11">
        <v>1.2271959781646729</v>
      </c>
    </row>
    <row r="1563" spans="1:6" hidden="1" x14ac:dyDescent="0.3">
      <c r="A1563" s="6">
        <v>12</v>
      </c>
      <c r="B1563" s="6" t="s">
        <v>105</v>
      </c>
      <c r="C1563" s="6" t="s">
        <v>377</v>
      </c>
      <c r="D1563" s="6" t="s">
        <v>106</v>
      </c>
      <c r="E1563" s="11">
        <v>1.0444720983505249</v>
      </c>
      <c r="F1563" s="11">
        <v>1.2271959781646729</v>
      </c>
    </row>
    <row r="1564" spans="1:6" hidden="1" x14ac:dyDescent="0.3">
      <c r="A1564" s="6">
        <v>12</v>
      </c>
      <c r="B1564" s="6" t="s">
        <v>105</v>
      </c>
      <c r="C1564" s="6" t="s">
        <v>378</v>
      </c>
      <c r="D1564" s="6" t="s">
        <v>106</v>
      </c>
      <c r="E1564" s="11">
        <v>5.7583174705505371</v>
      </c>
      <c r="F1564" s="11">
        <v>1.2271959781646729</v>
      </c>
    </row>
    <row r="1565" spans="1:6" hidden="1" x14ac:dyDescent="0.3">
      <c r="A1565" s="6">
        <v>12</v>
      </c>
      <c r="B1565" s="6" t="s">
        <v>105</v>
      </c>
      <c r="C1565" s="6" t="s">
        <v>379</v>
      </c>
      <c r="D1565" s="6" t="s">
        <v>106</v>
      </c>
      <c r="E1565" s="11"/>
      <c r="F1565" s="11">
        <v>1.2271959781646729</v>
      </c>
    </row>
    <row r="1566" spans="1:6" hidden="1" x14ac:dyDescent="0.3">
      <c r="A1566" s="6">
        <v>12</v>
      </c>
      <c r="B1566" s="6" t="s">
        <v>105</v>
      </c>
      <c r="C1566" s="6" t="s">
        <v>380</v>
      </c>
      <c r="D1566" s="6" t="s">
        <v>106</v>
      </c>
      <c r="E1566" s="11">
        <v>1.1724097728729248</v>
      </c>
      <c r="F1566" s="11">
        <v>1.2271959781646729</v>
      </c>
    </row>
    <row r="1567" spans="1:6" hidden="1" x14ac:dyDescent="0.3">
      <c r="A1567" s="6">
        <v>12</v>
      </c>
      <c r="B1567" s="6" t="s">
        <v>105</v>
      </c>
      <c r="C1567" s="6" t="s">
        <v>381</v>
      </c>
      <c r="D1567" s="6" t="s">
        <v>106</v>
      </c>
      <c r="E1567" s="11">
        <v>2.2439999580383301</v>
      </c>
      <c r="F1567" s="11">
        <v>1.2271959781646729</v>
      </c>
    </row>
    <row r="1568" spans="1:6" hidden="1" x14ac:dyDescent="0.3">
      <c r="A1568" s="6">
        <v>12</v>
      </c>
      <c r="B1568" s="6" t="s">
        <v>105</v>
      </c>
      <c r="C1568" s="6" t="s">
        <v>382</v>
      </c>
      <c r="D1568" s="6" t="s">
        <v>106</v>
      </c>
      <c r="E1568" s="11">
        <v>1.6549731492996216</v>
      </c>
      <c r="F1568" s="11">
        <v>1.2271959781646729</v>
      </c>
    </row>
    <row r="1569" spans="1:6" hidden="1" x14ac:dyDescent="0.3">
      <c r="A1569" s="6">
        <v>12</v>
      </c>
      <c r="B1569" s="6" t="s">
        <v>105</v>
      </c>
      <c r="C1569" s="6" t="s">
        <v>383</v>
      </c>
      <c r="D1569" s="6" t="s">
        <v>106</v>
      </c>
      <c r="E1569" s="11">
        <v>5.5256919860839844</v>
      </c>
      <c r="F1569" s="11">
        <v>1.2271959781646729</v>
      </c>
    </row>
    <row r="1570" spans="1:6" hidden="1" x14ac:dyDescent="0.3">
      <c r="A1570" s="6">
        <v>12</v>
      </c>
      <c r="B1570" s="6" t="s">
        <v>105</v>
      </c>
      <c r="C1570" s="6" t="s">
        <v>384</v>
      </c>
      <c r="D1570" s="6" t="s">
        <v>106</v>
      </c>
      <c r="E1570" s="11">
        <v>1.5074121952056885</v>
      </c>
      <c r="F1570" s="11">
        <v>1.2271959781646729</v>
      </c>
    </row>
    <row r="1571" spans="1:6" hidden="1" x14ac:dyDescent="0.3">
      <c r="A1571" s="6">
        <v>12</v>
      </c>
      <c r="B1571" s="6" t="s">
        <v>105</v>
      </c>
      <c r="C1571" s="6" t="s">
        <v>385</v>
      </c>
      <c r="D1571" s="6" t="s">
        <v>106</v>
      </c>
      <c r="E1571" s="11">
        <v>1.4152107238769531</v>
      </c>
      <c r="F1571" s="11">
        <v>1.2271959781646729</v>
      </c>
    </row>
    <row r="1572" spans="1:6" hidden="1" x14ac:dyDescent="0.3">
      <c r="A1572" s="6">
        <v>12</v>
      </c>
      <c r="B1572" s="6" t="s">
        <v>105</v>
      </c>
      <c r="C1572" s="6" t="s">
        <v>386</v>
      </c>
      <c r="D1572" s="6" t="s">
        <v>106</v>
      </c>
      <c r="E1572" s="11">
        <v>1.7725714445114136</v>
      </c>
      <c r="F1572" s="11">
        <v>1.2271959781646729</v>
      </c>
    </row>
    <row r="1573" spans="1:6" hidden="1" x14ac:dyDescent="0.3">
      <c r="A1573" s="6">
        <v>12</v>
      </c>
      <c r="B1573" s="6" t="s">
        <v>105</v>
      </c>
      <c r="C1573" s="6" t="s">
        <v>387</v>
      </c>
      <c r="D1573" s="6" t="s">
        <v>106</v>
      </c>
      <c r="E1573" s="11">
        <v>4.7471833229064941</v>
      </c>
      <c r="F1573" s="11">
        <v>1.2271959781646729</v>
      </c>
    </row>
    <row r="1574" spans="1:6" hidden="1" x14ac:dyDescent="0.3">
      <c r="A1574" s="6">
        <v>12</v>
      </c>
      <c r="B1574" s="6" t="s">
        <v>105</v>
      </c>
      <c r="C1574" s="6" t="s">
        <v>388</v>
      </c>
      <c r="D1574" s="6" t="s">
        <v>106</v>
      </c>
      <c r="E1574" s="11">
        <v>1.2958707809448242</v>
      </c>
      <c r="F1574" s="11">
        <v>1.2271959781646729</v>
      </c>
    </row>
    <row r="1575" spans="1:6" hidden="1" x14ac:dyDescent="0.3">
      <c r="A1575" s="6">
        <v>12</v>
      </c>
      <c r="B1575" s="6" t="s">
        <v>105</v>
      </c>
      <c r="C1575" s="6" t="s">
        <v>389</v>
      </c>
      <c r="D1575" s="6" t="s">
        <v>106</v>
      </c>
      <c r="E1575" s="11">
        <v>11.773696899414063</v>
      </c>
      <c r="F1575" s="11">
        <v>1.2271959781646729</v>
      </c>
    </row>
    <row r="1576" spans="1:6" hidden="1" x14ac:dyDescent="0.3">
      <c r="A1576" s="6">
        <v>12</v>
      </c>
      <c r="B1576" s="6" t="s">
        <v>105</v>
      </c>
      <c r="C1576" s="6" t="s">
        <v>390</v>
      </c>
      <c r="D1576" s="6" t="s">
        <v>106</v>
      </c>
      <c r="E1576" s="11">
        <v>1.9285356998443604</v>
      </c>
      <c r="F1576" s="11">
        <v>1.2271959781646729</v>
      </c>
    </row>
    <row r="1577" spans="1:6" hidden="1" x14ac:dyDescent="0.3">
      <c r="A1577" s="6">
        <v>12</v>
      </c>
      <c r="B1577" s="6" t="s">
        <v>105</v>
      </c>
      <c r="C1577" s="6" t="s">
        <v>391</v>
      </c>
      <c r="D1577" s="6" t="s">
        <v>106</v>
      </c>
      <c r="E1577" s="11">
        <v>1.5236577987670898</v>
      </c>
      <c r="F1577" s="11">
        <v>1.2271959781646729</v>
      </c>
    </row>
    <row r="1578" spans="1:6" hidden="1" x14ac:dyDescent="0.3">
      <c r="A1578" s="6">
        <v>12</v>
      </c>
      <c r="B1578" s="6" t="s">
        <v>105</v>
      </c>
      <c r="C1578" s="6" t="s">
        <v>392</v>
      </c>
      <c r="D1578" s="6" t="s">
        <v>106</v>
      </c>
      <c r="E1578" s="11">
        <v>1.8121662139892578</v>
      </c>
      <c r="F1578" s="11">
        <v>1.2271959781646729</v>
      </c>
    </row>
    <row r="1579" spans="1:6" hidden="1" x14ac:dyDescent="0.3">
      <c r="A1579" s="6">
        <v>12</v>
      </c>
      <c r="B1579" s="6" t="s">
        <v>105</v>
      </c>
      <c r="C1579" s="6" t="s">
        <v>393</v>
      </c>
      <c r="D1579" s="6" t="s">
        <v>106</v>
      </c>
      <c r="E1579" s="11">
        <v>2.0267519950866699</v>
      </c>
      <c r="F1579" s="11">
        <v>1.2271959781646729</v>
      </c>
    </row>
    <row r="1580" spans="1:6" hidden="1" x14ac:dyDescent="0.3">
      <c r="A1580" s="6">
        <v>12</v>
      </c>
      <c r="B1580" s="6" t="s">
        <v>105</v>
      </c>
      <c r="C1580" s="6" t="s">
        <v>394</v>
      </c>
      <c r="D1580" s="6" t="s">
        <v>106</v>
      </c>
      <c r="E1580" s="11">
        <v>1.5645718574523926</v>
      </c>
      <c r="F1580" s="11">
        <v>1.2271959781646729</v>
      </c>
    </row>
    <row r="1581" spans="1:6" hidden="1" x14ac:dyDescent="0.3">
      <c r="A1581" s="6">
        <v>12</v>
      </c>
      <c r="B1581" s="6" t="s">
        <v>105</v>
      </c>
      <c r="C1581" s="6" t="s">
        <v>395</v>
      </c>
      <c r="D1581" s="6" t="s">
        <v>106</v>
      </c>
      <c r="E1581" s="11">
        <v>1.7088098526000977</v>
      </c>
      <c r="F1581" s="11">
        <v>1.2271959781646729</v>
      </c>
    </row>
    <row r="1582" spans="1:6" hidden="1" x14ac:dyDescent="0.3">
      <c r="A1582" s="6">
        <v>12</v>
      </c>
      <c r="B1582" s="6" t="s">
        <v>105</v>
      </c>
      <c r="C1582" s="6" t="s">
        <v>396</v>
      </c>
      <c r="D1582" s="6" t="s">
        <v>106</v>
      </c>
      <c r="E1582" s="11"/>
      <c r="F1582" s="11">
        <v>1.2271959781646729</v>
      </c>
    </row>
    <row r="1583" spans="1:6" hidden="1" x14ac:dyDescent="0.3">
      <c r="A1583" s="6">
        <v>12</v>
      </c>
      <c r="B1583" s="6" t="s">
        <v>105</v>
      </c>
      <c r="C1583" s="6" t="s">
        <v>397</v>
      </c>
      <c r="D1583" s="6" t="s">
        <v>106</v>
      </c>
      <c r="E1583" s="11"/>
      <c r="F1583" s="11">
        <v>1.2271959781646729</v>
      </c>
    </row>
    <row r="1584" spans="1:6" hidden="1" x14ac:dyDescent="0.3">
      <c r="A1584" s="6">
        <v>12</v>
      </c>
      <c r="B1584" s="6" t="s">
        <v>105</v>
      </c>
      <c r="C1584" s="6" t="s">
        <v>398</v>
      </c>
      <c r="D1584" s="6" t="s">
        <v>106</v>
      </c>
      <c r="E1584" s="11">
        <v>1.7804539203643799</v>
      </c>
      <c r="F1584" s="11">
        <v>1.2271959781646729</v>
      </c>
    </row>
    <row r="1585" spans="1:6" hidden="1" x14ac:dyDescent="0.3">
      <c r="A1585" s="6">
        <v>12</v>
      </c>
      <c r="B1585" s="6" t="s">
        <v>105</v>
      </c>
      <c r="C1585" s="6" t="s">
        <v>399</v>
      </c>
      <c r="D1585" s="6" t="s">
        <v>106</v>
      </c>
      <c r="E1585" s="11">
        <v>0.97544610500335693</v>
      </c>
      <c r="F1585" s="11">
        <v>1.2271959781646729</v>
      </c>
    </row>
    <row r="1586" spans="1:6" hidden="1" x14ac:dyDescent="0.3">
      <c r="A1586" s="6">
        <v>12</v>
      </c>
      <c r="B1586" s="6" t="s">
        <v>105</v>
      </c>
      <c r="C1586" s="6" t="s">
        <v>400</v>
      </c>
      <c r="D1586" s="6" t="s">
        <v>106</v>
      </c>
      <c r="E1586" s="11">
        <v>8.2405710220336914</v>
      </c>
      <c r="F1586" s="11">
        <v>1.2271959781646729</v>
      </c>
    </row>
    <row r="1587" spans="1:6" hidden="1" x14ac:dyDescent="0.3">
      <c r="A1587" s="6">
        <v>12</v>
      </c>
      <c r="B1587" s="6" t="s">
        <v>105</v>
      </c>
      <c r="C1587" s="6" t="s">
        <v>401</v>
      </c>
      <c r="D1587" s="6" t="s">
        <v>106</v>
      </c>
      <c r="E1587" s="11"/>
      <c r="F1587" s="11">
        <v>1.2271959781646729</v>
      </c>
    </row>
    <row r="1588" spans="1:6" hidden="1" x14ac:dyDescent="0.3">
      <c r="A1588" s="6">
        <v>12</v>
      </c>
      <c r="B1588" s="6" t="s">
        <v>105</v>
      </c>
      <c r="C1588" s="6" t="s">
        <v>402</v>
      </c>
      <c r="D1588" s="6" t="s">
        <v>106</v>
      </c>
      <c r="E1588" s="11">
        <v>1.1566625833511353</v>
      </c>
      <c r="F1588" s="11">
        <v>1.2271959781646729</v>
      </c>
    </row>
    <row r="1589" spans="1:6" hidden="1" x14ac:dyDescent="0.3">
      <c r="A1589" s="6">
        <v>12</v>
      </c>
      <c r="B1589" s="6" t="s">
        <v>105</v>
      </c>
      <c r="C1589" s="6" t="s">
        <v>403</v>
      </c>
      <c r="D1589" s="6" t="s">
        <v>106</v>
      </c>
      <c r="E1589" s="11">
        <v>1.0530332326889038</v>
      </c>
      <c r="F1589" s="11">
        <v>1.2271959781646729</v>
      </c>
    </row>
    <row r="1590" spans="1:6" hidden="1" x14ac:dyDescent="0.3">
      <c r="A1590" s="6">
        <v>12</v>
      </c>
      <c r="B1590" s="6" t="s">
        <v>105</v>
      </c>
      <c r="C1590" s="6" t="s">
        <v>404</v>
      </c>
      <c r="D1590" s="6" t="s">
        <v>106</v>
      </c>
      <c r="E1590" s="11">
        <v>1.093707799911499</v>
      </c>
      <c r="F1590" s="11">
        <v>1.2271959781646729</v>
      </c>
    </row>
    <row r="1591" spans="1:6" hidden="1" x14ac:dyDescent="0.3">
      <c r="A1591" s="6">
        <v>12</v>
      </c>
      <c r="B1591" s="6" t="s">
        <v>105</v>
      </c>
      <c r="C1591" s="6" t="s">
        <v>405</v>
      </c>
      <c r="D1591" s="6" t="s">
        <v>106</v>
      </c>
      <c r="E1591" s="11">
        <v>1.7487422227859497</v>
      </c>
      <c r="F1591" s="11">
        <v>1.2271959781646729</v>
      </c>
    </row>
    <row r="1592" spans="1:6" hidden="1" x14ac:dyDescent="0.3">
      <c r="A1592" s="6">
        <v>12</v>
      </c>
      <c r="B1592" s="6" t="s">
        <v>105</v>
      </c>
      <c r="C1592" s="6" t="s">
        <v>406</v>
      </c>
      <c r="D1592" s="6" t="s">
        <v>106</v>
      </c>
      <c r="E1592" s="11">
        <v>1.4577257633209229</v>
      </c>
      <c r="F1592" s="11">
        <v>1.2271959781646729</v>
      </c>
    </row>
    <row r="1593" spans="1:6" hidden="1" x14ac:dyDescent="0.3">
      <c r="A1593" s="6">
        <v>12</v>
      </c>
      <c r="B1593" s="6" t="s">
        <v>105</v>
      </c>
      <c r="C1593" s="6" t="s">
        <v>407</v>
      </c>
      <c r="D1593" s="6" t="s">
        <v>106</v>
      </c>
      <c r="E1593" s="11">
        <v>2.5292046070098877</v>
      </c>
      <c r="F1593" s="11">
        <v>1.2271959781646729</v>
      </c>
    </row>
    <row r="1594" spans="1:6" hidden="1" x14ac:dyDescent="0.3">
      <c r="A1594" s="6">
        <v>12</v>
      </c>
      <c r="B1594" s="6" t="s">
        <v>105</v>
      </c>
      <c r="C1594" s="6" t="s">
        <v>408</v>
      </c>
      <c r="D1594" s="6" t="s">
        <v>106</v>
      </c>
      <c r="E1594" s="11">
        <v>2.5460891723632813</v>
      </c>
      <c r="F1594" s="11">
        <v>1.2271959781646729</v>
      </c>
    </row>
    <row r="1595" spans="1:6" hidden="1" x14ac:dyDescent="0.3">
      <c r="A1595" s="6">
        <v>12</v>
      </c>
      <c r="B1595" s="6" t="s">
        <v>105</v>
      </c>
      <c r="C1595" s="6" t="s">
        <v>409</v>
      </c>
      <c r="D1595" s="6" t="s">
        <v>106</v>
      </c>
      <c r="E1595" s="11">
        <v>4.2334494590759277</v>
      </c>
      <c r="F1595" s="11">
        <v>1.2271959781646729</v>
      </c>
    </row>
    <row r="1596" spans="1:6" hidden="1" x14ac:dyDescent="0.3">
      <c r="A1596" s="6">
        <v>12</v>
      </c>
      <c r="B1596" s="6" t="s">
        <v>105</v>
      </c>
      <c r="C1596" s="6" t="s">
        <v>410</v>
      </c>
      <c r="D1596" s="6" t="s">
        <v>106</v>
      </c>
      <c r="E1596" s="11"/>
      <c r="F1596" s="11">
        <v>1.2271959781646729</v>
      </c>
    </row>
    <row r="1597" spans="1:6" hidden="1" x14ac:dyDescent="0.3">
      <c r="A1597" s="6">
        <v>12</v>
      </c>
      <c r="B1597" s="6" t="s">
        <v>105</v>
      </c>
      <c r="C1597" s="6" t="s">
        <v>411</v>
      </c>
      <c r="D1597" s="6" t="s">
        <v>106</v>
      </c>
      <c r="E1597" s="11">
        <v>1.9589258432388306</v>
      </c>
      <c r="F1597" s="11">
        <v>1.2271959781646729</v>
      </c>
    </row>
    <row r="1598" spans="1:6" hidden="1" x14ac:dyDescent="0.3">
      <c r="A1598" s="6">
        <v>12</v>
      </c>
      <c r="B1598" s="6" t="s">
        <v>105</v>
      </c>
      <c r="C1598" s="6" t="s">
        <v>412</v>
      </c>
      <c r="D1598" s="6" t="s">
        <v>106</v>
      </c>
      <c r="E1598" s="11">
        <v>1.0858367681503296</v>
      </c>
      <c r="F1598" s="11">
        <v>1.2271959781646729</v>
      </c>
    </row>
    <row r="1599" spans="1:6" hidden="1" x14ac:dyDescent="0.3">
      <c r="A1599" s="6">
        <v>12</v>
      </c>
      <c r="B1599" s="6" t="s">
        <v>105</v>
      </c>
      <c r="C1599" s="6" t="s">
        <v>413</v>
      </c>
      <c r="D1599" s="6" t="s">
        <v>106</v>
      </c>
      <c r="E1599" s="11">
        <v>2.7732594013214111</v>
      </c>
      <c r="F1599" s="11">
        <v>1.2271959781646729</v>
      </c>
    </row>
    <row r="1600" spans="1:6" hidden="1" x14ac:dyDescent="0.3">
      <c r="A1600" s="6">
        <v>12</v>
      </c>
      <c r="B1600" s="6" t="s">
        <v>105</v>
      </c>
      <c r="C1600" s="6" t="s">
        <v>414</v>
      </c>
      <c r="D1600" s="6" t="s">
        <v>106</v>
      </c>
      <c r="E1600" s="11">
        <v>10.253819465637207</v>
      </c>
      <c r="F1600" s="11">
        <v>1.2271959781646729</v>
      </c>
    </row>
    <row r="1601" spans="1:6" hidden="1" x14ac:dyDescent="0.3">
      <c r="A1601" s="6">
        <v>12</v>
      </c>
      <c r="B1601" s="6" t="s">
        <v>105</v>
      </c>
      <c r="C1601" s="6" t="s">
        <v>415</v>
      </c>
      <c r="D1601" s="6" t="s">
        <v>106</v>
      </c>
      <c r="E1601" s="11">
        <v>2.6285390853881836</v>
      </c>
      <c r="F1601" s="11">
        <v>1.2271959781646729</v>
      </c>
    </row>
    <row r="1602" spans="1:6" hidden="1" x14ac:dyDescent="0.3">
      <c r="A1602" s="6">
        <v>12</v>
      </c>
      <c r="B1602" s="6" t="s">
        <v>105</v>
      </c>
      <c r="C1602" s="6" t="s">
        <v>416</v>
      </c>
      <c r="D1602" s="6" t="s">
        <v>106</v>
      </c>
      <c r="E1602" s="11">
        <v>3.1679999828338623</v>
      </c>
      <c r="F1602" s="11">
        <v>1.2271959781646729</v>
      </c>
    </row>
    <row r="1603" spans="1:6" hidden="1" x14ac:dyDescent="0.3">
      <c r="A1603" s="6">
        <v>12</v>
      </c>
      <c r="B1603" s="6" t="s">
        <v>105</v>
      </c>
      <c r="C1603" s="6" t="s">
        <v>417</v>
      </c>
      <c r="D1603" s="6" t="s">
        <v>106</v>
      </c>
      <c r="E1603" s="11">
        <v>0.91047769784927368</v>
      </c>
      <c r="F1603" s="11">
        <v>1.2271959781646729</v>
      </c>
    </row>
    <row r="1604" spans="1:6" hidden="1" x14ac:dyDescent="0.3">
      <c r="A1604" s="6">
        <v>12</v>
      </c>
      <c r="B1604" s="6" t="s">
        <v>105</v>
      </c>
      <c r="C1604" s="6" t="s">
        <v>418</v>
      </c>
      <c r="D1604" s="6" t="s">
        <v>106</v>
      </c>
      <c r="E1604" s="11"/>
      <c r="F1604" s="11">
        <v>1.2271959781646729</v>
      </c>
    </row>
    <row r="1605" spans="1:6" hidden="1" x14ac:dyDescent="0.3">
      <c r="A1605" s="6">
        <v>12</v>
      </c>
      <c r="B1605" s="6" t="s">
        <v>105</v>
      </c>
      <c r="C1605" s="6" t="s">
        <v>419</v>
      </c>
      <c r="D1605" s="6" t="s">
        <v>106</v>
      </c>
      <c r="E1605" s="11"/>
      <c r="F1605" s="11">
        <v>1.2271959781646729</v>
      </c>
    </row>
    <row r="1606" spans="1:6" hidden="1" x14ac:dyDescent="0.3">
      <c r="A1606" s="6">
        <v>12</v>
      </c>
      <c r="B1606" s="6" t="s">
        <v>105</v>
      </c>
      <c r="C1606" s="6" t="s">
        <v>420</v>
      </c>
      <c r="D1606" s="6" t="s">
        <v>106</v>
      </c>
      <c r="E1606" s="11"/>
      <c r="F1606" s="11">
        <v>1.2271959781646729</v>
      </c>
    </row>
    <row r="1607" spans="1:6" hidden="1" x14ac:dyDescent="0.3">
      <c r="A1607" s="6">
        <v>12</v>
      </c>
      <c r="B1607" s="6" t="s">
        <v>105</v>
      </c>
      <c r="C1607" s="6" t="s">
        <v>421</v>
      </c>
      <c r="D1607" s="6" t="s">
        <v>106</v>
      </c>
      <c r="E1607" s="11">
        <v>36.124000549316406</v>
      </c>
      <c r="F1607" s="11">
        <v>1.2271959781646729</v>
      </c>
    </row>
    <row r="1608" spans="1:6" hidden="1" x14ac:dyDescent="0.3">
      <c r="A1608" s="6">
        <v>12</v>
      </c>
      <c r="B1608" s="6" t="s">
        <v>105</v>
      </c>
      <c r="C1608" s="6" t="s">
        <v>422</v>
      </c>
      <c r="D1608" s="6" t="s">
        <v>106</v>
      </c>
      <c r="E1608" s="11">
        <v>2.7444396018981934</v>
      </c>
      <c r="F1608" s="11">
        <v>1.2271959781646729</v>
      </c>
    </row>
    <row r="1609" spans="1:6" hidden="1" x14ac:dyDescent="0.3">
      <c r="A1609" s="6">
        <v>12</v>
      </c>
      <c r="B1609" s="6" t="s">
        <v>105</v>
      </c>
      <c r="C1609" s="6" t="s">
        <v>423</v>
      </c>
      <c r="D1609" s="6" t="s">
        <v>106</v>
      </c>
      <c r="E1609" s="11">
        <v>1.5576000213623047</v>
      </c>
      <c r="F1609" s="11">
        <v>1.2271959781646729</v>
      </c>
    </row>
    <row r="1610" spans="1:6" hidden="1" x14ac:dyDescent="0.3">
      <c r="A1610" s="6">
        <v>12</v>
      </c>
      <c r="B1610" s="6" t="s">
        <v>105</v>
      </c>
      <c r="C1610" s="6" t="s">
        <v>424</v>
      </c>
      <c r="D1610" s="6" t="s">
        <v>106</v>
      </c>
      <c r="E1610" s="11">
        <v>2.0060639381408691</v>
      </c>
      <c r="F1610" s="11">
        <v>1.2271959781646729</v>
      </c>
    </row>
    <row r="1611" spans="1:6" hidden="1" x14ac:dyDescent="0.3">
      <c r="A1611" s="6">
        <v>12</v>
      </c>
      <c r="B1611" s="6" t="s">
        <v>105</v>
      </c>
      <c r="C1611" s="6" t="s">
        <v>425</v>
      </c>
      <c r="D1611" s="6" t="s">
        <v>106</v>
      </c>
      <c r="E1611" s="11"/>
      <c r="F1611" s="11">
        <v>1.2271959781646729</v>
      </c>
    </row>
    <row r="1612" spans="1:6" hidden="1" x14ac:dyDescent="0.3">
      <c r="A1612" s="6">
        <v>12</v>
      </c>
      <c r="B1612" s="6" t="s">
        <v>105</v>
      </c>
      <c r="C1612" s="6" t="s">
        <v>426</v>
      </c>
      <c r="D1612" s="6" t="s">
        <v>106</v>
      </c>
      <c r="E1612" s="11">
        <v>1.9487310647964478</v>
      </c>
      <c r="F1612" s="11">
        <v>1.2271959781646729</v>
      </c>
    </row>
    <row r="1613" spans="1:6" hidden="1" x14ac:dyDescent="0.3">
      <c r="A1613" s="6">
        <v>12</v>
      </c>
      <c r="B1613" s="6" t="s">
        <v>105</v>
      </c>
      <c r="C1613" s="6" t="s">
        <v>427</v>
      </c>
      <c r="D1613" s="6" t="s">
        <v>106</v>
      </c>
      <c r="E1613" s="11">
        <v>3.0360000133514404</v>
      </c>
      <c r="F1613" s="11">
        <v>1.2271959781646729</v>
      </c>
    </row>
    <row r="1614" spans="1:6" hidden="1" x14ac:dyDescent="0.3">
      <c r="A1614" s="6">
        <v>12</v>
      </c>
      <c r="B1614" s="6" t="s">
        <v>105</v>
      </c>
      <c r="C1614" s="6" t="s">
        <v>428</v>
      </c>
      <c r="D1614" s="6" t="s">
        <v>106</v>
      </c>
      <c r="E1614" s="11">
        <v>0.95305895805358887</v>
      </c>
      <c r="F1614" s="11">
        <v>1.2271959781646729</v>
      </c>
    </row>
    <row r="1615" spans="1:6" hidden="1" x14ac:dyDescent="0.3">
      <c r="A1615" s="6">
        <v>12</v>
      </c>
      <c r="B1615" s="6" t="s">
        <v>105</v>
      </c>
      <c r="C1615" s="6" t="s">
        <v>429</v>
      </c>
      <c r="D1615" s="6" t="s">
        <v>106</v>
      </c>
      <c r="E1615" s="11"/>
      <c r="F1615" s="11">
        <v>1.2271959781646729</v>
      </c>
    </row>
    <row r="1616" spans="1:6" hidden="1" x14ac:dyDescent="0.3">
      <c r="A1616" s="6">
        <v>12</v>
      </c>
      <c r="B1616" s="6" t="s">
        <v>105</v>
      </c>
      <c r="C1616" s="6" t="s">
        <v>430</v>
      </c>
      <c r="D1616" s="6" t="s">
        <v>106</v>
      </c>
      <c r="E1616" s="11"/>
      <c r="F1616" s="11">
        <v>1.2271959781646729</v>
      </c>
    </row>
    <row r="1617" spans="1:6" hidden="1" x14ac:dyDescent="0.3">
      <c r="A1617" s="6">
        <v>12</v>
      </c>
      <c r="B1617" s="6" t="s">
        <v>105</v>
      </c>
      <c r="C1617" s="6" t="s">
        <v>431</v>
      </c>
      <c r="D1617" s="6" t="s">
        <v>106</v>
      </c>
      <c r="E1617" s="11">
        <v>3.4760000705718994</v>
      </c>
      <c r="F1617" s="11">
        <v>1.2271959781646729</v>
      </c>
    </row>
    <row r="1618" spans="1:6" hidden="1" x14ac:dyDescent="0.3">
      <c r="A1618" s="6">
        <v>12</v>
      </c>
      <c r="B1618" s="6" t="s">
        <v>105</v>
      </c>
      <c r="C1618" s="6" t="s">
        <v>432</v>
      </c>
      <c r="D1618" s="6" t="s">
        <v>106</v>
      </c>
      <c r="E1618" s="11">
        <v>2.5095524787902832</v>
      </c>
      <c r="F1618" s="11">
        <v>1.2271959781646729</v>
      </c>
    </row>
    <row r="1619" spans="1:6" hidden="1" x14ac:dyDescent="0.3">
      <c r="A1619" s="6">
        <v>12</v>
      </c>
      <c r="B1619" s="6" t="s">
        <v>105</v>
      </c>
      <c r="C1619" s="6" t="s">
        <v>433</v>
      </c>
      <c r="D1619" s="6" t="s">
        <v>106</v>
      </c>
      <c r="E1619" s="11">
        <v>0.86201739311218262</v>
      </c>
      <c r="F1619" s="11">
        <v>1.2271959781646729</v>
      </c>
    </row>
    <row r="1620" spans="1:6" hidden="1" x14ac:dyDescent="0.3">
      <c r="A1620" s="6">
        <v>12</v>
      </c>
      <c r="B1620" s="6" t="s">
        <v>105</v>
      </c>
      <c r="C1620" s="6" t="s">
        <v>434</v>
      </c>
      <c r="D1620" s="6" t="s">
        <v>106</v>
      </c>
      <c r="E1620" s="11">
        <v>2.5915999412536621</v>
      </c>
      <c r="F1620" s="11">
        <v>1.2271959781646729</v>
      </c>
    </row>
    <row r="1621" spans="1:6" hidden="1" x14ac:dyDescent="0.3">
      <c r="A1621" s="6">
        <v>12</v>
      </c>
      <c r="B1621" s="6" t="s">
        <v>105</v>
      </c>
      <c r="C1621" s="6" t="s">
        <v>435</v>
      </c>
      <c r="D1621" s="6" t="s">
        <v>106</v>
      </c>
      <c r="E1621" s="11"/>
      <c r="F1621" s="11">
        <v>1.2271959781646729</v>
      </c>
    </row>
    <row r="1622" spans="1:6" hidden="1" x14ac:dyDescent="0.3">
      <c r="A1622" s="6">
        <v>12</v>
      </c>
      <c r="B1622" s="6" t="s">
        <v>105</v>
      </c>
      <c r="C1622" s="6" t="s">
        <v>436</v>
      </c>
      <c r="D1622" s="6" t="s">
        <v>106</v>
      </c>
      <c r="E1622" s="11">
        <v>1.7765840291976929</v>
      </c>
      <c r="F1622" s="11">
        <v>1.2271959781646729</v>
      </c>
    </row>
    <row r="1623" spans="1:6" hidden="1" x14ac:dyDescent="0.3">
      <c r="A1623" s="6">
        <v>12</v>
      </c>
      <c r="B1623" s="6" t="s">
        <v>105</v>
      </c>
      <c r="C1623" s="6" t="s">
        <v>437</v>
      </c>
      <c r="D1623" s="6" t="s">
        <v>106</v>
      </c>
      <c r="E1623" s="11">
        <v>0.67520707845687866</v>
      </c>
      <c r="F1623" s="11">
        <v>1.2271959781646729</v>
      </c>
    </row>
    <row r="1624" spans="1:6" hidden="1" x14ac:dyDescent="0.3">
      <c r="A1624" s="6">
        <v>12</v>
      </c>
      <c r="B1624" s="6" t="s">
        <v>105</v>
      </c>
      <c r="C1624" s="6" t="s">
        <v>438</v>
      </c>
      <c r="D1624" s="6" t="s">
        <v>106</v>
      </c>
      <c r="E1624" s="11">
        <v>3.2418112754821777</v>
      </c>
      <c r="F1624" s="11">
        <v>1.2271959781646729</v>
      </c>
    </row>
    <row r="1625" spans="1:6" hidden="1" x14ac:dyDescent="0.3">
      <c r="A1625" s="6">
        <v>12</v>
      </c>
      <c r="B1625" s="6" t="s">
        <v>105</v>
      </c>
      <c r="C1625" s="6" t="s">
        <v>439</v>
      </c>
      <c r="D1625" s="6" t="s">
        <v>106</v>
      </c>
      <c r="E1625" s="11">
        <v>0.98922860622406006</v>
      </c>
      <c r="F1625" s="11">
        <v>1.2271959781646729</v>
      </c>
    </row>
    <row r="1626" spans="1:6" hidden="1" x14ac:dyDescent="0.3">
      <c r="A1626" s="6">
        <v>12</v>
      </c>
      <c r="B1626" s="6" t="s">
        <v>105</v>
      </c>
      <c r="C1626" s="6" t="s">
        <v>440</v>
      </c>
      <c r="D1626" s="6" t="s">
        <v>106</v>
      </c>
      <c r="E1626" s="11"/>
      <c r="F1626" s="11">
        <v>1.2271959781646729</v>
      </c>
    </row>
    <row r="1627" spans="1:6" hidden="1" x14ac:dyDescent="0.3">
      <c r="A1627" s="6">
        <v>12</v>
      </c>
      <c r="B1627" s="6" t="s">
        <v>105</v>
      </c>
      <c r="C1627" s="6" t="s">
        <v>441</v>
      </c>
      <c r="D1627" s="6" t="s">
        <v>106</v>
      </c>
      <c r="E1627" s="11">
        <v>1.7362991571426392</v>
      </c>
      <c r="F1627" s="11">
        <v>1.2271959781646729</v>
      </c>
    </row>
    <row r="1628" spans="1:6" hidden="1" x14ac:dyDescent="0.3">
      <c r="A1628" s="6">
        <v>12</v>
      </c>
      <c r="B1628" s="6" t="s">
        <v>105</v>
      </c>
      <c r="C1628" s="6" t="s">
        <v>442</v>
      </c>
      <c r="D1628" s="6" t="s">
        <v>106</v>
      </c>
      <c r="E1628" s="11"/>
      <c r="F1628" s="11">
        <v>1.2271959781646729</v>
      </c>
    </row>
    <row r="1629" spans="1:6" hidden="1" x14ac:dyDescent="0.3">
      <c r="A1629" s="6">
        <v>12</v>
      </c>
      <c r="B1629" s="6" t="s">
        <v>105</v>
      </c>
      <c r="C1629" s="6" t="s">
        <v>443</v>
      </c>
      <c r="D1629" s="6" t="s">
        <v>106</v>
      </c>
      <c r="E1629" s="11">
        <v>1.2011020183563232</v>
      </c>
      <c r="F1629" s="11">
        <v>1.2271959781646729</v>
      </c>
    </row>
    <row r="1630" spans="1:6" hidden="1" x14ac:dyDescent="0.3">
      <c r="A1630" s="6">
        <v>12</v>
      </c>
      <c r="B1630" s="6" t="s">
        <v>105</v>
      </c>
      <c r="C1630" s="6" t="s">
        <v>444</v>
      </c>
      <c r="D1630" s="6" t="s">
        <v>106</v>
      </c>
      <c r="E1630" s="11">
        <v>5.3320002555847168</v>
      </c>
      <c r="F1630" s="11">
        <v>1.2271959781646729</v>
      </c>
    </row>
    <row r="1631" spans="1:6" hidden="1" x14ac:dyDescent="0.3">
      <c r="A1631" s="6">
        <v>12</v>
      </c>
      <c r="B1631" s="6" t="s">
        <v>105</v>
      </c>
      <c r="C1631" s="6" t="s">
        <v>445</v>
      </c>
      <c r="D1631" s="6" t="s">
        <v>106</v>
      </c>
      <c r="E1631" s="11">
        <v>1.65582275390625</v>
      </c>
      <c r="F1631" s="11">
        <v>1.2271959781646729</v>
      </c>
    </row>
    <row r="1632" spans="1:6" hidden="1" x14ac:dyDescent="0.3">
      <c r="A1632" s="6">
        <v>12</v>
      </c>
      <c r="B1632" s="6" t="s">
        <v>105</v>
      </c>
      <c r="C1632" s="6" t="s">
        <v>446</v>
      </c>
      <c r="D1632" s="6" t="s">
        <v>106</v>
      </c>
      <c r="E1632" s="11">
        <v>2.411414623260498</v>
      </c>
      <c r="F1632" s="11">
        <v>1.2271959781646729</v>
      </c>
    </row>
    <row r="1633" spans="1:6" hidden="1" x14ac:dyDescent="0.3">
      <c r="A1633" s="6">
        <v>12</v>
      </c>
      <c r="B1633" s="6" t="s">
        <v>105</v>
      </c>
      <c r="C1633" s="6" t="s">
        <v>447</v>
      </c>
      <c r="D1633" s="6" t="s">
        <v>106</v>
      </c>
      <c r="E1633" s="11">
        <v>1.7528823614120483</v>
      </c>
      <c r="F1633" s="11">
        <v>1.2271959781646729</v>
      </c>
    </row>
    <row r="1634" spans="1:6" hidden="1" x14ac:dyDescent="0.3">
      <c r="A1634" s="6">
        <v>12</v>
      </c>
      <c r="B1634" s="6" t="s">
        <v>105</v>
      </c>
      <c r="C1634" s="6" t="s">
        <v>448</v>
      </c>
      <c r="D1634" s="6" t="s">
        <v>106</v>
      </c>
      <c r="E1634" s="11">
        <v>1.0798443555831909</v>
      </c>
      <c r="F1634" s="11">
        <v>1.2271959781646729</v>
      </c>
    </row>
    <row r="1635" spans="1:6" hidden="1" x14ac:dyDescent="0.3">
      <c r="A1635" s="6">
        <v>12</v>
      </c>
      <c r="B1635" s="6" t="s">
        <v>105</v>
      </c>
      <c r="C1635" s="6" t="s">
        <v>449</v>
      </c>
      <c r="D1635" s="6" t="s">
        <v>106</v>
      </c>
      <c r="E1635" s="11">
        <v>38.939998626708984</v>
      </c>
      <c r="F1635" s="11">
        <v>1.2271959781646729</v>
      </c>
    </row>
    <row r="1636" spans="1:6" hidden="1" x14ac:dyDescent="0.3">
      <c r="A1636" s="6">
        <v>12</v>
      </c>
      <c r="B1636" s="6" t="s">
        <v>105</v>
      </c>
      <c r="C1636" s="6" t="s">
        <v>450</v>
      </c>
      <c r="D1636" s="6" t="s">
        <v>106</v>
      </c>
      <c r="E1636" s="11">
        <v>1.7375836372375488</v>
      </c>
      <c r="F1636" s="11">
        <v>1.2271959781646729</v>
      </c>
    </row>
    <row r="1637" spans="1:6" hidden="1" x14ac:dyDescent="0.3">
      <c r="A1637" s="6">
        <v>12</v>
      </c>
      <c r="B1637" s="6" t="s">
        <v>105</v>
      </c>
      <c r="C1637" s="6" t="s">
        <v>451</v>
      </c>
      <c r="D1637" s="6" t="s">
        <v>106</v>
      </c>
      <c r="E1637" s="11">
        <v>2.4341835975646973</v>
      </c>
      <c r="F1637" s="11">
        <v>1.2271959781646729</v>
      </c>
    </row>
    <row r="1638" spans="1:6" hidden="1" x14ac:dyDescent="0.3">
      <c r="A1638" s="6">
        <v>12</v>
      </c>
      <c r="B1638" s="6" t="s">
        <v>105</v>
      </c>
      <c r="C1638" s="6" t="s">
        <v>452</v>
      </c>
      <c r="D1638" s="6" t="s">
        <v>106</v>
      </c>
      <c r="E1638" s="11">
        <v>2.0239999294281006</v>
      </c>
      <c r="F1638" s="11">
        <v>1.2271959781646729</v>
      </c>
    </row>
    <row r="1639" spans="1:6" hidden="1" x14ac:dyDescent="0.3">
      <c r="A1639" s="6">
        <v>12</v>
      </c>
      <c r="B1639" s="6" t="s">
        <v>105</v>
      </c>
      <c r="C1639" s="6" t="s">
        <v>453</v>
      </c>
      <c r="D1639" s="6" t="s">
        <v>106</v>
      </c>
      <c r="E1639" s="11">
        <v>77.1656494140625</v>
      </c>
      <c r="F1639" s="11">
        <v>1.2271959781646729</v>
      </c>
    </row>
    <row r="1640" spans="1:6" hidden="1" x14ac:dyDescent="0.3">
      <c r="A1640" s="6">
        <v>12</v>
      </c>
      <c r="B1640" s="6" t="s">
        <v>105</v>
      </c>
      <c r="C1640" s="6" t="s">
        <v>454</v>
      </c>
      <c r="D1640" s="6" t="s">
        <v>106</v>
      </c>
      <c r="E1640" s="11"/>
      <c r="F1640" s="11">
        <v>1.2271959781646729</v>
      </c>
    </row>
    <row r="1641" spans="1:6" hidden="1" x14ac:dyDescent="0.3">
      <c r="A1641" s="6">
        <v>12</v>
      </c>
      <c r="B1641" s="6" t="s">
        <v>105</v>
      </c>
      <c r="C1641" s="6" t="s">
        <v>455</v>
      </c>
      <c r="D1641" s="6" t="s">
        <v>106</v>
      </c>
      <c r="E1641" s="11">
        <v>1.2791299819946289</v>
      </c>
      <c r="F1641" s="11">
        <v>1.2271959781646729</v>
      </c>
    </row>
    <row r="1642" spans="1:6" hidden="1" x14ac:dyDescent="0.3">
      <c r="A1642" s="6">
        <v>12</v>
      </c>
      <c r="B1642" s="6" t="s">
        <v>105</v>
      </c>
      <c r="C1642" s="6" t="s">
        <v>456</v>
      </c>
      <c r="D1642" s="6" t="s">
        <v>106</v>
      </c>
      <c r="E1642" s="11"/>
      <c r="F1642" s="11">
        <v>1.2271959781646729</v>
      </c>
    </row>
    <row r="1643" spans="1:6" hidden="1" x14ac:dyDescent="0.3">
      <c r="A1643" s="6">
        <v>12</v>
      </c>
      <c r="B1643" s="6" t="s">
        <v>105</v>
      </c>
      <c r="C1643" s="6" t="s">
        <v>457</v>
      </c>
      <c r="D1643" s="6" t="s">
        <v>106</v>
      </c>
      <c r="E1643" s="11">
        <v>2.504946231842041</v>
      </c>
      <c r="F1643" s="11">
        <v>1.2271959781646729</v>
      </c>
    </row>
    <row r="1644" spans="1:6" hidden="1" x14ac:dyDescent="0.3">
      <c r="A1644" s="6">
        <v>12</v>
      </c>
      <c r="B1644" s="6" t="s">
        <v>105</v>
      </c>
      <c r="C1644" s="6" t="s">
        <v>458</v>
      </c>
      <c r="D1644" s="6" t="s">
        <v>106</v>
      </c>
      <c r="E1644" s="11">
        <v>1.8552088737487793</v>
      </c>
      <c r="F1644" s="11">
        <v>1.2271959781646729</v>
      </c>
    </row>
    <row r="1645" spans="1:6" hidden="1" x14ac:dyDescent="0.3">
      <c r="A1645" s="6">
        <v>12</v>
      </c>
      <c r="B1645" s="6" t="s">
        <v>105</v>
      </c>
      <c r="C1645" s="6" t="s">
        <v>459</v>
      </c>
      <c r="D1645" s="6" t="s">
        <v>106</v>
      </c>
      <c r="E1645" s="11">
        <v>1.9353384971618652</v>
      </c>
      <c r="F1645" s="11">
        <v>1.2271959781646729</v>
      </c>
    </row>
    <row r="1646" spans="1:6" hidden="1" x14ac:dyDescent="0.3">
      <c r="A1646" s="6">
        <v>12</v>
      </c>
      <c r="B1646" s="6" t="s">
        <v>105</v>
      </c>
      <c r="C1646" s="6" t="s">
        <v>460</v>
      </c>
      <c r="D1646" s="6" t="s">
        <v>106</v>
      </c>
      <c r="E1646" s="11"/>
      <c r="F1646" s="11">
        <v>1.2271959781646729</v>
      </c>
    </row>
    <row r="1647" spans="1:6" hidden="1" x14ac:dyDescent="0.3">
      <c r="A1647" s="6">
        <v>12</v>
      </c>
      <c r="B1647" s="6" t="s">
        <v>105</v>
      </c>
      <c r="C1647" s="6" t="s">
        <v>461</v>
      </c>
      <c r="D1647" s="6" t="s">
        <v>106</v>
      </c>
      <c r="E1647" s="11">
        <v>0.89371222257614136</v>
      </c>
      <c r="F1647" s="11">
        <v>1.2271959781646729</v>
      </c>
    </row>
    <row r="1648" spans="1:6" hidden="1" x14ac:dyDescent="0.3">
      <c r="A1648" s="6">
        <v>12</v>
      </c>
      <c r="B1648" s="6" t="s">
        <v>105</v>
      </c>
      <c r="C1648" s="6" t="s">
        <v>462</v>
      </c>
      <c r="D1648" s="6" t="s">
        <v>106</v>
      </c>
      <c r="E1648" s="11">
        <v>0.7251315712928772</v>
      </c>
      <c r="F1648" s="11">
        <v>1.2271959781646729</v>
      </c>
    </row>
    <row r="1649" spans="1:6" hidden="1" x14ac:dyDescent="0.3">
      <c r="A1649" s="6">
        <v>12</v>
      </c>
      <c r="B1649" s="6" t="s">
        <v>105</v>
      </c>
      <c r="C1649" s="6" t="s">
        <v>463</v>
      </c>
      <c r="D1649" s="6" t="s">
        <v>106</v>
      </c>
      <c r="E1649" s="11">
        <v>1.3301008939743042</v>
      </c>
      <c r="F1649" s="11">
        <v>1.2271959781646729</v>
      </c>
    </row>
    <row r="1650" spans="1:6" hidden="1" x14ac:dyDescent="0.3">
      <c r="A1650" s="6">
        <v>12</v>
      </c>
      <c r="B1650" s="6" t="s">
        <v>105</v>
      </c>
      <c r="C1650" s="6" t="s">
        <v>464</v>
      </c>
      <c r="D1650" s="6" t="s">
        <v>106</v>
      </c>
      <c r="E1650" s="11">
        <v>1.4365381002426147</v>
      </c>
      <c r="F1650" s="11">
        <v>1.2271959781646729</v>
      </c>
    </row>
    <row r="1651" spans="1:6" hidden="1" x14ac:dyDescent="0.3">
      <c r="A1651" s="6">
        <v>12</v>
      </c>
      <c r="B1651" s="6" t="s">
        <v>105</v>
      </c>
      <c r="C1651" s="6" t="s">
        <v>465</v>
      </c>
      <c r="D1651" s="6" t="s">
        <v>106</v>
      </c>
      <c r="E1651" s="11">
        <v>1.3003931045532227</v>
      </c>
      <c r="F1651" s="11">
        <v>1.2271959781646729</v>
      </c>
    </row>
    <row r="1652" spans="1:6" hidden="1" x14ac:dyDescent="0.3">
      <c r="A1652" s="6">
        <v>12</v>
      </c>
      <c r="B1652" s="6" t="s">
        <v>105</v>
      </c>
      <c r="C1652" s="6" t="s">
        <v>466</v>
      </c>
      <c r="D1652" s="6" t="s">
        <v>106</v>
      </c>
      <c r="E1652" s="11">
        <v>1.028499960899353</v>
      </c>
      <c r="F1652" s="11">
        <v>1.2271959781646729</v>
      </c>
    </row>
    <row r="1653" spans="1:6" hidden="1" x14ac:dyDescent="0.3">
      <c r="A1653" s="6">
        <v>12</v>
      </c>
      <c r="B1653" s="6" t="s">
        <v>105</v>
      </c>
      <c r="C1653" s="6" t="s">
        <v>467</v>
      </c>
      <c r="D1653" s="6" t="s">
        <v>106</v>
      </c>
      <c r="E1653" s="11"/>
      <c r="F1653" s="11">
        <v>1.2271959781646729</v>
      </c>
    </row>
    <row r="1654" spans="1:6" hidden="1" x14ac:dyDescent="0.3">
      <c r="A1654" s="6">
        <v>12</v>
      </c>
      <c r="B1654" s="6" t="s">
        <v>105</v>
      </c>
      <c r="C1654" s="6" t="s">
        <v>468</v>
      </c>
      <c r="D1654" s="6" t="s">
        <v>106</v>
      </c>
      <c r="E1654" s="11">
        <v>1.7468985319137573</v>
      </c>
      <c r="F1654" s="11">
        <v>1.2271959781646729</v>
      </c>
    </row>
    <row r="1655" spans="1:6" hidden="1" x14ac:dyDescent="0.3">
      <c r="A1655" s="6">
        <v>12</v>
      </c>
      <c r="B1655" s="6" t="s">
        <v>105</v>
      </c>
      <c r="C1655" s="6" t="s">
        <v>469</v>
      </c>
      <c r="D1655" s="6" t="s">
        <v>106</v>
      </c>
      <c r="E1655" s="11">
        <v>0.81911444664001465</v>
      </c>
      <c r="F1655" s="11">
        <v>1.2271959781646729</v>
      </c>
    </row>
    <row r="1656" spans="1:6" hidden="1" x14ac:dyDescent="0.3">
      <c r="A1656" s="6">
        <v>12</v>
      </c>
      <c r="B1656" s="6" t="s">
        <v>105</v>
      </c>
      <c r="C1656" s="6" t="s">
        <v>470</v>
      </c>
      <c r="D1656" s="6" t="s">
        <v>106</v>
      </c>
      <c r="E1656" s="11">
        <v>1.3710081577301025</v>
      </c>
      <c r="F1656" s="11">
        <v>1.2271959781646729</v>
      </c>
    </row>
    <row r="1657" spans="1:6" hidden="1" x14ac:dyDescent="0.3">
      <c r="A1657" s="6">
        <v>12</v>
      </c>
      <c r="B1657" s="6" t="s">
        <v>105</v>
      </c>
      <c r="C1657" s="6" t="s">
        <v>471</v>
      </c>
      <c r="D1657" s="6" t="s">
        <v>106</v>
      </c>
      <c r="E1657" s="11">
        <v>1.5209012031555176</v>
      </c>
      <c r="F1657" s="11">
        <v>1.2271959781646729</v>
      </c>
    </row>
    <row r="1658" spans="1:6" hidden="1" x14ac:dyDescent="0.3">
      <c r="A1658" s="6">
        <v>12</v>
      </c>
      <c r="B1658" s="6" t="s">
        <v>105</v>
      </c>
      <c r="C1658" s="6" t="s">
        <v>472</v>
      </c>
      <c r="D1658" s="6" t="s">
        <v>106</v>
      </c>
      <c r="E1658" s="11">
        <v>1.592037558555603</v>
      </c>
      <c r="F1658" s="11">
        <v>1.2271959781646729</v>
      </c>
    </row>
    <row r="1659" spans="1:6" hidden="1" x14ac:dyDescent="0.3">
      <c r="A1659" s="6">
        <v>12</v>
      </c>
      <c r="B1659" s="6" t="s">
        <v>105</v>
      </c>
      <c r="C1659" s="6" t="s">
        <v>473</v>
      </c>
      <c r="D1659" s="6" t="s">
        <v>106</v>
      </c>
      <c r="E1659" s="11">
        <v>1.069175124168396</v>
      </c>
      <c r="F1659" s="11">
        <v>1.2271959781646729</v>
      </c>
    </row>
    <row r="1660" spans="1:6" hidden="1" x14ac:dyDescent="0.3">
      <c r="A1660" s="6">
        <v>12</v>
      </c>
      <c r="B1660" s="6" t="s">
        <v>105</v>
      </c>
      <c r="C1660" s="6" t="s">
        <v>474</v>
      </c>
      <c r="D1660" s="6" t="s">
        <v>106</v>
      </c>
      <c r="E1660" s="11">
        <v>5.4859776496887207</v>
      </c>
      <c r="F1660" s="11">
        <v>1.2271959781646729</v>
      </c>
    </row>
    <row r="1661" spans="1:6" hidden="1" x14ac:dyDescent="0.3">
      <c r="A1661" s="6">
        <v>12</v>
      </c>
      <c r="B1661" s="6" t="s">
        <v>105</v>
      </c>
      <c r="C1661" s="6" t="s">
        <v>475</v>
      </c>
      <c r="D1661" s="6" t="s">
        <v>106</v>
      </c>
      <c r="E1661" s="11">
        <v>1.0579001903533936</v>
      </c>
      <c r="F1661" s="11">
        <v>1.2271959781646729</v>
      </c>
    </row>
    <row r="1662" spans="1:6" hidden="1" x14ac:dyDescent="0.3">
      <c r="A1662" s="6">
        <v>12</v>
      </c>
      <c r="B1662" s="6" t="s">
        <v>105</v>
      </c>
      <c r="C1662" s="6" t="s">
        <v>476</v>
      </c>
      <c r="D1662" s="6" t="s">
        <v>106</v>
      </c>
      <c r="E1662" s="11">
        <v>1.221010684967041</v>
      </c>
      <c r="F1662" s="11">
        <v>1.2271959781646729</v>
      </c>
    </row>
    <row r="1663" spans="1:6" hidden="1" x14ac:dyDescent="0.3">
      <c r="A1663" s="6">
        <v>12</v>
      </c>
      <c r="B1663" s="6" t="s">
        <v>105</v>
      </c>
      <c r="C1663" s="6" t="s">
        <v>477</v>
      </c>
      <c r="D1663" s="6" t="s">
        <v>106</v>
      </c>
      <c r="E1663" s="11">
        <v>0.81538814306259155</v>
      </c>
      <c r="F1663" s="11">
        <v>1.2271959781646729</v>
      </c>
    </row>
    <row r="1664" spans="1:6" hidden="1" x14ac:dyDescent="0.3">
      <c r="A1664" s="6">
        <v>12</v>
      </c>
      <c r="B1664" s="6" t="s">
        <v>105</v>
      </c>
      <c r="C1664" s="6" t="s">
        <v>478</v>
      </c>
      <c r="D1664" s="6" t="s">
        <v>106</v>
      </c>
      <c r="E1664" s="11">
        <v>1.2181688547134399</v>
      </c>
      <c r="F1664" s="11">
        <v>1.2271959781646729</v>
      </c>
    </row>
    <row r="1665" spans="1:6" hidden="1" x14ac:dyDescent="0.3">
      <c r="A1665" s="6">
        <v>12</v>
      </c>
      <c r="B1665" s="6" t="s">
        <v>105</v>
      </c>
      <c r="C1665" s="6" t="s">
        <v>479</v>
      </c>
      <c r="D1665" s="6" t="s">
        <v>106</v>
      </c>
      <c r="E1665" s="11">
        <v>1.8247246742248535</v>
      </c>
      <c r="F1665" s="11">
        <v>1.2271959781646729</v>
      </c>
    </row>
    <row r="1666" spans="1:6" hidden="1" x14ac:dyDescent="0.3">
      <c r="A1666" s="6">
        <v>12</v>
      </c>
      <c r="B1666" s="6" t="s">
        <v>105</v>
      </c>
      <c r="C1666" s="6" t="s">
        <v>480</v>
      </c>
      <c r="D1666" s="6" t="s">
        <v>106</v>
      </c>
      <c r="E1666" s="11">
        <v>2.1478285789489746</v>
      </c>
      <c r="F1666" s="11">
        <v>1.2271959781646729</v>
      </c>
    </row>
    <row r="1667" spans="1:6" hidden="1" x14ac:dyDescent="0.3">
      <c r="A1667" s="6">
        <v>12</v>
      </c>
      <c r="B1667" s="6" t="s">
        <v>105</v>
      </c>
      <c r="C1667" s="6" t="s">
        <v>481</v>
      </c>
      <c r="D1667" s="6" t="s">
        <v>106</v>
      </c>
      <c r="E1667" s="11">
        <v>1.1259958744049072</v>
      </c>
      <c r="F1667" s="11">
        <v>1.2271959781646729</v>
      </c>
    </row>
    <row r="1668" spans="1:6" hidden="1" x14ac:dyDescent="0.3">
      <c r="A1668" s="6">
        <v>12</v>
      </c>
      <c r="B1668" s="6" t="s">
        <v>105</v>
      </c>
      <c r="C1668" s="6" t="s">
        <v>482</v>
      </c>
      <c r="D1668" s="6" t="s">
        <v>106</v>
      </c>
      <c r="E1668" s="11">
        <v>5.379000186920166</v>
      </c>
      <c r="F1668" s="11">
        <v>1.2271959781646729</v>
      </c>
    </row>
    <row r="1669" spans="1:6" hidden="1" x14ac:dyDescent="0.3">
      <c r="A1669" s="6">
        <v>12</v>
      </c>
      <c r="B1669" s="6" t="s">
        <v>105</v>
      </c>
      <c r="C1669" s="6" t="s">
        <v>483</v>
      </c>
      <c r="D1669" s="6" t="s">
        <v>106</v>
      </c>
      <c r="E1669" s="11">
        <v>1.3365809917449951</v>
      </c>
      <c r="F1669" s="11">
        <v>1.2271959781646729</v>
      </c>
    </row>
    <row r="1670" spans="1:6" hidden="1" x14ac:dyDescent="0.3">
      <c r="A1670" s="6">
        <v>12</v>
      </c>
      <c r="B1670" s="6" t="s">
        <v>105</v>
      </c>
      <c r="C1670" s="6" t="s">
        <v>484</v>
      </c>
      <c r="D1670" s="6" t="s">
        <v>106</v>
      </c>
      <c r="E1670" s="11">
        <v>1.0175801515579224</v>
      </c>
      <c r="F1670" s="11">
        <v>1.2271959781646729</v>
      </c>
    </row>
    <row r="1671" spans="1:6" hidden="1" x14ac:dyDescent="0.3">
      <c r="A1671" s="6">
        <v>12</v>
      </c>
      <c r="B1671" s="6" t="s">
        <v>105</v>
      </c>
      <c r="C1671" s="6" t="s">
        <v>485</v>
      </c>
      <c r="D1671" s="6" t="s">
        <v>106</v>
      </c>
      <c r="E1671" s="11">
        <v>2.4267280101776123</v>
      </c>
      <c r="F1671" s="11">
        <v>1.2271959781646729</v>
      </c>
    </row>
    <row r="1672" spans="1:6" hidden="1" x14ac:dyDescent="0.3">
      <c r="A1672" s="6">
        <v>12</v>
      </c>
      <c r="B1672" s="6" t="s">
        <v>105</v>
      </c>
      <c r="C1672" s="6" t="s">
        <v>486</v>
      </c>
      <c r="D1672" s="6" t="s">
        <v>106</v>
      </c>
      <c r="E1672" s="11">
        <v>0.80860656499862671</v>
      </c>
      <c r="F1672" s="11">
        <v>1.2271959781646729</v>
      </c>
    </row>
    <row r="1673" spans="1:6" hidden="1" x14ac:dyDescent="0.3">
      <c r="A1673" s="6">
        <v>12</v>
      </c>
      <c r="B1673" s="6" t="s">
        <v>105</v>
      </c>
      <c r="C1673" s="6" t="s">
        <v>487</v>
      </c>
      <c r="D1673" s="6" t="s">
        <v>106</v>
      </c>
      <c r="E1673" s="11">
        <v>1.4593815803527832</v>
      </c>
      <c r="F1673" s="11">
        <v>1.2271959781646729</v>
      </c>
    </row>
    <row r="1674" spans="1:6" hidden="1" x14ac:dyDescent="0.3">
      <c r="A1674" s="6">
        <v>12</v>
      </c>
      <c r="B1674" s="6" t="s">
        <v>105</v>
      </c>
      <c r="C1674" s="6" t="s">
        <v>488</v>
      </c>
      <c r="D1674" s="6" t="s">
        <v>106</v>
      </c>
      <c r="E1674" s="11">
        <v>1.1977978944778442</v>
      </c>
      <c r="F1674" s="11">
        <v>1.2271959781646729</v>
      </c>
    </row>
    <row r="1675" spans="1:6" hidden="1" x14ac:dyDescent="0.3">
      <c r="A1675" s="6">
        <v>12</v>
      </c>
      <c r="B1675" s="6" t="s">
        <v>105</v>
      </c>
      <c r="C1675" s="6" t="s">
        <v>489</v>
      </c>
      <c r="D1675" s="6" t="s">
        <v>106</v>
      </c>
      <c r="E1675" s="11">
        <v>2.6299948692321777</v>
      </c>
      <c r="F1675" s="11">
        <v>1.2271959781646729</v>
      </c>
    </row>
    <row r="1676" spans="1:6" hidden="1" x14ac:dyDescent="0.3">
      <c r="A1676" s="6">
        <v>12</v>
      </c>
      <c r="B1676" s="6" t="s">
        <v>105</v>
      </c>
      <c r="C1676" s="6" t="s">
        <v>490</v>
      </c>
      <c r="D1676" s="6" t="s">
        <v>106</v>
      </c>
      <c r="E1676" s="11">
        <v>1.1288444995880127</v>
      </c>
      <c r="F1676" s="11">
        <v>1.2271959781646729</v>
      </c>
    </row>
    <row r="1677" spans="1:6" hidden="1" x14ac:dyDescent="0.3">
      <c r="A1677" s="6">
        <v>12</v>
      </c>
      <c r="B1677" s="6" t="s">
        <v>105</v>
      </c>
      <c r="C1677" s="6" t="s">
        <v>491</v>
      </c>
      <c r="D1677" s="6" t="s">
        <v>106</v>
      </c>
      <c r="E1677" s="11">
        <v>1.6525032520294189</v>
      </c>
      <c r="F1677" s="11">
        <v>1.2271959781646729</v>
      </c>
    </row>
    <row r="1678" spans="1:6" hidden="1" x14ac:dyDescent="0.3">
      <c r="A1678" s="6">
        <v>12</v>
      </c>
      <c r="B1678" s="6" t="s">
        <v>105</v>
      </c>
      <c r="C1678" s="6" t="s">
        <v>492</v>
      </c>
      <c r="D1678" s="6" t="s">
        <v>106</v>
      </c>
      <c r="E1678" s="11">
        <v>1.8265902996063232</v>
      </c>
      <c r="F1678" s="11">
        <v>1.2271959781646729</v>
      </c>
    </row>
    <row r="1679" spans="1:6" hidden="1" x14ac:dyDescent="0.3">
      <c r="A1679" s="6">
        <v>12</v>
      </c>
      <c r="B1679" s="6" t="s">
        <v>105</v>
      </c>
      <c r="C1679" s="6" t="s">
        <v>493</v>
      </c>
      <c r="D1679" s="6" t="s">
        <v>106</v>
      </c>
      <c r="E1679" s="11">
        <v>1.6070672273635864</v>
      </c>
      <c r="F1679" s="11">
        <v>1.2271959781646729</v>
      </c>
    </row>
    <row r="1680" spans="1:6" hidden="1" x14ac:dyDescent="0.3">
      <c r="A1680" s="6">
        <v>12</v>
      </c>
      <c r="B1680" s="6" t="s">
        <v>105</v>
      </c>
      <c r="C1680" s="6" t="s">
        <v>494</v>
      </c>
      <c r="D1680" s="6" t="s">
        <v>106</v>
      </c>
      <c r="E1680" s="11">
        <v>2.4137141704559326</v>
      </c>
      <c r="F1680" s="11">
        <v>1.2271959781646729</v>
      </c>
    </row>
    <row r="1681" spans="1:6" hidden="1" x14ac:dyDescent="0.3">
      <c r="A1681" s="6">
        <v>12</v>
      </c>
      <c r="B1681" s="6" t="s">
        <v>105</v>
      </c>
      <c r="C1681" s="6" t="s">
        <v>495</v>
      </c>
      <c r="D1681" s="6" t="s">
        <v>106</v>
      </c>
      <c r="E1681" s="11">
        <v>51.170951843261719</v>
      </c>
      <c r="F1681" s="11">
        <v>1.2271959781646729</v>
      </c>
    </row>
    <row r="1682" spans="1:6" hidden="1" x14ac:dyDescent="0.3">
      <c r="A1682" s="6">
        <v>13</v>
      </c>
      <c r="B1682" s="6" t="s">
        <v>107</v>
      </c>
      <c r="C1682" s="6" t="s">
        <v>356</v>
      </c>
      <c r="D1682" s="6" t="s">
        <v>108</v>
      </c>
      <c r="E1682" s="11">
        <v>0.50608664751052856</v>
      </c>
      <c r="F1682" s="11">
        <v>0.65615624189376831</v>
      </c>
    </row>
    <row r="1683" spans="1:6" hidden="1" x14ac:dyDescent="0.3">
      <c r="A1683" s="6">
        <v>13</v>
      </c>
      <c r="B1683" s="6" t="s">
        <v>107</v>
      </c>
      <c r="C1683" s="6" t="s">
        <v>357</v>
      </c>
      <c r="D1683" s="6" t="s">
        <v>108</v>
      </c>
      <c r="E1683" s="11">
        <v>5.1149487495422363</v>
      </c>
      <c r="F1683" s="11">
        <v>0.65615624189376831</v>
      </c>
    </row>
    <row r="1684" spans="1:6" hidden="1" x14ac:dyDescent="0.3">
      <c r="A1684" s="6">
        <v>13</v>
      </c>
      <c r="B1684" s="6" t="s">
        <v>107</v>
      </c>
      <c r="C1684" s="6" t="s">
        <v>358</v>
      </c>
      <c r="D1684" s="6" t="s">
        <v>108</v>
      </c>
      <c r="E1684" s="11">
        <v>0.62527471780776978</v>
      </c>
      <c r="F1684" s="11">
        <v>0.65615624189376831</v>
      </c>
    </row>
    <row r="1685" spans="1:6" hidden="1" x14ac:dyDescent="0.3">
      <c r="A1685" s="6">
        <v>13</v>
      </c>
      <c r="B1685" s="6" t="s">
        <v>107</v>
      </c>
      <c r="C1685" s="6" t="s">
        <v>359</v>
      </c>
      <c r="D1685" s="6" t="s">
        <v>108</v>
      </c>
      <c r="E1685" s="11">
        <v>0.75770610570907593</v>
      </c>
      <c r="F1685" s="11">
        <v>0.65615624189376831</v>
      </c>
    </row>
    <row r="1686" spans="1:6" hidden="1" x14ac:dyDescent="0.3">
      <c r="A1686" s="6">
        <v>13</v>
      </c>
      <c r="B1686" s="6" t="s">
        <v>107</v>
      </c>
      <c r="C1686" s="6" t="s">
        <v>360</v>
      </c>
      <c r="D1686" s="6" t="s">
        <v>108</v>
      </c>
      <c r="E1686" s="11">
        <v>0.82916861772537231</v>
      </c>
      <c r="F1686" s="11">
        <v>0.65615624189376831</v>
      </c>
    </row>
    <row r="1687" spans="1:6" hidden="1" x14ac:dyDescent="0.3">
      <c r="A1687" s="6">
        <v>13</v>
      </c>
      <c r="B1687" s="6" t="s">
        <v>107</v>
      </c>
      <c r="C1687" s="6" t="s">
        <v>361</v>
      </c>
      <c r="D1687" s="6" t="s">
        <v>108</v>
      </c>
      <c r="E1687" s="11">
        <v>0.62057262659072876</v>
      </c>
      <c r="F1687" s="11">
        <v>0.65615624189376831</v>
      </c>
    </row>
    <row r="1688" spans="1:6" hidden="1" x14ac:dyDescent="0.3">
      <c r="A1688" s="6">
        <v>13</v>
      </c>
      <c r="B1688" s="6" t="s">
        <v>107</v>
      </c>
      <c r="C1688" s="6" t="s">
        <v>362</v>
      </c>
      <c r="D1688" s="6" t="s">
        <v>108</v>
      </c>
      <c r="E1688" s="11">
        <v>0.51565593481063843</v>
      </c>
      <c r="F1688" s="11">
        <v>0.65615624189376831</v>
      </c>
    </row>
    <row r="1689" spans="1:6" hidden="1" x14ac:dyDescent="0.3">
      <c r="A1689" s="6">
        <v>13</v>
      </c>
      <c r="B1689" s="6" t="s">
        <v>107</v>
      </c>
      <c r="C1689" s="6" t="s">
        <v>363</v>
      </c>
      <c r="D1689" s="6" t="s">
        <v>108</v>
      </c>
      <c r="E1689" s="11">
        <v>0.5657200813293457</v>
      </c>
      <c r="F1689" s="11">
        <v>0.65615624189376831</v>
      </c>
    </row>
    <row r="1690" spans="1:6" hidden="1" x14ac:dyDescent="0.3">
      <c r="A1690" s="6">
        <v>13</v>
      </c>
      <c r="B1690" s="6" t="s">
        <v>107</v>
      </c>
      <c r="C1690" s="6" t="s">
        <v>364</v>
      </c>
      <c r="D1690" s="6" t="s">
        <v>108</v>
      </c>
      <c r="E1690" s="11">
        <v>0.75802463293075562</v>
      </c>
      <c r="F1690" s="11">
        <v>0.65615624189376831</v>
      </c>
    </row>
    <row r="1691" spans="1:6" hidden="1" x14ac:dyDescent="0.3">
      <c r="A1691" s="6">
        <v>13</v>
      </c>
      <c r="B1691" s="6" t="s">
        <v>107</v>
      </c>
      <c r="C1691" s="6" t="s">
        <v>365</v>
      </c>
      <c r="D1691" s="6" t="s">
        <v>108</v>
      </c>
      <c r="E1691" s="11">
        <v>0.49483746290206909</v>
      </c>
      <c r="F1691" s="11">
        <v>0.65615624189376831</v>
      </c>
    </row>
    <row r="1692" spans="1:6" hidden="1" x14ac:dyDescent="0.3">
      <c r="A1692" s="6">
        <v>13</v>
      </c>
      <c r="B1692" s="6" t="s">
        <v>107</v>
      </c>
      <c r="C1692" s="6" t="s">
        <v>366</v>
      </c>
      <c r="D1692" s="6" t="s">
        <v>108</v>
      </c>
      <c r="E1692" s="11">
        <v>0.692207932472229</v>
      </c>
      <c r="F1692" s="11">
        <v>0.65615624189376831</v>
      </c>
    </row>
    <row r="1693" spans="1:6" hidden="1" x14ac:dyDescent="0.3">
      <c r="A1693" s="6">
        <v>13</v>
      </c>
      <c r="B1693" s="6" t="s">
        <v>107</v>
      </c>
      <c r="C1693" s="6" t="s">
        <v>367</v>
      </c>
      <c r="D1693" s="6" t="s">
        <v>108</v>
      </c>
      <c r="E1693" s="11">
        <v>0.99765175580978394</v>
      </c>
      <c r="F1693" s="11">
        <v>0.65615624189376831</v>
      </c>
    </row>
    <row r="1694" spans="1:6" hidden="1" x14ac:dyDescent="0.3">
      <c r="A1694" s="6">
        <v>13</v>
      </c>
      <c r="B1694" s="6" t="s">
        <v>107</v>
      </c>
      <c r="C1694" s="6" t="s">
        <v>368</v>
      </c>
      <c r="D1694" s="6" t="s">
        <v>108</v>
      </c>
      <c r="E1694" s="11">
        <v>13.960000038146973</v>
      </c>
      <c r="F1694" s="11">
        <v>0.65615624189376831</v>
      </c>
    </row>
    <row r="1695" spans="1:6" hidden="1" x14ac:dyDescent="0.3">
      <c r="A1695" s="6">
        <v>13</v>
      </c>
      <c r="B1695" s="6" t="s">
        <v>107</v>
      </c>
      <c r="C1695" s="6" t="s">
        <v>369</v>
      </c>
      <c r="D1695" s="6" t="s">
        <v>108</v>
      </c>
      <c r="E1695" s="11">
        <v>0.64452332258224487</v>
      </c>
      <c r="F1695" s="11">
        <v>0.65615624189376831</v>
      </c>
    </row>
    <row r="1696" spans="1:6" hidden="1" x14ac:dyDescent="0.3">
      <c r="A1696" s="6">
        <v>13</v>
      </c>
      <c r="B1696" s="6" t="s">
        <v>107</v>
      </c>
      <c r="C1696" s="6" t="s">
        <v>370</v>
      </c>
      <c r="D1696" s="6" t="s">
        <v>108</v>
      </c>
      <c r="E1696" s="11">
        <v>1.0613188743591309</v>
      </c>
      <c r="F1696" s="11">
        <v>0.65615624189376831</v>
      </c>
    </row>
    <row r="1697" spans="1:6" hidden="1" x14ac:dyDescent="0.3">
      <c r="A1697" s="6">
        <v>13</v>
      </c>
      <c r="B1697" s="6" t="s">
        <v>107</v>
      </c>
      <c r="C1697" s="6" t="s">
        <v>371</v>
      </c>
      <c r="D1697" s="6" t="s">
        <v>108</v>
      </c>
      <c r="E1697" s="11">
        <v>0.92802292108535767</v>
      </c>
      <c r="F1697" s="11">
        <v>0.65615624189376831</v>
      </c>
    </row>
    <row r="1698" spans="1:6" hidden="1" x14ac:dyDescent="0.3">
      <c r="A1698" s="6">
        <v>13</v>
      </c>
      <c r="B1698" s="6" t="s">
        <v>107</v>
      </c>
      <c r="C1698" s="6" t="s">
        <v>372</v>
      </c>
      <c r="D1698" s="6" t="s">
        <v>108</v>
      </c>
      <c r="E1698" s="11">
        <v>1.4049190282821655</v>
      </c>
      <c r="F1698" s="11">
        <v>0.65615624189376831</v>
      </c>
    </row>
    <row r="1699" spans="1:6" hidden="1" x14ac:dyDescent="0.3">
      <c r="A1699" s="6">
        <v>13</v>
      </c>
      <c r="B1699" s="6" t="s">
        <v>107</v>
      </c>
      <c r="C1699" s="6" t="s">
        <v>373</v>
      </c>
      <c r="D1699" s="6" t="s">
        <v>108</v>
      </c>
      <c r="E1699" s="11">
        <v>0.64367341995239258</v>
      </c>
      <c r="F1699" s="11">
        <v>0.65615624189376831</v>
      </c>
    </row>
    <row r="1700" spans="1:6" hidden="1" x14ac:dyDescent="0.3">
      <c r="A1700" s="6">
        <v>13</v>
      </c>
      <c r="B1700" s="6" t="s">
        <v>107</v>
      </c>
      <c r="C1700" s="6" t="s">
        <v>374</v>
      </c>
      <c r="D1700" s="6" t="s">
        <v>108</v>
      </c>
      <c r="E1700" s="11">
        <v>0.85921144485473633</v>
      </c>
      <c r="F1700" s="11">
        <v>0.65615624189376831</v>
      </c>
    </row>
    <row r="1701" spans="1:6" hidden="1" x14ac:dyDescent="0.3">
      <c r="A1701" s="6">
        <v>13</v>
      </c>
      <c r="B1701" s="6" t="s">
        <v>107</v>
      </c>
      <c r="C1701" s="6" t="s">
        <v>375</v>
      </c>
      <c r="D1701" s="6" t="s">
        <v>108</v>
      </c>
      <c r="E1701" s="11">
        <v>0.70411795377731323</v>
      </c>
      <c r="F1701" s="11">
        <v>0.65615624189376831</v>
      </c>
    </row>
    <row r="1702" spans="1:6" hidden="1" x14ac:dyDescent="0.3">
      <c r="A1702" s="6">
        <v>13</v>
      </c>
      <c r="B1702" s="6" t="s">
        <v>107</v>
      </c>
      <c r="C1702" s="6" t="s">
        <v>376</v>
      </c>
      <c r="D1702" s="6" t="s">
        <v>108</v>
      </c>
      <c r="E1702" s="11">
        <v>0.73878133296966553</v>
      </c>
      <c r="F1702" s="11">
        <v>0.65615624189376831</v>
      </c>
    </row>
    <row r="1703" spans="1:6" hidden="1" x14ac:dyDescent="0.3">
      <c r="A1703" s="6">
        <v>13</v>
      </c>
      <c r="B1703" s="6" t="s">
        <v>107</v>
      </c>
      <c r="C1703" s="6" t="s">
        <v>377</v>
      </c>
      <c r="D1703" s="6" t="s">
        <v>108</v>
      </c>
      <c r="E1703" s="11">
        <v>0.80605429410934448</v>
      </c>
      <c r="F1703" s="11">
        <v>0.65615624189376831</v>
      </c>
    </row>
    <row r="1704" spans="1:6" hidden="1" x14ac:dyDescent="0.3">
      <c r="A1704" s="6">
        <v>13</v>
      </c>
      <c r="B1704" s="6" t="s">
        <v>107</v>
      </c>
      <c r="C1704" s="6" t="s">
        <v>378</v>
      </c>
      <c r="D1704" s="6" t="s">
        <v>108</v>
      </c>
      <c r="E1704" s="11">
        <v>1.5175153017044067</v>
      </c>
      <c r="F1704" s="11">
        <v>0.65615624189376831</v>
      </c>
    </row>
    <row r="1705" spans="1:6" hidden="1" x14ac:dyDescent="0.3">
      <c r="A1705" s="6">
        <v>13</v>
      </c>
      <c r="B1705" s="6" t="s">
        <v>107</v>
      </c>
      <c r="C1705" s="6" t="s">
        <v>379</v>
      </c>
      <c r="D1705" s="6" t="s">
        <v>108</v>
      </c>
      <c r="E1705" s="11">
        <v>0.86025214195251465</v>
      </c>
      <c r="F1705" s="11">
        <v>0.65615624189376831</v>
      </c>
    </row>
    <row r="1706" spans="1:6" hidden="1" x14ac:dyDescent="0.3">
      <c r="A1706" s="6">
        <v>13</v>
      </c>
      <c r="B1706" s="6" t="s">
        <v>107</v>
      </c>
      <c r="C1706" s="6" t="s">
        <v>380</v>
      </c>
      <c r="D1706" s="6" t="s">
        <v>108</v>
      </c>
      <c r="E1706" s="11">
        <v>0.49363866448402405</v>
      </c>
      <c r="F1706" s="11">
        <v>0.65615624189376831</v>
      </c>
    </row>
    <row r="1707" spans="1:6" hidden="1" x14ac:dyDescent="0.3">
      <c r="A1707" s="6">
        <v>13</v>
      </c>
      <c r="B1707" s="6" t="s">
        <v>107</v>
      </c>
      <c r="C1707" s="6" t="s">
        <v>381</v>
      </c>
      <c r="D1707" s="6" t="s">
        <v>108</v>
      </c>
      <c r="E1707" s="11">
        <v>0.46790120005607605</v>
      </c>
      <c r="F1707" s="11">
        <v>0.65615624189376831</v>
      </c>
    </row>
    <row r="1708" spans="1:6" hidden="1" x14ac:dyDescent="0.3">
      <c r="A1708" s="6">
        <v>13</v>
      </c>
      <c r="B1708" s="6" t="s">
        <v>107</v>
      </c>
      <c r="C1708" s="6" t="s">
        <v>382</v>
      </c>
      <c r="D1708" s="6" t="s">
        <v>108</v>
      </c>
      <c r="E1708" s="11">
        <v>0.83517849445343018</v>
      </c>
      <c r="F1708" s="11">
        <v>0.65615624189376831</v>
      </c>
    </row>
    <row r="1709" spans="1:6" hidden="1" x14ac:dyDescent="0.3">
      <c r="A1709" s="6">
        <v>13</v>
      </c>
      <c r="B1709" s="6" t="s">
        <v>107</v>
      </c>
      <c r="C1709" s="6" t="s">
        <v>383</v>
      </c>
      <c r="D1709" s="6" t="s">
        <v>108</v>
      </c>
      <c r="E1709" s="11">
        <v>0.69803702831268311</v>
      </c>
      <c r="F1709" s="11">
        <v>0.65615624189376831</v>
      </c>
    </row>
    <row r="1710" spans="1:6" hidden="1" x14ac:dyDescent="0.3">
      <c r="A1710" s="6">
        <v>13</v>
      </c>
      <c r="B1710" s="6" t="s">
        <v>107</v>
      </c>
      <c r="C1710" s="6" t="s">
        <v>384</v>
      </c>
      <c r="D1710" s="6" t="s">
        <v>108</v>
      </c>
      <c r="E1710" s="11">
        <v>0.65756076574325562</v>
      </c>
      <c r="F1710" s="11">
        <v>0.65615624189376831</v>
      </c>
    </row>
    <row r="1711" spans="1:6" hidden="1" x14ac:dyDescent="0.3">
      <c r="A1711" s="6">
        <v>13</v>
      </c>
      <c r="B1711" s="6" t="s">
        <v>107</v>
      </c>
      <c r="C1711" s="6" t="s">
        <v>385</v>
      </c>
      <c r="D1711" s="6" t="s">
        <v>108</v>
      </c>
      <c r="E1711" s="11">
        <v>0.84355497360229492</v>
      </c>
      <c r="F1711" s="11">
        <v>0.65615624189376831</v>
      </c>
    </row>
    <row r="1712" spans="1:6" hidden="1" x14ac:dyDescent="0.3">
      <c r="A1712" s="6">
        <v>13</v>
      </c>
      <c r="B1712" s="6" t="s">
        <v>107</v>
      </c>
      <c r="C1712" s="6" t="s">
        <v>386</v>
      </c>
      <c r="D1712" s="6" t="s">
        <v>108</v>
      </c>
      <c r="E1712" s="11">
        <v>0.4555945098400116</v>
      </c>
      <c r="F1712" s="11">
        <v>0.65615624189376831</v>
      </c>
    </row>
    <row r="1713" spans="1:6" hidden="1" x14ac:dyDescent="0.3">
      <c r="A1713" s="6">
        <v>13</v>
      </c>
      <c r="B1713" s="6" t="s">
        <v>107</v>
      </c>
      <c r="C1713" s="6" t="s">
        <v>387</v>
      </c>
      <c r="D1713" s="6" t="s">
        <v>108</v>
      </c>
      <c r="E1713" s="11">
        <v>0.67365342378616333</v>
      </c>
      <c r="F1713" s="11">
        <v>0.65615624189376831</v>
      </c>
    </row>
    <row r="1714" spans="1:6" hidden="1" x14ac:dyDescent="0.3">
      <c r="A1714" s="6">
        <v>13</v>
      </c>
      <c r="B1714" s="6" t="s">
        <v>107</v>
      </c>
      <c r="C1714" s="6" t="s">
        <v>388</v>
      </c>
      <c r="D1714" s="6" t="s">
        <v>108</v>
      </c>
      <c r="E1714" s="11">
        <v>1.0891286134719849</v>
      </c>
      <c r="F1714" s="11">
        <v>0.65615624189376831</v>
      </c>
    </row>
    <row r="1715" spans="1:6" hidden="1" x14ac:dyDescent="0.3">
      <c r="A1715" s="6">
        <v>13</v>
      </c>
      <c r="B1715" s="6" t="s">
        <v>107</v>
      </c>
      <c r="C1715" s="6" t="s">
        <v>389</v>
      </c>
      <c r="D1715" s="6" t="s">
        <v>108</v>
      </c>
      <c r="E1715" s="11">
        <v>0.49328270554542542</v>
      </c>
      <c r="F1715" s="11">
        <v>0.65615624189376831</v>
      </c>
    </row>
    <row r="1716" spans="1:6" hidden="1" x14ac:dyDescent="0.3">
      <c r="A1716" s="6">
        <v>13</v>
      </c>
      <c r="B1716" s="6" t="s">
        <v>107</v>
      </c>
      <c r="C1716" s="6" t="s">
        <v>390</v>
      </c>
      <c r="D1716" s="6" t="s">
        <v>108</v>
      </c>
      <c r="E1716" s="11">
        <v>0.84963250160217285</v>
      </c>
      <c r="F1716" s="11">
        <v>0.65615624189376831</v>
      </c>
    </row>
    <row r="1717" spans="1:6" hidden="1" x14ac:dyDescent="0.3">
      <c r="A1717" s="6">
        <v>13</v>
      </c>
      <c r="B1717" s="6" t="s">
        <v>107</v>
      </c>
      <c r="C1717" s="6" t="s">
        <v>391</v>
      </c>
      <c r="D1717" s="6" t="s">
        <v>108</v>
      </c>
      <c r="E1717" s="11">
        <v>0.41998776793479919</v>
      </c>
      <c r="F1717" s="11">
        <v>0.65615624189376831</v>
      </c>
    </row>
    <row r="1718" spans="1:6" hidden="1" x14ac:dyDescent="0.3">
      <c r="A1718" s="6">
        <v>13</v>
      </c>
      <c r="B1718" s="6" t="s">
        <v>107</v>
      </c>
      <c r="C1718" s="6" t="s">
        <v>392</v>
      </c>
      <c r="D1718" s="6" t="s">
        <v>108</v>
      </c>
      <c r="E1718" s="11">
        <v>0.50502991676330566</v>
      </c>
      <c r="F1718" s="11">
        <v>0.65615624189376831</v>
      </c>
    </row>
    <row r="1719" spans="1:6" hidden="1" x14ac:dyDescent="0.3">
      <c r="A1719" s="6">
        <v>13</v>
      </c>
      <c r="B1719" s="6" t="s">
        <v>107</v>
      </c>
      <c r="C1719" s="6" t="s">
        <v>393</v>
      </c>
      <c r="D1719" s="6" t="s">
        <v>108</v>
      </c>
      <c r="E1719" s="11">
        <v>0.62560105323791504</v>
      </c>
      <c r="F1719" s="11">
        <v>0.65615624189376831</v>
      </c>
    </row>
    <row r="1720" spans="1:6" hidden="1" x14ac:dyDescent="0.3">
      <c r="A1720" s="6">
        <v>13</v>
      </c>
      <c r="B1720" s="6" t="s">
        <v>107</v>
      </c>
      <c r="C1720" s="6" t="s">
        <v>394</v>
      </c>
      <c r="D1720" s="6" t="s">
        <v>108</v>
      </c>
      <c r="E1720" s="11">
        <v>0.7609366774559021</v>
      </c>
      <c r="F1720" s="11">
        <v>0.65615624189376831</v>
      </c>
    </row>
    <row r="1721" spans="1:6" hidden="1" x14ac:dyDescent="0.3">
      <c r="A1721" s="6">
        <v>13</v>
      </c>
      <c r="B1721" s="6" t="s">
        <v>107</v>
      </c>
      <c r="C1721" s="6" t="s">
        <v>395</v>
      </c>
      <c r="D1721" s="6" t="s">
        <v>108</v>
      </c>
      <c r="E1721" s="11">
        <v>0.68335986137390137</v>
      </c>
      <c r="F1721" s="11">
        <v>0.65615624189376831</v>
      </c>
    </row>
    <row r="1722" spans="1:6" hidden="1" x14ac:dyDescent="0.3">
      <c r="A1722" s="6">
        <v>13</v>
      </c>
      <c r="B1722" s="6" t="s">
        <v>107</v>
      </c>
      <c r="C1722" s="6" t="s">
        <v>396</v>
      </c>
      <c r="D1722" s="6" t="s">
        <v>108</v>
      </c>
      <c r="E1722" s="11">
        <v>0.87797290086746216</v>
      </c>
      <c r="F1722" s="11">
        <v>0.65615624189376831</v>
      </c>
    </row>
    <row r="1723" spans="1:6" hidden="1" x14ac:dyDescent="0.3">
      <c r="A1723" s="6">
        <v>13</v>
      </c>
      <c r="B1723" s="6" t="s">
        <v>107</v>
      </c>
      <c r="C1723" s="6" t="s">
        <v>397</v>
      </c>
      <c r="D1723" s="6" t="s">
        <v>108</v>
      </c>
      <c r="E1723" s="11">
        <v>0.54486912488937378</v>
      </c>
      <c r="F1723" s="11">
        <v>0.65615624189376831</v>
      </c>
    </row>
    <row r="1724" spans="1:6" hidden="1" x14ac:dyDescent="0.3">
      <c r="A1724" s="6">
        <v>13</v>
      </c>
      <c r="B1724" s="6" t="s">
        <v>107</v>
      </c>
      <c r="C1724" s="6" t="s">
        <v>398</v>
      </c>
      <c r="D1724" s="6" t="s">
        <v>108</v>
      </c>
      <c r="E1724" s="11">
        <v>0.83267718553543091</v>
      </c>
      <c r="F1724" s="11">
        <v>0.65615624189376831</v>
      </c>
    </row>
    <row r="1725" spans="1:6" hidden="1" x14ac:dyDescent="0.3">
      <c r="A1725" s="6">
        <v>13</v>
      </c>
      <c r="B1725" s="6" t="s">
        <v>107</v>
      </c>
      <c r="C1725" s="6" t="s">
        <v>399</v>
      </c>
      <c r="D1725" s="6" t="s">
        <v>108</v>
      </c>
      <c r="E1725" s="11">
        <v>1.2515963315963745</v>
      </c>
      <c r="F1725" s="11">
        <v>0.65615624189376831</v>
      </c>
    </row>
    <row r="1726" spans="1:6" hidden="1" x14ac:dyDescent="0.3">
      <c r="A1726" s="6">
        <v>13</v>
      </c>
      <c r="B1726" s="6" t="s">
        <v>107</v>
      </c>
      <c r="C1726" s="6" t="s">
        <v>400</v>
      </c>
      <c r="D1726" s="6" t="s">
        <v>108</v>
      </c>
      <c r="E1726" s="11">
        <v>0.78385365009307861</v>
      </c>
      <c r="F1726" s="11">
        <v>0.65615624189376831</v>
      </c>
    </row>
    <row r="1727" spans="1:6" hidden="1" x14ac:dyDescent="0.3">
      <c r="A1727" s="6">
        <v>13</v>
      </c>
      <c r="B1727" s="6" t="s">
        <v>107</v>
      </c>
      <c r="C1727" s="6" t="s">
        <v>401</v>
      </c>
      <c r="D1727" s="6" t="s">
        <v>108</v>
      </c>
      <c r="E1727" s="11">
        <v>0.72377890348434448</v>
      </c>
      <c r="F1727" s="11">
        <v>0.65615624189376831</v>
      </c>
    </row>
    <row r="1728" spans="1:6" hidden="1" x14ac:dyDescent="0.3">
      <c r="A1728" s="6">
        <v>13</v>
      </c>
      <c r="B1728" s="6" t="s">
        <v>107</v>
      </c>
      <c r="C1728" s="6" t="s">
        <v>402</v>
      </c>
      <c r="D1728" s="6" t="s">
        <v>108</v>
      </c>
      <c r="E1728" s="11">
        <v>1.1730866432189941</v>
      </c>
      <c r="F1728" s="11">
        <v>0.65615624189376831</v>
      </c>
    </row>
    <row r="1729" spans="1:6" hidden="1" x14ac:dyDescent="0.3">
      <c r="A1729" s="6">
        <v>13</v>
      </c>
      <c r="B1729" s="6" t="s">
        <v>107</v>
      </c>
      <c r="C1729" s="6" t="s">
        <v>403</v>
      </c>
      <c r="D1729" s="6" t="s">
        <v>108</v>
      </c>
      <c r="E1729" s="11">
        <v>0.79776239395141602</v>
      </c>
      <c r="F1729" s="11">
        <v>0.65615624189376831</v>
      </c>
    </row>
    <row r="1730" spans="1:6" hidden="1" x14ac:dyDescent="0.3">
      <c r="A1730" s="6">
        <v>13</v>
      </c>
      <c r="B1730" s="6" t="s">
        <v>107</v>
      </c>
      <c r="C1730" s="6" t="s">
        <v>404</v>
      </c>
      <c r="D1730" s="6" t="s">
        <v>108</v>
      </c>
      <c r="E1730" s="11">
        <v>0.57152587175369263</v>
      </c>
      <c r="F1730" s="11">
        <v>0.65615624189376831</v>
      </c>
    </row>
    <row r="1731" spans="1:6" hidden="1" x14ac:dyDescent="0.3">
      <c r="A1731" s="6">
        <v>13</v>
      </c>
      <c r="B1731" s="6" t="s">
        <v>107</v>
      </c>
      <c r="C1731" s="6" t="s">
        <v>405</v>
      </c>
      <c r="D1731" s="6" t="s">
        <v>108</v>
      </c>
      <c r="E1731" s="11">
        <v>0.6351434588432312</v>
      </c>
      <c r="F1731" s="11">
        <v>0.65615624189376831</v>
      </c>
    </row>
    <row r="1732" spans="1:6" hidden="1" x14ac:dyDescent="0.3">
      <c r="A1732" s="6">
        <v>13</v>
      </c>
      <c r="B1732" s="6" t="s">
        <v>107</v>
      </c>
      <c r="C1732" s="6" t="s">
        <v>406</v>
      </c>
      <c r="D1732" s="6" t="s">
        <v>108</v>
      </c>
      <c r="E1732" s="11">
        <v>0.56800293922424316</v>
      </c>
      <c r="F1732" s="11">
        <v>0.65615624189376831</v>
      </c>
    </row>
    <row r="1733" spans="1:6" hidden="1" x14ac:dyDescent="0.3">
      <c r="A1733" s="6">
        <v>13</v>
      </c>
      <c r="B1733" s="6" t="s">
        <v>107</v>
      </c>
      <c r="C1733" s="6" t="s">
        <v>407</v>
      </c>
      <c r="D1733" s="6" t="s">
        <v>108</v>
      </c>
      <c r="E1733" s="11">
        <v>0.54741126298904419</v>
      </c>
      <c r="F1733" s="11">
        <v>0.65615624189376831</v>
      </c>
    </row>
    <row r="1734" spans="1:6" hidden="1" x14ac:dyDescent="0.3">
      <c r="A1734" s="6">
        <v>13</v>
      </c>
      <c r="B1734" s="6" t="s">
        <v>107</v>
      </c>
      <c r="C1734" s="6" t="s">
        <v>408</v>
      </c>
      <c r="D1734" s="6" t="s">
        <v>108</v>
      </c>
      <c r="E1734" s="11">
        <v>1.0957715511322021</v>
      </c>
      <c r="F1734" s="11">
        <v>0.65615624189376831</v>
      </c>
    </row>
    <row r="1735" spans="1:6" hidden="1" x14ac:dyDescent="0.3">
      <c r="A1735" s="6">
        <v>13</v>
      </c>
      <c r="B1735" s="6" t="s">
        <v>107</v>
      </c>
      <c r="C1735" s="6" t="s">
        <v>409</v>
      </c>
      <c r="D1735" s="6" t="s">
        <v>108</v>
      </c>
      <c r="E1735" s="11">
        <v>0.51008385419845581</v>
      </c>
      <c r="F1735" s="11">
        <v>0.65615624189376831</v>
      </c>
    </row>
    <row r="1736" spans="1:6" hidden="1" x14ac:dyDescent="0.3">
      <c r="A1736" s="6">
        <v>13</v>
      </c>
      <c r="B1736" s="6" t="s">
        <v>107</v>
      </c>
      <c r="C1736" s="6" t="s">
        <v>410</v>
      </c>
      <c r="D1736" s="6" t="s">
        <v>108</v>
      </c>
      <c r="E1736" s="11">
        <v>0.70874679088592529</v>
      </c>
      <c r="F1736" s="11">
        <v>0.65615624189376831</v>
      </c>
    </row>
    <row r="1737" spans="1:6" hidden="1" x14ac:dyDescent="0.3">
      <c r="A1737" s="6">
        <v>13</v>
      </c>
      <c r="B1737" s="6" t="s">
        <v>107</v>
      </c>
      <c r="C1737" s="6" t="s">
        <v>411</v>
      </c>
      <c r="D1737" s="6" t="s">
        <v>108</v>
      </c>
      <c r="E1737" s="11">
        <v>0.8244820237159729</v>
      </c>
      <c r="F1737" s="11">
        <v>0.65615624189376831</v>
      </c>
    </row>
    <row r="1738" spans="1:6" hidden="1" x14ac:dyDescent="0.3">
      <c r="A1738" s="6">
        <v>13</v>
      </c>
      <c r="B1738" s="6" t="s">
        <v>107</v>
      </c>
      <c r="C1738" s="6" t="s">
        <v>412</v>
      </c>
      <c r="D1738" s="6" t="s">
        <v>108</v>
      </c>
      <c r="E1738" s="11">
        <v>0.52892464399337769</v>
      </c>
      <c r="F1738" s="11">
        <v>0.65615624189376831</v>
      </c>
    </row>
    <row r="1739" spans="1:6" hidden="1" x14ac:dyDescent="0.3">
      <c r="A1739" s="6">
        <v>13</v>
      </c>
      <c r="B1739" s="6" t="s">
        <v>107</v>
      </c>
      <c r="C1739" s="6" t="s">
        <v>413</v>
      </c>
      <c r="D1739" s="6" t="s">
        <v>108</v>
      </c>
      <c r="E1739" s="11">
        <v>0.71949684619903564</v>
      </c>
      <c r="F1739" s="11">
        <v>0.65615624189376831</v>
      </c>
    </row>
    <row r="1740" spans="1:6" hidden="1" x14ac:dyDescent="0.3">
      <c r="A1740" s="6">
        <v>13</v>
      </c>
      <c r="B1740" s="6" t="s">
        <v>107</v>
      </c>
      <c r="C1740" s="6" t="s">
        <v>414</v>
      </c>
      <c r="D1740" s="6" t="s">
        <v>108</v>
      </c>
      <c r="E1740" s="11">
        <v>0.58474338054656982</v>
      </c>
      <c r="F1740" s="11">
        <v>0.65615624189376831</v>
      </c>
    </row>
    <row r="1741" spans="1:6" hidden="1" x14ac:dyDescent="0.3">
      <c r="A1741" s="6">
        <v>13</v>
      </c>
      <c r="B1741" s="6" t="s">
        <v>107</v>
      </c>
      <c r="C1741" s="6" t="s">
        <v>415</v>
      </c>
      <c r="D1741" s="6" t="s">
        <v>108</v>
      </c>
      <c r="E1741" s="11">
        <v>1.3733323812484741</v>
      </c>
      <c r="F1741" s="11">
        <v>0.65615624189376831</v>
      </c>
    </row>
    <row r="1742" spans="1:6" hidden="1" x14ac:dyDescent="0.3">
      <c r="A1742" s="6">
        <v>13</v>
      </c>
      <c r="B1742" s="6" t="s">
        <v>107</v>
      </c>
      <c r="C1742" s="6" t="s">
        <v>416</v>
      </c>
      <c r="D1742" s="6" t="s">
        <v>108</v>
      </c>
      <c r="E1742" s="11">
        <v>0.44184547662734985</v>
      </c>
      <c r="F1742" s="11">
        <v>0.65615624189376831</v>
      </c>
    </row>
    <row r="1743" spans="1:6" hidden="1" x14ac:dyDescent="0.3">
      <c r="A1743" s="6">
        <v>13</v>
      </c>
      <c r="B1743" s="6" t="s">
        <v>107</v>
      </c>
      <c r="C1743" s="6" t="s">
        <v>417</v>
      </c>
      <c r="D1743" s="6" t="s">
        <v>108</v>
      </c>
      <c r="E1743" s="11">
        <v>0.60130524635314941</v>
      </c>
      <c r="F1743" s="11">
        <v>0.65615624189376831</v>
      </c>
    </row>
    <row r="1744" spans="1:6" hidden="1" x14ac:dyDescent="0.3">
      <c r="A1744" s="6">
        <v>13</v>
      </c>
      <c r="B1744" s="6" t="s">
        <v>107</v>
      </c>
      <c r="C1744" s="6" t="s">
        <v>418</v>
      </c>
      <c r="D1744" s="6" t="s">
        <v>108</v>
      </c>
      <c r="E1744" s="11">
        <v>8.2035713195800781</v>
      </c>
      <c r="F1744" s="11">
        <v>0.65615624189376831</v>
      </c>
    </row>
    <row r="1745" spans="1:6" hidden="1" x14ac:dyDescent="0.3">
      <c r="A1745" s="6">
        <v>13</v>
      </c>
      <c r="B1745" s="6" t="s">
        <v>107</v>
      </c>
      <c r="C1745" s="6" t="s">
        <v>419</v>
      </c>
      <c r="D1745" s="6" t="s">
        <v>108</v>
      </c>
      <c r="E1745" s="11">
        <v>0.55179953575134277</v>
      </c>
      <c r="F1745" s="11">
        <v>0.65615624189376831</v>
      </c>
    </row>
    <row r="1746" spans="1:6" hidden="1" x14ac:dyDescent="0.3">
      <c r="A1746" s="6">
        <v>13</v>
      </c>
      <c r="B1746" s="6" t="s">
        <v>107</v>
      </c>
      <c r="C1746" s="6" t="s">
        <v>420</v>
      </c>
      <c r="D1746" s="6" t="s">
        <v>108</v>
      </c>
      <c r="E1746" s="11">
        <v>0.54571443796157837</v>
      </c>
      <c r="F1746" s="11">
        <v>0.65615624189376831</v>
      </c>
    </row>
    <row r="1747" spans="1:6" hidden="1" x14ac:dyDescent="0.3">
      <c r="A1747" s="6">
        <v>13</v>
      </c>
      <c r="B1747" s="6" t="s">
        <v>107</v>
      </c>
      <c r="C1747" s="6" t="s">
        <v>421</v>
      </c>
      <c r="D1747" s="6" t="s">
        <v>108</v>
      </c>
      <c r="E1747" s="11">
        <v>0.71871650218963623</v>
      </c>
      <c r="F1747" s="11">
        <v>0.65615624189376831</v>
      </c>
    </row>
    <row r="1748" spans="1:6" hidden="1" x14ac:dyDescent="0.3">
      <c r="A1748" s="6">
        <v>13</v>
      </c>
      <c r="B1748" s="6" t="s">
        <v>107</v>
      </c>
      <c r="C1748" s="6" t="s">
        <v>422</v>
      </c>
      <c r="D1748" s="6" t="s">
        <v>108</v>
      </c>
      <c r="E1748" s="11">
        <v>0.73968309164047241</v>
      </c>
      <c r="F1748" s="11">
        <v>0.65615624189376831</v>
      </c>
    </row>
    <row r="1749" spans="1:6" hidden="1" x14ac:dyDescent="0.3">
      <c r="A1749" s="6">
        <v>13</v>
      </c>
      <c r="B1749" s="6" t="s">
        <v>107</v>
      </c>
      <c r="C1749" s="6" t="s">
        <v>423</v>
      </c>
      <c r="D1749" s="6" t="s">
        <v>108</v>
      </c>
      <c r="E1749" s="11">
        <v>1.0998127460479736</v>
      </c>
      <c r="F1749" s="11">
        <v>0.65615624189376831</v>
      </c>
    </row>
    <row r="1750" spans="1:6" hidden="1" x14ac:dyDescent="0.3">
      <c r="A1750" s="6">
        <v>13</v>
      </c>
      <c r="B1750" s="6" t="s">
        <v>107</v>
      </c>
      <c r="C1750" s="6" t="s">
        <v>424</v>
      </c>
      <c r="D1750" s="6" t="s">
        <v>108</v>
      </c>
      <c r="E1750" s="11">
        <v>0.79416614770889282</v>
      </c>
      <c r="F1750" s="11">
        <v>0.65615624189376831</v>
      </c>
    </row>
    <row r="1751" spans="1:6" hidden="1" x14ac:dyDescent="0.3">
      <c r="A1751" s="6">
        <v>13</v>
      </c>
      <c r="B1751" s="6" t="s">
        <v>107</v>
      </c>
      <c r="C1751" s="6" t="s">
        <v>425</v>
      </c>
      <c r="D1751" s="6" t="s">
        <v>108</v>
      </c>
      <c r="E1751" s="11">
        <v>0.48911520838737488</v>
      </c>
      <c r="F1751" s="11">
        <v>0.65615624189376831</v>
      </c>
    </row>
    <row r="1752" spans="1:6" hidden="1" x14ac:dyDescent="0.3">
      <c r="A1752" s="6">
        <v>13</v>
      </c>
      <c r="B1752" s="6" t="s">
        <v>107</v>
      </c>
      <c r="C1752" s="6" t="s">
        <v>426</v>
      </c>
      <c r="D1752" s="6" t="s">
        <v>108</v>
      </c>
      <c r="E1752" s="11">
        <v>0.47880721092224121</v>
      </c>
      <c r="F1752" s="11">
        <v>0.65615624189376831</v>
      </c>
    </row>
    <row r="1753" spans="1:6" hidden="1" x14ac:dyDescent="0.3">
      <c r="A1753" s="6">
        <v>13</v>
      </c>
      <c r="B1753" s="6" t="s">
        <v>107</v>
      </c>
      <c r="C1753" s="6" t="s">
        <v>427</v>
      </c>
      <c r="D1753" s="6" t="s">
        <v>108</v>
      </c>
      <c r="E1753" s="11">
        <v>1.5914379358291626</v>
      </c>
      <c r="F1753" s="11">
        <v>0.65615624189376831</v>
      </c>
    </row>
    <row r="1754" spans="1:6" hidden="1" x14ac:dyDescent="0.3">
      <c r="A1754" s="6">
        <v>13</v>
      </c>
      <c r="B1754" s="6" t="s">
        <v>107</v>
      </c>
      <c r="C1754" s="6" t="s">
        <v>428</v>
      </c>
      <c r="D1754" s="6" t="s">
        <v>108</v>
      </c>
      <c r="E1754" s="11">
        <v>0.75765907764434814</v>
      </c>
      <c r="F1754" s="11">
        <v>0.65615624189376831</v>
      </c>
    </row>
    <row r="1755" spans="1:6" hidden="1" x14ac:dyDescent="0.3">
      <c r="A1755" s="6">
        <v>13</v>
      </c>
      <c r="B1755" s="6" t="s">
        <v>107</v>
      </c>
      <c r="C1755" s="6" t="s">
        <v>429</v>
      </c>
      <c r="D1755" s="6" t="s">
        <v>108</v>
      </c>
      <c r="E1755" s="11">
        <v>0.7368156909942627</v>
      </c>
      <c r="F1755" s="11">
        <v>0.65615624189376831</v>
      </c>
    </row>
    <row r="1756" spans="1:6" hidden="1" x14ac:dyDescent="0.3">
      <c r="A1756" s="6">
        <v>13</v>
      </c>
      <c r="B1756" s="6" t="s">
        <v>107</v>
      </c>
      <c r="C1756" s="6" t="s">
        <v>430</v>
      </c>
      <c r="D1756" s="6" t="s">
        <v>108</v>
      </c>
      <c r="E1756" s="11">
        <v>0.62543874979019165</v>
      </c>
      <c r="F1756" s="11">
        <v>0.65615624189376831</v>
      </c>
    </row>
    <row r="1757" spans="1:6" hidden="1" x14ac:dyDescent="0.3">
      <c r="A1757" s="6">
        <v>13</v>
      </c>
      <c r="B1757" s="6" t="s">
        <v>107</v>
      </c>
      <c r="C1757" s="6" t="s">
        <v>431</v>
      </c>
      <c r="D1757" s="6" t="s">
        <v>108</v>
      </c>
      <c r="E1757" s="11">
        <v>0.67253464460372925</v>
      </c>
      <c r="F1757" s="11">
        <v>0.65615624189376831</v>
      </c>
    </row>
    <row r="1758" spans="1:6" hidden="1" x14ac:dyDescent="0.3">
      <c r="A1758" s="6">
        <v>13</v>
      </c>
      <c r="B1758" s="6" t="s">
        <v>107</v>
      </c>
      <c r="C1758" s="6" t="s">
        <v>432</v>
      </c>
      <c r="D1758" s="6" t="s">
        <v>108</v>
      </c>
      <c r="E1758" s="11">
        <v>0.55923730134963989</v>
      </c>
      <c r="F1758" s="11">
        <v>0.65615624189376831</v>
      </c>
    </row>
    <row r="1759" spans="1:6" hidden="1" x14ac:dyDescent="0.3">
      <c r="A1759" s="6">
        <v>13</v>
      </c>
      <c r="B1759" s="6" t="s">
        <v>107</v>
      </c>
      <c r="C1759" s="6" t="s">
        <v>433</v>
      </c>
      <c r="D1759" s="6" t="s">
        <v>108</v>
      </c>
      <c r="E1759" s="11">
        <v>0.56022495031356812</v>
      </c>
      <c r="F1759" s="11">
        <v>0.65615624189376831</v>
      </c>
    </row>
    <row r="1760" spans="1:6" hidden="1" x14ac:dyDescent="0.3">
      <c r="A1760" s="6">
        <v>13</v>
      </c>
      <c r="B1760" s="6" t="s">
        <v>107</v>
      </c>
      <c r="C1760" s="6" t="s">
        <v>434</v>
      </c>
      <c r="D1760" s="6" t="s">
        <v>108</v>
      </c>
      <c r="E1760" s="11">
        <v>0.79851293563842773</v>
      </c>
      <c r="F1760" s="11">
        <v>0.65615624189376831</v>
      </c>
    </row>
    <row r="1761" spans="1:6" hidden="1" x14ac:dyDescent="0.3">
      <c r="A1761" s="6">
        <v>13</v>
      </c>
      <c r="B1761" s="6" t="s">
        <v>107</v>
      </c>
      <c r="C1761" s="6" t="s">
        <v>435</v>
      </c>
      <c r="D1761" s="6" t="s">
        <v>108</v>
      </c>
      <c r="E1761" s="11">
        <v>0.81080538034439087</v>
      </c>
      <c r="F1761" s="11">
        <v>0.65615624189376831</v>
      </c>
    </row>
    <row r="1762" spans="1:6" hidden="1" x14ac:dyDescent="0.3">
      <c r="A1762" s="6">
        <v>13</v>
      </c>
      <c r="B1762" s="6" t="s">
        <v>107</v>
      </c>
      <c r="C1762" s="6" t="s">
        <v>436</v>
      </c>
      <c r="D1762" s="6" t="s">
        <v>108</v>
      </c>
      <c r="E1762" s="11">
        <v>0.64889824390411377</v>
      </c>
      <c r="F1762" s="11">
        <v>0.65615624189376831</v>
      </c>
    </row>
    <row r="1763" spans="1:6" hidden="1" x14ac:dyDescent="0.3">
      <c r="A1763" s="6">
        <v>13</v>
      </c>
      <c r="B1763" s="6" t="s">
        <v>107</v>
      </c>
      <c r="C1763" s="6" t="s">
        <v>437</v>
      </c>
      <c r="D1763" s="6" t="s">
        <v>108</v>
      </c>
      <c r="E1763" s="11">
        <v>0.53642416000366211</v>
      </c>
      <c r="F1763" s="11">
        <v>0.65615624189376831</v>
      </c>
    </row>
    <row r="1764" spans="1:6" hidden="1" x14ac:dyDescent="0.3">
      <c r="A1764" s="6">
        <v>13</v>
      </c>
      <c r="B1764" s="6" t="s">
        <v>107</v>
      </c>
      <c r="C1764" s="6" t="s">
        <v>438</v>
      </c>
      <c r="D1764" s="6" t="s">
        <v>108</v>
      </c>
      <c r="E1764" s="11">
        <v>0.49167647957801819</v>
      </c>
      <c r="F1764" s="11">
        <v>0.65615624189376831</v>
      </c>
    </row>
    <row r="1765" spans="1:6" hidden="1" x14ac:dyDescent="0.3">
      <c r="A1765" s="6">
        <v>13</v>
      </c>
      <c r="B1765" s="6" t="s">
        <v>107</v>
      </c>
      <c r="C1765" s="6" t="s">
        <v>439</v>
      </c>
      <c r="D1765" s="6" t="s">
        <v>108</v>
      </c>
      <c r="E1765" s="11">
        <v>0.76483315229415894</v>
      </c>
      <c r="F1765" s="11">
        <v>0.65615624189376831</v>
      </c>
    </row>
    <row r="1766" spans="1:6" hidden="1" x14ac:dyDescent="0.3">
      <c r="A1766" s="6">
        <v>13</v>
      </c>
      <c r="B1766" s="6" t="s">
        <v>107</v>
      </c>
      <c r="C1766" s="6" t="s">
        <v>440</v>
      </c>
      <c r="D1766" s="6" t="s">
        <v>108</v>
      </c>
      <c r="E1766" s="11">
        <v>4.1459550857543945</v>
      </c>
      <c r="F1766" s="11">
        <v>0.65615624189376831</v>
      </c>
    </row>
    <row r="1767" spans="1:6" hidden="1" x14ac:dyDescent="0.3">
      <c r="A1767" s="6">
        <v>13</v>
      </c>
      <c r="B1767" s="6" t="s">
        <v>107</v>
      </c>
      <c r="C1767" s="6" t="s">
        <v>441</v>
      </c>
      <c r="D1767" s="6" t="s">
        <v>108</v>
      </c>
      <c r="E1767" s="11">
        <v>0.47393181920051575</v>
      </c>
      <c r="F1767" s="11">
        <v>0.65615624189376831</v>
      </c>
    </row>
    <row r="1768" spans="1:6" hidden="1" x14ac:dyDescent="0.3">
      <c r="A1768" s="6">
        <v>13</v>
      </c>
      <c r="B1768" s="6" t="s">
        <v>107</v>
      </c>
      <c r="C1768" s="6" t="s">
        <v>442</v>
      </c>
      <c r="D1768" s="6" t="s">
        <v>108</v>
      </c>
      <c r="E1768" s="11">
        <v>0.86350929737091064</v>
      </c>
      <c r="F1768" s="11">
        <v>0.65615624189376831</v>
      </c>
    </row>
    <row r="1769" spans="1:6" hidden="1" x14ac:dyDescent="0.3">
      <c r="A1769" s="6">
        <v>13</v>
      </c>
      <c r="B1769" s="6" t="s">
        <v>107</v>
      </c>
      <c r="C1769" s="6" t="s">
        <v>443</v>
      </c>
      <c r="D1769" s="6" t="s">
        <v>108</v>
      </c>
      <c r="E1769" s="11">
        <v>0.9853394627571106</v>
      </c>
      <c r="F1769" s="11">
        <v>0.65615624189376831</v>
      </c>
    </row>
    <row r="1770" spans="1:6" hidden="1" x14ac:dyDescent="0.3">
      <c r="A1770" s="6">
        <v>13</v>
      </c>
      <c r="B1770" s="6" t="s">
        <v>107</v>
      </c>
      <c r="C1770" s="6" t="s">
        <v>444</v>
      </c>
      <c r="D1770" s="6" t="s">
        <v>108</v>
      </c>
      <c r="E1770" s="11">
        <v>0.44926139712333679</v>
      </c>
      <c r="F1770" s="11">
        <v>0.65615624189376831</v>
      </c>
    </row>
    <row r="1771" spans="1:6" hidden="1" x14ac:dyDescent="0.3">
      <c r="A1771" s="6">
        <v>13</v>
      </c>
      <c r="B1771" s="6" t="s">
        <v>107</v>
      </c>
      <c r="C1771" s="6" t="s">
        <v>445</v>
      </c>
      <c r="D1771" s="6" t="s">
        <v>108</v>
      </c>
      <c r="E1771" s="11">
        <v>0.85775977373123169</v>
      </c>
      <c r="F1771" s="11">
        <v>0.65615624189376831</v>
      </c>
    </row>
    <row r="1772" spans="1:6" hidden="1" x14ac:dyDescent="0.3">
      <c r="A1772" s="6">
        <v>13</v>
      </c>
      <c r="B1772" s="6" t="s">
        <v>107</v>
      </c>
      <c r="C1772" s="6" t="s">
        <v>446</v>
      </c>
      <c r="D1772" s="6" t="s">
        <v>108</v>
      </c>
      <c r="E1772" s="11">
        <v>0.63539415597915649</v>
      </c>
      <c r="F1772" s="11">
        <v>0.65615624189376831</v>
      </c>
    </row>
    <row r="1773" spans="1:6" hidden="1" x14ac:dyDescent="0.3">
      <c r="A1773" s="6">
        <v>13</v>
      </c>
      <c r="B1773" s="6" t="s">
        <v>107</v>
      </c>
      <c r="C1773" s="6" t="s">
        <v>447</v>
      </c>
      <c r="D1773" s="6" t="s">
        <v>108</v>
      </c>
      <c r="E1773" s="11">
        <v>0.4585532546043396</v>
      </c>
      <c r="F1773" s="11">
        <v>0.65615624189376831</v>
      </c>
    </row>
    <row r="1774" spans="1:6" hidden="1" x14ac:dyDescent="0.3">
      <c r="A1774" s="6">
        <v>13</v>
      </c>
      <c r="B1774" s="6" t="s">
        <v>107</v>
      </c>
      <c r="C1774" s="6" t="s">
        <v>448</v>
      </c>
      <c r="D1774" s="6" t="s">
        <v>108</v>
      </c>
      <c r="E1774" s="11">
        <v>0.43880218267440796</v>
      </c>
      <c r="F1774" s="11">
        <v>0.65615624189376831</v>
      </c>
    </row>
    <row r="1775" spans="1:6" hidden="1" x14ac:dyDescent="0.3">
      <c r="A1775" s="6">
        <v>13</v>
      </c>
      <c r="B1775" s="6" t="s">
        <v>107</v>
      </c>
      <c r="C1775" s="6" t="s">
        <v>449</v>
      </c>
      <c r="D1775" s="6" t="s">
        <v>108</v>
      </c>
      <c r="E1775" s="11">
        <v>5.6822218894958496</v>
      </c>
      <c r="F1775" s="11">
        <v>0.65615624189376831</v>
      </c>
    </row>
    <row r="1776" spans="1:6" hidden="1" x14ac:dyDescent="0.3">
      <c r="A1776" s="6">
        <v>13</v>
      </c>
      <c r="B1776" s="6" t="s">
        <v>107</v>
      </c>
      <c r="C1776" s="6" t="s">
        <v>450</v>
      </c>
      <c r="D1776" s="6" t="s">
        <v>108</v>
      </c>
      <c r="E1776" s="11">
        <v>0.77676069736480713</v>
      </c>
      <c r="F1776" s="11">
        <v>0.65615624189376831</v>
      </c>
    </row>
    <row r="1777" spans="1:6" hidden="1" x14ac:dyDescent="0.3">
      <c r="A1777" s="6">
        <v>13</v>
      </c>
      <c r="B1777" s="6" t="s">
        <v>107</v>
      </c>
      <c r="C1777" s="6" t="s">
        <v>451</v>
      </c>
      <c r="D1777" s="6" t="s">
        <v>108</v>
      </c>
      <c r="E1777" s="11">
        <v>0.80525761842727661</v>
      </c>
      <c r="F1777" s="11">
        <v>0.65615624189376831</v>
      </c>
    </row>
    <row r="1778" spans="1:6" hidden="1" x14ac:dyDescent="0.3">
      <c r="A1778" s="6">
        <v>13</v>
      </c>
      <c r="B1778" s="6" t="s">
        <v>107</v>
      </c>
      <c r="C1778" s="6" t="s">
        <v>452</v>
      </c>
      <c r="D1778" s="6" t="s">
        <v>108</v>
      </c>
      <c r="E1778" s="11">
        <v>0.65199482440948486</v>
      </c>
      <c r="F1778" s="11">
        <v>0.65615624189376831</v>
      </c>
    </row>
    <row r="1779" spans="1:6" hidden="1" x14ac:dyDescent="0.3">
      <c r="A1779" s="6">
        <v>13</v>
      </c>
      <c r="B1779" s="6" t="s">
        <v>107</v>
      </c>
      <c r="C1779" s="6" t="s">
        <v>453</v>
      </c>
      <c r="D1779" s="6" t="s">
        <v>108</v>
      </c>
      <c r="E1779" s="11">
        <v>14.958695411682129</v>
      </c>
      <c r="F1779" s="11">
        <v>0.65615624189376831</v>
      </c>
    </row>
    <row r="1780" spans="1:6" hidden="1" x14ac:dyDescent="0.3">
      <c r="A1780" s="6">
        <v>13</v>
      </c>
      <c r="B1780" s="6" t="s">
        <v>107</v>
      </c>
      <c r="C1780" s="6" t="s">
        <v>454</v>
      </c>
      <c r="D1780" s="6" t="s">
        <v>108</v>
      </c>
      <c r="E1780" s="11">
        <v>0.56313824653625488</v>
      </c>
      <c r="F1780" s="11">
        <v>0.65615624189376831</v>
      </c>
    </row>
    <row r="1781" spans="1:6" hidden="1" x14ac:dyDescent="0.3">
      <c r="A1781" s="6">
        <v>13</v>
      </c>
      <c r="B1781" s="6" t="s">
        <v>107</v>
      </c>
      <c r="C1781" s="6" t="s">
        <v>455</v>
      </c>
      <c r="D1781" s="6" t="s">
        <v>108</v>
      </c>
      <c r="E1781" s="11">
        <v>0.47172948718070984</v>
      </c>
      <c r="F1781" s="11">
        <v>0.65615624189376831</v>
      </c>
    </row>
    <row r="1782" spans="1:6" hidden="1" x14ac:dyDescent="0.3">
      <c r="A1782" s="6">
        <v>13</v>
      </c>
      <c r="B1782" s="6" t="s">
        <v>107</v>
      </c>
      <c r="C1782" s="6" t="s">
        <v>456</v>
      </c>
      <c r="D1782" s="6" t="s">
        <v>108</v>
      </c>
      <c r="E1782" s="11">
        <v>0.4360831081867218</v>
      </c>
      <c r="F1782" s="11">
        <v>0.65615624189376831</v>
      </c>
    </row>
    <row r="1783" spans="1:6" hidden="1" x14ac:dyDescent="0.3">
      <c r="A1783" s="6">
        <v>13</v>
      </c>
      <c r="B1783" s="6" t="s">
        <v>107</v>
      </c>
      <c r="C1783" s="6" t="s">
        <v>457</v>
      </c>
      <c r="D1783" s="6" t="s">
        <v>108</v>
      </c>
      <c r="E1783" s="11">
        <v>0.64746105670928955</v>
      </c>
      <c r="F1783" s="11">
        <v>0.65615624189376831</v>
      </c>
    </row>
    <row r="1784" spans="1:6" hidden="1" x14ac:dyDescent="0.3">
      <c r="A1784" s="6">
        <v>13</v>
      </c>
      <c r="B1784" s="6" t="s">
        <v>107</v>
      </c>
      <c r="C1784" s="6" t="s">
        <v>458</v>
      </c>
      <c r="D1784" s="6" t="s">
        <v>108</v>
      </c>
      <c r="E1784" s="11">
        <v>1.0287636518478394</v>
      </c>
      <c r="F1784" s="11">
        <v>0.65615624189376831</v>
      </c>
    </row>
    <row r="1785" spans="1:6" hidden="1" x14ac:dyDescent="0.3">
      <c r="A1785" s="6">
        <v>13</v>
      </c>
      <c r="B1785" s="6" t="s">
        <v>107</v>
      </c>
      <c r="C1785" s="6" t="s">
        <v>459</v>
      </c>
      <c r="D1785" s="6" t="s">
        <v>108</v>
      </c>
      <c r="E1785" s="11">
        <v>0.49461358785629272</v>
      </c>
      <c r="F1785" s="11">
        <v>0.65615624189376831</v>
      </c>
    </row>
    <row r="1786" spans="1:6" hidden="1" x14ac:dyDescent="0.3">
      <c r="A1786" s="6">
        <v>13</v>
      </c>
      <c r="B1786" s="6" t="s">
        <v>107</v>
      </c>
      <c r="C1786" s="6" t="s">
        <v>460</v>
      </c>
      <c r="D1786" s="6" t="s">
        <v>108</v>
      </c>
      <c r="E1786" s="11">
        <v>0.57252448797225952</v>
      </c>
      <c r="F1786" s="11">
        <v>0.65615624189376831</v>
      </c>
    </row>
    <row r="1787" spans="1:6" hidden="1" x14ac:dyDescent="0.3">
      <c r="A1787" s="6">
        <v>13</v>
      </c>
      <c r="B1787" s="6" t="s">
        <v>107</v>
      </c>
      <c r="C1787" s="6" t="s">
        <v>461</v>
      </c>
      <c r="D1787" s="6" t="s">
        <v>108</v>
      </c>
      <c r="E1787" s="11">
        <v>0.65865439176559448</v>
      </c>
      <c r="F1787" s="11">
        <v>0.65615624189376831</v>
      </c>
    </row>
    <row r="1788" spans="1:6" hidden="1" x14ac:dyDescent="0.3">
      <c r="A1788" s="6">
        <v>13</v>
      </c>
      <c r="B1788" s="6" t="s">
        <v>107</v>
      </c>
      <c r="C1788" s="6" t="s">
        <v>462</v>
      </c>
      <c r="D1788" s="6" t="s">
        <v>108</v>
      </c>
      <c r="E1788" s="11">
        <v>0.87607491016387939</v>
      </c>
      <c r="F1788" s="11">
        <v>0.65615624189376831</v>
      </c>
    </row>
    <row r="1789" spans="1:6" hidden="1" x14ac:dyDescent="0.3">
      <c r="A1789" s="6">
        <v>13</v>
      </c>
      <c r="B1789" s="6" t="s">
        <v>107</v>
      </c>
      <c r="C1789" s="6" t="s">
        <v>463</v>
      </c>
      <c r="D1789" s="6" t="s">
        <v>108</v>
      </c>
      <c r="E1789" s="11">
        <v>1.5478520393371582</v>
      </c>
      <c r="F1789" s="11">
        <v>0.65615624189376831</v>
      </c>
    </row>
    <row r="1790" spans="1:6" hidden="1" x14ac:dyDescent="0.3">
      <c r="A1790" s="6">
        <v>13</v>
      </c>
      <c r="B1790" s="6" t="s">
        <v>107</v>
      </c>
      <c r="C1790" s="6" t="s">
        <v>464</v>
      </c>
      <c r="D1790" s="6" t="s">
        <v>108</v>
      </c>
      <c r="E1790" s="11">
        <v>0.60376095771789551</v>
      </c>
      <c r="F1790" s="11">
        <v>0.65615624189376831</v>
      </c>
    </row>
    <row r="1791" spans="1:6" hidden="1" x14ac:dyDescent="0.3">
      <c r="A1791" s="6">
        <v>13</v>
      </c>
      <c r="B1791" s="6" t="s">
        <v>107</v>
      </c>
      <c r="C1791" s="6" t="s">
        <v>465</v>
      </c>
      <c r="D1791" s="6" t="s">
        <v>108</v>
      </c>
      <c r="E1791" s="11">
        <v>0.92349320650100708</v>
      </c>
      <c r="F1791" s="11">
        <v>0.65615624189376831</v>
      </c>
    </row>
    <row r="1792" spans="1:6" hidden="1" x14ac:dyDescent="0.3">
      <c r="A1792" s="6">
        <v>13</v>
      </c>
      <c r="B1792" s="6" t="s">
        <v>107</v>
      </c>
      <c r="C1792" s="6" t="s">
        <v>466</v>
      </c>
      <c r="D1792" s="6" t="s">
        <v>108</v>
      </c>
      <c r="E1792" s="11">
        <v>0.86542004346847534</v>
      </c>
      <c r="F1792" s="11">
        <v>0.65615624189376831</v>
      </c>
    </row>
    <row r="1793" spans="1:6" hidden="1" x14ac:dyDescent="0.3">
      <c r="A1793" s="6">
        <v>13</v>
      </c>
      <c r="B1793" s="6" t="s">
        <v>107</v>
      </c>
      <c r="C1793" s="6" t="s">
        <v>467</v>
      </c>
      <c r="D1793" s="6" t="s">
        <v>108</v>
      </c>
      <c r="E1793" s="11">
        <v>1.600338339805603</v>
      </c>
      <c r="F1793" s="11">
        <v>0.65615624189376831</v>
      </c>
    </row>
    <row r="1794" spans="1:6" hidden="1" x14ac:dyDescent="0.3">
      <c r="A1794" s="6">
        <v>13</v>
      </c>
      <c r="B1794" s="6" t="s">
        <v>107</v>
      </c>
      <c r="C1794" s="6" t="s">
        <v>468</v>
      </c>
      <c r="D1794" s="6" t="s">
        <v>108</v>
      </c>
      <c r="E1794" s="11">
        <v>0.83054345846176147</v>
      </c>
      <c r="F1794" s="11">
        <v>0.65615624189376831</v>
      </c>
    </row>
    <row r="1795" spans="1:6" hidden="1" x14ac:dyDescent="0.3">
      <c r="A1795" s="6">
        <v>13</v>
      </c>
      <c r="B1795" s="6" t="s">
        <v>107</v>
      </c>
      <c r="C1795" s="6" t="s">
        <v>469</v>
      </c>
      <c r="D1795" s="6" t="s">
        <v>108</v>
      </c>
      <c r="E1795" s="11">
        <v>0.49250534176826477</v>
      </c>
      <c r="F1795" s="11">
        <v>0.65615624189376831</v>
      </c>
    </row>
    <row r="1796" spans="1:6" hidden="1" x14ac:dyDescent="0.3">
      <c r="A1796" s="6">
        <v>13</v>
      </c>
      <c r="B1796" s="6" t="s">
        <v>107</v>
      </c>
      <c r="C1796" s="6" t="s">
        <v>470</v>
      </c>
      <c r="D1796" s="6" t="s">
        <v>108</v>
      </c>
      <c r="E1796" s="11">
        <v>0.65981882810592651</v>
      </c>
      <c r="F1796" s="11">
        <v>0.65615624189376831</v>
      </c>
    </row>
    <row r="1797" spans="1:6" hidden="1" x14ac:dyDescent="0.3">
      <c r="A1797" s="6">
        <v>13</v>
      </c>
      <c r="B1797" s="6" t="s">
        <v>107</v>
      </c>
      <c r="C1797" s="6" t="s">
        <v>471</v>
      </c>
      <c r="D1797" s="6" t="s">
        <v>108</v>
      </c>
      <c r="E1797" s="11">
        <v>0.57907605171203613</v>
      </c>
      <c r="F1797" s="11">
        <v>0.65615624189376831</v>
      </c>
    </row>
    <row r="1798" spans="1:6" hidden="1" x14ac:dyDescent="0.3">
      <c r="A1798" s="6">
        <v>13</v>
      </c>
      <c r="B1798" s="6" t="s">
        <v>107</v>
      </c>
      <c r="C1798" s="6" t="s">
        <v>472</v>
      </c>
      <c r="D1798" s="6" t="s">
        <v>108</v>
      </c>
      <c r="E1798" s="11">
        <v>0.71171140670776367</v>
      </c>
      <c r="F1798" s="11">
        <v>0.65615624189376831</v>
      </c>
    </row>
    <row r="1799" spans="1:6" hidden="1" x14ac:dyDescent="0.3">
      <c r="A1799" s="6">
        <v>13</v>
      </c>
      <c r="B1799" s="6" t="s">
        <v>107</v>
      </c>
      <c r="C1799" s="6" t="s">
        <v>473</v>
      </c>
      <c r="D1799" s="6" t="s">
        <v>108</v>
      </c>
      <c r="E1799" s="11">
        <v>0.59225797653198242</v>
      </c>
      <c r="F1799" s="11">
        <v>0.65615624189376831</v>
      </c>
    </row>
    <row r="1800" spans="1:6" hidden="1" x14ac:dyDescent="0.3">
      <c r="A1800" s="6">
        <v>13</v>
      </c>
      <c r="B1800" s="6" t="s">
        <v>107</v>
      </c>
      <c r="C1800" s="6" t="s">
        <v>474</v>
      </c>
      <c r="D1800" s="6" t="s">
        <v>108</v>
      </c>
      <c r="E1800" s="11">
        <v>0.69833856821060181</v>
      </c>
      <c r="F1800" s="11">
        <v>0.65615624189376831</v>
      </c>
    </row>
    <row r="1801" spans="1:6" hidden="1" x14ac:dyDescent="0.3">
      <c r="A1801" s="6">
        <v>13</v>
      </c>
      <c r="B1801" s="6" t="s">
        <v>107</v>
      </c>
      <c r="C1801" s="6" t="s">
        <v>475</v>
      </c>
      <c r="D1801" s="6" t="s">
        <v>108</v>
      </c>
      <c r="E1801" s="11">
        <v>0.79939651489257813</v>
      </c>
      <c r="F1801" s="11">
        <v>0.65615624189376831</v>
      </c>
    </row>
    <row r="1802" spans="1:6" hidden="1" x14ac:dyDescent="0.3">
      <c r="A1802" s="6">
        <v>13</v>
      </c>
      <c r="B1802" s="6" t="s">
        <v>107</v>
      </c>
      <c r="C1802" s="6" t="s">
        <v>476</v>
      </c>
      <c r="D1802" s="6" t="s">
        <v>108</v>
      </c>
      <c r="E1802" s="11">
        <v>0.586131751537323</v>
      </c>
      <c r="F1802" s="11">
        <v>0.65615624189376831</v>
      </c>
    </row>
    <row r="1803" spans="1:6" hidden="1" x14ac:dyDescent="0.3">
      <c r="A1803" s="6">
        <v>13</v>
      </c>
      <c r="B1803" s="6" t="s">
        <v>107</v>
      </c>
      <c r="C1803" s="6" t="s">
        <v>477</v>
      </c>
      <c r="D1803" s="6" t="s">
        <v>108</v>
      </c>
      <c r="E1803" s="11">
        <v>0.55876928567886353</v>
      </c>
      <c r="F1803" s="11">
        <v>0.65615624189376831</v>
      </c>
    </row>
    <row r="1804" spans="1:6" hidden="1" x14ac:dyDescent="0.3">
      <c r="A1804" s="6">
        <v>13</v>
      </c>
      <c r="B1804" s="6" t="s">
        <v>107</v>
      </c>
      <c r="C1804" s="6" t="s">
        <v>478</v>
      </c>
      <c r="D1804" s="6" t="s">
        <v>108</v>
      </c>
      <c r="E1804" s="11">
        <v>0.81041085720062256</v>
      </c>
      <c r="F1804" s="11">
        <v>0.65615624189376831</v>
      </c>
    </row>
    <row r="1805" spans="1:6" hidden="1" x14ac:dyDescent="0.3">
      <c r="A1805" s="6">
        <v>13</v>
      </c>
      <c r="B1805" s="6" t="s">
        <v>107</v>
      </c>
      <c r="C1805" s="6" t="s">
        <v>479</v>
      </c>
      <c r="D1805" s="6" t="s">
        <v>108</v>
      </c>
      <c r="E1805" s="11">
        <v>0.81532812118530273</v>
      </c>
      <c r="F1805" s="11">
        <v>0.65615624189376831</v>
      </c>
    </row>
    <row r="1806" spans="1:6" hidden="1" x14ac:dyDescent="0.3">
      <c r="A1806" s="6">
        <v>13</v>
      </c>
      <c r="B1806" s="6" t="s">
        <v>107</v>
      </c>
      <c r="C1806" s="6" t="s">
        <v>480</v>
      </c>
      <c r="D1806" s="6" t="s">
        <v>108</v>
      </c>
      <c r="E1806" s="11">
        <v>0.54376071691513062</v>
      </c>
      <c r="F1806" s="11">
        <v>0.65615624189376831</v>
      </c>
    </row>
    <row r="1807" spans="1:6" hidden="1" x14ac:dyDescent="0.3">
      <c r="A1807" s="6">
        <v>13</v>
      </c>
      <c r="B1807" s="6" t="s">
        <v>107</v>
      </c>
      <c r="C1807" s="6" t="s">
        <v>481</v>
      </c>
      <c r="D1807" s="6" t="s">
        <v>108</v>
      </c>
      <c r="E1807" s="11">
        <v>0.69780856370925903</v>
      </c>
      <c r="F1807" s="11">
        <v>0.65615624189376831</v>
      </c>
    </row>
    <row r="1808" spans="1:6" hidden="1" x14ac:dyDescent="0.3">
      <c r="A1808" s="6">
        <v>13</v>
      </c>
      <c r="B1808" s="6" t="s">
        <v>107</v>
      </c>
      <c r="C1808" s="6" t="s">
        <v>482</v>
      </c>
      <c r="D1808" s="6" t="s">
        <v>108</v>
      </c>
      <c r="E1808" s="11">
        <v>0.9327043890953064</v>
      </c>
      <c r="F1808" s="11">
        <v>0.65615624189376831</v>
      </c>
    </row>
    <row r="1809" spans="1:6" hidden="1" x14ac:dyDescent="0.3">
      <c r="A1809" s="6">
        <v>13</v>
      </c>
      <c r="B1809" s="6" t="s">
        <v>107</v>
      </c>
      <c r="C1809" s="6" t="s">
        <v>483</v>
      </c>
      <c r="D1809" s="6" t="s">
        <v>108</v>
      </c>
      <c r="E1809" s="11">
        <v>0.78315180540084839</v>
      </c>
      <c r="F1809" s="11">
        <v>0.65615624189376831</v>
      </c>
    </row>
    <row r="1810" spans="1:6" hidden="1" x14ac:dyDescent="0.3">
      <c r="A1810" s="6">
        <v>13</v>
      </c>
      <c r="B1810" s="6" t="s">
        <v>107</v>
      </c>
      <c r="C1810" s="6" t="s">
        <v>484</v>
      </c>
      <c r="D1810" s="6" t="s">
        <v>108</v>
      </c>
      <c r="E1810" s="11">
        <v>0.79187089204788208</v>
      </c>
      <c r="F1810" s="11">
        <v>0.65615624189376831</v>
      </c>
    </row>
    <row r="1811" spans="1:6" hidden="1" x14ac:dyDescent="0.3">
      <c r="A1811" s="6">
        <v>13</v>
      </c>
      <c r="B1811" s="6" t="s">
        <v>107</v>
      </c>
      <c r="C1811" s="6" t="s">
        <v>485</v>
      </c>
      <c r="D1811" s="6" t="s">
        <v>108</v>
      </c>
      <c r="E1811" s="11">
        <v>0.49473953247070313</v>
      </c>
      <c r="F1811" s="11">
        <v>0.65615624189376831</v>
      </c>
    </row>
    <row r="1812" spans="1:6" hidden="1" x14ac:dyDescent="0.3">
      <c r="A1812" s="6">
        <v>13</v>
      </c>
      <c r="B1812" s="6" t="s">
        <v>107</v>
      </c>
      <c r="C1812" s="6" t="s">
        <v>486</v>
      </c>
      <c r="D1812" s="6" t="s">
        <v>108</v>
      </c>
      <c r="E1812" s="11">
        <v>0.70758789777755737</v>
      </c>
      <c r="F1812" s="11">
        <v>0.65615624189376831</v>
      </c>
    </row>
    <row r="1813" spans="1:6" hidden="1" x14ac:dyDescent="0.3">
      <c r="A1813" s="6">
        <v>13</v>
      </c>
      <c r="B1813" s="6" t="s">
        <v>107</v>
      </c>
      <c r="C1813" s="6" t="s">
        <v>487</v>
      </c>
      <c r="D1813" s="6" t="s">
        <v>108</v>
      </c>
      <c r="E1813" s="11">
        <v>0.54854047298431396</v>
      </c>
      <c r="F1813" s="11">
        <v>0.65615624189376831</v>
      </c>
    </row>
    <row r="1814" spans="1:6" hidden="1" x14ac:dyDescent="0.3">
      <c r="A1814" s="6">
        <v>13</v>
      </c>
      <c r="B1814" s="6" t="s">
        <v>107</v>
      </c>
      <c r="C1814" s="6" t="s">
        <v>488</v>
      </c>
      <c r="D1814" s="6" t="s">
        <v>108</v>
      </c>
      <c r="E1814" s="11">
        <v>0.71733260154724121</v>
      </c>
      <c r="F1814" s="11">
        <v>0.65615624189376831</v>
      </c>
    </row>
    <row r="1815" spans="1:6" hidden="1" x14ac:dyDescent="0.3">
      <c r="A1815" s="6">
        <v>13</v>
      </c>
      <c r="B1815" s="6" t="s">
        <v>107</v>
      </c>
      <c r="C1815" s="6" t="s">
        <v>489</v>
      </c>
      <c r="D1815" s="6" t="s">
        <v>108</v>
      </c>
      <c r="E1815" s="11">
        <v>1.200250506401062</v>
      </c>
      <c r="F1815" s="11">
        <v>0.65615624189376831</v>
      </c>
    </row>
    <row r="1816" spans="1:6" hidden="1" x14ac:dyDescent="0.3">
      <c r="A1816" s="6">
        <v>13</v>
      </c>
      <c r="B1816" s="6" t="s">
        <v>107</v>
      </c>
      <c r="C1816" s="6" t="s">
        <v>490</v>
      </c>
      <c r="D1816" s="6" t="s">
        <v>108</v>
      </c>
      <c r="E1816" s="11">
        <v>0.82084602117538452</v>
      </c>
      <c r="F1816" s="11">
        <v>0.65615624189376831</v>
      </c>
    </row>
    <row r="1817" spans="1:6" hidden="1" x14ac:dyDescent="0.3">
      <c r="A1817" s="6">
        <v>13</v>
      </c>
      <c r="B1817" s="6" t="s">
        <v>107</v>
      </c>
      <c r="C1817" s="6" t="s">
        <v>491</v>
      </c>
      <c r="D1817" s="6" t="s">
        <v>108</v>
      </c>
      <c r="E1817" s="11">
        <v>0.85911738872528076</v>
      </c>
      <c r="F1817" s="11">
        <v>0.65615624189376831</v>
      </c>
    </row>
    <row r="1818" spans="1:6" hidden="1" x14ac:dyDescent="0.3">
      <c r="A1818" s="6">
        <v>13</v>
      </c>
      <c r="B1818" s="6" t="s">
        <v>107</v>
      </c>
      <c r="C1818" s="6" t="s">
        <v>492</v>
      </c>
      <c r="D1818" s="6" t="s">
        <v>108</v>
      </c>
      <c r="E1818" s="11">
        <v>0.65301567316055298</v>
      </c>
      <c r="F1818" s="11">
        <v>0.65615624189376831</v>
      </c>
    </row>
    <row r="1819" spans="1:6" hidden="1" x14ac:dyDescent="0.3">
      <c r="A1819" s="6">
        <v>13</v>
      </c>
      <c r="B1819" s="6" t="s">
        <v>107</v>
      </c>
      <c r="C1819" s="6" t="s">
        <v>493</v>
      </c>
      <c r="D1819" s="6" t="s">
        <v>108</v>
      </c>
      <c r="E1819" s="11">
        <v>0.715556800365448</v>
      </c>
      <c r="F1819" s="11">
        <v>0.65615624189376831</v>
      </c>
    </row>
    <row r="1820" spans="1:6" hidden="1" x14ac:dyDescent="0.3">
      <c r="A1820" s="6">
        <v>13</v>
      </c>
      <c r="B1820" s="6" t="s">
        <v>107</v>
      </c>
      <c r="C1820" s="6" t="s">
        <v>494</v>
      </c>
      <c r="D1820" s="6" t="s">
        <v>108</v>
      </c>
      <c r="E1820" s="11">
        <v>0.7790374755859375</v>
      </c>
      <c r="F1820" s="11">
        <v>0.65615624189376831</v>
      </c>
    </row>
    <row r="1821" spans="1:6" hidden="1" x14ac:dyDescent="0.3">
      <c r="A1821" s="6">
        <v>13</v>
      </c>
      <c r="B1821" s="6" t="s">
        <v>107</v>
      </c>
      <c r="C1821" s="6" t="s">
        <v>495</v>
      </c>
      <c r="D1821" s="6" t="s">
        <v>108</v>
      </c>
      <c r="E1821" s="11">
        <v>0.65893995761871338</v>
      </c>
      <c r="F1821" s="11">
        <v>0.65615624189376831</v>
      </c>
    </row>
    <row r="1822" spans="1:6" hidden="1" x14ac:dyDescent="0.3">
      <c r="A1822" s="6">
        <v>14</v>
      </c>
      <c r="B1822" s="6" t="s">
        <v>109</v>
      </c>
      <c r="C1822" s="6" t="s">
        <v>356</v>
      </c>
      <c r="D1822" s="6" t="s">
        <v>110</v>
      </c>
      <c r="E1822" s="11">
        <v>0.56155771017074585</v>
      </c>
      <c r="F1822" s="11">
        <v>0.631336510181427</v>
      </c>
    </row>
    <row r="1823" spans="1:6" hidden="1" x14ac:dyDescent="0.3">
      <c r="A1823" s="6">
        <v>14</v>
      </c>
      <c r="B1823" s="6" t="s">
        <v>109</v>
      </c>
      <c r="C1823" s="6" t="s">
        <v>357</v>
      </c>
      <c r="D1823" s="6" t="s">
        <v>110</v>
      </c>
      <c r="E1823" s="11">
        <v>0.90045046806335449</v>
      </c>
      <c r="F1823" s="11">
        <v>0.631336510181427</v>
      </c>
    </row>
    <row r="1824" spans="1:6" hidden="1" x14ac:dyDescent="0.3">
      <c r="A1824" s="6">
        <v>14</v>
      </c>
      <c r="B1824" s="6" t="s">
        <v>109</v>
      </c>
      <c r="C1824" s="6" t="s">
        <v>358</v>
      </c>
      <c r="D1824" s="6" t="s">
        <v>110</v>
      </c>
      <c r="E1824" s="11">
        <v>0.72133594751358032</v>
      </c>
      <c r="F1824" s="11">
        <v>0.631336510181427</v>
      </c>
    </row>
    <row r="1825" spans="1:6" hidden="1" x14ac:dyDescent="0.3">
      <c r="A1825" s="6">
        <v>14</v>
      </c>
      <c r="B1825" s="6" t="s">
        <v>109</v>
      </c>
      <c r="C1825" s="6" t="s">
        <v>359</v>
      </c>
      <c r="D1825" s="6" t="s">
        <v>110</v>
      </c>
      <c r="E1825" s="11">
        <v>0.7883991003036499</v>
      </c>
      <c r="F1825" s="11">
        <v>0.631336510181427</v>
      </c>
    </row>
    <row r="1826" spans="1:6" hidden="1" x14ac:dyDescent="0.3">
      <c r="A1826" s="6">
        <v>14</v>
      </c>
      <c r="B1826" s="6" t="s">
        <v>109</v>
      </c>
      <c r="C1826" s="6" t="s">
        <v>360</v>
      </c>
      <c r="D1826" s="6" t="s">
        <v>110</v>
      </c>
      <c r="E1826" s="11">
        <v>0.87589699029922485</v>
      </c>
      <c r="F1826" s="11">
        <v>0.631336510181427</v>
      </c>
    </row>
    <row r="1827" spans="1:6" hidden="1" x14ac:dyDescent="0.3">
      <c r="A1827" s="6">
        <v>14</v>
      </c>
      <c r="B1827" s="6" t="s">
        <v>109</v>
      </c>
      <c r="C1827" s="6" t="s">
        <v>361</v>
      </c>
      <c r="D1827" s="6" t="s">
        <v>110</v>
      </c>
      <c r="E1827" s="11">
        <v>0.99865972995758057</v>
      </c>
      <c r="F1827" s="11">
        <v>0.631336510181427</v>
      </c>
    </row>
    <row r="1828" spans="1:6" hidden="1" x14ac:dyDescent="0.3">
      <c r="A1828" s="6">
        <v>14</v>
      </c>
      <c r="B1828" s="6" t="s">
        <v>109</v>
      </c>
      <c r="C1828" s="6" t="s">
        <v>362</v>
      </c>
      <c r="D1828" s="6" t="s">
        <v>110</v>
      </c>
      <c r="E1828" s="11">
        <v>0.79226917028427124</v>
      </c>
      <c r="F1828" s="11">
        <v>0.631336510181427</v>
      </c>
    </row>
    <row r="1829" spans="1:6" hidden="1" x14ac:dyDescent="0.3">
      <c r="A1829" s="6">
        <v>14</v>
      </c>
      <c r="B1829" s="6" t="s">
        <v>109</v>
      </c>
      <c r="C1829" s="6" t="s">
        <v>363</v>
      </c>
      <c r="D1829" s="6" t="s">
        <v>110</v>
      </c>
      <c r="E1829" s="11">
        <v>1.0540342330932617</v>
      </c>
      <c r="F1829" s="11">
        <v>0.631336510181427</v>
      </c>
    </row>
    <row r="1830" spans="1:6" hidden="1" x14ac:dyDescent="0.3">
      <c r="A1830" s="6">
        <v>14</v>
      </c>
      <c r="B1830" s="6" t="s">
        <v>109</v>
      </c>
      <c r="C1830" s="6" t="s">
        <v>364</v>
      </c>
      <c r="D1830" s="6" t="s">
        <v>110</v>
      </c>
      <c r="E1830" s="11">
        <v>0.58617472648620605</v>
      </c>
      <c r="F1830" s="11">
        <v>0.631336510181427</v>
      </c>
    </row>
    <row r="1831" spans="1:6" hidden="1" x14ac:dyDescent="0.3">
      <c r="A1831" s="6">
        <v>14</v>
      </c>
      <c r="B1831" s="6" t="s">
        <v>109</v>
      </c>
      <c r="C1831" s="6" t="s">
        <v>365</v>
      </c>
      <c r="D1831" s="6" t="s">
        <v>110</v>
      </c>
      <c r="E1831" s="11">
        <v>0.52360367774963379</v>
      </c>
      <c r="F1831" s="11">
        <v>0.631336510181427</v>
      </c>
    </row>
    <row r="1832" spans="1:6" hidden="1" x14ac:dyDescent="0.3">
      <c r="A1832" s="6">
        <v>14</v>
      </c>
      <c r="B1832" s="6" t="s">
        <v>109</v>
      </c>
      <c r="C1832" s="6" t="s">
        <v>366</v>
      </c>
      <c r="D1832" s="6" t="s">
        <v>110</v>
      </c>
      <c r="E1832" s="11">
        <v>0.74803560972213745</v>
      </c>
      <c r="F1832" s="11">
        <v>0.631336510181427</v>
      </c>
    </row>
    <row r="1833" spans="1:6" hidden="1" x14ac:dyDescent="0.3">
      <c r="A1833" s="6">
        <v>14</v>
      </c>
      <c r="B1833" s="6" t="s">
        <v>109</v>
      </c>
      <c r="C1833" s="6" t="s">
        <v>367</v>
      </c>
      <c r="D1833" s="6" t="s">
        <v>110</v>
      </c>
      <c r="E1833" s="11">
        <v>0.80475491285324097</v>
      </c>
      <c r="F1833" s="11">
        <v>0.631336510181427</v>
      </c>
    </row>
    <row r="1834" spans="1:6" hidden="1" x14ac:dyDescent="0.3">
      <c r="A1834" s="6">
        <v>14</v>
      </c>
      <c r="B1834" s="6" t="s">
        <v>109</v>
      </c>
      <c r="C1834" s="6" t="s">
        <v>368</v>
      </c>
      <c r="D1834" s="6" t="s">
        <v>110</v>
      </c>
      <c r="E1834" s="11">
        <v>1.2402971982955933</v>
      </c>
      <c r="F1834" s="11">
        <v>0.631336510181427</v>
      </c>
    </row>
    <row r="1835" spans="1:6" hidden="1" x14ac:dyDescent="0.3">
      <c r="A1835" s="6">
        <v>14</v>
      </c>
      <c r="B1835" s="6" t="s">
        <v>109</v>
      </c>
      <c r="C1835" s="6" t="s">
        <v>369</v>
      </c>
      <c r="D1835" s="6" t="s">
        <v>110</v>
      </c>
      <c r="E1835" s="11">
        <v>1.1090990304946899</v>
      </c>
      <c r="F1835" s="11">
        <v>0.631336510181427</v>
      </c>
    </row>
    <row r="1836" spans="1:6" hidden="1" x14ac:dyDescent="0.3">
      <c r="A1836" s="6">
        <v>14</v>
      </c>
      <c r="B1836" s="6" t="s">
        <v>109</v>
      </c>
      <c r="C1836" s="6" t="s">
        <v>370</v>
      </c>
      <c r="D1836" s="6" t="s">
        <v>110</v>
      </c>
      <c r="E1836" s="11">
        <v>2.4745426177978516</v>
      </c>
      <c r="F1836" s="11">
        <v>0.631336510181427</v>
      </c>
    </row>
    <row r="1837" spans="1:6" hidden="1" x14ac:dyDescent="0.3">
      <c r="A1837" s="6">
        <v>14</v>
      </c>
      <c r="B1837" s="6" t="s">
        <v>109</v>
      </c>
      <c r="C1837" s="6" t="s">
        <v>371</v>
      </c>
      <c r="D1837" s="6" t="s">
        <v>110</v>
      </c>
      <c r="E1837" s="11">
        <v>0.79744458198547363</v>
      </c>
      <c r="F1837" s="11">
        <v>0.631336510181427</v>
      </c>
    </row>
    <row r="1838" spans="1:6" hidden="1" x14ac:dyDescent="0.3">
      <c r="A1838" s="6">
        <v>14</v>
      </c>
      <c r="B1838" s="6" t="s">
        <v>109</v>
      </c>
      <c r="C1838" s="6" t="s">
        <v>372</v>
      </c>
      <c r="D1838" s="6" t="s">
        <v>110</v>
      </c>
      <c r="E1838" s="11">
        <v>0.6369054913520813</v>
      </c>
      <c r="F1838" s="11">
        <v>0.631336510181427</v>
      </c>
    </row>
    <row r="1839" spans="1:6" hidden="1" x14ac:dyDescent="0.3">
      <c r="A1839" s="6">
        <v>14</v>
      </c>
      <c r="B1839" s="6" t="s">
        <v>109</v>
      </c>
      <c r="C1839" s="6" t="s">
        <v>373</v>
      </c>
      <c r="D1839" s="6" t="s">
        <v>110</v>
      </c>
      <c r="E1839" s="11">
        <v>0.6800188422203064</v>
      </c>
      <c r="F1839" s="11">
        <v>0.631336510181427</v>
      </c>
    </row>
    <row r="1840" spans="1:6" hidden="1" x14ac:dyDescent="0.3">
      <c r="A1840" s="6">
        <v>14</v>
      </c>
      <c r="B1840" s="6" t="s">
        <v>109</v>
      </c>
      <c r="C1840" s="6" t="s">
        <v>374</v>
      </c>
      <c r="D1840" s="6" t="s">
        <v>110</v>
      </c>
      <c r="E1840" s="11">
        <v>0.68807035684585571</v>
      </c>
      <c r="F1840" s="11">
        <v>0.631336510181427</v>
      </c>
    </row>
    <row r="1841" spans="1:6" hidden="1" x14ac:dyDescent="0.3">
      <c r="A1841" s="6">
        <v>14</v>
      </c>
      <c r="B1841" s="6" t="s">
        <v>109</v>
      </c>
      <c r="C1841" s="6" t="s">
        <v>375</v>
      </c>
      <c r="D1841" s="6" t="s">
        <v>110</v>
      </c>
      <c r="E1841" s="11">
        <v>0.56702423095703125</v>
      </c>
      <c r="F1841" s="11">
        <v>0.631336510181427</v>
      </c>
    </row>
    <row r="1842" spans="1:6" hidden="1" x14ac:dyDescent="0.3">
      <c r="A1842" s="6">
        <v>14</v>
      </c>
      <c r="B1842" s="6" t="s">
        <v>109</v>
      </c>
      <c r="C1842" s="6" t="s">
        <v>376</v>
      </c>
      <c r="D1842" s="6" t="s">
        <v>110</v>
      </c>
      <c r="E1842" s="11">
        <v>0.67694747447967529</v>
      </c>
      <c r="F1842" s="11">
        <v>0.631336510181427</v>
      </c>
    </row>
    <row r="1843" spans="1:6" hidden="1" x14ac:dyDescent="0.3">
      <c r="A1843" s="6">
        <v>14</v>
      </c>
      <c r="B1843" s="6" t="s">
        <v>109</v>
      </c>
      <c r="C1843" s="6" t="s">
        <v>377</v>
      </c>
      <c r="D1843" s="6" t="s">
        <v>110</v>
      </c>
      <c r="E1843" s="11">
        <v>0.66875326633453369</v>
      </c>
      <c r="F1843" s="11">
        <v>0.631336510181427</v>
      </c>
    </row>
    <row r="1844" spans="1:6" hidden="1" x14ac:dyDescent="0.3">
      <c r="A1844" s="6">
        <v>14</v>
      </c>
      <c r="B1844" s="6" t="s">
        <v>109</v>
      </c>
      <c r="C1844" s="6" t="s">
        <v>378</v>
      </c>
      <c r="D1844" s="6" t="s">
        <v>110</v>
      </c>
      <c r="E1844" s="11">
        <v>0.79980182647705078</v>
      </c>
      <c r="F1844" s="11">
        <v>0.631336510181427</v>
      </c>
    </row>
    <row r="1845" spans="1:6" hidden="1" x14ac:dyDescent="0.3">
      <c r="A1845" s="6">
        <v>14</v>
      </c>
      <c r="B1845" s="6" t="s">
        <v>109</v>
      </c>
      <c r="C1845" s="6" t="s">
        <v>379</v>
      </c>
      <c r="D1845" s="6" t="s">
        <v>110</v>
      </c>
      <c r="E1845" s="11">
        <v>0.62511038780212402</v>
      </c>
      <c r="F1845" s="11">
        <v>0.631336510181427</v>
      </c>
    </row>
    <row r="1846" spans="1:6" hidden="1" x14ac:dyDescent="0.3">
      <c r="A1846" s="6">
        <v>14</v>
      </c>
      <c r="B1846" s="6" t="s">
        <v>109</v>
      </c>
      <c r="C1846" s="6" t="s">
        <v>380</v>
      </c>
      <c r="D1846" s="6" t="s">
        <v>110</v>
      </c>
      <c r="E1846" s="11">
        <v>0.52475601434707642</v>
      </c>
      <c r="F1846" s="11">
        <v>0.631336510181427</v>
      </c>
    </row>
    <row r="1847" spans="1:6" hidden="1" x14ac:dyDescent="0.3">
      <c r="A1847" s="6">
        <v>14</v>
      </c>
      <c r="B1847" s="6" t="s">
        <v>109</v>
      </c>
      <c r="C1847" s="6" t="s">
        <v>381</v>
      </c>
      <c r="D1847" s="6" t="s">
        <v>110</v>
      </c>
      <c r="E1847" s="11">
        <v>0.68174737691879272</v>
      </c>
      <c r="F1847" s="11">
        <v>0.631336510181427</v>
      </c>
    </row>
    <row r="1848" spans="1:6" hidden="1" x14ac:dyDescent="0.3">
      <c r="A1848" s="6">
        <v>14</v>
      </c>
      <c r="B1848" s="6" t="s">
        <v>109</v>
      </c>
      <c r="C1848" s="6" t="s">
        <v>382</v>
      </c>
      <c r="D1848" s="6" t="s">
        <v>110</v>
      </c>
      <c r="E1848" s="11">
        <v>0.72403830289840698</v>
      </c>
      <c r="F1848" s="11">
        <v>0.631336510181427</v>
      </c>
    </row>
    <row r="1849" spans="1:6" hidden="1" x14ac:dyDescent="0.3">
      <c r="A1849" s="6">
        <v>14</v>
      </c>
      <c r="B1849" s="6" t="s">
        <v>109</v>
      </c>
      <c r="C1849" s="6" t="s">
        <v>383</v>
      </c>
      <c r="D1849" s="6" t="s">
        <v>110</v>
      </c>
      <c r="E1849" s="11">
        <v>0.72503805160522461</v>
      </c>
      <c r="F1849" s="11">
        <v>0.631336510181427</v>
      </c>
    </row>
    <row r="1850" spans="1:6" hidden="1" x14ac:dyDescent="0.3">
      <c r="A1850" s="6">
        <v>14</v>
      </c>
      <c r="B1850" s="6" t="s">
        <v>109</v>
      </c>
      <c r="C1850" s="6" t="s">
        <v>384</v>
      </c>
      <c r="D1850" s="6" t="s">
        <v>110</v>
      </c>
      <c r="E1850" s="11">
        <v>0.70299309492111206</v>
      </c>
      <c r="F1850" s="11">
        <v>0.631336510181427</v>
      </c>
    </row>
    <row r="1851" spans="1:6" hidden="1" x14ac:dyDescent="0.3">
      <c r="A1851" s="6">
        <v>14</v>
      </c>
      <c r="B1851" s="6" t="s">
        <v>109</v>
      </c>
      <c r="C1851" s="6" t="s">
        <v>385</v>
      </c>
      <c r="D1851" s="6" t="s">
        <v>110</v>
      </c>
      <c r="E1851" s="11">
        <v>0.7224699854850769</v>
      </c>
      <c r="F1851" s="11">
        <v>0.631336510181427</v>
      </c>
    </row>
    <row r="1852" spans="1:6" hidden="1" x14ac:dyDescent="0.3">
      <c r="A1852" s="6">
        <v>14</v>
      </c>
      <c r="B1852" s="6" t="s">
        <v>109</v>
      </c>
      <c r="C1852" s="6" t="s">
        <v>386</v>
      </c>
      <c r="D1852" s="6" t="s">
        <v>110</v>
      </c>
      <c r="E1852" s="11">
        <v>0.4723508358001709</v>
      </c>
      <c r="F1852" s="11">
        <v>0.631336510181427</v>
      </c>
    </row>
    <row r="1853" spans="1:6" hidden="1" x14ac:dyDescent="0.3">
      <c r="A1853" s="6">
        <v>14</v>
      </c>
      <c r="B1853" s="6" t="s">
        <v>109</v>
      </c>
      <c r="C1853" s="6" t="s">
        <v>387</v>
      </c>
      <c r="D1853" s="6" t="s">
        <v>110</v>
      </c>
      <c r="E1853" s="11">
        <v>0.88134676218032837</v>
      </c>
      <c r="F1853" s="11">
        <v>0.631336510181427</v>
      </c>
    </row>
    <row r="1854" spans="1:6" hidden="1" x14ac:dyDescent="0.3">
      <c r="A1854" s="6">
        <v>14</v>
      </c>
      <c r="B1854" s="6" t="s">
        <v>109</v>
      </c>
      <c r="C1854" s="6" t="s">
        <v>388</v>
      </c>
      <c r="D1854" s="6" t="s">
        <v>110</v>
      </c>
      <c r="E1854" s="11">
        <v>0.66110628843307495</v>
      </c>
      <c r="F1854" s="11">
        <v>0.631336510181427</v>
      </c>
    </row>
    <row r="1855" spans="1:6" hidden="1" x14ac:dyDescent="0.3">
      <c r="A1855" s="6">
        <v>14</v>
      </c>
      <c r="B1855" s="6" t="s">
        <v>109</v>
      </c>
      <c r="C1855" s="6" t="s">
        <v>389</v>
      </c>
      <c r="D1855" s="6" t="s">
        <v>110</v>
      </c>
      <c r="E1855" s="11">
        <v>0.66991478204727173</v>
      </c>
      <c r="F1855" s="11">
        <v>0.631336510181427</v>
      </c>
    </row>
    <row r="1856" spans="1:6" hidden="1" x14ac:dyDescent="0.3">
      <c r="A1856" s="6">
        <v>14</v>
      </c>
      <c r="B1856" s="6" t="s">
        <v>109</v>
      </c>
      <c r="C1856" s="6" t="s">
        <v>390</v>
      </c>
      <c r="D1856" s="6" t="s">
        <v>110</v>
      </c>
      <c r="E1856" s="11">
        <v>0.98264569044113159</v>
      </c>
      <c r="F1856" s="11">
        <v>0.631336510181427</v>
      </c>
    </row>
    <row r="1857" spans="1:6" hidden="1" x14ac:dyDescent="0.3">
      <c r="A1857" s="6">
        <v>14</v>
      </c>
      <c r="B1857" s="6" t="s">
        <v>109</v>
      </c>
      <c r="C1857" s="6" t="s">
        <v>391</v>
      </c>
      <c r="D1857" s="6" t="s">
        <v>110</v>
      </c>
      <c r="E1857" s="11">
        <v>0.43694153428077698</v>
      </c>
      <c r="F1857" s="11">
        <v>0.631336510181427</v>
      </c>
    </row>
    <row r="1858" spans="1:6" hidden="1" x14ac:dyDescent="0.3">
      <c r="A1858" s="6">
        <v>14</v>
      </c>
      <c r="B1858" s="6" t="s">
        <v>109</v>
      </c>
      <c r="C1858" s="6" t="s">
        <v>392</v>
      </c>
      <c r="D1858" s="6" t="s">
        <v>110</v>
      </c>
      <c r="E1858" s="11">
        <v>0.60522574186325073</v>
      </c>
      <c r="F1858" s="11">
        <v>0.631336510181427</v>
      </c>
    </row>
    <row r="1859" spans="1:6" hidden="1" x14ac:dyDescent="0.3">
      <c r="A1859" s="6">
        <v>14</v>
      </c>
      <c r="B1859" s="6" t="s">
        <v>109</v>
      </c>
      <c r="C1859" s="6" t="s">
        <v>393</v>
      </c>
      <c r="D1859" s="6" t="s">
        <v>110</v>
      </c>
      <c r="E1859" s="11">
        <v>0.66133618354797363</v>
      </c>
      <c r="F1859" s="11">
        <v>0.631336510181427</v>
      </c>
    </row>
    <row r="1860" spans="1:6" hidden="1" x14ac:dyDescent="0.3">
      <c r="A1860" s="6">
        <v>14</v>
      </c>
      <c r="B1860" s="6" t="s">
        <v>109</v>
      </c>
      <c r="C1860" s="6" t="s">
        <v>394</v>
      </c>
      <c r="D1860" s="6" t="s">
        <v>110</v>
      </c>
      <c r="E1860" s="11">
        <v>0.73556822538375854</v>
      </c>
      <c r="F1860" s="11">
        <v>0.631336510181427</v>
      </c>
    </row>
    <row r="1861" spans="1:6" hidden="1" x14ac:dyDescent="0.3">
      <c r="A1861" s="6">
        <v>14</v>
      </c>
      <c r="B1861" s="6" t="s">
        <v>109</v>
      </c>
      <c r="C1861" s="6" t="s">
        <v>395</v>
      </c>
      <c r="D1861" s="6" t="s">
        <v>110</v>
      </c>
      <c r="E1861" s="11">
        <v>0.64844042062759399</v>
      </c>
      <c r="F1861" s="11">
        <v>0.631336510181427</v>
      </c>
    </row>
    <row r="1862" spans="1:6" hidden="1" x14ac:dyDescent="0.3">
      <c r="A1862" s="6">
        <v>14</v>
      </c>
      <c r="B1862" s="6" t="s">
        <v>109</v>
      </c>
      <c r="C1862" s="6" t="s">
        <v>396</v>
      </c>
      <c r="D1862" s="6" t="s">
        <v>110</v>
      </c>
      <c r="E1862" s="11">
        <v>0.74086457490921021</v>
      </c>
      <c r="F1862" s="11">
        <v>0.631336510181427</v>
      </c>
    </row>
    <row r="1863" spans="1:6" hidden="1" x14ac:dyDescent="0.3">
      <c r="A1863" s="6">
        <v>14</v>
      </c>
      <c r="B1863" s="6" t="s">
        <v>109</v>
      </c>
      <c r="C1863" s="6" t="s">
        <v>397</v>
      </c>
      <c r="D1863" s="6" t="s">
        <v>110</v>
      </c>
      <c r="E1863" s="11">
        <v>0.50567853450775146</v>
      </c>
      <c r="F1863" s="11">
        <v>0.631336510181427</v>
      </c>
    </row>
    <row r="1864" spans="1:6" hidden="1" x14ac:dyDescent="0.3">
      <c r="A1864" s="6">
        <v>14</v>
      </c>
      <c r="B1864" s="6" t="s">
        <v>109</v>
      </c>
      <c r="C1864" s="6" t="s">
        <v>398</v>
      </c>
      <c r="D1864" s="6" t="s">
        <v>110</v>
      </c>
      <c r="E1864" s="11">
        <v>0.76465165615081787</v>
      </c>
      <c r="F1864" s="11">
        <v>0.631336510181427</v>
      </c>
    </row>
    <row r="1865" spans="1:6" hidden="1" x14ac:dyDescent="0.3">
      <c r="A1865" s="6">
        <v>14</v>
      </c>
      <c r="B1865" s="6" t="s">
        <v>109</v>
      </c>
      <c r="C1865" s="6" t="s">
        <v>399</v>
      </c>
      <c r="D1865" s="6" t="s">
        <v>110</v>
      </c>
      <c r="E1865" s="11">
        <v>0.61620551347732544</v>
      </c>
      <c r="F1865" s="11">
        <v>0.631336510181427</v>
      </c>
    </row>
    <row r="1866" spans="1:6" hidden="1" x14ac:dyDescent="0.3">
      <c r="A1866" s="6">
        <v>14</v>
      </c>
      <c r="B1866" s="6" t="s">
        <v>109</v>
      </c>
      <c r="C1866" s="6" t="s">
        <v>400</v>
      </c>
      <c r="D1866" s="6" t="s">
        <v>110</v>
      </c>
      <c r="E1866" s="11">
        <v>0.61482053995132446</v>
      </c>
      <c r="F1866" s="11">
        <v>0.631336510181427</v>
      </c>
    </row>
    <row r="1867" spans="1:6" hidden="1" x14ac:dyDescent="0.3">
      <c r="A1867" s="6">
        <v>14</v>
      </c>
      <c r="B1867" s="6" t="s">
        <v>109</v>
      </c>
      <c r="C1867" s="6" t="s">
        <v>401</v>
      </c>
      <c r="D1867" s="6" t="s">
        <v>110</v>
      </c>
      <c r="E1867" s="11">
        <v>1.0081875324249268</v>
      </c>
      <c r="F1867" s="11">
        <v>0.631336510181427</v>
      </c>
    </row>
    <row r="1868" spans="1:6" hidden="1" x14ac:dyDescent="0.3">
      <c r="A1868" s="6">
        <v>14</v>
      </c>
      <c r="B1868" s="6" t="s">
        <v>109</v>
      </c>
      <c r="C1868" s="6" t="s">
        <v>402</v>
      </c>
      <c r="D1868" s="6" t="s">
        <v>110</v>
      </c>
      <c r="E1868" s="11">
        <v>0.87680208683013916</v>
      </c>
      <c r="F1868" s="11">
        <v>0.631336510181427</v>
      </c>
    </row>
    <row r="1869" spans="1:6" hidden="1" x14ac:dyDescent="0.3">
      <c r="A1869" s="6">
        <v>14</v>
      </c>
      <c r="B1869" s="6" t="s">
        <v>109</v>
      </c>
      <c r="C1869" s="6" t="s">
        <v>403</v>
      </c>
      <c r="D1869" s="6" t="s">
        <v>110</v>
      </c>
      <c r="E1869" s="11">
        <v>0.73404437303543091</v>
      </c>
      <c r="F1869" s="11">
        <v>0.631336510181427</v>
      </c>
    </row>
    <row r="1870" spans="1:6" hidden="1" x14ac:dyDescent="0.3">
      <c r="A1870" s="6">
        <v>14</v>
      </c>
      <c r="B1870" s="6" t="s">
        <v>109</v>
      </c>
      <c r="C1870" s="6" t="s">
        <v>404</v>
      </c>
      <c r="D1870" s="6" t="s">
        <v>110</v>
      </c>
      <c r="E1870" s="11">
        <v>0.56081968545913696</v>
      </c>
      <c r="F1870" s="11">
        <v>0.631336510181427</v>
      </c>
    </row>
    <row r="1871" spans="1:6" hidden="1" x14ac:dyDescent="0.3">
      <c r="A1871" s="6">
        <v>14</v>
      </c>
      <c r="B1871" s="6" t="s">
        <v>109</v>
      </c>
      <c r="C1871" s="6" t="s">
        <v>405</v>
      </c>
      <c r="D1871" s="6" t="s">
        <v>110</v>
      </c>
      <c r="E1871" s="11">
        <v>0.54228782653808594</v>
      </c>
      <c r="F1871" s="11">
        <v>0.631336510181427</v>
      </c>
    </row>
    <row r="1872" spans="1:6" hidden="1" x14ac:dyDescent="0.3">
      <c r="A1872" s="6">
        <v>14</v>
      </c>
      <c r="B1872" s="6" t="s">
        <v>109</v>
      </c>
      <c r="C1872" s="6" t="s">
        <v>406</v>
      </c>
      <c r="D1872" s="6" t="s">
        <v>110</v>
      </c>
      <c r="E1872" s="11">
        <v>0.51069670915603638</v>
      </c>
      <c r="F1872" s="11">
        <v>0.631336510181427</v>
      </c>
    </row>
    <row r="1873" spans="1:6" hidden="1" x14ac:dyDescent="0.3">
      <c r="A1873" s="6">
        <v>14</v>
      </c>
      <c r="B1873" s="6" t="s">
        <v>109</v>
      </c>
      <c r="C1873" s="6" t="s">
        <v>407</v>
      </c>
      <c r="D1873" s="6" t="s">
        <v>110</v>
      </c>
      <c r="E1873" s="11">
        <v>0.76977729797363281</v>
      </c>
      <c r="F1873" s="11">
        <v>0.631336510181427</v>
      </c>
    </row>
    <row r="1874" spans="1:6" hidden="1" x14ac:dyDescent="0.3">
      <c r="A1874" s="6">
        <v>14</v>
      </c>
      <c r="B1874" s="6" t="s">
        <v>109</v>
      </c>
      <c r="C1874" s="6" t="s">
        <v>408</v>
      </c>
      <c r="D1874" s="6" t="s">
        <v>110</v>
      </c>
      <c r="E1874" s="11">
        <v>0.66900938749313354</v>
      </c>
      <c r="F1874" s="11">
        <v>0.631336510181427</v>
      </c>
    </row>
    <row r="1875" spans="1:6" hidden="1" x14ac:dyDescent="0.3">
      <c r="A1875" s="6">
        <v>14</v>
      </c>
      <c r="B1875" s="6" t="s">
        <v>109</v>
      </c>
      <c r="C1875" s="6" t="s">
        <v>409</v>
      </c>
      <c r="D1875" s="6" t="s">
        <v>110</v>
      </c>
      <c r="E1875" s="11">
        <v>0.61874359846115112</v>
      </c>
      <c r="F1875" s="11">
        <v>0.631336510181427</v>
      </c>
    </row>
    <row r="1876" spans="1:6" hidden="1" x14ac:dyDescent="0.3">
      <c r="A1876" s="6">
        <v>14</v>
      </c>
      <c r="B1876" s="6" t="s">
        <v>109</v>
      </c>
      <c r="C1876" s="6" t="s">
        <v>410</v>
      </c>
      <c r="D1876" s="6" t="s">
        <v>110</v>
      </c>
      <c r="E1876" s="11">
        <v>0.59761089086532593</v>
      </c>
      <c r="F1876" s="11">
        <v>0.631336510181427</v>
      </c>
    </row>
    <row r="1877" spans="1:6" hidden="1" x14ac:dyDescent="0.3">
      <c r="A1877" s="6">
        <v>14</v>
      </c>
      <c r="B1877" s="6" t="s">
        <v>109</v>
      </c>
      <c r="C1877" s="6" t="s">
        <v>411</v>
      </c>
      <c r="D1877" s="6" t="s">
        <v>110</v>
      </c>
      <c r="E1877" s="11">
        <v>0.66837567090988159</v>
      </c>
      <c r="F1877" s="11">
        <v>0.631336510181427</v>
      </c>
    </row>
    <row r="1878" spans="1:6" hidden="1" x14ac:dyDescent="0.3">
      <c r="A1878" s="6">
        <v>14</v>
      </c>
      <c r="B1878" s="6" t="s">
        <v>109</v>
      </c>
      <c r="C1878" s="6" t="s">
        <v>412</v>
      </c>
      <c r="D1878" s="6" t="s">
        <v>110</v>
      </c>
      <c r="E1878" s="11">
        <v>0.70116257667541504</v>
      </c>
      <c r="F1878" s="11">
        <v>0.631336510181427</v>
      </c>
    </row>
    <row r="1879" spans="1:6" hidden="1" x14ac:dyDescent="0.3">
      <c r="A1879" s="6">
        <v>14</v>
      </c>
      <c r="B1879" s="6" t="s">
        <v>109</v>
      </c>
      <c r="C1879" s="6" t="s">
        <v>413</v>
      </c>
      <c r="D1879" s="6" t="s">
        <v>110</v>
      </c>
      <c r="E1879" s="11">
        <v>0.63547122478485107</v>
      </c>
      <c r="F1879" s="11">
        <v>0.631336510181427</v>
      </c>
    </row>
    <row r="1880" spans="1:6" hidden="1" x14ac:dyDescent="0.3">
      <c r="A1880" s="6">
        <v>14</v>
      </c>
      <c r="B1880" s="6" t="s">
        <v>109</v>
      </c>
      <c r="C1880" s="6" t="s">
        <v>414</v>
      </c>
      <c r="D1880" s="6" t="s">
        <v>110</v>
      </c>
      <c r="E1880" s="11">
        <v>0.50946968793869019</v>
      </c>
      <c r="F1880" s="11">
        <v>0.631336510181427</v>
      </c>
    </row>
    <row r="1881" spans="1:6" hidden="1" x14ac:dyDescent="0.3">
      <c r="A1881" s="6">
        <v>14</v>
      </c>
      <c r="B1881" s="6" t="s">
        <v>109</v>
      </c>
      <c r="C1881" s="6" t="s">
        <v>415</v>
      </c>
      <c r="D1881" s="6" t="s">
        <v>110</v>
      </c>
      <c r="E1881" s="11">
        <v>1.1157764196395874</v>
      </c>
      <c r="F1881" s="11">
        <v>0.631336510181427</v>
      </c>
    </row>
    <row r="1882" spans="1:6" hidden="1" x14ac:dyDescent="0.3">
      <c r="A1882" s="6">
        <v>14</v>
      </c>
      <c r="B1882" s="6" t="s">
        <v>109</v>
      </c>
      <c r="C1882" s="6" t="s">
        <v>416</v>
      </c>
      <c r="D1882" s="6" t="s">
        <v>110</v>
      </c>
      <c r="E1882" s="11">
        <v>0.53304183483123779</v>
      </c>
      <c r="F1882" s="11">
        <v>0.631336510181427</v>
      </c>
    </row>
    <row r="1883" spans="1:6" hidden="1" x14ac:dyDescent="0.3">
      <c r="A1883" s="6">
        <v>14</v>
      </c>
      <c r="B1883" s="6" t="s">
        <v>109</v>
      </c>
      <c r="C1883" s="6" t="s">
        <v>417</v>
      </c>
      <c r="D1883" s="6" t="s">
        <v>110</v>
      </c>
      <c r="E1883" s="11">
        <v>0.7751498818397522</v>
      </c>
      <c r="F1883" s="11">
        <v>0.631336510181427</v>
      </c>
    </row>
    <row r="1884" spans="1:6" hidden="1" x14ac:dyDescent="0.3">
      <c r="A1884" s="6">
        <v>14</v>
      </c>
      <c r="B1884" s="6" t="s">
        <v>109</v>
      </c>
      <c r="C1884" s="6" t="s">
        <v>418</v>
      </c>
      <c r="D1884" s="6" t="s">
        <v>110</v>
      </c>
      <c r="E1884" s="11">
        <v>1.0524784326553345</v>
      </c>
      <c r="F1884" s="11">
        <v>0.631336510181427</v>
      </c>
    </row>
    <row r="1885" spans="1:6" hidden="1" x14ac:dyDescent="0.3">
      <c r="A1885" s="6">
        <v>14</v>
      </c>
      <c r="B1885" s="6" t="s">
        <v>109</v>
      </c>
      <c r="C1885" s="6" t="s">
        <v>419</v>
      </c>
      <c r="D1885" s="6" t="s">
        <v>110</v>
      </c>
      <c r="E1885" s="11">
        <v>0.47285342216491699</v>
      </c>
      <c r="F1885" s="11">
        <v>0.631336510181427</v>
      </c>
    </row>
    <row r="1886" spans="1:6" hidden="1" x14ac:dyDescent="0.3">
      <c r="A1886" s="6">
        <v>14</v>
      </c>
      <c r="B1886" s="6" t="s">
        <v>109</v>
      </c>
      <c r="C1886" s="6" t="s">
        <v>420</v>
      </c>
      <c r="D1886" s="6" t="s">
        <v>110</v>
      </c>
      <c r="E1886" s="11">
        <v>0.49284091591835022</v>
      </c>
      <c r="F1886" s="11">
        <v>0.631336510181427</v>
      </c>
    </row>
    <row r="1887" spans="1:6" hidden="1" x14ac:dyDescent="0.3">
      <c r="A1887" s="6">
        <v>14</v>
      </c>
      <c r="B1887" s="6" t="s">
        <v>109</v>
      </c>
      <c r="C1887" s="6" t="s">
        <v>421</v>
      </c>
      <c r="D1887" s="6" t="s">
        <v>110</v>
      </c>
      <c r="E1887" s="11">
        <v>0.91860693693161011</v>
      </c>
      <c r="F1887" s="11">
        <v>0.631336510181427</v>
      </c>
    </row>
    <row r="1888" spans="1:6" hidden="1" x14ac:dyDescent="0.3">
      <c r="A1888" s="6">
        <v>14</v>
      </c>
      <c r="B1888" s="6" t="s">
        <v>109</v>
      </c>
      <c r="C1888" s="6" t="s">
        <v>422</v>
      </c>
      <c r="D1888" s="6" t="s">
        <v>110</v>
      </c>
      <c r="E1888" s="11">
        <v>1.2173173427581787</v>
      </c>
      <c r="F1888" s="11">
        <v>0.631336510181427</v>
      </c>
    </row>
    <row r="1889" spans="1:6" hidden="1" x14ac:dyDescent="0.3">
      <c r="A1889" s="6">
        <v>14</v>
      </c>
      <c r="B1889" s="6" t="s">
        <v>109</v>
      </c>
      <c r="C1889" s="6" t="s">
        <v>423</v>
      </c>
      <c r="D1889" s="6" t="s">
        <v>110</v>
      </c>
      <c r="E1889" s="11">
        <v>0.91979110240936279</v>
      </c>
      <c r="F1889" s="11">
        <v>0.631336510181427</v>
      </c>
    </row>
    <row r="1890" spans="1:6" hidden="1" x14ac:dyDescent="0.3">
      <c r="A1890" s="6">
        <v>14</v>
      </c>
      <c r="B1890" s="6" t="s">
        <v>109</v>
      </c>
      <c r="C1890" s="6" t="s">
        <v>424</v>
      </c>
      <c r="D1890" s="6" t="s">
        <v>110</v>
      </c>
      <c r="E1890" s="11">
        <v>0.59079605340957642</v>
      </c>
      <c r="F1890" s="11">
        <v>0.631336510181427</v>
      </c>
    </row>
    <row r="1891" spans="1:6" hidden="1" x14ac:dyDescent="0.3">
      <c r="A1891" s="6">
        <v>14</v>
      </c>
      <c r="B1891" s="6" t="s">
        <v>109</v>
      </c>
      <c r="C1891" s="6" t="s">
        <v>425</v>
      </c>
      <c r="D1891" s="6" t="s">
        <v>110</v>
      </c>
      <c r="E1891" s="11">
        <v>0.52999669313430786</v>
      </c>
      <c r="F1891" s="11">
        <v>0.631336510181427</v>
      </c>
    </row>
    <row r="1892" spans="1:6" hidden="1" x14ac:dyDescent="0.3">
      <c r="A1892" s="6">
        <v>14</v>
      </c>
      <c r="B1892" s="6" t="s">
        <v>109</v>
      </c>
      <c r="C1892" s="6" t="s">
        <v>426</v>
      </c>
      <c r="D1892" s="6" t="s">
        <v>110</v>
      </c>
      <c r="E1892" s="11">
        <v>0.62183183431625366</v>
      </c>
      <c r="F1892" s="11">
        <v>0.631336510181427</v>
      </c>
    </row>
    <row r="1893" spans="1:6" hidden="1" x14ac:dyDescent="0.3">
      <c r="A1893" s="6">
        <v>14</v>
      </c>
      <c r="B1893" s="6" t="s">
        <v>109</v>
      </c>
      <c r="C1893" s="6" t="s">
        <v>427</v>
      </c>
      <c r="D1893" s="6" t="s">
        <v>110</v>
      </c>
      <c r="E1893" s="11">
        <v>4.3036766052246094</v>
      </c>
      <c r="F1893" s="11">
        <v>0.631336510181427</v>
      </c>
    </row>
    <row r="1894" spans="1:6" hidden="1" x14ac:dyDescent="0.3">
      <c r="A1894" s="6">
        <v>14</v>
      </c>
      <c r="B1894" s="6" t="s">
        <v>109</v>
      </c>
      <c r="C1894" s="6" t="s">
        <v>428</v>
      </c>
      <c r="D1894" s="6" t="s">
        <v>110</v>
      </c>
      <c r="E1894" s="11">
        <v>0.51911872625350952</v>
      </c>
      <c r="F1894" s="11">
        <v>0.631336510181427</v>
      </c>
    </row>
    <row r="1895" spans="1:6" hidden="1" x14ac:dyDescent="0.3">
      <c r="A1895" s="6">
        <v>14</v>
      </c>
      <c r="B1895" s="6" t="s">
        <v>109</v>
      </c>
      <c r="C1895" s="6" t="s">
        <v>429</v>
      </c>
      <c r="D1895" s="6" t="s">
        <v>110</v>
      </c>
      <c r="E1895" s="11">
        <v>0.75800281763076782</v>
      </c>
      <c r="F1895" s="11">
        <v>0.631336510181427</v>
      </c>
    </row>
    <row r="1896" spans="1:6" hidden="1" x14ac:dyDescent="0.3">
      <c r="A1896" s="6">
        <v>14</v>
      </c>
      <c r="B1896" s="6" t="s">
        <v>109</v>
      </c>
      <c r="C1896" s="6" t="s">
        <v>430</v>
      </c>
      <c r="D1896" s="6" t="s">
        <v>110</v>
      </c>
      <c r="E1896" s="11">
        <v>0.48681432008743286</v>
      </c>
      <c r="F1896" s="11">
        <v>0.631336510181427</v>
      </c>
    </row>
    <row r="1897" spans="1:6" hidden="1" x14ac:dyDescent="0.3">
      <c r="A1897" s="6">
        <v>14</v>
      </c>
      <c r="B1897" s="6" t="s">
        <v>109</v>
      </c>
      <c r="C1897" s="6" t="s">
        <v>431</v>
      </c>
      <c r="D1897" s="6" t="s">
        <v>110</v>
      </c>
      <c r="E1897" s="11">
        <v>0.73053264617919922</v>
      </c>
      <c r="F1897" s="11">
        <v>0.631336510181427</v>
      </c>
    </row>
    <row r="1898" spans="1:6" hidden="1" x14ac:dyDescent="0.3">
      <c r="A1898" s="6">
        <v>14</v>
      </c>
      <c r="B1898" s="6" t="s">
        <v>109</v>
      </c>
      <c r="C1898" s="6" t="s">
        <v>432</v>
      </c>
      <c r="D1898" s="6" t="s">
        <v>110</v>
      </c>
      <c r="E1898" s="11">
        <v>0.74072408676147461</v>
      </c>
      <c r="F1898" s="11">
        <v>0.631336510181427</v>
      </c>
    </row>
    <row r="1899" spans="1:6" hidden="1" x14ac:dyDescent="0.3">
      <c r="A1899" s="6">
        <v>14</v>
      </c>
      <c r="B1899" s="6" t="s">
        <v>109</v>
      </c>
      <c r="C1899" s="6" t="s">
        <v>433</v>
      </c>
      <c r="D1899" s="6" t="s">
        <v>110</v>
      </c>
      <c r="E1899" s="11">
        <v>0.63817375898361206</v>
      </c>
      <c r="F1899" s="11">
        <v>0.631336510181427</v>
      </c>
    </row>
    <row r="1900" spans="1:6" hidden="1" x14ac:dyDescent="0.3">
      <c r="A1900" s="6">
        <v>14</v>
      </c>
      <c r="B1900" s="6" t="s">
        <v>109</v>
      </c>
      <c r="C1900" s="6" t="s">
        <v>434</v>
      </c>
      <c r="D1900" s="6" t="s">
        <v>110</v>
      </c>
      <c r="E1900" s="11">
        <v>0.59725111722946167</v>
      </c>
      <c r="F1900" s="11">
        <v>0.631336510181427</v>
      </c>
    </row>
    <row r="1901" spans="1:6" hidden="1" x14ac:dyDescent="0.3">
      <c r="A1901" s="6">
        <v>14</v>
      </c>
      <c r="B1901" s="6" t="s">
        <v>109</v>
      </c>
      <c r="C1901" s="6" t="s">
        <v>435</v>
      </c>
      <c r="D1901" s="6" t="s">
        <v>110</v>
      </c>
      <c r="E1901" s="11">
        <v>0.47864466905593872</v>
      </c>
      <c r="F1901" s="11">
        <v>0.631336510181427</v>
      </c>
    </row>
    <row r="1902" spans="1:6" hidden="1" x14ac:dyDescent="0.3">
      <c r="A1902" s="6">
        <v>14</v>
      </c>
      <c r="B1902" s="6" t="s">
        <v>109</v>
      </c>
      <c r="C1902" s="6" t="s">
        <v>436</v>
      </c>
      <c r="D1902" s="6" t="s">
        <v>110</v>
      </c>
      <c r="E1902" s="11">
        <v>1.4116122722625732</v>
      </c>
      <c r="F1902" s="11">
        <v>0.631336510181427</v>
      </c>
    </row>
    <row r="1903" spans="1:6" hidden="1" x14ac:dyDescent="0.3">
      <c r="A1903" s="6">
        <v>14</v>
      </c>
      <c r="B1903" s="6" t="s">
        <v>109</v>
      </c>
      <c r="C1903" s="6" t="s">
        <v>437</v>
      </c>
      <c r="D1903" s="6" t="s">
        <v>110</v>
      </c>
      <c r="E1903" s="11">
        <v>0.74501985311508179</v>
      </c>
      <c r="F1903" s="11">
        <v>0.631336510181427</v>
      </c>
    </row>
    <row r="1904" spans="1:6" hidden="1" x14ac:dyDescent="0.3">
      <c r="A1904" s="6">
        <v>14</v>
      </c>
      <c r="B1904" s="6" t="s">
        <v>109</v>
      </c>
      <c r="C1904" s="6" t="s">
        <v>438</v>
      </c>
      <c r="D1904" s="6" t="s">
        <v>110</v>
      </c>
      <c r="E1904" s="11">
        <v>0.70008242130279541</v>
      </c>
      <c r="F1904" s="11">
        <v>0.631336510181427</v>
      </c>
    </row>
    <row r="1905" spans="1:6" hidden="1" x14ac:dyDescent="0.3">
      <c r="A1905" s="6">
        <v>14</v>
      </c>
      <c r="B1905" s="6" t="s">
        <v>109</v>
      </c>
      <c r="C1905" s="6" t="s">
        <v>439</v>
      </c>
      <c r="D1905" s="6" t="s">
        <v>110</v>
      </c>
      <c r="E1905" s="11">
        <v>0.8751605749130249</v>
      </c>
      <c r="F1905" s="11">
        <v>0.631336510181427</v>
      </c>
    </row>
    <row r="1906" spans="1:6" hidden="1" x14ac:dyDescent="0.3">
      <c r="A1906" s="6">
        <v>14</v>
      </c>
      <c r="B1906" s="6" t="s">
        <v>109</v>
      </c>
      <c r="C1906" s="6" t="s">
        <v>440</v>
      </c>
      <c r="D1906" s="6" t="s">
        <v>110</v>
      </c>
      <c r="E1906" s="11">
        <v>0.61312949657440186</v>
      </c>
      <c r="F1906" s="11">
        <v>0.631336510181427</v>
      </c>
    </row>
    <row r="1907" spans="1:6" hidden="1" x14ac:dyDescent="0.3">
      <c r="A1907" s="6">
        <v>14</v>
      </c>
      <c r="B1907" s="6" t="s">
        <v>109</v>
      </c>
      <c r="C1907" s="6" t="s">
        <v>441</v>
      </c>
      <c r="D1907" s="6" t="s">
        <v>110</v>
      </c>
      <c r="E1907" s="11">
        <v>0.63155627250671387</v>
      </c>
      <c r="F1907" s="11">
        <v>0.631336510181427</v>
      </c>
    </row>
    <row r="1908" spans="1:6" hidden="1" x14ac:dyDescent="0.3">
      <c r="A1908" s="6">
        <v>14</v>
      </c>
      <c r="B1908" s="6" t="s">
        <v>109</v>
      </c>
      <c r="C1908" s="6" t="s">
        <v>442</v>
      </c>
      <c r="D1908" s="6" t="s">
        <v>110</v>
      </c>
      <c r="E1908" s="11">
        <v>1.0274983644485474</v>
      </c>
      <c r="F1908" s="11">
        <v>0.631336510181427</v>
      </c>
    </row>
    <row r="1909" spans="1:6" hidden="1" x14ac:dyDescent="0.3">
      <c r="A1909" s="6">
        <v>14</v>
      </c>
      <c r="B1909" s="6" t="s">
        <v>109</v>
      </c>
      <c r="C1909" s="6" t="s">
        <v>443</v>
      </c>
      <c r="D1909" s="6" t="s">
        <v>110</v>
      </c>
      <c r="E1909" s="11">
        <v>0.70099049806594849</v>
      </c>
      <c r="F1909" s="11">
        <v>0.631336510181427</v>
      </c>
    </row>
    <row r="1910" spans="1:6" hidden="1" x14ac:dyDescent="0.3">
      <c r="A1910" s="6">
        <v>14</v>
      </c>
      <c r="B1910" s="6" t="s">
        <v>109</v>
      </c>
      <c r="C1910" s="6" t="s">
        <v>444</v>
      </c>
      <c r="D1910" s="6" t="s">
        <v>110</v>
      </c>
      <c r="E1910" s="11">
        <v>0.49328476190567017</v>
      </c>
      <c r="F1910" s="11">
        <v>0.631336510181427</v>
      </c>
    </row>
    <row r="1911" spans="1:6" hidden="1" x14ac:dyDescent="0.3">
      <c r="A1911" s="6">
        <v>14</v>
      </c>
      <c r="B1911" s="6" t="s">
        <v>109</v>
      </c>
      <c r="C1911" s="6" t="s">
        <v>445</v>
      </c>
      <c r="D1911" s="6" t="s">
        <v>110</v>
      </c>
      <c r="E1911" s="11">
        <v>1.1105479001998901</v>
      </c>
      <c r="F1911" s="11">
        <v>0.631336510181427</v>
      </c>
    </row>
    <row r="1912" spans="1:6" hidden="1" x14ac:dyDescent="0.3">
      <c r="A1912" s="6">
        <v>14</v>
      </c>
      <c r="B1912" s="6" t="s">
        <v>109</v>
      </c>
      <c r="C1912" s="6" t="s">
        <v>446</v>
      </c>
      <c r="D1912" s="6" t="s">
        <v>110</v>
      </c>
      <c r="E1912" s="11">
        <v>0.61789149045944214</v>
      </c>
      <c r="F1912" s="11">
        <v>0.631336510181427</v>
      </c>
    </row>
    <row r="1913" spans="1:6" hidden="1" x14ac:dyDescent="0.3">
      <c r="A1913" s="6">
        <v>14</v>
      </c>
      <c r="B1913" s="6" t="s">
        <v>109</v>
      </c>
      <c r="C1913" s="6" t="s">
        <v>447</v>
      </c>
      <c r="D1913" s="6" t="s">
        <v>110</v>
      </c>
      <c r="E1913" s="11">
        <v>0.56596797704696655</v>
      </c>
      <c r="F1913" s="11">
        <v>0.631336510181427</v>
      </c>
    </row>
    <row r="1914" spans="1:6" hidden="1" x14ac:dyDescent="0.3">
      <c r="A1914" s="6">
        <v>14</v>
      </c>
      <c r="B1914" s="6" t="s">
        <v>109</v>
      </c>
      <c r="C1914" s="6" t="s">
        <v>448</v>
      </c>
      <c r="D1914" s="6" t="s">
        <v>110</v>
      </c>
      <c r="E1914" s="11">
        <v>0.68548262119293213</v>
      </c>
      <c r="F1914" s="11">
        <v>0.631336510181427</v>
      </c>
    </row>
    <row r="1915" spans="1:6" hidden="1" x14ac:dyDescent="0.3">
      <c r="A1915" s="6">
        <v>14</v>
      </c>
      <c r="B1915" s="6" t="s">
        <v>109</v>
      </c>
      <c r="C1915" s="6" t="s">
        <v>449</v>
      </c>
      <c r="D1915" s="6" t="s">
        <v>110</v>
      </c>
      <c r="E1915" s="11">
        <v>0.71141856908798218</v>
      </c>
      <c r="F1915" s="11">
        <v>0.631336510181427</v>
      </c>
    </row>
    <row r="1916" spans="1:6" hidden="1" x14ac:dyDescent="0.3">
      <c r="A1916" s="6">
        <v>14</v>
      </c>
      <c r="B1916" s="6" t="s">
        <v>109</v>
      </c>
      <c r="C1916" s="6" t="s">
        <v>450</v>
      </c>
      <c r="D1916" s="6" t="s">
        <v>110</v>
      </c>
      <c r="E1916" s="11">
        <v>1.543414831161499</v>
      </c>
      <c r="F1916" s="11">
        <v>0.631336510181427</v>
      </c>
    </row>
    <row r="1917" spans="1:6" hidden="1" x14ac:dyDescent="0.3">
      <c r="A1917" s="6">
        <v>14</v>
      </c>
      <c r="B1917" s="6" t="s">
        <v>109</v>
      </c>
      <c r="C1917" s="6" t="s">
        <v>451</v>
      </c>
      <c r="D1917" s="6" t="s">
        <v>110</v>
      </c>
      <c r="E1917" s="11">
        <v>0.72341769933700562</v>
      </c>
      <c r="F1917" s="11">
        <v>0.631336510181427</v>
      </c>
    </row>
    <row r="1918" spans="1:6" hidden="1" x14ac:dyDescent="0.3">
      <c r="A1918" s="6">
        <v>14</v>
      </c>
      <c r="B1918" s="6" t="s">
        <v>109</v>
      </c>
      <c r="C1918" s="6" t="s">
        <v>452</v>
      </c>
      <c r="D1918" s="6" t="s">
        <v>110</v>
      </c>
      <c r="E1918" s="11">
        <v>0.58676868677139282</v>
      </c>
      <c r="F1918" s="11">
        <v>0.631336510181427</v>
      </c>
    </row>
    <row r="1919" spans="1:6" hidden="1" x14ac:dyDescent="0.3">
      <c r="A1919" s="6">
        <v>14</v>
      </c>
      <c r="B1919" s="6" t="s">
        <v>109</v>
      </c>
      <c r="C1919" s="6" t="s">
        <v>453</v>
      </c>
      <c r="D1919" s="6" t="s">
        <v>110</v>
      </c>
      <c r="E1919" s="11">
        <v>0.96685254573822021</v>
      </c>
      <c r="F1919" s="11">
        <v>0.631336510181427</v>
      </c>
    </row>
    <row r="1920" spans="1:6" hidden="1" x14ac:dyDescent="0.3">
      <c r="A1920" s="6">
        <v>14</v>
      </c>
      <c r="B1920" s="6" t="s">
        <v>109</v>
      </c>
      <c r="C1920" s="6" t="s">
        <v>454</v>
      </c>
      <c r="D1920" s="6" t="s">
        <v>110</v>
      </c>
      <c r="E1920" s="11">
        <v>0.66101360321044922</v>
      </c>
      <c r="F1920" s="11">
        <v>0.631336510181427</v>
      </c>
    </row>
    <row r="1921" spans="1:6" hidden="1" x14ac:dyDescent="0.3">
      <c r="A1921" s="6">
        <v>14</v>
      </c>
      <c r="B1921" s="6" t="s">
        <v>109</v>
      </c>
      <c r="C1921" s="6" t="s">
        <v>455</v>
      </c>
      <c r="D1921" s="6" t="s">
        <v>110</v>
      </c>
      <c r="E1921" s="11">
        <v>0.84211498498916626</v>
      </c>
      <c r="F1921" s="11">
        <v>0.631336510181427</v>
      </c>
    </row>
    <row r="1922" spans="1:6" hidden="1" x14ac:dyDescent="0.3">
      <c r="A1922" s="6">
        <v>14</v>
      </c>
      <c r="B1922" s="6" t="s">
        <v>109</v>
      </c>
      <c r="C1922" s="6" t="s">
        <v>456</v>
      </c>
      <c r="D1922" s="6" t="s">
        <v>110</v>
      </c>
      <c r="E1922" s="11">
        <v>0.51793390512466431</v>
      </c>
      <c r="F1922" s="11">
        <v>0.631336510181427</v>
      </c>
    </row>
    <row r="1923" spans="1:6" hidden="1" x14ac:dyDescent="0.3">
      <c r="A1923" s="6">
        <v>14</v>
      </c>
      <c r="B1923" s="6" t="s">
        <v>109</v>
      </c>
      <c r="C1923" s="6" t="s">
        <v>457</v>
      </c>
      <c r="D1923" s="6" t="s">
        <v>110</v>
      </c>
      <c r="E1923" s="11">
        <v>1.1923874616622925</v>
      </c>
      <c r="F1923" s="11">
        <v>0.631336510181427</v>
      </c>
    </row>
    <row r="1924" spans="1:6" hidden="1" x14ac:dyDescent="0.3">
      <c r="A1924" s="6">
        <v>14</v>
      </c>
      <c r="B1924" s="6" t="s">
        <v>109</v>
      </c>
      <c r="C1924" s="6" t="s">
        <v>458</v>
      </c>
      <c r="D1924" s="6" t="s">
        <v>110</v>
      </c>
      <c r="E1924" s="11">
        <v>3.0486440658569336</v>
      </c>
      <c r="F1924" s="11">
        <v>0.631336510181427</v>
      </c>
    </row>
    <row r="1925" spans="1:6" hidden="1" x14ac:dyDescent="0.3">
      <c r="A1925" s="6">
        <v>14</v>
      </c>
      <c r="B1925" s="6" t="s">
        <v>109</v>
      </c>
      <c r="C1925" s="6" t="s">
        <v>459</v>
      </c>
      <c r="D1925" s="6" t="s">
        <v>110</v>
      </c>
      <c r="E1925" s="11">
        <v>0.78262192010879517</v>
      </c>
      <c r="F1925" s="11">
        <v>0.631336510181427</v>
      </c>
    </row>
    <row r="1926" spans="1:6" hidden="1" x14ac:dyDescent="0.3">
      <c r="A1926" s="6">
        <v>14</v>
      </c>
      <c r="B1926" s="6" t="s">
        <v>109</v>
      </c>
      <c r="C1926" s="6" t="s">
        <v>460</v>
      </c>
      <c r="D1926" s="6" t="s">
        <v>110</v>
      </c>
      <c r="E1926" s="11">
        <v>0.69144546985626221</v>
      </c>
      <c r="F1926" s="11">
        <v>0.631336510181427</v>
      </c>
    </row>
    <row r="1927" spans="1:6" hidden="1" x14ac:dyDescent="0.3">
      <c r="A1927" s="6">
        <v>14</v>
      </c>
      <c r="B1927" s="6" t="s">
        <v>109</v>
      </c>
      <c r="C1927" s="6" t="s">
        <v>461</v>
      </c>
      <c r="D1927" s="6" t="s">
        <v>110</v>
      </c>
      <c r="E1927" s="11">
        <v>0.6314622163772583</v>
      </c>
      <c r="F1927" s="11">
        <v>0.631336510181427</v>
      </c>
    </row>
    <row r="1928" spans="1:6" hidden="1" x14ac:dyDescent="0.3">
      <c r="A1928" s="6">
        <v>14</v>
      </c>
      <c r="B1928" s="6" t="s">
        <v>109</v>
      </c>
      <c r="C1928" s="6" t="s">
        <v>462</v>
      </c>
      <c r="D1928" s="6" t="s">
        <v>110</v>
      </c>
      <c r="E1928" s="11">
        <v>0.48916608095169067</v>
      </c>
      <c r="F1928" s="11">
        <v>0.631336510181427</v>
      </c>
    </row>
    <row r="1929" spans="1:6" hidden="1" x14ac:dyDescent="0.3">
      <c r="A1929" s="6">
        <v>14</v>
      </c>
      <c r="B1929" s="6" t="s">
        <v>109</v>
      </c>
      <c r="C1929" s="6" t="s">
        <v>463</v>
      </c>
      <c r="D1929" s="6" t="s">
        <v>110</v>
      </c>
      <c r="E1929" s="11">
        <v>0.59028470516204834</v>
      </c>
      <c r="F1929" s="11">
        <v>0.631336510181427</v>
      </c>
    </row>
    <row r="1930" spans="1:6" hidden="1" x14ac:dyDescent="0.3">
      <c r="A1930" s="6">
        <v>14</v>
      </c>
      <c r="B1930" s="6" t="s">
        <v>109</v>
      </c>
      <c r="C1930" s="6" t="s">
        <v>464</v>
      </c>
      <c r="D1930" s="6" t="s">
        <v>110</v>
      </c>
      <c r="E1930" s="11">
        <v>0.58179885149002075</v>
      </c>
      <c r="F1930" s="11">
        <v>0.631336510181427</v>
      </c>
    </row>
    <row r="1931" spans="1:6" hidden="1" x14ac:dyDescent="0.3">
      <c r="A1931" s="6">
        <v>14</v>
      </c>
      <c r="B1931" s="6" t="s">
        <v>109</v>
      </c>
      <c r="C1931" s="6" t="s">
        <v>465</v>
      </c>
      <c r="D1931" s="6" t="s">
        <v>110</v>
      </c>
      <c r="E1931" s="11">
        <v>0.66151100397109985</v>
      </c>
      <c r="F1931" s="11">
        <v>0.631336510181427</v>
      </c>
    </row>
    <row r="1932" spans="1:6" hidden="1" x14ac:dyDescent="0.3">
      <c r="A1932" s="6">
        <v>14</v>
      </c>
      <c r="B1932" s="6" t="s">
        <v>109</v>
      </c>
      <c r="C1932" s="6" t="s">
        <v>466</v>
      </c>
      <c r="D1932" s="6" t="s">
        <v>110</v>
      </c>
      <c r="E1932" s="11">
        <v>0.62029910087585449</v>
      </c>
      <c r="F1932" s="11">
        <v>0.631336510181427</v>
      </c>
    </row>
    <row r="1933" spans="1:6" hidden="1" x14ac:dyDescent="0.3">
      <c r="A1933" s="6">
        <v>14</v>
      </c>
      <c r="B1933" s="6" t="s">
        <v>109</v>
      </c>
      <c r="C1933" s="6" t="s">
        <v>467</v>
      </c>
      <c r="D1933" s="6" t="s">
        <v>110</v>
      </c>
      <c r="E1933" s="11">
        <v>0.69332253932952881</v>
      </c>
      <c r="F1933" s="11">
        <v>0.631336510181427</v>
      </c>
    </row>
    <row r="1934" spans="1:6" hidden="1" x14ac:dyDescent="0.3">
      <c r="A1934" s="6">
        <v>14</v>
      </c>
      <c r="B1934" s="6" t="s">
        <v>109</v>
      </c>
      <c r="C1934" s="6" t="s">
        <v>468</v>
      </c>
      <c r="D1934" s="6" t="s">
        <v>110</v>
      </c>
      <c r="E1934" s="11">
        <v>0.79218041896820068</v>
      </c>
      <c r="F1934" s="11">
        <v>0.631336510181427</v>
      </c>
    </row>
    <row r="1935" spans="1:6" hidden="1" x14ac:dyDescent="0.3">
      <c r="A1935" s="6">
        <v>14</v>
      </c>
      <c r="B1935" s="6" t="s">
        <v>109</v>
      </c>
      <c r="C1935" s="6" t="s">
        <v>469</v>
      </c>
      <c r="D1935" s="6" t="s">
        <v>110</v>
      </c>
      <c r="E1935" s="11">
        <v>0.59362596273422241</v>
      </c>
      <c r="F1935" s="11">
        <v>0.631336510181427</v>
      </c>
    </row>
    <row r="1936" spans="1:6" hidden="1" x14ac:dyDescent="0.3">
      <c r="A1936" s="6">
        <v>14</v>
      </c>
      <c r="B1936" s="6" t="s">
        <v>109</v>
      </c>
      <c r="C1936" s="6" t="s">
        <v>470</v>
      </c>
      <c r="D1936" s="6" t="s">
        <v>110</v>
      </c>
      <c r="E1936" s="11">
        <v>0.55969339609146118</v>
      </c>
      <c r="F1936" s="11">
        <v>0.631336510181427</v>
      </c>
    </row>
    <row r="1937" spans="1:6" hidden="1" x14ac:dyDescent="0.3">
      <c r="A1937" s="6">
        <v>14</v>
      </c>
      <c r="B1937" s="6" t="s">
        <v>109</v>
      </c>
      <c r="C1937" s="6" t="s">
        <v>471</v>
      </c>
      <c r="D1937" s="6" t="s">
        <v>110</v>
      </c>
      <c r="E1937" s="11">
        <v>0.57866865396499634</v>
      </c>
      <c r="F1937" s="11">
        <v>0.631336510181427</v>
      </c>
    </row>
    <row r="1938" spans="1:6" hidden="1" x14ac:dyDescent="0.3">
      <c r="A1938" s="6">
        <v>14</v>
      </c>
      <c r="B1938" s="6" t="s">
        <v>109</v>
      </c>
      <c r="C1938" s="6" t="s">
        <v>472</v>
      </c>
      <c r="D1938" s="6" t="s">
        <v>110</v>
      </c>
      <c r="E1938" s="11">
        <v>0.61734318733215332</v>
      </c>
      <c r="F1938" s="11">
        <v>0.631336510181427</v>
      </c>
    </row>
    <row r="1939" spans="1:6" hidden="1" x14ac:dyDescent="0.3">
      <c r="A1939" s="6">
        <v>14</v>
      </c>
      <c r="B1939" s="6" t="s">
        <v>109</v>
      </c>
      <c r="C1939" s="6" t="s">
        <v>473</v>
      </c>
      <c r="D1939" s="6" t="s">
        <v>110</v>
      </c>
      <c r="E1939" s="11">
        <v>0.62314760684967041</v>
      </c>
      <c r="F1939" s="11">
        <v>0.631336510181427</v>
      </c>
    </row>
    <row r="1940" spans="1:6" hidden="1" x14ac:dyDescent="0.3">
      <c r="A1940" s="6">
        <v>14</v>
      </c>
      <c r="B1940" s="6" t="s">
        <v>109</v>
      </c>
      <c r="C1940" s="6" t="s">
        <v>474</v>
      </c>
      <c r="D1940" s="6" t="s">
        <v>110</v>
      </c>
      <c r="E1940" s="11">
        <v>0.92254579067230225</v>
      </c>
      <c r="F1940" s="11">
        <v>0.631336510181427</v>
      </c>
    </row>
    <row r="1941" spans="1:6" hidden="1" x14ac:dyDescent="0.3">
      <c r="A1941" s="6">
        <v>14</v>
      </c>
      <c r="B1941" s="6" t="s">
        <v>109</v>
      </c>
      <c r="C1941" s="6" t="s">
        <v>475</v>
      </c>
      <c r="D1941" s="6" t="s">
        <v>110</v>
      </c>
      <c r="E1941" s="11">
        <v>0.68768167495727539</v>
      </c>
      <c r="F1941" s="11">
        <v>0.631336510181427</v>
      </c>
    </row>
    <row r="1942" spans="1:6" hidden="1" x14ac:dyDescent="0.3">
      <c r="A1942" s="6">
        <v>14</v>
      </c>
      <c r="B1942" s="6" t="s">
        <v>109</v>
      </c>
      <c r="C1942" s="6" t="s">
        <v>476</v>
      </c>
      <c r="D1942" s="6" t="s">
        <v>110</v>
      </c>
      <c r="E1942" s="11">
        <v>0.59097903966903687</v>
      </c>
      <c r="F1942" s="11">
        <v>0.631336510181427</v>
      </c>
    </row>
    <row r="1943" spans="1:6" hidden="1" x14ac:dyDescent="0.3">
      <c r="A1943" s="6">
        <v>14</v>
      </c>
      <c r="B1943" s="6" t="s">
        <v>109</v>
      </c>
      <c r="C1943" s="6" t="s">
        <v>477</v>
      </c>
      <c r="D1943" s="6" t="s">
        <v>110</v>
      </c>
      <c r="E1943" s="11">
        <v>0.61255860328674316</v>
      </c>
      <c r="F1943" s="11">
        <v>0.631336510181427</v>
      </c>
    </row>
    <row r="1944" spans="1:6" hidden="1" x14ac:dyDescent="0.3">
      <c r="A1944" s="6">
        <v>14</v>
      </c>
      <c r="B1944" s="6" t="s">
        <v>109</v>
      </c>
      <c r="C1944" s="6" t="s">
        <v>478</v>
      </c>
      <c r="D1944" s="6" t="s">
        <v>110</v>
      </c>
      <c r="E1944" s="11">
        <v>0.72227621078491211</v>
      </c>
      <c r="F1944" s="11">
        <v>0.631336510181427</v>
      </c>
    </row>
    <row r="1945" spans="1:6" hidden="1" x14ac:dyDescent="0.3">
      <c r="A1945" s="6">
        <v>14</v>
      </c>
      <c r="B1945" s="6" t="s">
        <v>109</v>
      </c>
      <c r="C1945" s="6" t="s">
        <v>479</v>
      </c>
      <c r="D1945" s="6" t="s">
        <v>110</v>
      </c>
      <c r="E1945" s="11">
        <v>0.70084840059280396</v>
      </c>
      <c r="F1945" s="11">
        <v>0.631336510181427</v>
      </c>
    </row>
    <row r="1946" spans="1:6" hidden="1" x14ac:dyDescent="0.3">
      <c r="A1946" s="6">
        <v>14</v>
      </c>
      <c r="B1946" s="6" t="s">
        <v>109</v>
      </c>
      <c r="C1946" s="6" t="s">
        <v>480</v>
      </c>
      <c r="D1946" s="6" t="s">
        <v>110</v>
      </c>
      <c r="E1946" s="11">
        <v>0.69600212574005127</v>
      </c>
      <c r="F1946" s="11">
        <v>0.631336510181427</v>
      </c>
    </row>
    <row r="1947" spans="1:6" hidden="1" x14ac:dyDescent="0.3">
      <c r="A1947" s="6">
        <v>14</v>
      </c>
      <c r="B1947" s="6" t="s">
        <v>109</v>
      </c>
      <c r="C1947" s="6" t="s">
        <v>481</v>
      </c>
      <c r="D1947" s="6" t="s">
        <v>110</v>
      </c>
      <c r="E1947" s="11">
        <v>0.69627350568771362</v>
      </c>
      <c r="F1947" s="11">
        <v>0.631336510181427</v>
      </c>
    </row>
    <row r="1948" spans="1:6" hidden="1" x14ac:dyDescent="0.3">
      <c r="A1948" s="6">
        <v>14</v>
      </c>
      <c r="B1948" s="6" t="s">
        <v>109</v>
      </c>
      <c r="C1948" s="6" t="s">
        <v>482</v>
      </c>
      <c r="D1948" s="6" t="s">
        <v>110</v>
      </c>
      <c r="E1948" s="11">
        <v>1.6305251121520996</v>
      </c>
      <c r="F1948" s="11">
        <v>0.631336510181427</v>
      </c>
    </row>
    <row r="1949" spans="1:6" hidden="1" x14ac:dyDescent="0.3">
      <c r="A1949" s="6">
        <v>14</v>
      </c>
      <c r="B1949" s="6" t="s">
        <v>109</v>
      </c>
      <c r="C1949" s="6" t="s">
        <v>483</v>
      </c>
      <c r="D1949" s="6" t="s">
        <v>110</v>
      </c>
      <c r="E1949" s="11">
        <v>0.5534173846244812</v>
      </c>
      <c r="F1949" s="11">
        <v>0.631336510181427</v>
      </c>
    </row>
    <row r="1950" spans="1:6" hidden="1" x14ac:dyDescent="0.3">
      <c r="A1950" s="6">
        <v>14</v>
      </c>
      <c r="B1950" s="6" t="s">
        <v>109</v>
      </c>
      <c r="C1950" s="6" t="s">
        <v>484</v>
      </c>
      <c r="D1950" s="6" t="s">
        <v>110</v>
      </c>
      <c r="E1950" s="11">
        <v>0.96192473173141479</v>
      </c>
      <c r="F1950" s="11">
        <v>0.631336510181427</v>
      </c>
    </row>
    <row r="1951" spans="1:6" hidden="1" x14ac:dyDescent="0.3">
      <c r="A1951" s="6">
        <v>14</v>
      </c>
      <c r="B1951" s="6" t="s">
        <v>109</v>
      </c>
      <c r="C1951" s="6" t="s">
        <v>485</v>
      </c>
      <c r="D1951" s="6" t="s">
        <v>110</v>
      </c>
      <c r="E1951" s="11">
        <v>0.61430662870407104</v>
      </c>
      <c r="F1951" s="11">
        <v>0.631336510181427</v>
      </c>
    </row>
    <row r="1952" spans="1:6" hidden="1" x14ac:dyDescent="0.3">
      <c r="A1952" s="6">
        <v>14</v>
      </c>
      <c r="B1952" s="6" t="s">
        <v>109</v>
      </c>
      <c r="C1952" s="6" t="s">
        <v>486</v>
      </c>
      <c r="D1952" s="6" t="s">
        <v>110</v>
      </c>
      <c r="E1952" s="11">
        <v>0.59412646293640137</v>
      </c>
      <c r="F1952" s="11">
        <v>0.631336510181427</v>
      </c>
    </row>
    <row r="1953" spans="1:6" hidden="1" x14ac:dyDescent="0.3">
      <c r="A1953" s="6">
        <v>14</v>
      </c>
      <c r="B1953" s="6" t="s">
        <v>109</v>
      </c>
      <c r="C1953" s="6" t="s">
        <v>487</v>
      </c>
      <c r="D1953" s="6" t="s">
        <v>110</v>
      </c>
      <c r="E1953" s="11">
        <v>0.46825310587882996</v>
      </c>
      <c r="F1953" s="11">
        <v>0.631336510181427</v>
      </c>
    </row>
    <row r="1954" spans="1:6" hidden="1" x14ac:dyDescent="0.3">
      <c r="A1954" s="6">
        <v>14</v>
      </c>
      <c r="B1954" s="6" t="s">
        <v>109</v>
      </c>
      <c r="C1954" s="6" t="s">
        <v>488</v>
      </c>
      <c r="D1954" s="6" t="s">
        <v>110</v>
      </c>
      <c r="E1954" s="11">
        <v>0.63688760995864868</v>
      </c>
      <c r="F1954" s="11">
        <v>0.631336510181427</v>
      </c>
    </row>
    <row r="1955" spans="1:6" hidden="1" x14ac:dyDescent="0.3">
      <c r="A1955" s="6">
        <v>14</v>
      </c>
      <c r="B1955" s="6" t="s">
        <v>109</v>
      </c>
      <c r="C1955" s="6" t="s">
        <v>489</v>
      </c>
      <c r="D1955" s="6" t="s">
        <v>110</v>
      </c>
      <c r="E1955" s="11">
        <v>0.69490772485733032</v>
      </c>
      <c r="F1955" s="11">
        <v>0.631336510181427</v>
      </c>
    </row>
    <row r="1956" spans="1:6" hidden="1" x14ac:dyDescent="0.3">
      <c r="A1956" s="6">
        <v>14</v>
      </c>
      <c r="B1956" s="6" t="s">
        <v>109</v>
      </c>
      <c r="C1956" s="6" t="s">
        <v>490</v>
      </c>
      <c r="D1956" s="6" t="s">
        <v>110</v>
      </c>
      <c r="E1956" s="11">
        <v>0.88331902027130127</v>
      </c>
      <c r="F1956" s="11">
        <v>0.631336510181427</v>
      </c>
    </row>
    <row r="1957" spans="1:6" hidden="1" x14ac:dyDescent="0.3">
      <c r="A1957" s="6">
        <v>14</v>
      </c>
      <c r="B1957" s="6" t="s">
        <v>109</v>
      </c>
      <c r="C1957" s="6" t="s">
        <v>491</v>
      </c>
      <c r="D1957" s="6" t="s">
        <v>110</v>
      </c>
      <c r="E1957" s="11">
        <v>0.60608923435211182</v>
      </c>
      <c r="F1957" s="11">
        <v>0.631336510181427</v>
      </c>
    </row>
    <row r="1958" spans="1:6" hidden="1" x14ac:dyDescent="0.3">
      <c r="A1958" s="6">
        <v>14</v>
      </c>
      <c r="B1958" s="6" t="s">
        <v>109</v>
      </c>
      <c r="C1958" s="6" t="s">
        <v>492</v>
      </c>
      <c r="D1958" s="6" t="s">
        <v>110</v>
      </c>
      <c r="E1958" s="11">
        <v>0.67945301532745361</v>
      </c>
      <c r="F1958" s="11">
        <v>0.631336510181427</v>
      </c>
    </row>
    <row r="1959" spans="1:6" hidden="1" x14ac:dyDescent="0.3">
      <c r="A1959" s="6">
        <v>14</v>
      </c>
      <c r="B1959" s="6" t="s">
        <v>109</v>
      </c>
      <c r="C1959" s="6" t="s">
        <v>493</v>
      </c>
      <c r="D1959" s="6" t="s">
        <v>110</v>
      </c>
      <c r="E1959" s="11">
        <v>0.6716846227645874</v>
      </c>
      <c r="F1959" s="11">
        <v>0.631336510181427</v>
      </c>
    </row>
    <row r="1960" spans="1:6" hidden="1" x14ac:dyDescent="0.3">
      <c r="A1960" s="6">
        <v>14</v>
      </c>
      <c r="B1960" s="6" t="s">
        <v>109</v>
      </c>
      <c r="C1960" s="6" t="s">
        <v>494</v>
      </c>
      <c r="D1960" s="6" t="s">
        <v>110</v>
      </c>
      <c r="E1960" s="11">
        <v>0.93615949153900146</v>
      </c>
      <c r="F1960" s="11">
        <v>0.631336510181427</v>
      </c>
    </row>
    <row r="1961" spans="1:6" hidden="1" x14ac:dyDescent="0.3">
      <c r="A1961" s="6">
        <v>14</v>
      </c>
      <c r="B1961" s="6" t="s">
        <v>109</v>
      </c>
      <c r="C1961" s="6" t="s">
        <v>495</v>
      </c>
      <c r="D1961" s="6" t="s">
        <v>110</v>
      </c>
      <c r="E1961" s="11">
        <v>0.93601763248443604</v>
      </c>
      <c r="F1961" s="11">
        <v>0.631336510181427</v>
      </c>
    </row>
    <row r="1962" spans="1:6" hidden="1" x14ac:dyDescent="0.3">
      <c r="A1962" s="6">
        <v>15</v>
      </c>
      <c r="B1962" s="6" t="s">
        <v>111</v>
      </c>
      <c r="C1962" s="6" t="s">
        <v>356</v>
      </c>
      <c r="D1962" s="6" t="s">
        <v>112</v>
      </c>
      <c r="E1962" s="11">
        <v>0.50197446346282959</v>
      </c>
      <c r="F1962" s="11">
        <v>0.61093097925186157</v>
      </c>
    </row>
    <row r="1963" spans="1:6" hidden="1" x14ac:dyDescent="0.3">
      <c r="A1963" s="6">
        <v>15</v>
      </c>
      <c r="B1963" s="6" t="s">
        <v>111</v>
      </c>
      <c r="C1963" s="6" t="s">
        <v>357</v>
      </c>
      <c r="D1963" s="6" t="s">
        <v>112</v>
      </c>
      <c r="E1963" s="11">
        <v>14.05714225769043</v>
      </c>
      <c r="F1963" s="11">
        <v>0.61093097925186157</v>
      </c>
    </row>
    <row r="1964" spans="1:6" hidden="1" x14ac:dyDescent="0.3">
      <c r="A1964" s="6">
        <v>15</v>
      </c>
      <c r="B1964" s="6" t="s">
        <v>111</v>
      </c>
      <c r="C1964" s="6" t="s">
        <v>358</v>
      </c>
      <c r="D1964" s="6" t="s">
        <v>112</v>
      </c>
      <c r="E1964" s="11">
        <v>0.527965247631073</v>
      </c>
      <c r="F1964" s="11">
        <v>0.61093097925186157</v>
      </c>
    </row>
    <row r="1965" spans="1:6" hidden="1" x14ac:dyDescent="0.3">
      <c r="A1965" s="6">
        <v>15</v>
      </c>
      <c r="B1965" s="6" t="s">
        <v>111</v>
      </c>
      <c r="C1965" s="6" t="s">
        <v>359</v>
      </c>
      <c r="D1965" s="6" t="s">
        <v>112</v>
      </c>
      <c r="E1965" s="11"/>
      <c r="F1965" s="11">
        <v>0.61093097925186157</v>
      </c>
    </row>
    <row r="1966" spans="1:6" hidden="1" x14ac:dyDescent="0.3">
      <c r="A1966" s="6">
        <v>15</v>
      </c>
      <c r="B1966" s="6" t="s">
        <v>111</v>
      </c>
      <c r="C1966" s="6" t="s">
        <v>360</v>
      </c>
      <c r="D1966" s="6" t="s">
        <v>112</v>
      </c>
      <c r="E1966" s="11">
        <v>0.61568719148635864</v>
      </c>
      <c r="F1966" s="11">
        <v>0.61093097925186157</v>
      </c>
    </row>
    <row r="1967" spans="1:6" hidden="1" x14ac:dyDescent="0.3">
      <c r="A1967" s="6">
        <v>15</v>
      </c>
      <c r="B1967" s="6" t="s">
        <v>111</v>
      </c>
      <c r="C1967" s="6" t="s">
        <v>361</v>
      </c>
      <c r="D1967" s="6" t="s">
        <v>112</v>
      </c>
      <c r="E1967" s="11">
        <v>0.46490722894668579</v>
      </c>
      <c r="F1967" s="11">
        <v>0.61093097925186157</v>
      </c>
    </row>
    <row r="1968" spans="1:6" hidden="1" x14ac:dyDescent="0.3">
      <c r="A1968" s="6">
        <v>15</v>
      </c>
      <c r="B1968" s="6" t="s">
        <v>111</v>
      </c>
      <c r="C1968" s="6" t="s">
        <v>362</v>
      </c>
      <c r="D1968" s="6" t="s">
        <v>112</v>
      </c>
      <c r="E1968" s="11"/>
      <c r="F1968" s="11">
        <v>0.61093097925186157</v>
      </c>
    </row>
    <row r="1969" spans="1:6" hidden="1" x14ac:dyDescent="0.3">
      <c r="A1969" s="6">
        <v>15</v>
      </c>
      <c r="B1969" s="6" t="s">
        <v>111</v>
      </c>
      <c r="C1969" s="6" t="s">
        <v>363</v>
      </c>
      <c r="D1969" s="6" t="s">
        <v>112</v>
      </c>
      <c r="E1969" s="11">
        <v>0.84884363412857056</v>
      </c>
      <c r="F1969" s="11">
        <v>0.61093097925186157</v>
      </c>
    </row>
    <row r="1970" spans="1:6" hidden="1" x14ac:dyDescent="0.3">
      <c r="A1970" s="6">
        <v>15</v>
      </c>
      <c r="B1970" s="6" t="s">
        <v>111</v>
      </c>
      <c r="C1970" s="6" t="s">
        <v>364</v>
      </c>
      <c r="D1970" s="6" t="s">
        <v>112</v>
      </c>
      <c r="E1970" s="11"/>
      <c r="F1970" s="11">
        <v>0.61093097925186157</v>
      </c>
    </row>
    <row r="1971" spans="1:6" hidden="1" x14ac:dyDescent="0.3">
      <c r="A1971" s="6">
        <v>15</v>
      </c>
      <c r="B1971" s="6" t="s">
        <v>111</v>
      </c>
      <c r="C1971" s="6" t="s">
        <v>365</v>
      </c>
      <c r="D1971" s="6" t="s">
        <v>112</v>
      </c>
      <c r="E1971" s="11">
        <v>0.54132390022277832</v>
      </c>
      <c r="F1971" s="11">
        <v>0.61093097925186157</v>
      </c>
    </row>
    <row r="1972" spans="1:6" hidden="1" x14ac:dyDescent="0.3">
      <c r="A1972" s="6">
        <v>15</v>
      </c>
      <c r="B1972" s="6" t="s">
        <v>111</v>
      </c>
      <c r="C1972" s="6" t="s">
        <v>366</v>
      </c>
      <c r="D1972" s="6" t="s">
        <v>112</v>
      </c>
      <c r="E1972" s="11">
        <v>3.7738549709320068</v>
      </c>
      <c r="F1972" s="11">
        <v>0.61093097925186157</v>
      </c>
    </row>
    <row r="1973" spans="1:6" hidden="1" x14ac:dyDescent="0.3">
      <c r="A1973" s="6">
        <v>15</v>
      </c>
      <c r="B1973" s="6" t="s">
        <v>111</v>
      </c>
      <c r="C1973" s="6" t="s">
        <v>367</v>
      </c>
      <c r="D1973" s="6" t="s">
        <v>112</v>
      </c>
      <c r="E1973" s="11">
        <v>0.5889398455619812</v>
      </c>
      <c r="F1973" s="11">
        <v>0.61093097925186157</v>
      </c>
    </row>
    <row r="1974" spans="1:6" hidden="1" x14ac:dyDescent="0.3">
      <c r="A1974" s="6">
        <v>15</v>
      </c>
      <c r="B1974" s="6" t="s">
        <v>111</v>
      </c>
      <c r="C1974" s="6" t="s">
        <v>368</v>
      </c>
      <c r="D1974" s="6" t="s">
        <v>112</v>
      </c>
      <c r="E1974" s="11"/>
      <c r="F1974" s="11">
        <v>0.61093097925186157</v>
      </c>
    </row>
    <row r="1975" spans="1:6" hidden="1" x14ac:dyDescent="0.3">
      <c r="A1975" s="6">
        <v>15</v>
      </c>
      <c r="B1975" s="6" t="s">
        <v>111</v>
      </c>
      <c r="C1975" s="6" t="s">
        <v>369</v>
      </c>
      <c r="D1975" s="6" t="s">
        <v>112</v>
      </c>
      <c r="E1975" s="11">
        <v>0.74602198600769043</v>
      </c>
      <c r="F1975" s="11">
        <v>0.61093097925186157</v>
      </c>
    </row>
    <row r="1976" spans="1:6" hidden="1" x14ac:dyDescent="0.3">
      <c r="A1976" s="6">
        <v>15</v>
      </c>
      <c r="B1976" s="6" t="s">
        <v>111</v>
      </c>
      <c r="C1976" s="6" t="s">
        <v>370</v>
      </c>
      <c r="D1976" s="6" t="s">
        <v>112</v>
      </c>
      <c r="E1976" s="11">
        <v>1.1369799375534058</v>
      </c>
      <c r="F1976" s="11">
        <v>0.61093097925186157</v>
      </c>
    </row>
    <row r="1977" spans="1:6" hidden="1" x14ac:dyDescent="0.3">
      <c r="A1977" s="6">
        <v>15</v>
      </c>
      <c r="B1977" s="6" t="s">
        <v>111</v>
      </c>
      <c r="C1977" s="6" t="s">
        <v>371</v>
      </c>
      <c r="D1977" s="6" t="s">
        <v>112</v>
      </c>
      <c r="E1977" s="11">
        <v>0.77185273170471191</v>
      </c>
      <c r="F1977" s="11">
        <v>0.61093097925186157</v>
      </c>
    </row>
    <row r="1978" spans="1:6" hidden="1" x14ac:dyDescent="0.3">
      <c r="A1978" s="6">
        <v>15</v>
      </c>
      <c r="B1978" s="6" t="s">
        <v>111</v>
      </c>
      <c r="C1978" s="6" t="s">
        <v>372</v>
      </c>
      <c r="D1978" s="6" t="s">
        <v>112</v>
      </c>
      <c r="E1978" s="11">
        <v>0.78681319952011108</v>
      </c>
      <c r="F1978" s="11">
        <v>0.61093097925186157</v>
      </c>
    </row>
    <row r="1979" spans="1:6" hidden="1" x14ac:dyDescent="0.3">
      <c r="A1979" s="6">
        <v>15</v>
      </c>
      <c r="B1979" s="6" t="s">
        <v>111</v>
      </c>
      <c r="C1979" s="6" t="s">
        <v>373</v>
      </c>
      <c r="D1979" s="6" t="s">
        <v>112</v>
      </c>
      <c r="E1979" s="11">
        <v>0.56645965576171875</v>
      </c>
      <c r="F1979" s="11">
        <v>0.61093097925186157</v>
      </c>
    </row>
    <row r="1980" spans="1:6" hidden="1" x14ac:dyDescent="0.3">
      <c r="A1980" s="6">
        <v>15</v>
      </c>
      <c r="B1980" s="6" t="s">
        <v>111</v>
      </c>
      <c r="C1980" s="6" t="s">
        <v>374</v>
      </c>
      <c r="D1980" s="6" t="s">
        <v>112</v>
      </c>
      <c r="E1980" s="11">
        <v>0.57205647230148315</v>
      </c>
      <c r="F1980" s="11">
        <v>0.61093097925186157</v>
      </c>
    </row>
    <row r="1981" spans="1:6" hidden="1" x14ac:dyDescent="0.3">
      <c r="A1981" s="6">
        <v>15</v>
      </c>
      <c r="B1981" s="6" t="s">
        <v>111</v>
      </c>
      <c r="C1981" s="6" t="s">
        <v>375</v>
      </c>
      <c r="D1981" s="6" t="s">
        <v>112</v>
      </c>
      <c r="E1981" s="11">
        <v>0.78129410743713379</v>
      </c>
      <c r="F1981" s="11">
        <v>0.61093097925186157</v>
      </c>
    </row>
    <row r="1982" spans="1:6" hidden="1" x14ac:dyDescent="0.3">
      <c r="A1982" s="6">
        <v>15</v>
      </c>
      <c r="B1982" s="6" t="s">
        <v>111</v>
      </c>
      <c r="C1982" s="6" t="s">
        <v>376</v>
      </c>
      <c r="D1982" s="6" t="s">
        <v>112</v>
      </c>
      <c r="E1982" s="11">
        <v>0.51458293199539185</v>
      </c>
      <c r="F1982" s="11">
        <v>0.61093097925186157</v>
      </c>
    </row>
    <row r="1983" spans="1:6" hidden="1" x14ac:dyDescent="0.3">
      <c r="A1983" s="6">
        <v>15</v>
      </c>
      <c r="B1983" s="6" t="s">
        <v>111</v>
      </c>
      <c r="C1983" s="6" t="s">
        <v>377</v>
      </c>
      <c r="D1983" s="6" t="s">
        <v>112</v>
      </c>
      <c r="E1983" s="11">
        <v>0.66976785659790039</v>
      </c>
      <c r="F1983" s="11">
        <v>0.61093097925186157</v>
      </c>
    </row>
    <row r="1984" spans="1:6" hidden="1" x14ac:dyDescent="0.3">
      <c r="A1984" s="6">
        <v>15</v>
      </c>
      <c r="B1984" s="6" t="s">
        <v>111</v>
      </c>
      <c r="C1984" s="6" t="s">
        <v>378</v>
      </c>
      <c r="D1984" s="6" t="s">
        <v>112</v>
      </c>
      <c r="E1984" s="11">
        <v>0.62190163135528564</v>
      </c>
      <c r="F1984" s="11">
        <v>0.61093097925186157</v>
      </c>
    </row>
    <row r="1985" spans="1:6" hidden="1" x14ac:dyDescent="0.3">
      <c r="A1985" s="6">
        <v>15</v>
      </c>
      <c r="B1985" s="6" t="s">
        <v>111</v>
      </c>
      <c r="C1985" s="6" t="s">
        <v>379</v>
      </c>
      <c r="D1985" s="6" t="s">
        <v>112</v>
      </c>
      <c r="E1985" s="11"/>
      <c r="F1985" s="11">
        <v>0.61093097925186157</v>
      </c>
    </row>
    <row r="1986" spans="1:6" hidden="1" x14ac:dyDescent="0.3">
      <c r="A1986" s="6">
        <v>15</v>
      </c>
      <c r="B1986" s="6" t="s">
        <v>111</v>
      </c>
      <c r="C1986" s="6" t="s">
        <v>380</v>
      </c>
      <c r="D1986" s="6" t="s">
        <v>112</v>
      </c>
      <c r="E1986" s="11">
        <v>0.46013972163200378</v>
      </c>
      <c r="F1986" s="11">
        <v>0.61093097925186157</v>
      </c>
    </row>
    <row r="1987" spans="1:6" hidden="1" x14ac:dyDescent="0.3">
      <c r="A1987" s="6">
        <v>15</v>
      </c>
      <c r="B1987" s="6" t="s">
        <v>111</v>
      </c>
      <c r="C1987" s="6" t="s">
        <v>381</v>
      </c>
      <c r="D1987" s="6" t="s">
        <v>112</v>
      </c>
      <c r="E1987" s="11">
        <v>0.81666666269302368</v>
      </c>
      <c r="F1987" s="11">
        <v>0.61093097925186157</v>
      </c>
    </row>
    <row r="1988" spans="1:6" hidden="1" x14ac:dyDescent="0.3">
      <c r="A1988" s="6">
        <v>15</v>
      </c>
      <c r="B1988" s="6" t="s">
        <v>111</v>
      </c>
      <c r="C1988" s="6" t="s">
        <v>382</v>
      </c>
      <c r="D1988" s="6" t="s">
        <v>112</v>
      </c>
      <c r="E1988" s="11">
        <v>0.62380349636077881</v>
      </c>
      <c r="F1988" s="11">
        <v>0.61093097925186157</v>
      </c>
    </row>
    <row r="1989" spans="1:6" hidden="1" x14ac:dyDescent="0.3">
      <c r="A1989" s="6">
        <v>15</v>
      </c>
      <c r="B1989" s="6" t="s">
        <v>111</v>
      </c>
      <c r="C1989" s="6" t="s">
        <v>383</v>
      </c>
      <c r="D1989" s="6" t="s">
        <v>112</v>
      </c>
      <c r="E1989" s="11">
        <v>0.72670173645019531</v>
      </c>
      <c r="F1989" s="11">
        <v>0.61093097925186157</v>
      </c>
    </row>
    <row r="1990" spans="1:6" hidden="1" x14ac:dyDescent="0.3">
      <c r="A1990" s="6">
        <v>15</v>
      </c>
      <c r="B1990" s="6" t="s">
        <v>111</v>
      </c>
      <c r="C1990" s="6" t="s">
        <v>384</v>
      </c>
      <c r="D1990" s="6" t="s">
        <v>112</v>
      </c>
      <c r="E1990" s="11">
        <v>0.45724263787269592</v>
      </c>
      <c r="F1990" s="11">
        <v>0.61093097925186157</v>
      </c>
    </row>
    <row r="1991" spans="1:6" hidden="1" x14ac:dyDescent="0.3">
      <c r="A1991" s="6">
        <v>15</v>
      </c>
      <c r="B1991" s="6" t="s">
        <v>111</v>
      </c>
      <c r="C1991" s="6" t="s">
        <v>385</v>
      </c>
      <c r="D1991" s="6" t="s">
        <v>112</v>
      </c>
      <c r="E1991" s="11">
        <v>0.74023115634918213</v>
      </c>
      <c r="F1991" s="11">
        <v>0.61093097925186157</v>
      </c>
    </row>
    <row r="1992" spans="1:6" hidden="1" x14ac:dyDescent="0.3">
      <c r="A1992" s="6">
        <v>15</v>
      </c>
      <c r="B1992" s="6" t="s">
        <v>111</v>
      </c>
      <c r="C1992" s="6" t="s">
        <v>386</v>
      </c>
      <c r="D1992" s="6" t="s">
        <v>112</v>
      </c>
      <c r="E1992" s="11">
        <v>0.75666528940200806</v>
      </c>
      <c r="F1992" s="11">
        <v>0.61093097925186157</v>
      </c>
    </row>
    <row r="1993" spans="1:6" hidden="1" x14ac:dyDescent="0.3">
      <c r="A1993" s="6">
        <v>15</v>
      </c>
      <c r="B1993" s="6" t="s">
        <v>111</v>
      </c>
      <c r="C1993" s="6" t="s">
        <v>387</v>
      </c>
      <c r="D1993" s="6" t="s">
        <v>112</v>
      </c>
      <c r="E1993" s="11">
        <v>0.44093713164329529</v>
      </c>
      <c r="F1993" s="11">
        <v>0.61093097925186157</v>
      </c>
    </row>
    <row r="1994" spans="1:6" hidden="1" x14ac:dyDescent="0.3">
      <c r="A1994" s="6">
        <v>15</v>
      </c>
      <c r="B1994" s="6" t="s">
        <v>111</v>
      </c>
      <c r="C1994" s="6" t="s">
        <v>388</v>
      </c>
      <c r="D1994" s="6" t="s">
        <v>112</v>
      </c>
      <c r="E1994" s="11">
        <v>1.1570588350296021</v>
      </c>
      <c r="F1994" s="11">
        <v>0.61093097925186157</v>
      </c>
    </row>
    <row r="1995" spans="1:6" hidden="1" x14ac:dyDescent="0.3">
      <c r="A1995" s="6">
        <v>15</v>
      </c>
      <c r="B1995" s="6" t="s">
        <v>111</v>
      </c>
      <c r="C1995" s="6" t="s">
        <v>389</v>
      </c>
      <c r="D1995" s="6" t="s">
        <v>112</v>
      </c>
      <c r="E1995" s="11">
        <v>0.5657494068145752</v>
      </c>
      <c r="F1995" s="11">
        <v>0.61093097925186157</v>
      </c>
    </row>
    <row r="1996" spans="1:6" hidden="1" x14ac:dyDescent="0.3">
      <c r="A1996" s="6">
        <v>15</v>
      </c>
      <c r="B1996" s="6" t="s">
        <v>111</v>
      </c>
      <c r="C1996" s="6" t="s">
        <v>390</v>
      </c>
      <c r="D1996" s="6" t="s">
        <v>112</v>
      </c>
      <c r="E1996" s="11">
        <v>11.524065971374512</v>
      </c>
      <c r="F1996" s="11">
        <v>0.61093097925186157</v>
      </c>
    </row>
    <row r="1997" spans="1:6" hidden="1" x14ac:dyDescent="0.3">
      <c r="A1997" s="6">
        <v>15</v>
      </c>
      <c r="B1997" s="6" t="s">
        <v>111</v>
      </c>
      <c r="C1997" s="6" t="s">
        <v>391</v>
      </c>
      <c r="D1997" s="6" t="s">
        <v>112</v>
      </c>
      <c r="E1997" s="11">
        <v>260.20001220703125</v>
      </c>
      <c r="F1997" s="11">
        <v>0.61093097925186157</v>
      </c>
    </row>
    <row r="1998" spans="1:6" hidden="1" x14ac:dyDescent="0.3">
      <c r="A1998" s="6">
        <v>15</v>
      </c>
      <c r="B1998" s="6" t="s">
        <v>111</v>
      </c>
      <c r="C1998" s="6" t="s">
        <v>392</v>
      </c>
      <c r="D1998" s="6" t="s">
        <v>112</v>
      </c>
      <c r="E1998" s="11">
        <v>0.77660560607910156</v>
      </c>
      <c r="F1998" s="11">
        <v>0.61093097925186157</v>
      </c>
    </row>
    <row r="1999" spans="1:6" hidden="1" x14ac:dyDescent="0.3">
      <c r="A1999" s="6">
        <v>15</v>
      </c>
      <c r="B1999" s="6" t="s">
        <v>111</v>
      </c>
      <c r="C1999" s="6" t="s">
        <v>393</v>
      </c>
      <c r="D1999" s="6" t="s">
        <v>112</v>
      </c>
      <c r="E1999" s="11">
        <v>0.72870665788650513</v>
      </c>
      <c r="F1999" s="11">
        <v>0.61093097925186157</v>
      </c>
    </row>
    <row r="2000" spans="1:6" hidden="1" x14ac:dyDescent="0.3">
      <c r="A2000" s="6">
        <v>15</v>
      </c>
      <c r="B2000" s="6" t="s">
        <v>111</v>
      </c>
      <c r="C2000" s="6" t="s">
        <v>394</v>
      </c>
      <c r="D2000" s="6" t="s">
        <v>112</v>
      </c>
      <c r="E2000" s="11">
        <v>0.66382980346679688</v>
      </c>
      <c r="F2000" s="11">
        <v>0.61093097925186157</v>
      </c>
    </row>
    <row r="2001" spans="1:6" hidden="1" x14ac:dyDescent="0.3">
      <c r="A2001" s="6">
        <v>15</v>
      </c>
      <c r="B2001" s="6" t="s">
        <v>111</v>
      </c>
      <c r="C2001" s="6" t="s">
        <v>395</v>
      </c>
      <c r="D2001" s="6" t="s">
        <v>112</v>
      </c>
      <c r="E2001" s="11">
        <v>28.704198837280273</v>
      </c>
      <c r="F2001" s="11">
        <v>0.61093097925186157</v>
      </c>
    </row>
    <row r="2002" spans="1:6" hidden="1" x14ac:dyDescent="0.3">
      <c r="A2002" s="6">
        <v>15</v>
      </c>
      <c r="B2002" s="6" t="s">
        <v>111</v>
      </c>
      <c r="C2002" s="6" t="s">
        <v>396</v>
      </c>
      <c r="D2002" s="6" t="s">
        <v>112</v>
      </c>
      <c r="E2002" s="11">
        <v>8</v>
      </c>
      <c r="F2002" s="11">
        <v>0.61093097925186157</v>
      </c>
    </row>
    <row r="2003" spans="1:6" hidden="1" x14ac:dyDescent="0.3">
      <c r="A2003" s="6">
        <v>15</v>
      </c>
      <c r="B2003" s="6" t="s">
        <v>111</v>
      </c>
      <c r="C2003" s="6" t="s">
        <v>397</v>
      </c>
      <c r="D2003" s="6" t="s">
        <v>112</v>
      </c>
      <c r="E2003" s="11">
        <v>89.866661071777344</v>
      </c>
      <c r="F2003" s="11">
        <v>0.61093097925186157</v>
      </c>
    </row>
    <row r="2004" spans="1:6" hidden="1" x14ac:dyDescent="0.3">
      <c r="A2004" s="6">
        <v>15</v>
      </c>
      <c r="B2004" s="6" t="s">
        <v>111</v>
      </c>
      <c r="C2004" s="6" t="s">
        <v>398</v>
      </c>
      <c r="D2004" s="6" t="s">
        <v>112</v>
      </c>
      <c r="E2004" s="11">
        <v>0.62732183933258057</v>
      </c>
      <c r="F2004" s="11">
        <v>0.61093097925186157</v>
      </c>
    </row>
    <row r="2005" spans="1:6" hidden="1" x14ac:dyDescent="0.3">
      <c r="A2005" s="6">
        <v>15</v>
      </c>
      <c r="B2005" s="6" t="s">
        <v>111</v>
      </c>
      <c r="C2005" s="6" t="s">
        <v>399</v>
      </c>
      <c r="D2005" s="6" t="s">
        <v>112</v>
      </c>
      <c r="E2005" s="11">
        <v>0.74966859817504883</v>
      </c>
      <c r="F2005" s="11">
        <v>0.61093097925186157</v>
      </c>
    </row>
    <row r="2006" spans="1:6" hidden="1" x14ac:dyDescent="0.3">
      <c r="A2006" s="6">
        <v>15</v>
      </c>
      <c r="B2006" s="6" t="s">
        <v>111</v>
      </c>
      <c r="C2006" s="6" t="s">
        <v>400</v>
      </c>
      <c r="D2006" s="6" t="s">
        <v>112</v>
      </c>
      <c r="E2006" s="11">
        <v>0.85584473609924316</v>
      </c>
      <c r="F2006" s="11">
        <v>0.61093097925186157</v>
      </c>
    </row>
    <row r="2007" spans="1:6" hidden="1" x14ac:dyDescent="0.3">
      <c r="A2007" s="6">
        <v>15</v>
      </c>
      <c r="B2007" s="6" t="s">
        <v>111</v>
      </c>
      <c r="C2007" s="6" t="s">
        <v>401</v>
      </c>
      <c r="D2007" s="6" t="s">
        <v>112</v>
      </c>
      <c r="E2007" s="11">
        <v>1.29358971118927</v>
      </c>
      <c r="F2007" s="11">
        <v>0.61093097925186157</v>
      </c>
    </row>
    <row r="2008" spans="1:6" hidden="1" x14ac:dyDescent="0.3">
      <c r="A2008" s="6">
        <v>15</v>
      </c>
      <c r="B2008" s="6" t="s">
        <v>111</v>
      </c>
      <c r="C2008" s="6" t="s">
        <v>402</v>
      </c>
      <c r="D2008" s="6" t="s">
        <v>112</v>
      </c>
      <c r="E2008" s="11">
        <v>1.2292203903198242</v>
      </c>
      <c r="F2008" s="11">
        <v>0.61093097925186157</v>
      </c>
    </row>
    <row r="2009" spans="1:6" hidden="1" x14ac:dyDescent="0.3">
      <c r="A2009" s="6">
        <v>15</v>
      </c>
      <c r="B2009" s="6" t="s">
        <v>111</v>
      </c>
      <c r="C2009" s="6" t="s">
        <v>403</v>
      </c>
      <c r="D2009" s="6" t="s">
        <v>112</v>
      </c>
      <c r="E2009" s="11">
        <v>0.86786937713623047</v>
      </c>
      <c r="F2009" s="11">
        <v>0.61093097925186157</v>
      </c>
    </row>
    <row r="2010" spans="1:6" hidden="1" x14ac:dyDescent="0.3">
      <c r="A2010" s="6">
        <v>15</v>
      </c>
      <c r="B2010" s="6" t="s">
        <v>111</v>
      </c>
      <c r="C2010" s="6" t="s">
        <v>404</v>
      </c>
      <c r="D2010" s="6" t="s">
        <v>112</v>
      </c>
      <c r="E2010" s="11">
        <v>0.43682697415351868</v>
      </c>
      <c r="F2010" s="11">
        <v>0.61093097925186157</v>
      </c>
    </row>
    <row r="2011" spans="1:6" hidden="1" x14ac:dyDescent="0.3">
      <c r="A2011" s="6">
        <v>15</v>
      </c>
      <c r="B2011" s="6" t="s">
        <v>111</v>
      </c>
      <c r="C2011" s="6" t="s">
        <v>405</v>
      </c>
      <c r="D2011" s="6" t="s">
        <v>112</v>
      </c>
      <c r="E2011" s="11">
        <v>0.51239168643951416</v>
      </c>
      <c r="F2011" s="11">
        <v>0.61093097925186157</v>
      </c>
    </row>
    <row r="2012" spans="1:6" hidden="1" x14ac:dyDescent="0.3">
      <c r="A2012" s="6">
        <v>15</v>
      </c>
      <c r="B2012" s="6" t="s">
        <v>111</v>
      </c>
      <c r="C2012" s="6" t="s">
        <v>406</v>
      </c>
      <c r="D2012" s="6" t="s">
        <v>112</v>
      </c>
      <c r="E2012" s="11">
        <v>1.102141261100769</v>
      </c>
      <c r="F2012" s="11">
        <v>0.61093097925186157</v>
      </c>
    </row>
    <row r="2013" spans="1:6" hidden="1" x14ac:dyDescent="0.3">
      <c r="A2013" s="6">
        <v>15</v>
      </c>
      <c r="B2013" s="6" t="s">
        <v>111</v>
      </c>
      <c r="C2013" s="6" t="s">
        <v>407</v>
      </c>
      <c r="D2013" s="6" t="s">
        <v>112</v>
      </c>
      <c r="E2013" s="11">
        <v>0.50773006677627563</v>
      </c>
      <c r="F2013" s="11">
        <v>0.61093097925186157</v>
      </c>
    </row>
    <row r="2014" spans="1:6" hidden="1" x14ac:dyDescent="0.3">
      <c r="A2014" s="6">
        <v>15</v>
      </c>
      <c r="B2014" s="6" t="s">
        <v>111</v>
      </c>
      <c r="C2014" s="6" t="s">
        <v>408</v>
      </c>
      <c r="D2014" s="6" t="s">
        <v>112</v>
      </c>
      <c r="E2014" s="11">
        <v>0.6555437445640564</v>
      </c>
      <c r="F2014" s="11">
        <v>0.61093097925186157</v>
      </c>
    </row>
    <row r="2015" spans="1:6" hidden="1" x14ac:dyDescent="0.3">
      <c r="A2015" s="6">
        <v>15</v>
      </c>
      <c r="B2015" s="6" t="s">
        <v>111</v>
      </c>
      <c r="C2015" s="6" t="s">
        <v>409</v>
      </c>
      <c r="D2015" s="6" t="s">
        <v>112</v>
      </c>
      <c r="E2015" s="11">
        <v>1.8429609537124634</v>
      </c>
      <c r="F2015" s="11">
        <v>0.61093097925186157</v>
      </c>
    </row>
    <row r="2016" spans="1:6" hidden="1" x14ac:dyDescent="0.3">
      <c r="A2016" s="6">
        <v>15</v>
      </c>
      <c r="B2016" s="6" t="s">
        <v>111</v>
      </c>
      <c r="C2016" s="6" t="s">
        <v>410</v>
      </c>
      <c r="D2016" s="6" t="s">
        <v>112</v>
      </c>
      <c r="E2016" s="11">
        <v>0.92597407102584839</v>
      </c>
      <c r="F2016" s="11">
        <v>0.61093097925186157</v>
      </c>
    </row>
    <row r="2017" spans="1:6" hidden="1" x14ac:dyDescent="0.3">
      <c r="A2017" s="6">
        <v>15</v>
      </c>
      <c r="B2017" s="6" t="s">
        <v>111</v>
      </c>
      <c r="C2017" s="6" t="s">
        <v>411</v>
      </c>
      <c r="D2017" s="6" t="s">
        <v>112</v>
      </c>
      <c r="E2017" s="11">
        <v>0.83312278985977173</v>
      </c>
      <c r="F2017" s="11">
        <v>0.61093097925186157</v>
      </c>
    </row>
    <row r="2018" spans="1:6" hidden="1" x14ac:dyDescent="0.3">
      <c r="A2018" s="6">
        <v>15</v>
      </c>
      <c r="B2018" s="6" t="s">
        <v>111</v>
      </c>
      <c r="C2018" s="6" t="s">
        <v>412</v>
      </c>
      <c r="D2018" s="6" t="s">
        <v>112</v>
      </c>
      <c r="E2018" s="11">
        <v>0.7312435507774353</v>
      </c>
      <c r="F2018" s="11">
        <v>0.61093097925186157</v>
      </c>
    </row>
    <row r="2019" spans="1:6" hidden="1" x14ac:dyDescent="0.3">
      <c r="A2019" s="6">
        <v>15</v>
      </c>
      <c r="B2019" s="6" t="s">
        <v>111</v>
      </c>
      <c r="C2019" s="6" t="s">
        <v>413</v>
      </c>
      <c r="D2019" s="6" t="s">
        <v>112</v>
      </c>
      <c r="E2019" s="11">
        <v>0.77840512990951538</v>
      </c>
      <c r="F2019" s="11">
        <v>0.61093097925186157</v>
      </c>
    </row>
    <row r="2020" spans="1:6" hidden="1" x14ac:dyDescent="0.3">
      <c r="A2020" s="6">
        <v>15</v>
      </c>
      <c r="B2020" s="6" t="s">
        <v>111</v>
      </c>
      <c r="C2020" s="6" t="s">
        <v>414</v>
      </c>
      <c r="D2020" s="6" t="s">
        <v>112</v>
      </c>
      <c r="E2020" s="11">
        <v>1.1683508157730103</v>
      </c>
      <c r="F2020" s="11">
        <v>0.61093097925186157</v>
      </c>
    </row>
    <row r="2021" spans="1:6" hidden="1" x14ac:dyDescent="0.3">
      <c r="A2021" s="6">
        <v>15</v>
      </c>
      <c r="B2021" s="6" t="s">
        <v>111</v>
      </c>
      <c r="C2021" s="6" t="s">
        <v>415</v>
      </c>
      <c r="D2021" s="6" t="s">
        <v>112</v>
      </c>
      <c r="E2021" s="11">
        <v>0.73555499315261841</v>
      </c>
      <c r="F2021" s="11">
        <v>0.61093097925186157</v>
      </c>
    </row>
    <row r="2022" spans="1:6" hidden="1" x14ac:dyDescent="0.3">
      <c r="A2022" s="6">
        <v>15</v>
      </c>
      <c r="B2022" s="6" t="s">
        <v>111</v>
      </c>
      <c r="C2022" s="6" t="s">
        <v>416</v>
      </c>
      <c r="D2022" s="6" t="s">
        <v>112</v>
      </c>
      <c r="E2022" s="11"/>
      <c r="F2022" s="11">
        <v>0.61093097925186157</v>
      </c>
    </row>
    <row r="2023" spans="1:6" hidden="1" x14ac:dyDescent="0.3">
      <c r="A2023" s="6">
        <v>15</v>
      </c>
      <c r="B2023" s="6" t="s">
        <v>111</v>
      </c>
      <c r="C2023" s="6" t="s">
        <v>417</v>
      </c>
      <c r="D2023" s="6" t="s">
        <v>112</v>
      </c>
      <c r="E2023" s="11">
        <v>0.74449402093887329</v>
      </c>
      <c r="F2023" s="11">
        <v>0.61093097925186157</v>
      </c>
    </row>
    <row r="2024" spans="1:6" hidden="1" x14ac:dyDescent="0.3">
      <c r="A2024" s="6">
        <v>15</v>
      </c>
      <c r="B2024" s="6" t="s">
        <v>111</v>
      </c>
      <c r="C2024" s="6" t="s">
        <v>418</v>
      </c>
      <c r="D2024" s="6" t="s">
        <v>112</v>
      </c>
      <c r="E2024" s="11"/>
      <c r="F2024" s="11">
        <v>0.61093097925186157</v>
      </c>
    </row>
    <row r="2025" spans="1:6" hidden="1" x14ac:dyDescent="0.3">
      <c r="A2025" s="6">
        <v>15</v>
      </c>
      <c r="B2025" s="6" t="s">
        <v>111</v>
      </c>
      <c r="C2025" s="6" t="s">
        <v>419</v>
      </c>
      <c r="D2025" s="6" t="s">
        <v>112</v>
      </c>
      <c r="E2025" s="11">
        <v>5.2883696556091309</v>
      </c>
      <c r="F2025" s="11">
        <v>0.61093097925186157</v>
      </c>
    </row>
    <row r="2026" spans="1:6" hidden="1" x14ac:dyDescent="0.3">
      <c r="A2026" s="6">
        <v>15</v>
      </c>
      <c r="B2026" s="6" t="s">
        <v>111</v>
      </c>
      <c r="C2026" s="6" t="s">
        <v>420</v>
      </c>
      <c r="D2026" s="6" t="s">
        <v>112</v>
      </c>
      <c r="E2026" s="11">
        <v>0.6449466347694397</v>
      </c>
      <c r="F2026" s="11">
        <v>0.61093097925186157</v>
      </c>
    </row>
    <row r="2027" spans="1:6" hidden="1" x14ac:dyDescent="0.3">
      <c r="A2027" s="6">
        <v>15</v>
      </c>
      <c r="B2027" s="6" t="s">
        <v>111</v>
      </c>
      <c r="C2027" s="6" t="s">
        <v>421</v>
      </c>
      <c r="D2027" s="6" t="s">
        <v>112</v>
      </c>
      <c r="E2027" s="11">
        <v>0.77053582668304443</v>
      </c>
      <c r="F2027" s="11">
        <v>0.61093097925186157</v>
      </c>
    </row>
    <row r="2028" spans="1:6" hidden="1" x14ac:dyDescent="0.3">
      <c r="A2028" s="6">
        <v>15</v>
      </c>
      <c r="B2028" s="6" t="s">
        <v>111</v>
      </c>
      <c r="C2028" s="6" t="s">
        <v>422</v>
      </c>
      <c r="D2028" s="6" t="s">
        <v>112</v>
      </c>
      <c r="E2028" s="11">
        <v>0.87170112133026123</v>
      </c>
      <c r="F2028" s="11">
        <v>0.61093097925186157</v>
      </c>
    </row>
    <row r="2029" spans="1:6" hidden="1" x14ac:dyDescent="0.3">
      <c r="A2029" s="6">
        <v>15</v>
      </c>
      <c r="B2029" s="6" t="s">
        <v>111</v>
      </c>
      <c r="C2029" s="6" t="s">
        <v>423</v>
      </c>
      <c r="D2029" s="6" t="s">
        <v>112</v>
      </c>
      <c r="E2029" s="11">
        <v>0.77414870262145996</v>
      </c>
      <c r="F2029" s="11">
        <v>0.61093097925186157</v>
      </c>
    </row>
    <row r="2030" spans="1:6" hidden="1" x14ac:dyDescent="0.3">
      <c r="A2030" s="6">
        <v>15</v>
      </c>
      <c r="B2030" s="6" t="s">
        <v>111</v>
      </c>
      <c r="C2030" s="6" t="s">
        <v>424</v>
      </c>
      <c r="D2030" s="6" t="s">
        <v>112</v>
      </c>
      <c r="E2030" s="11">
        <v>0.63466840982437134</v>
      </c>
      <c r="F2030" s="11">
        <v>0.61093097925186157</v>
      </c>
    </row>
    <row r="2031" spans="1:6" hidden="1" x14ac:dyDescent="0.3">
      <c r="A2031" s="6">
        <v>15</v>
      </c>
      <c r="B2031" s="6" t="s">
        <v>111</v>
      </c>
      <c r="C2031" s="6" t="s">
        <v>425</v>
      </c>
      <c r="D2031" s="6" t="s">
        <v>112</v>
      </c>
      <c r="E2031" s="11">
        <v>2.4544870853424072</v>
      </c>
      <c r="F2031" s="11">
        <v>0.61093097925186157</v>
      </c>
    </row>
    <row r="2032" spans="1:6" hidden="1" x14ac:dyDescent="0.3">
      <c r="A2032" s="6">
        <v>15</v>
      </c>
      <c r="B2032" s="6" t="s">
        <v>111</v>
      </c>
      <c r="C2032" s="6" t="s">
        <v>426</v>
      </c>
      <c r="D2032" s="6" t="s">
        <v>112</v>
      </c>
      <c r="E2032" s="11">
        <v>0.50678038597106934</v>
      </c>
      <c r="F2032" s="11">
        <v>0.61093097925186157</v>
      </c>
    </row>
    <row r="2033" spans="1:6" hidden="1" x14ac:dyDescent="0.3">
      <c r="A2033" s="6">
        <v>15</v>
      </c>
      <c r="B2033" s="6" t="s">
        <v>111</v>
      </c>
      <c r="C2033" s="6" t="s">
        <v>427</v>
      </c>
      <c r="D2033" s="6" t="s">
        <v>112</v>
      </c>
      <c r="E2033" s="11"/>
      <c r="F2033" s="11">
        <v>0.61093097925186157</v>
      </c>
    </row>
    <row r="2034" spans="1:6" hidden="1" x14ac:dyDescent="0.3">
      <c r="A2034" s="6">
        <v>15</v>
      </c>
      <c r="B2034" s="6" t="s">
        <v>111</v>
      </c>
      <c r="C2034" s="6" t="s">
        <v>428</v>
      </c>
      <c r="D2034" s="6" t="s">
        <v>112</v>
      </c>
      <c r="E2034" s="11">
        <v>0.62833446264266968</v>
      </c>
      <c r="F2034" s="11">
        <v>0.61093097925186157</v>
      </c>
    </row>
    <row r="2035" spans="1:6" hidden="1" x14ac:dyDescent="0.3">
      <c r="A2035" s="6">
        <v>15</v>
      </c>
      <c r="B2035" s="6" t="s">
        <v>111</v>
      </c>
      <c r="C2035" s="6" t="s">
        <v>429</v>
      </c>
      <c r="D2035" s="6" t="s">
        <v>112</v>
      </c>
      <c r="E2035" s="11">
        <v>0.69064211845397949</v>
      </c>
      <c r="F2035" s="11">
        <v>0.61093097925186157</v>
      </c>
    </row>
    <row r="2036" spans="1:6" hidden="1" x14ac:dyDescent="0.3">
      <c r="A2036" s="6">
        <v>15</v>
      </c>
      <c r="B2036" s="6" t="s">
        <v>111</v>
      </c>
      <c r="C2036" s="6" t="s">
        <v>430</v>
      </c>
      <c r="D2036" s="6" t="s">
        <v>112</v>
      </c>
      <c r="E2036" s="11">
        <v>1.4877192974090576</v>
      </c>
      <c r="F2036" s="11">
        <v>0.61093097925186157</v>
      </c>
    </row>
    <row r="2037" spans="1:6" hidden="1" x14ac:dyDescent="0.3">
      <c r="A2037" s="6">
        <v>15</v>
      </c>
      <c r="B2037" s="6" t="s">
        <v>111</v>
      </c>
      <c r="C2037" s="6" t="s">
        <v>431</v>
      </c>
      <c r="D2037" s="6" t="s">
        <v>112</v>
      </c>
      <c r="E2037" s="11">
        <v>0.53699266910552979</v>
      </c>
      <c r="F2037" s="11">
        <v>0.61093097925186157</v>
      </c>
    </row>
    <row r="2038" spans="1:6" hidden="1" x14ac:dyDescent="0.3">
      <c r="A2038" s="6">
        <v>15</v>
      </c>
      <c r="B2038" s="6" t="s">
        <v>111</v>
      </c>
      <c r="C2038" s="6" t="s">
        <v>432</v>
      </c>
      <c r="D2038" s="6" t="s">
        <v>112</v>
      </c>
      <c r="E2038" s="11">
        <v>0.41615095734596252</v>
      </c>
      <c r="F2038" s="11">
        <v>0.61093097925186157</v>
      </c>
    </row>
    <row r="2039" spans="1:6" hidden="1" x14ac:dyDescent="0.3">
      <c r="A2039" s="6">
        <v>15</v>
      </c>
      <c r="B2039" s="6" t="s">
        <v>111</v>
      </c>
      <c r="C2039" s="6" t="s">
        <v>433</v>
      </c>
      <c r="D2039" s="6" t="s">
        <v>112</v>
      </c>
      <c r="E2039" s="11">
        <v>0.5</v>
      </c>
      <c r="F2039" s="11">
        <v>0.61093097925186157</v>
      </c>
    </row>
    <row r="2040" spans="1:6" hidden="1" x14ac:dyDescent="0.3">
      <c r="A2040" s="6">
        <v>15</v>
      </c>
      <c r="B2040" s="6" t="s">
        <v>111</v>
      </c>
      <c r="C2040" s="6" t="s">
        <v>434</v>
      </c>
      <c r="D2040" s="6" t="s">
        <v>112</v>
      </c>
      <c r="E2040" s="11">
        <v>0.71253132820129395</v>
      </c>
      <c r="F2040" s="11">
        <v>0.61093097925186157</v>
      </c>
    </row>
    <row r="2041" spans="1:6" hidden="1" x14ac:dyDescent="0.3">
      <c r="A2041" s="6">
        <v>15</v>
      </c>
      <c r="B2041" s="6" t="s">
        <v>111</v>
      </c>
      <c r="C2041" s="6" t="s">
        <v>435</v>
      </c>
      <c r="D2041" s="6" t="s">
        <v>112</v>
      </c>
      <c r="E2041" s="11">
        <v>0.7661176323890686</v>
      </c>
      <c r="F2041" s="11">
        <v>0.61093097925186157</v>
      </c>
    </row>
    <row r="2042" spans="1:6" hidden="1" x14ac:dyDescent="0.3">
      <c r="A2042" s="6">
        <v>15</v>
      </c>
      <c r="B2042" s="6" t="s">
        <v>111</v>
      </c>
      <c r="C2042" s="6" t="s">
        <v>436</v>
      </c>
      <c r="D2042" s="6" t="s">
        <v>112</v>
      </c>
      <c r="E2042" s="11">
        <v>0.81871205568313599</v>
      </c>
      <c r="F2042" s="11">
        <v>0.61093097925186157</v>
      </c>
    </row>
    <row r="2043" spans="1:6" hidden="1" x14ac:dyDescent="0.3">
      <c r="A2043" s="6">
        <v>15</v>
      </c>
      <c r="B2043" s="6" t="s">
        <v>111</v>
      </c>
      <c r="C2043" s="6" t="s">
        <v>437</v>
      </c>
      <c r="D2043" s="6" t="s">
        <v>112</v>
      </c>
      <c r="E2043" s="11">
        <v>0.81392556428909302</v>
      </c>
      <c r="F2043" s="11">
        <v>0.61093097925186157</v>
      </c>
    </row>
    <row r="2044" spans="1:6" hidden="1" x14ac:dyDescent="0.3">
      <c r="A2044" s="6">
        <v>15</v>
      </c>
      <c r="B2044" s="6" t="s">
        <v>111</v>
      </c>
      <c r="C2044" s="6" t="s">
        <v>438</v>
      </c>
      <c r="D2044" s="6" t="s">
        <v>112</v>
      </c>
      <c r="E2044" s="11">
        <v>0.70514559745788574</v>
      </c>
      <c r="F2044" s="11">
        <v>0.61093097925186157</v>
      </c>
    </row>
    <row r="2045" spans="1:6" hidden="1" x14ac:dyDescent="0.3">
      <c r="A2045" s="6">
        <v>15</v>
      </c>
      <c r="B2045" s="6" t="s">
        <v>111</v>
      </c>
      <c r="C2045" s="6" t="s">
        <v>439</v>
      </c>
      <c r="D2045" s="6" t="s">
        <v>112</v>
      </c>
      <c r="E2045" s="11">
        <v>0.7553449273109436</v>
      </c>
      <c r="F2045" s="11">
        <v>0.61093097925186157</v>
      </c>
    </row>
    <row r="2046" spans="1:6" hidden="1" x14ac:dyDescent="0.3">
      <c r="A2046" s="6">
        <v>15</v>
      </c>
      <c r="B2046" s="6" t="s">
        <v>111</v>
      </c>
      <c r="C2046" s="6" t="s">
        <v>440</v>
      </c>
      <c r="D2046" s="6" t="s">
        <v>112</v>
      </c>
      <c r="E2046" s="11"/>
      <c r="F2046" s="11">
        <v>0.61093097925186157</v>
      </c>
    </row>
    <row r="2047" spans="1:6" hidden="1" x14ac:dyDescent="0.3">
      <c r="A2047" s="6">
        <v>15</v>
      </c>
      <c r="B2047" s="6" t="s">
        <v>111</v>
      </c>
      <c r="C2047" s="6" t="s">
        <v>441</v>
      </c>
      <c r="D2047" s="6" t="s">
        <v>112</v>
      </c>
      <c r="E2047" s="11">
        <v>3.2653050422668457</v>
      </c>
      <c r="F2047" s="11">
        <v>0.61093097925186157</v>
      </c>
    </row>
    <row r="2048" spans="1:6" hidden="1" x14ac:dyDescent="0.3">
      <c r="A2048" s="6">
        <v>15</v>
      </c>
      <c r="B2048" s="6" t="s">
        <v>111</v>
      </c>
      <c r="C2048" s="6" t="s">
        <v>442</v>
      </c>
      <c r="D2048" s="6" t="s">
        <v>112</v>
      </c>
      <c r="E2048" s="11">
        <v>0.65816104412078857</v>
      </c>
      <c r="F2048" s="11">
        <v>0.61093097925186157</v>
      </c>
    </row>
    <row r="2049" spans="1:6" hidden="1" x14ac:dyDescent="0.3">
      <c r="A2049" s="6">
        <v>15</v>
      </c>
      <c r="B2049" s="6" t="s">
        <v>111</v>
      </c>
      <c r="C2049" s="6" t="s">
        <v>443</v>
      </c>
      <c r="D2049" s="6" t="s">
        <v>112</v>
      </c>
      <c r="E2049" s="11">
        <v>0.62582117319107056</v>
      </c>
      <c r="F2049" s="11">
        <v>0.61093097925186157</v>
      </c>
    </row>
    <row r="2050" spans="1:6" hidden="1" x14ac:dyDescent="0.3">
      <c r="A2050" s="6">
        <v>15</v>
      </c>
      <c r="B2050" s="6" t="s">
        <v>111</v>
      </c>
      <c r="C2050" s="6" t="s">
        <v>444</v>
      </c>
      <c r="D2050" s="6" t="s">
        <v>112</v>
      </c>
      <c r="E2050" s="11">
        <v>0.5393298864364624</v>
      </c>
      <c r="F2050" s="11">
        <v>0.61093097925186157</v>
      </c>
    </row>
    <row r="2051" spans="1:6" hidden="1" x14ac:dyDescent="0.3">
      <c r="A2051" s="6">
        <v>15</v>
      </c>
      <c r="B2051" s="6" t="s">
        <v>111</v>
      </c>
      <c r="C2051" s="6" t="s">
        <v>445</v>
      </c>
      <c r="D2051" s="6" t="s">
        <v>112</v>
      </c>
      <c r="E2051" s="11">
        <v>0.65399825572967529</v>
      </c>
      <c r="F2051" s="11">
        <v>0.61093097925186157</v>
      </c>
    </row>
    <row r="2052" spans="1:6" hidden="1" x14ac:dyDescent="0.3">
      <c r="A2052" s="6">
        <v>15</v>
      </c>
      <c r="B2052" s="6" t="s">
        <v>111</v>
      </c>
      <c r="C2052" s="6" t="s">
        <v>446</v>
      </c>
      <c r="D2052" s="6" t="s">
        <v>112</v>
      </c>
      <c r="E2052" s="11">
        <v>0.71386432647705078</v>
      </c>
      <c r="F2052" s="11">
        <v>0.61093097925186157</v>
      </c>
    </row>
    <row r="2053" spans="1:6" hidden="1" x14ac:dyDescent="0.3">
      <c r="A2053" s="6">
        <v>15</v>
      </c>
      <c r="B2053" s="6" t="s">
        <v>111</v>
      </c>
      <c r="C2053" s="6" t="s">
        <v>447</v>
      </c>
      <c r="D2053" s="6" t="s">
        <v>112</v>
      </c>
      <c r="E2053" s="11">
        <v>0.95320981740951538</v>
      </c>
      <c r="F2053" s="11">
        <v>0.61093097925186157</v>
      </c>
    </row>
    <row r="2054" spans="1:6" hidden="1" x14ac:dyDescent="0.3">
      <c r="A2054" s="6">
        <v>15</v>
      </c>
      <c r="B2054" s="6" t="s">
        <v>111</v>
      </c>
      <c r="C2054" s="6" t="s">
        <v>448</v>
      </c>
      <c r="D2054" s="6" t="s">
        <v>112</v>
      </c>
      <c r="E2054" s="11">
        <v>0.56000000238418579</v>
      </c>
      <c r="F2054" s="11">
        <v>0.61093097925186157</v>
      </c>
    </row>
    <row r="2055" spans="1:6" hidden="1" x14ac:dyDescent="0.3">
      <c r="A2055" s="6">
        <v>15</v>
      </c>
      <c r="B2055" s="6" t="s">
        <v>111</v>
      </c>
      <c r="C2055" s="6" t="s">
        <v>449</v>
      </c>
      <c r="D2055" s="6" t="s">
        <v>112</v>
      </c>
      <c r="E2055" s="11"/>
      <c r="F2055" s="11">
        <v>0.61093097925186157</v>
      </c>
    </row>
    <row r="2056" spans="1:6" hidden="1" x14ac:dyDescent="0.3">
      <c r="A2056" s="6">
        <v>15</v>
      </c>
      <c r="B2056" s="6" t="s">
        <v>111</v>
      </c>
      <c r="C2056" s="6" t="s">
        <v>450</v>
      </c>
      <c r="D2056" s="6" t="s">
        <v>112</v>
      </c>
      <c r="E2056" s="11">
        <v>0.74672168493270874</v>
      </c>
      <c r="F2056" s="11">
        <v>0.61093097925186157</v>
      </c>
    </row>
    <row r="2057" spans="1:6" hidden="1" x14ac:dyDescent="0.3">
      <c r="A2057" s="6">
        <v>15</v>
      </c>
      <c r="B2057" s="6" t="s">
        <v>111</v>
      </c>
      <c r="C2057" s="6" t="s">
        <v>451</v>
      </c>
      <c r="D2057" s="6" t="s">
        <v>112</v>
      </c>
      <c r="E2057" s="11">
        <v>0.73656666278839111</v>
      </c>
      <c r="F2057" s="11">
        <v>0.61093097925186157</v>
      </c>
    </row>
    <row r="2058" spans="1:6" hidden="1" x14ac:dyDescent="0.3">
      <c r="A2058" s="6">
        <v>15</v>
      </c>
      <c r="B2058" s="6" t="s">
        <v>111</v>
      </c>
      <c r="C2058" s="6" t="s">
        <v>452</v>
      </c>
      <c r="D2058" s="6" t="s">
        <v>112</v>
      </c>
      <c r="E2058" s="11">
        <v>0.7293095588684082</v>
      </c>
      <c r="F2058" s="11">
        <v>0.61093097925186157</v>
      </c>
    </row>
    <row r="2059" spans="1:6" hidden="1" x14ac:dyDescent="0.3">
      <c r="A2059" s="6">
        <v>15</v>
      </c>
      <c r="B2059" s="6" t="s">
        <v>111</v>
      </c>
      <c r="C2059" s="6" t="s">
        <v>453</v>
      </c>
      <c r="D2059" s="6" t="s">
        <v>112</v>
      </c>
      <c r="E2059" s="11"/>
      <c r="F2059" s="11">
        <v>0.61093097925186157</v>
      </c>
    </row>
    <row r="2060" spans="1:6" hidden="1" x14ac:dyDescent="0.3">
      <c r="A2060" s="6">
        <v>15</v>
      </c>
      <c r="B2060" s="6" t="s">
        <v>111</v>
      </c>
      <c r="C2060" s="6" t="s">
        <v>454</v>
      </c>
      <c r="D2060" s="6" t="s">
        <v>112</v>
      </c>
      <c r="E2060" s="11">
        <v>0.64739131927490234</v>
      </c>
      <c r="F2060" s="11">
        <v>0.61093097925186157</v>
      </c>
    </row>
    <row r="2061" spans="1:6" hidden="1" x14ac:dyDescent="0.3">
      <c r="A2061" s="6">
        <v>15</v>
      </c>
      <c r="B2061" s="6" t="s">
        <v>111</v>
      </c>
      <c r="C2061" s="6" t="s">
        <v>455</v>
      </c>
      <c r="D2061" s="6" t="s">
        <v>112</v>
      </c>
      <c r="E2061" s="11">
        <v>0.75</v>
      </c>
      <c r="F2061" s="11">
        <v>0.61093097925186157</v>
      </c>
    </row>
    <row r="2062" spans="1:6" hidden="1" x14ac:dyDescent="0.3">
      <c r="A2062" s="6">
        <v>15</v>
      </c>
      <c r="B2062" s="6" t="s">
        <v>111</v>
      </c>
      <c r="C2062" s="6" t="s">
        <v>456</v>
      </c>
      <c r="D2062" s="6" t="s">
        <v>112</v>
      </c>
      <c r="E2062" s="11"/>
      <c r="F2062" s="11">
        <v>0.61093097925186157</v>
      </c>
    </row>
    <row r="2063" spans="1:6" hidden="1" x14ac:dyDescent="0.3">
      <c r="A2063" s="6">
        <v>15</v>
      </c>
      <c r="B2063" s="6" t="s">
        <v>111</v>
      </c>
      <c r="C2063" s="6" t="s">
        <v>457</v>
      </c>
      <c r="D2063" s="6" t="s">
        <v>112</v>
      </c>
      <c r="E2063" s="11">
        <v>0.62978100776672363</v>
      </c>
      <c r="F2063" s="11">
        <v>0.61093097925186157</v>
      </c>
    </row>
    <row r="2064" spans="1:6" hidden="1" x14ac:dyDescent="0.3">
      <c r="A2064" s="6">
        <v>15</v>
      </c>
      <c r="B2064" s="6" t="s">
        <v>111</v>
      </c>
      <c r="C2064" s="6" t="s">
        <v>458</v>
      </c>
      <c r="D2064" s="6" t="s">
        <v>112</v>
      </c>
      <c r="E2064" s="11">
        <v>0.64330089092254639</v>
      </c>
      <c r="F2064" s="11">
        <v>0.61093097925186157</v>
      </c>
    </row>
    <row r="2065" spans="1:6" hidden="1" x14ac:dyDescent="0.3">
      <c r="A2065" s="6">
        <v>15</v>
      </c>
      <c r="B2065" s="6" t="s">
        <v>111</v>
      </c>
      <c r="C2065" s="6" t="s">
        <v>459</v>
      </c>
      <c r="D2065" s="6" t="s">
        <v>112</v>
      </c>
      <c r="E2065" s="11">
        <v>1.1696655750274658</v>
      </c>
      <c r="F2065" s="11">
        <v>0.61093097925186157</v>
      </c>
    </row>
    <row r="2066" spans="1:6" hidden="1" x14ac:dyDescent="0.3">
      <c r="A2066" s="6">
        <v>15</v>
      </c>
      <c r="B2066" s="6" t="s">
        <v>111</v>
      </c>
      <c r="C2066" s="6" t="s">
        <v>460</v>
      </c>
      <c r="D2066" s="6" t="s">
        <v>112</v>
      </c>
      <c r="E2066" s="11"/>
      <c r="F2066" s="11">
        <v>0.61093097925186157</v>
      </c>
    </row>
    <row r="2067" spans="1:6" hidden="1" x14ac:dyDescent="0.3">
      <c r="A2067" s="6">
        <v>15</v>
      </c>
      <c r="B2067" s="6" t="s">
        <v>111</v>
      </c>
      <c r="C2067" s="6" t="s">
        <v>461</v>
      </c>
      <c r="D2067" s="6" t="s">
        <v>112</v>
      </c>
      <c r="E2067" s="11">
        <v>0.48430389165878296</v>
      </c>
      <c r="F2067" s="11">
        <v>0.61093097925186157</v>
      </c>
    </row>
    <row r="2068" spans="1:6" hidden="1" x14ac:dyDescent="0.3">
      <c r="A2068" s="6">
        <v>15</v>
      </c>
      <c r="B2068" s="6" t="s">
        <v>111</v>
      </c>
      <c r="C2068" s="6" t="s">
        <v>462</v>
      </c>
      <c r="D2068" s="6" t="s">
        <v>112</v>
      </c>
      <c r="E2068" s="11">
        <v>0.49450463056564331</v>
      </c>
      <c r="F2068" s="11">
        <v>0.61093097925186157</v>
      </c>
    </row>
    <row r="2069" spans="1:6" hidden="1" x14ac:dyDescent="0.3">
      <c r="A2069" s="6">
        <v>15</v>
      </c>
      <c r="B2069" s="6" t="s">
        <v>111</v>
      </c>
      <c r="C2069" s="6" t="s">
        <v>463</v>
      </c>
      <c r="D2069" s="6" t="s">
        <v>112</v>
      </c>
      <c r="E2069" s="11">
        <v>0.51180648803710938</v>
      </c>
      <c r="F2069" s="11">
        <v>0.61093097925186157</v>
      </c>
    </row>
    <row r="2070" spans="1:6" hidden="1" x14ac:dyDescent="0.3">
      <c r="A2070" s="6">
        <v>15</v>
      </c>
      <c r="B2070" s="6" t="s">
        <v>111</v>
      </c>
      <c r="C2070" s="6" t="s">
        <v>464</v>
      </c>
      <c r="D2070" s="6" t="s">
        <v>112</v>
      </c>
      <c r="E2070" s="11">
        <v>0.54215633869171143</v>
      </c>
      <c r="F2070" s="11">
        <v>0.61093097925186157</v>
      </c>
    </row>
    <row r="2071" spans="1:6" hidden="1" x14ac:dyDescent="0.3">
      <c r="A2071" s="6">
        <v>15</v>
      </c>
      <c r="B2071" s="6" t="s">
        <v>111</v>
      </c>
      <c r="C2071" s="6" t="s">
        <v>465</v>
      </c>
      <c r="D2071" s="6" t="s">
        <v>112</v>
      </c>
      <c r="E2071" s="11">
        <v>0.67393851280212402</v>
      </c>
      <c r="F2071" s="11">
        <v>0.61093097925186157</v>
      </c>
    </row>
    <row r="2072" spans="1:6" hidden="1" x14ac:dyDescent="0.3">
      <c r="A2072" s="6">
        <v>15</v>
      </c>
      <c r="B2072" s="6" t="s">
        <v>111</v>
      </c>
      <c r="C2072" s="6" t="s">
        <v>466</v>
      </c>
      <c r="D2072" s="6" t="s">
        <v>112</v>
      </c>
      <c r="E2072" s="11">
        <v>0.44759789109230042</v>
      </c>
      <c r="F2072" s="11">
        <v>0.61093097925186157</v>
      </c>
    </row>
    <row r="2073" spans="1:6" hidden="1" x14ac:dyDescent="0.3">
      <c r="A2073" s="6">
        <v>15</v>
      </c>
      <c r="B2073" s="6" t="s">
        <v>111</v>
      </c>
      <c r="C2073" s="6" t="s">
        <v>467</v>
      </c>
      <c r="D2073" s="6" t="s">
        <v>112</v>
      </c>
      <c r="E2073" s="11">
        <v>0.63768142461776733</v>
      </c>
      <c r="F2073" s="11">
        <v>0.61093097925186157</v>
      </c>
    </row>
    <row r="2074" spans="1:6" hidden="1" x14ac:dyDescent="0.3">
      <c r="A2074" s="6">
        <v>15</v>
      </c>
      <c r="B2074" s="6" t="s">
        <v>111</v>
      </c>
      <c r="C2074" s="6" t="s">
        <v>468</v>
      </c>
      <c r="D2074" s="6" t="s">
        <v>112</v>
      </c>
      <c r="E2074" s="11">
        <v>0.74945569038391113</v>
      </c>
      <c r="F2074" s="11">
        <v>0.61093097925186157</v>
      </c>
    </row>
    <row r="2075" spans="1:6" hidden="1" x14ac:dyDescent="0.3">
      <c r="A2075" s="6">
        <v>15</v>
      </c>
      <c r="B2075" s="6" t="s">
        <v>111</v>
      </c>
      <c r="C2075" s="6" t="s">
        <v>469</v>
      </c>
      <c r="D2075" s="6" t="s">
        <v>112</v>
      </c>
      <c r="E2075" s="11"/>
      <c r="F2075" s="11">
        <v>0.61093097925186157</v>
      </c>
    </row>
    <row r="2076" spans="1:6" hidden="1" x14ac:dyDescent="0.3">
      <c r="A2076" s="6">
        <v>15</v>
      </c>
      <c r="B2076" s="6" t="s">
        <v>111</v>
      </c>
      <c r="C2076" s="6" t="s">
        <v>470</v>
      </c>
      <c r="D2076" s="6" t="s">
        <v>112</v>
      </c>
      <c r="E2076" s="11">
        <v>0.68263208866119385</v>
      </c>
      <c r="F2076" s="11">
        <v>0.61093097925186157</v>
      </c>
    </row>
    <row r="2077" spans="1:6" hidden="1" x14ac:dyDescent="0.3">
      <c r="A2077" s="6">
        <v>15</v>
      </c>
      <c r="B2077" s="6" t="s">
        <v>111</v>
      </c>
      <c r="C2077" s="6" t="s">
        <v>471</v>
      </c>
      <c r="D2077" s="6" t="s">
        <v>112</v>
      </c>
      <c r="E2077" s="11">
        <v>0.59838497638702393</v>
      </c>
      <c r="F2077" s="11">
        <v>0.61093097925186157</v>
      </c>
    </row>
    <row r="2078" spans="1:6" hidden="1" x14ac:dyDescent="0.3">
      <c r="A2078" s="6">
        <v>15</v>
      </c>
      <c r="B2078" s="6" t="s">
        <v>111</v>
      </c>
      <c r="C2078" s="6" t="s">
        <v>472</v>
      </c>
      <c r="D2078" s="6" t="s">
        <v>112</v>
      </c>
      <c r="E2078" s="11">
        <v>0.58323496580123901</v>
      </c>
      <c r="F2078" s="11">
        <v>0.61093097925186157</v>
      </c>
    </row>
    <row r="2079" spans="1:6" hidden="1" x14ac:dyDescent="0.3">
      <c r="A2079" s="6">
        <v>15</v>
      </c>
      <c r="B2079" s="6" t="s">
        <v>111</v>
      </c>
      <c r="C2079" s="6" t="s">
        <v>473</v>
      </c>
      <c r="D2079" s="6" t="s">
        <v>112</v>
      </c>
      <c r="E2079" s="11">
        <v>0.62619048357009888</v>
      </c>
      <c r="F2079" s="11">
        <v>0.61093097925186157</v>
      </c>
    </row>
    <row r="2080" spans="1:6" hidden="1" x14ac:dyDescent="0.3">
      <c r="A2080" s="6">
        <v>15</v>
      </c>
      <c r="B2080" s="6" t="s">
        <v>111</v>
      </c>
      <c r="C2080" s="6" t="s">
        <v>474</v>
      </c>
      <c r="D2080" s="6" t="s">
        <v>112</v>
      </c>
      <c r="E2080" s="11">
        <v>0.45070937275886536</v>
      </c>
      <c r="F2080" s="11">
        <v>0.61093097925186157</v>
      </c>
    </row>
    <row r="2081" spans="1:6" hidden="1" x14ac:dyDescent="0.3">
      <c r="A2081" s="6">
        <v>15</v>
      </c>
      <c r="B2081" s="6" t="s">
        <v>111</v>
      </c>
      <c r="C2081" s="6" t="s">
        <v>475</v>
      </c>
      <c r="D2081" s="6" t="s">
        <v>112</v>
      </c>
      <c r="E2081" s="11">
        <v>0.53763365745544434</v>
      </c>
      <c r="F2081" s="11">
        <v>0.61093097925186157</v>
      </c>
    </row>
    <row r="2082" spans="1:6" hidden="1" x14ac:dyDescent="0.3">
      <c r="A2082" s="6">
        <v>15</v>
      </c>
      <c r="B2082" s="6" t="s">
        <v>111</v>
      </c>
      <c r="C2082" s="6" t="s">
        <v>476</v>
      </c>
      <c r="D2082" s="6" t="s">
        <v>112</v>
      </c>
      <c r="E2082" s="11">
        <v>0.64003270864486694</v>
      </c>
      <c r="F2082" s="11">
        <v>0.61093097925186157</v>
      </c>
    </row>
    <row r="2083" spans="1:6" hidden="1" x14ac:dyDescent="0.3">
      <c r="A2083" s="6">
        <v>15</v>
      </c>
      <c r="B2083" s="6" t="s">
        <v>111</v>
      </c>
      <c r="C2083" s="6" t="s">
        <v>477</v>
      </c>
      <c r="D2083" s="6" t="s">
        <v>112</v>
      </c>
      <c r="E2083" s="11">
        <v>0.58943825960159302</v>
      </c>
      <c r="F2083" s="11">
        <v>0.61093097925186157</v>
      </c>
    </row>
    <row r="2084" spans="1:6" hidden="1" x14ac:dyDescent="0.3">
      <c r="A2084" s="6">
        <v>15</v>
      </c>
      <c r="B2084" s="6" t="s">
        <v>111</v>
      </c>
      <c r="C2084" s="6" t="s">
        <v>478</v>
      </c>
      <c r="D2084" s="6" t="s">
        <v>112</v>
      </c>
      <c r="E2084" s="11">
        <v>0.85046803951263428</v>
      </c>
      <c r="F2084" s="11">
        <v>0.61093097925186157</v>
      </c>
    </row>
    <row r="2085" spans="1:6" hidden="1" x14ac:dyDescent="0.3">
      <c r="A2085" s="6">
        <v>15</v>
      </c>
      <c r="B2085" s="6" t="s">
        <v>111</v>
      </c>
      <c r="C2085" s="6" t="s">
        <v>479</v>
      </c>
      <c r="D2085" s="6" t="s">
        <v>112</v>
      </c>
      <c r="E2085" s="11">
        <v>0.83173763751983643</v>
      </c>
      <c r="F2085" s="11">
        <v>0.61093097925186157</v>
      </c>
    </row>
    <row r="2086" spans="1:6" hidden="1" x14ac:dyDescent="0.3">
      <c r="A2086" s="6">
        <v>15</v>
      </c>
      <c r="B2086" s="6" t="s">
        <v>111</v>
      </c>
      <c r="C2086" s="6" t="s">
        <v>480</v>
      </c>
      <c r="D2086" s="6" t="s">
        <v>112</v>
      </c>
      <c r="E2086" s="11">
        <v>0.81046479940414429</v>
      </c>
      <c r="F2086" s="11">
        <v>0.61093097925186157</v>
      </c>
    </row>
    <row r="2087" spans="1:6" hidden="1" x14ac:dyDescent="0.3">
      <c r="A2087" s="6">
        <v>15</v>
      </c>
      <c r="B2087" s="6" t="s">
        <v>111</v>
      </c>
      <c r="C2087" s="6" t="s">
        <v>481</v>
      </c>
      <c r="D2087" s="6" t="s">
        <v>112</v>
      </c>
      <c r="E2087" s="11">
        <v>0.556102454662323</v>
      </c>
      <c r="F2087" s="11">
        <v>0.61093097925186157</v>
      </c>
    </row>
    <row r="2088" spans="1:6" hidden="1" x14ac:dyDescent="0.3">
      <c r="A2088" s="6">
        <v>15</v>
      </c>
      <c r="B2088" s="6" t="s">
        <v>111</v>
      </c>
      <c r="C2088" s="6" t="s">
        <v>482</v>
      </c>
      <c r="D2088" s="6" t="s">
        <v>112</v>
      </c>
      <c r="E2088" s="11">
        <v>0.67240864038467407</v>
      </c>
      <c r="F2088" s="11">
        <v>0.61093097925186157</v>
      </c>
    </row>
    <row r="2089" spans="1:6" hidden="1" x14ac:dyDescent="0.3">
      <c r="A2089" s="6">
        <v>15</v>
      </c>
      <c r="B2089" s="6" t="s">
        <v>111</v>
      </c>
      <c r="C2089" s="6" t="s">
        <v>483</v>
      </c>
      <c r="D2089" s="6" t="s">
        <v>112</v>
      </c>
      <c r="E2089" s="11">
        <v>0.49387198686599731</v>
      </c>
      <c r="F2089" s="11">
        <v>0.61093097925186157</v>
      </c>
    </row>
    <row r="2090" spans="1:6" hidden="1" x14ac:dyDescent="0.3">
      <c r="A2090" s="6">
        <v>15</v>
      </c>
      <c r="B2090" s="6" t="s">
        <v>111</v>
      </c>
      <c r="C2090" s="6" t="s">
        <v>484</v>
      </c>
      <c r="D2090" s="6" t="s">
        <v>112</v>
      </c>
      <c r="E2090" s="11">
        <v>0.82769554853439331</v>
      </c>
      <c r="F2090" s="11">
        <v>0.61093097925186157</v>
      </c>
    </row>
    <row r="2091" spans="1:6" hidden="1" x14ac:dyDescent="0.3">
      <c r="A2091" s="6">
        <v>15</v>
      </c>
      <c r="B2091" s="6" t="s">
        <v>111</v>
      </c>
      <c r="C2091" s="6" t="s">
        <v>485</v>
      </c>
      <c r="D2091" s="6" t="s">
        <v>112</v>
      </c>
      <c r="E2091" s="11">
        <v>0.59651398658752441</v>
      </c>
      <c r="F2091" s="11">
        <v>0.61093097925186157</v>
      </c>
    </row>
    <row r="2092" spans="1:6" hidden="1" x14ac:dyDescent="0.3">
      <c r="A2092" s="6">
        <v>15</v>
      </c>
      <c r="B2092" s="6" t="s">
        <v>111</v>
      </c>
      <c r="C2092" s="6" t="s">
        <v>486</v>
      </c>
      <c r="D2092" s="6" t="s">
        <v>112</v>
      </c>
      <c r="E2092" s="11">
        <v>0.58627349138259888</v>
      </c>
      <c r="F2092" s="11">
        <v>0.61093097925186157</v>
      </c>
    </row>
    <row r="2093" spans="1:6" hidden="1" x14ac:dyDescent="0.3">
      <c r="A2093" s="6">
        <v>15</v>
      </c>
      <c r="B2093" s="6" t="s">
        <v>111</v>
      </c>
      <c r="C2093" s="6" t="s">
        <v>487</v>
      </c>
      <c r="D2093" s="6" t="s">
        <v>112</v>
      </c>
      <c r="E2093" s="11">
        <v>3.2335705757141113</v>
      </c>
      <c r="F2093" s="11">
        <v>0.61093097925186157</v>
      </c>
    </row>
    <row r="2094" spans="1:6" hidden="1" x14ac:dyDescent="0.3">
      <c r="A2094" s="6">
        <v>15</v>
      </c>
      <c r="B2094" s="6" t="s">
        <v>111</v>
      </c>
      <c r="C2094" s="6" t="s">
        <v>488</v>
      </c>
      <c r="D2094" s="6" t="s">
        <v>112</v>
      </c>
      <c r="E2094" s="11">
        <v>0.56100797653198242</v>
      </c>
      <c r="F2094" s="11">
        <v>0.61093097925186157</v>
      </c>
    </row>
    <row r="2095" spans="1:6" hidden="1" x14ac:dyDescent="0.3">
      <c r="A2095" s="6">
        <v>15</v>
      </c>
      <c r="B2095" s="6" t="s">
        <v>111</v>
      </c>
      <c r="C2095" s="6" t="s">
        <v>489</v>
      </c>
      <c r="D2095" s="6" t="s">
        <v>112</v>
      </c>
      <c r="E2095" s="11">
        <v>0.82948082685470581</v>
      </c>
      <c r="F2095" s="11">
        <v>0.61093097925186157</v>
      </c>
    </row>
    <row r="2096" spans="1:6" hidden="1" x14ac:dyDescent="0.3">
      <c r="A2096" s="6">
        <v>15</v>
      </c>
      <c r="B2096" s="6" t="s">
        <v>111</v>
      </c>
      <c r="C2096" s="6" t="s">
        <v>490</v>
      </c>
      <c r="D2096" s="6" t="s">
        <v>112</v>
      </c>
      <c r="E2096" s="11">
        <v>0.77799946069717407</v>
      </c>
      <c r="F2096" s="11">
        <v>0.61093097925186157</v>
      </c>
    </row>
    <row r="2097" spans="1:6" hidden="1" x14ac:dyDescent="0.3">
      <c r="A2097" s="6">
        <v>15</v>
      </c>
      <c r="B2097" s="6" t="s">
        <v>111</v>
      </c>
      <c r="C2097" s="6" t="s">
        <v>491</v>
      </c>
      <c r="D2097" s="6" t="s">
        <v>112</v>
      </c>
      <c r="E2097" s="11">
        <v>0.84618669748306274</v>
      </c>
      <c r="F2097" s="11">
        <v>0.61093097925186157</v>
      </c>
    </row>
    <row r="2098" spans="1:6" hidden="1" x14ac:dyDescent="0.3">
      <c r="A2098" s="6">
        <v>15</v>
      </c>
      <c r="B2098" s="6" t="s">
        <v>111</v>
      </c>
      <c r="C2098" s="6" t="s">
        <v>492</v>
      </c>
      <c r="D2098" s="6" t="s">
        <v>112</v>
      </c>
      <c r="E2098" s="11">
        <v>0.54976010322570801</v>
      </c>
      <c r="F2098" s="11">
        <v>0.61093097925186157</v>
      </c>
    </row>
    <row r="2099" spans="1:6" hidden="1" x14ac:dyDescent="0.3">
      <c r="A2099" s="6">
        <v>15</v>
      </c>
      <c r="B2099" s="6" t="s">
        <v>111</v>
      </c>
      <c r="C2099" s="6" t="s">
        <v>493</v>
      </c>
      <c r="D2099" s="6" t="s">
        <v>112</v>
      </c>
      <c r="E2099" s="11">
        <v>0.64463919401168823</v>
      </c>
      <c r="F2099" s="11">
        <v>0.61093097925186157</v>
      </c>
    </row>
    <row r="2100" spans="1:6" hidden="1" x14ac:dyDescent="0.3">
      <c r="A2100" s="6">
        <v>15</v>
      </c>
      <c r="B2100" s="6" t="s">
        <v>111</v>
      </c>
      <c r="C2100" s="6" t="s">
        <v>494</v>
      </c>
      <c r="D2100" s="6" t="s">
        <v>112</v>
      </c>
      <c r="E2100" s="11">
        <v>0.56441223621368408</v>
      </c>
      <c r="F2100" s="11">
        <v>0.61093097925186157</v>
      </c>
    </row>
    <row r="2101" spans="1:6" hidden="1" x14ac:dyDescent="0.3">
      <c r="A2101" s="6">
        <v>15</v>
      </c>
      <c r="B2101" s="6" t="s">
        <v>111</v>
      </c>
      <c r="C2101" s="6" t="s">
        <v>495</v>
      </c>
      <c r="D2101" s="6" t="s">
        <v>112</v>
      </c>
      <c r="E2101" s="11">
        <v>0.62362116575241089</v>
      </c>
      <c r="F2101" s="11">
        <v>0.61093097925186157</v>
      </c>
    </row>
    <row r="2102" spans="1:6" hidden="1" x14ac:dyDescent="0.3">
      <c r="A2102" s="6">
        <v>16</v>
      </c>
      <c r="B2102" s="6" t="s">
        <v>113</v>
      </c>
      <c r="C2102" s="6" t="s">
        <v>356</v>
      </c>
      <c r="D2102" s="6" t="s">
        <v>114</v>
      </c>
      <c r="E2102" s="11">
        <v>0.51491397619247437</v>
      </c>
      <c r="F2102" s="11">
        <v>0.48031985759735107</v>
      </c>
    </row>
    <row r="2103" spans="1:6" hidden="1" x14ac:dyDescent="0.3">
      <c r="A2103" s="6">
        <v>16</v>
      </c>
      <c r="B2103" s="6" t="s">
        <v>113</v>
      </c>
      <c r="C2103" s="6" t="s">
        <v>357</v>
      </c>
      <c r="D2103" s="6" t="s">
        <v>114</v>
      </c>
      <c r="E2103" s="11">
        <v>0.50371497869491577</v>
      </c>
      <c r="F2103" s="11">
        <v>0.48031985759735107</v>
      </c>
    </row>
    <row r="2104" spans="1:6" hidden="1" x14ac:dyDescent="0.3">
      <c r="A2104" s="6">
        <v>16</v>
      </c>
      <c r="B2104" s="6" t="s">
        <v>113</v>
      </c>
      <c r="C2104" s="6" t="s">
        <v>358</v>
      </c>
      <c r="D2104" s="6" t="s">
        <v>114</v>
      </c>
      <c r="E2104" s="11">
        <v>0.56763303279876709</v>
      </c>
      <c r="F2104" s="11">
        <v>0.48031985759735107</v>
      </c>
    </row>
    <row r="2105" spans="1:6" hidden="1" x14ac:dyDescent="0.3">
      <c r="A2105" s="6">
        <v>16</v>
      </c>
      <c r="B2105" s="6" t="s">
        <v>113</v>
      </c>
      <c r="C2105" s="6" t="s">
        <v>359</v>
      </c>
      <c r="D2105" s="6" t="s">
        <v>114</v>
      </c>
      <c r="E2105" s="11"/>
      <c r="F2105" s="11">
        <v>0.48031985759735107</v>
      </c>
    </row>
    <row r="2106" spans="1:6" hidden="1" x14ac:dyDescent="0.3">
      <c r="A2106" s="6">
        <v>16</v>
      </c>
      <c r="B2106" s="6" t="s">
        <v>113</v>
      </c>
      <c r="C2106" s="6" t="s">
        <v>360</v>
      </c>
      <c r="D2106" s="6" t="s">
        <v>114</v>
      </c>
      <c r="E2106" s="11">
        <v>0.5111803412437439</v>
      </c>
      <c r="F2106" s="11">
        <v>0.48031985759735107</v>
      </c>
    </row>
    <row r="2107" spans="1:6" hidden="1" x14ac:dyDescent="0.3">
      <c r="A2107" s="6">
        <v>16</v>
      </c>
      <c r="B2107" s="6" t="s">
        <v>113</v>
      </c>
      <c r="C2107" s="6" t="s">
        <v>361</v>
      </c>
      <c r="D2107" s="6" t="s">
        <v>114</v>
      </c>
      <c r="E2107" s="11">
        <v>0.7643771767616272</v>
      </c>
      <c r="F2107" s="11">
        <v>0.48031985759735107</v>
      </c>
    </row>
    <row r="2108" spans="1:6" hidden="1" x14ac:dyDescent="0.3">
      <c r="A2108" s="6">
        <v>16</v>
      </c>
      <c r="B2108" s="6" t="s">
        <v>113</v>
      </c>
      <c r="C2108" s="6" t="s">
        <v>362</v>
      </c>
      <c r="D2108" s="6" t="s">
        <v>114</v>
      </c>
      <c r="E2108" s="11">
        <v>0.43789464235305786</v>
      </c>
      <c r="F2108" s="11">
        <v>0.48031985759735107</v>
      </c>
    </row>
    <row r="2109" spans="1:6" hidden="1" x14ac:dyDescent="0.3">
      <c r="A2109" s="6">
        <v>16</v>
      </c>
      <c r="B2109" s="6" t="s">
        <v>113</v>
      </c>
      <c r="C2109" s="6" t="s">
        <v>363</v>
      </c>
      <c r="D2109" s="6" t="s">
        <v>114</v>
      </c>
      <c r="E2109" s="11">
        <v>1.095244288444519</v>
      </c>
      <c r="F2109" s="11">
        <v>0.48031985759735107</v>
      </c>
    </row>
    <row r="2110" spans="1:6" hidden="1" x14ac:dyDescent="0.3">
      <c r="A2110" s="6">
        <v>16</v>
      </c>
      <c r="B2110" s="6" t="s">
        <v>113</v>
      </c>
      <c r="C2110" s="6" t="s">
        <v>364</v>
      </c>
      <c r="D2110" s="6" t="s">
        <v>114</v>
      </c>
      <c r="E2110" s="11">
        <v>0.49051621556282043</v>
      </c>
      <c r="F2110" s="11">
        <v>0.48031985759735107</v>
      </c>
    </row>
    <row r="2111" spans="1:6" hidden="1" x14ac:dyDescent="0.3">
      <c r="A2111" s="6">
        <v>16</v>
      </c>
      <c r="B2111" s="6" t="s">
        <v>113</v>
      </c>
      <c r="C2111" s="6" t="s">
        <v>365</v>
      </c>
      <c r="D2111" s="6" t="s">
        <v>114</v>
      </c>
      <c r="E2111" s="11">
        <v>0.48532390594482422</v>
      </c>
      <c r="F2111" s="11">
        <v>0.48031985759735107</v>
      </c>
    </row>
    <row r="2112" spans="1:6" hidden="1" x14ac:dyDescent="0.3">
      <c r="A2112" s="6">
        <v>16</v>
      </c>
      <c r="B2112" s="6" t="s">
        <v>113</v>
      </c>
      <c r="C2112" s="6" t="s">
        <v>366</v>
      </c>
      <c r="D2112" s="6" t="s">
        <v>114</v>
      </c>
      <c r="E2112" s="11">
        <v>1.8529479503631592</v>
      </c>
      <c r="F2112" s="11">
        <v>0.48031985759735107</v>
      </c>
    </row>
    <row r="2113" spans="1:6" hidden="1" x14ac:dyDescent="0.3">
      <c r="A2113" s="6">
        <v>16</v>
      </c>
      <c r="B2113" s="6" t="s">
        <v>113</v>
      </c>
      <c r="C2113" s="6" t="s">
        <v>367</v>
      </c>
      <c r="D2113" s="6" t="s">
        <v>114</v>
      </c>
      <c r="E2113" s="11">
        <v>0.5427471399307251</v>
      </c>
      <c r="F2113" s="11">
        <v>0.48031985759735107</v>
      </c>
    </row>
    <row r="2114" spans="1:6" hidden="1" x14ac:dyDescent="0.3">
      <c r="A2114" s="6">
        <v>16</v>
      </c>
      <c r="B2114" s="6" t="s">
        <v>113</v>
      </c>
      <c r="C2114" s="6" t="s">
        <v>368</v>
      </c>
      <c r="D2114" s="6" t="s">
        <v>114</v>
      </c>
      <c r="E2114" s="11">
        <v>0.43586063385009766</v>
      </c>
      <c r="F2114" s="11">
        <v>0.48031985759735107</v>
      </c>
    </row>
    <row r="2115" spans="1:6" hidden="1" x14ac:dyDescent="0.3">
      <c r="A2115" s="6">
        <v>16</v>
      </c>
      <c r="B2115" s="6" t="s">
        <v>113</v>
      </c>
      <c r="C2115" s="6" t="s">
        <v>369</v>
      </c>
      <c r="D2115" s="6" t="s">
        <v>114</v>
      </c>
      <c r="E2115" s="11">
        <v>0.71423232555389404</v>
      </c>
      <c r="F2115" s="11">
        <v>0.48031985759735107</v>
      </c>
    </row>
    <row r="2116" spans="1:6" hidden="1" x14ac:dyDescent="0.3">
      <c r="A2116" s="6">
        <v>16</v>
      </c>
      <c r="B2116" s="6" t="s">
        <v>113</v>
      </c>
      <c r="C2116" s="6" t="s">
        <v>370</v>
      </c>
      <c r="D2116" s="6" t="s">
        <v>114</v>
      </c>
      <c r="E2116" s="11">
        <v>0.60684406757354736</v>
      </c>
      <c r="F2116" s="11">
        <v>0.48031985759735107</v>
      </c>
    </row>
    <row r="2117" spans="1:6" hidden="1" x14ac:dyDescent="0.3">
      <c r="A2117" s="6">
        <v>16</v>
      </c>
      <c r="B2117" s="6" t="s">
        <v>113</v>
      </c>
      <c r="C2117" s="6" t="s">
        <v>371</v>
      </c>
      <c r="D2117" s="6" t="s">
        <v>114</v>
      </c>
      <c r="E2117" s="11">
        <v>0.64100742340087891</v>
      </c>
      <c r="F2117" s="11">
        <v>0.48031985759735107</v>
      </c>
    </row>
    <row r="2118" spans="1:6" hidden="1" x14ac:dyDescent="0.3">
      <c r="A2118" s="6">
        <v>16</v>
      </c>
      <c r="B2118" s="6" t="s">
        <v>113</v>
      </c>
      <c r="C2118" s="6" t="s">
        <v>372</v>
      </c>
      <c r="D2118" s="6" t="s">
        <v>114</v>
      </c>
      <c r="E2118" s="11">
        <v>0.41767841577529907</v>
      </c>
      <c r="F2118" s="11">
        <v>0.48031985759735107</v>
      </c>
    </row>
    <row r="2119" spans="1:6" hidden="1" x14ac:dyDescent="0.3">
      <c r="A2119" s="6">
        <v>16</v>
      </c>
      <c r="B2119" s="6" t="s">
        <v>113</v>
      </c>
      <c r="C2119" s="6" t="s">
        <v>373</v>
      </c>
      <c r="D2119" s="6" t="s">
        <v>114</v>
      </c>
      <c r="E2119" s="11">
        <v>0.45857143402099609</v>
      </c>
      <c r="F2119" s="11">
        <v>0.48031985759735107</v>
      </c>
    </row>
    <row r="2120" spans="1:6" hidden="1" x14ac:dyDescent="0.3">
      <c r="A2120" s="6">
        <v>16</v>
      </c>
      <c r="B2120" s="6" t="s">
        <v>113</v>
      </c>
      <c r="C2120" s="6" t="s">
        <v>374</v>
      </c>
      <c r="D2120" s="6" t="s">
        <v>114</v>
      </c>
      <c r="E2120" s="11">
        <v>0.49834534525871277</v>
      </c>
      <c r="F2120" s="11">
        <v>0.48031985759735107</v>
      </c>
    </row>
    <row r="2121" spans="1:6" hidden="1" x14ac:dyDescent="0.3">
      <c r="A2121" s="6">
        <v>16</v>
      </c>
      <c r="B2121" s="6" t="s">
        <v>113</v>
      </c>
      <c r="C2121" s="6" t="s">
        <v>375</v>
      </c>
      <c r="D2121" s="6" t="s">
        <v>114</v>
      </c>
      <c r="E2121" s="11">
        <v>0.71397274732589722</v>
      </c>
      <c r="F2121" s="11">
        <v>0.48031985759735107</v>
      </c>
    </row>
    <row r="2122" spans="1:6" hidden="1" x14ac:dyDescent="0.3">
      <c r="A2122" s="6">
        <v>16</v>
      </c>
      <c r="B2122" s="6" t="s">
        <v>113</v>
      </c>
      <c r="C2122" s="6" t="s">
        <v>376</v>
      </c>
      <c r="D2122" s="6" t="s">
        <v>114</v>
      </c>
      <c r="E2122" s="11">
        <v>0.50742244720458984</v>
      </c>
      <c r="F2122" s="11">
        <v>0.48031985759735107</v>
      </c>
    </row>
    <row r="2123" spans="1:6" hidden="1" x14ac:dyDescent="0.3">
      <c r="A2123" s="6">
        <v>16</v>
      </c>
      <c r="B2123" s="6" t="s">
        <v>113</v>
      </c>
      <c r="C2123" s="6" t="s">
        <v>377</v>
      </c>
      <c r="D2123" s="6" t="s">
        <v>114</v>
      </c>
      <c r="E2123" s="11">
        <v>0.57713097333908081</v>
      </c>
      <c r="F2123" s="11">
        <v>0.48031985759735107</v>
      </c>
    </row>
    <row r="2124" spans="1:6" hidden="1" x14ac:dyDescent="0.3">
      <c r="A2124" s="6">
        <v>16</v>
      </c>
      <c r="B2124" s="6" t="s">
        <v>113</v>
      </c>
      <c r="C2124" s="6" t="s">
        <v>378</v>
      </c>
      <c r="D2124" s="6" t="s">
        <v>114</v>
      </c>
      <c r="E2124" s="11">
        <v>0.65255492925643921</v>
      </c>
      <c r="F2124" s="11">
        <v>0.48031985759735107</v>
      </c>
    </row>
    <row r="2125" spans="1:6" hidden="1" x14ac:dyDescent="0.3">
      <c r="A2125" s="6">
        <v>16</v>
      </c>
      <c r="B2125" s="6" t="s">
        <v>113</v>
      </c>
      <c r="C2125" s="6" t="s">
        <v>379</v>
      </c>
      <c r="D2125" s="6" t="s">
        <v>114</v>
      </c>
      <c r="E2125" s="11">
        <v>0.50542396306991577</v>
      </c>
      <c r="F2125" s="11">
        <v>0.48031985759735107</v>
      </c>
    </row>
    <row r="2126" spans="1:6" hidden="1" x14ac:dyDescent="0.3">
      <c r="A2126" s="6">
        <v>16</v>
      </c>
      <c r="B2126" s="6" t="s">
        <v>113</v>
      </c>
      <c r="C2126" s="6" t="s">
        <v>380</v>
      </c>
      <c r="D2126" s="6" t="s">
        <v>114</v>
      </c>
      <c r="E2126" s="11">
        <v>0.42742040753364563</v>
      </c>
      <c r="F2126" s="11">
        <v>0.48031985759735107</v>
      </c>
    </row>
    <row r="2127" spans="1:6" hidden="1" x14ac:dyDescent="0.3">
      <c r="A2127" s="6">
        <v>16</v>
      </c>
      <c r="B2127" s="6" t="s">
        <v>113</v>
      </c>
      <c r="C2127" s="6" t="s">
        <v>381</v>
      </c>
      <c r="D2127" s="6" t="s">
        <v>114</v>
      </c>
      <c r="E2127" s="11">
        <v>0.61638069152832031</v>
      </c>
      <c r="F2127" s="11">
        <v>0.48031985759735107</v>
      </c>
    </row>
    <row r="2128" spans="1:6" hidden="1" x14ac:dyDescent="0.3">
      <c r="A2128" s="6">
        <v>16</v>
      </c>
      <c r="B2128" s="6" t="s">
        <v>113</v>
      </c>
      <c r="C2128" s="6" t="s">
        <v>382</v>
      </c>
      <c r="D2128" s="6" t="s">
        <v>114</v>
      </c>
      <c r="E2128" s="11">
        <v>0.448221355676651</v>
      </c>
      <c r="F2128" s="11">
        <v>0.48031985759735107</v>
      </c>
    </row>
    <row r="2129" spans="1:6" hidden="1" x14ac:dyDescent="0.3">
      <c r="A2129" s="6">
        <v>16</v>
      </c>
      <c r="B2129" s="6" t="s">
        <v>113</v>
      </c>
      <c r="C2129" s="6" t="s">
        <v>383</v>
      </c>
      <c r="D2129" s="6" t="s">
        <v>114</v>
      </c>
      <c r="E2129" s="11">
        <v>0.60410308837890625</v>
      </c>
      <c r="F2129" s="11">
        <v>0.48031985759735107</v>
      </c>
    </row>
    <row r="2130" spans="1:6" hidden="1" x14ac:dyDescent="0.3">
      <c r="A2130" s="6">
        <v>16</v>
      </c>
      <c r="B2130" s="6" t="s">
        <v>113</v>
      </c>
      <c r="C2130" s="6" t="s">
        <v>384</v>
      </c>
      <c r="D2130" s="6" t="s">
        <v>114</v>
      </c>
      <c r="E2130" s="11">
        <v>0.87696874141693115</v>
      </c>
      <c r="F2130" s="11">
        <v>0.48031985759735107</v>
      </c>
    </row>
    <row r="2131" spans="1:6" hidden="1" x14ac:dyDescent="0.3">
      <c r="A2131" s="6">
        <v>16</v>
      </c>
      <c r="B2131" s="6" t="s">
        <v>113</v>
      </c>
      <c r="C2131" s="6" t="s">
        <v>385</v>
      </c>
      <c r="D2131" s="6" t="s">
        <v>114</v>
      </c>
      <c r="E2131" s="11">
        <v>0.43682047724723816</v>
      </c>
      <c r="F2131" s="11">
        <v>0.48031985759735107</v>
      </c>
    </row>
    <row r="2132" spans="1:6" hidden="1" x14ac:dyDescent="0.3">
      <c r="A2132" s="6">
        <v>16</v>
      </c>
      <c r="B2132" s="6" t="s">
        <v>113</v>
      </c>
      <c r="C2132" s="6" t="s">
        <v>386</v>
      </c>
      <c r="D2132" s="6" t="s">
        <v>114</v>
      </c>
      <c r="E2132" s="11">
        <v>0.79501324892044067</v>
      </c>
      <c r="F2132" s="11">
        <v>0.48031985759735107</v>
      </c>
    </row>
    <row r="2133" spans="1:6" hidden="1" x14ac:dyDescent="0.3">
      <c r="A2133" s="6">
        <v>16</v>
      </c>
      <c r="B2133" s="6" t="s">
        <v>113</v>
      </c>
      <c r="C2133" s="6" t="s">
        <v>387</v>
      </c>
      <c r="D2133" s="6" t="s">
        <v>114</v>
      </c>
      <c r="E2133" s="11">
        <v>0.42110466957092285</v>
      </c>
      <c r="F2133" s="11">
        <v>0.48031985759735107</v>
      </c>
    </row>
    <row r="2134" spans="1:6" hidden="1" x14ac:dyDescent="0.3">
      <c r="A2134" s="6">
        <v>16</v>
      </c>
      <c r="B2134" s="6" t="s">
        <v>113</v>
      </c>
      <c r="C2134" s="6" t="s">
        <v>388</v>
      </c>
      <c r="D2134" s="6" t="s">
        <v>114</v>
      </c>
      <c r="E2134" s="11">
        <v>0.42234522104263306</v>
      </c>
      <c r="F2134" s="11">
        <v>0.48031985759735107</v>
      </c>
    </row>
    <row r="2135" spans="1:6" hidden="1" x14ac:dyDescent="0.3">
      <c r="A2135" s="6">
        <v>16</v>
      </c>
      <c r="B2135" s="6" t="s">
        <v>113</v>
      </c>
      <c r="C2135" s="6" t="s">
        <v>389</v>
      </c>
      <c r="D2135" s="6" t="s">
        <v>114</v>
      </c>
      <c r="E2135" s="11">
        <v>0.72727322578430176</v>
      </c>
      <c r="F2135" s="11">
        <v>0.48031985759735107</v>
      </c>
    </row>
    <row r="2136" spans="1:6" hidden="1" x14ac:dyDescent="0.3">
      <c r="A2136" s="6">
        <v>16</v>
      </c>
      <c r="B2136" s="6" t="s">
        <v>113</v>
      </c>
      <c r="C2136" s="6" t="s">
        <v>390</v>
      </c>
      <c r="D2136" s="6" t="s">
        <v>114</v>
      </c>
      <c r="E2136" s="11">
        <v>0.66802656650543213</v>
      </c>
      <c r="F2136" s="11">
        <v>0.48031985759735107</v>
      </c>
    </row>
    <row r="2137" spans="1:6" hidden="1" x14ac:dyDescent="0.3">
      <c r="A2137" s="6">
        <v>16</v>
      </c>
      <c r="B2137" s="6" t="s">
        <v>113</v>
      </c>
      <c r="C2137" s="6" t="s">
        <v>391</v>
      </c>
      <c r="D2137" s="6" t="s">
        <v>114</v>
      </c>
      <c r="E2137" s="11"/>
      <c r="F2137" s="11">
        <v>0.48031985759735107</v>
      </c>
    </row>
    <row r="2138" spans="1:6" hidden="1" x14ac:dyDescent="0.3">
      <c r="A2138" s="6">
        <v>16</v>
      </c>
      <c r="B2138" s="6" t="s">
        <v>113</v>
      </c>
      <c r="C2138" s="6" t="s">
        <v>392</v>
      </c>
      <c r="D2138" s="6" t="s">
        <v>114</v>
      </c>
      <c r="E2138" s="11">
        <v>0.89410656690597534</v>
      </c>
      <c r="F2138" s="11">
        <v>0.48031985759735107</v>
      </c>
    </row>
    <row r="2139" spans="1:6" hidden="1" x14ac:dyDescent="0.3">
      <c r="A2139" s="6">
        <v>16</v>
      </c>
      <c r="B2139" s="6" t="s">
        <v>113</v>
      </c>
      <c r="C2139" s="6" t="s">
        <v>393</v>
      </c>
      <c r="D2139" s="6" t="s">
        <v>114</v>
      </c>
      <c r="E2139" s="11">
        <v>0.92787975072860718</v>
      </c>
      <c r="F2139" s="11">
        <v>0.48031985759735107</v>
      </c>
    </row>
    <row r="2140" spans="1:6" hidden="1" x14ac:dyDescent="0.3">
      <c r="A2140" s="6">
        <v>16</v>
      </c>
      <c r="B2140" s="6" t="s">
        <v>113</v>
      </c>
      <c r="C2140" s="6" t="s">
        <v>394</v>
      </c>
      <c r="D2140" s="6" t="s">
        <v>114</v>
      </c>
      <c r="E2140" s="11">
        <v>0.4624667763710022</v>
      </c>
      <c r="F2140" s="11">
        <v>0.48031985759735107</v>
      </c>
    </row>
    <row r="2141" spans="1:6" hidden="1" x14ac:dyDescent="0.3">
      <c r="A2141" s="6">
        <v>16</v>
      </c>
      <c r="B2141" s="6" t="s">
        <v>113</v>
      </c>
      <c r="C2141" s="6" t="s">
        <v>395</v>
      </c>
      <c r="D2141" s="6" t="s">
        <v>114</v>
      </c>
      <c r="E2141" s="11">
        <v>0.80883771181106567</v>
      </c>
      <c r="F2141" s="11">
        <v>0.48031985759735107</v>
      </c>
    </row>
    <row r="2142" spans="1:6" hidden="1" x14ac:dyDescent="0.3">
      <c r="A2142" s="6">
        <v>16</v>
      </c>
      <c r="B2142" s="6" t="s">
        <v>113</v>
      </c>
      <c r="C2142" s="6" t="s">
        <v>396</v>
      </c>
      <c r="D2142" s="6" t="s">
        <v>114</v>
      </c>
      <c r="E2142" s="11">
        <v>322.38137817382813</v>
      </c>
      <c r="F2142" s="11">
        <v>0.48031985759735107</v>
      </c>
    </row>
    <row r="2143" spans="1:6" hidden="1" x14ac:dyDescent="0.3">
      <c r="A2143" s="6">
        <v>16</v>
      </c>
      <c r="B2143" s="6" t="s">
        <v>113</v>
      </c>
      <c r="C2143" s="6" t="s">
        <v>397</v>
      </c>
      <c r="D2143" s="6" t="s">
        <v>114</v>
      </c>
      <c r="E2143" s="11">
        <v>38.799076080322266</v>
      </c>
      <c r="F2143" s="11">
        <v>0.48031985759735107</v>
      </c>
    </row>
    <row r="2144" spans="1:6" hidden="1" x14ac:dyDescent="0.3">
      <c r="A2144" s="6">
        <v>16</v>
      </c>
      <c r="B2144" s="6" t="s">
        <v>113</v>
      </c>
      <c r="C2144" s="6" t="s">
        <v>398</v>
      </c>
      <c r="D2144" s="6" t="s">
        <v>114</v>
      </c>
      <c r="E2144" s="11">
        <v>0.50393742322921753</v>
      </c>
      <c r="F2144" s="11">
        <v>0.48031985759735107</v>
      </c>
    </row>
    <row r="2145" spans="1:6" hidden="1" x14ac:dyDescent="0.3">
      <c r="A2145" s="6">
        <v>16</v>
      </c>
      <c r="B2145" s="6" t="s">
        <v>113</v>
      </c>
      <c r="C2145" s="6" t="s">
        <v>399</v>
      </c>
      <c r="D2145" s="6" t="s">
        <v>114</v>
      </c>
      <c r="E2145" s="11">
        <v>0.60262709856033325</v>
      </c>
      <c r="F2145" s="11">
        <v>0.48031985759735107</v>
      </c>
    </row>
    <row r="2146" spans="1:6" hidden="1" x14ac:dyDescent="0.3">
      <c r="A2146" s="6">
        <v>16</v>
      </c>
      <c r="B2146" s="6" t="s">
        <v>113</v>
      </c>
      <c r="C2146" s="6" t="s">
        <v>400</v>
      </c>
      <c r="D2146" s="6" t="s">
        <v>114</v>
      </c>
      <c r="E2146" s="11">
        <v>0.7408643364906311</v>
      </c>
      <c r="F2146" s="11">
        <v>0.48031985759735107</v>
      </c>
    </row>
    <row r="2147" spans="1:6" hidden="1" x14ac:dyDescent="0.3">
      <c r="A2147" s="6">
        <v>16</v>
      </c>
      <c r="B2147" s="6" t="s">
        <v>113</v>
      </c>
      <c r="C2147" s="6" t="s">
        <v>401</v>
      </c>
      <c r="D2147" s="6" t="s">
        <v>114</v>
      </c>
      <c r="E2147" s="11"/>
      <c r="F2147" s="11">
        <v>0.48031985759735107</v>
      </c>
    </row>
    <row r="2148" spans="1:6" hidden="1" x14ac:dyDescent="0.3">
      <c r="A2148" s="6">
        <v>16</v>
      </c>
      <c r="B2148" s="6" t="s">
        <v>113</v>
      </c>
      <c r="C2148" s="6" t="s">
        <v>402</v>
      </c>
      <c r="D2148" s="6" t="s">
        <v>114</v>
      </c>
      <c r="E2148" s="11">
        <v>0.92925858497619629</v>
      </c>
      <c r="F2148" s="11">
        <v>0.48031985759735107</v>
      </c>
    </row>
    <row r="2149" spans="1:6" hidden="1" x14ac:dyDescent="0.3">
      <c r="A2149" s="6">
        <v>16</v>
      </c>
      <c r="B2149" s="6" t="s">
        <v>113</v>
      </c>
      <c r="C2149" s="6" t="s">
        <v>403</v>
      </c>
      <c r="D2149" s="6" t="s">
        <v>114</v>
      </c>
      <c r="E2149" s="11">
        <v>0.77262663841247559</v>
      </c>
      <c r="F2149" s="11">
        <v>0.48031985759735107</v>
      </c>
    </row>
    <row r="2150" spans="1:6" hidden="1" x14ac:dyDescent="0.3">
      <c r="A2150" s="6">
        <v>16</v>
      </c>
      <c r="B2150" s="6" t="s">
        <v>113</v>
      </c>
      <c r="C2150" s="6" t="s">
        <v>404</v>
      </c>
      <c r="D2150" s="6" t="s">
        <v>114</v>
      </c>
      <c r="E2150" s="11">
        <v>0.43074357509613037</v>
      </c>
      <c r="F2150" s="11">
        <v>0.48031985759735107</v>
      </c>
    </row>
    <row r="2151" spans="1:6" hidden="1" x14ac:dyDescent="0.3">
      <c r="A2151" s="6">
        <v>16</v>
      </c>
      <c r="B2151" s="6" t="s">
        <v>113</v>
      </c>
      <c r="C2151" s="6" t="s">
        <v>405</v>
      </c>
      <c r="D2151" s="6" t="s">
        <v>114</v>
      </c>
      <c r="E2151" s="11">
        <v>0.53650128841400146</v>
      </c>
      <c r="F2151" s="11">
        <v>0.48031985759735107</v>
      </c>
    </row>
    <row r="2152" spans="1:6" hidden="1" x14ac:dyDescent="0.3">
      <c r="A2152" s="6">
        <v>16</v>
      </c>
      <c r="B2152" s="6" t="s">
        <v>113</v>
      </c>
      <c r="C2152" s="6" t="s">
        <v>406</v>
      </c>
      <c r="D2152" s="6" t="s">
        <v>114</v>
      </c>
      <c r="E2152" s="11">
        <v>0.99795472621917725</v>
      </c>
      <c r="F2152" s="11">
        <v>0.48031985759735107</v>
      </c>
    </row>
    <row r="2153" spans="1:6" hidden="1" x14ac:dyDescent="0.3">
      <c r="A2153" s="6">
        <v>16</v>
      </c>
      <c r="B2153" s="6" t="s">
        <v>113</v>
      </c>
      <c r="C2153" s="6" t="s">
        <v>407</v>
      </c>
      <c r="D2153" s="6" t="s">
        <v>114</v>
      </c>
      <c r="E2153" s="11">
        <v>0.4070819616317749</v>
      </c>
      <c r="F2153" s="11">
        <v>0.48031985759735107</v>
      </c>
    </row>
    <row r="2154" spans="1:6" hidden="1" x14ac:dyDescent="0.3">
      <c r="A2154" s="6">
        <v>16</v>
      </c>
      <c r="B2154" s="6" t="s">
        <v>113</v>
      </c>
      <c r="C2154" s="6" t="s">
        <v>408</v>
      </c>
      <c r="D2154" s="6" t="s">
        <v>114</v>
      </c>
      <c r="E2154" s="11">
        <v>0.62723374366760254</v>
      </c>
      <c r="F2154" s="11">
        <v>0.48031985759735107</v>
      </c>
    </row>
    <row r="2155" spans="1:6" hidden="1" x14ac:dyDescent="0.3">
      <c r="A2155" s="6">
        <v>16</v>
      </c>
      <c r="B2155" s="6" t="s">
        <v>113</v>
      </c>
      <c r="C2155" s="6" t="s">
        <v>409</v>
      </c>
      <c r="D2155" s="6" t="s">
        <v>114</v>
      </c>
      <c r="E2155" s="11">
        <v>0.52063214778900146</v>
      </c>
      <c r="F2155" s="11">
        <v>0.48031985759735107</v>
      </c>
    </row>
    <row r="2156" spans="1:6" hidden="1" x14ac:dyDescent="0.3">
      <c r="A2156" s="6">
        <v>16</v>
      </c>
      <c r="B2156" s="6" t="s">
        <v>113</v>
      </c>
      <c r="C2156" s="6" t="s">
        <v>410</v>
      </c>
      <c r="D2156" s="6" t="s">
        <v>114</v>
      </c>
      <c r="E2156" s="11">
        <v>0.84912055730819702</v>
      </c>
      <c r="F2156" s="11">
        <v>0.48031985759735107</v>
      </c>
    </row>
    <row r="2157" spans="1:6" hidden="1" x14ac:dyDescent="0.3">
      <c r="A2157" s="6">
        <v>16</v>
      </c>
      <c r="B2157" s="6" t="s">
        <v>113</v>
      </c>
      <c r="C2157" s="6" t="s">
        <v>411</v>
      </c>
      <c r="D2157" s="6" t="s">
        <v>114</v>
      </c>
      <c r="E2157" s="11">
        <v>0.64872026443481445</v>
      </c>
      <c r="F2157" s="11">
        <v>0.48031985759735107</v>
      </c>
    </row>
    <row r="2158" spans="1:6" hidden="1" x14ac:dyDescent="0.3">
      <c r="A2158" s="6">
        <v>16</v>
      </c>
      <c r="B2158" s="6" t="s">
        <v>113</v>
      </c>
      <c r="C2158" s="6" t="s">
        <v>412</v>
      </c>
      <c r="D2158" s="6" t="s">
        <v>114</v>
      </c>
      <c r="E2158" s="11">
        <v>0.67898881435394287</v>
      </c>
      <c r="F2158" s="11">
        <v>0.48031985759735107</v>
      </c>
    </row>
    <row r="2159" spans="1:6" hidden="1" x14ac:dyDescent="0.3">
      <c r="A2159" s="6">
        <v>16</v>
      </c>
      <c r="B2159" s="6" t="s">
        <v>113</v>
      </c>
      <c r="C2159" s="6" t="s">
        <v>413</v>
      </c>
      <c r="D2159" s="6" t="s">
        <v>114</v>
      </c>
      <c r="E2159" s="11">
        <v>0.68578034639358521</v>
      </c>
      <c r="F2159" s="11">
        <v>0.48031985759735107</v>
      </c>
    </row>
    <row r="2160" spans="1:6" hidden="1" x14ac:dyDescent="0.3">
      <c r="A2160" s="6">
        <v>16</v>
      </c>
      <c r="B2160" s="6" t="s">
        <v>113</v>
      </c>
      <c r="C2160" s="6" t="s">
        <v>414</v>
      </c>
      <c r="D2160" s="6" t="s">
        <v>114</v>
      </c>
      <c r="E2160" s="11">
        <v>0.77491211891174316</v>
      </c>
      <c r="F2160" s="11">
        <v>0.48031985759735107</v>
      </c>
    </row>
    <row r="2161" spans="1:6" hidden="1" x14ac:dyDescent="0.3">
      <c r="A2161" s="6">
        <v>16</v>
      </c>
      <c r="B2161" s="6" t="s">
        <v>113</v>
      </c>
      <c r="C2161" s="6" t="s">
        <v>415</v>
      </c>
      <c r="D2161" s="6" t="s">
        <v>114</v>
      </c>
      <c r="E2161" s="11">
        <v>0.63707870244979858</v>
      </c>
      <c r="F2161" s="11">
        <v>0.48031985759735107</v>
      </c>
    </row>
    <row r="2162" spans="1:6" hidden="1" x14ac:dyDescent="0.3">
      <c r="A2162" s="6">
        <v>16</v>
      </c>
      <c r="B2162" s="6" t="s">
        <v>113</v>
      </c>
      <c r="C2162" s="6" t="s">
        <v>416</v>
      </c>
      <c r="D2162" s="6" t="s">
        <v>114</v>
      </c>
      <c r="E2162" s="11"/>
      <c r="F2162" s="11">
        <v>0.48031985759735107</v>
      </c>
    </row>
    <row r="2163" spans="1:6" hidden="1" x14ac:dyDescent="0.3">
      <c r="A2163" s="6">
        <v>16</v>
      </c>
      <c r="B2163" s="6" t="s">
        <v>113</v>
      </c>
      <c r="C2163" s="6" t="s">
        <v>417</v>
      </c>
      <c r="D2163" s="6" t="s">
        <v>114</v>
      </c>
      <c r="E2163" s="11">
        <v>0.54965472221374512</v>
      </c>
      <c r="F2163" s="11">
        <v>0.48031985759735107</v>
      </c>
    </row>
    <row r="2164" spans="1:6" hidden="1" x14ac:dyDescent="0.3">
      <c r="A2164" s="6">
        <v>16</v>
      </c>
      <c r="B2164" s="6" t="s">
        <v>113</v>
      </c>
      <c r="C2164" s="6" t="s">
        <v>418</v>
      </c>
      <c r="D2164" s="6" t="s">
        <v>114</v>
      </c>
      <c r="E2164" s="11">
        <v>0.40663820505142212</v>
      </c>
      <c r="F2164" s="11">
        <v>0.48031985759735107</v>
      </c>
    </row>
    <row r="2165" spans="1:6" hidden="1" x14ac:dyDescent="0.3">
      <c r="A2165" s="6">
        <v>16</v>
      </c>
      <c r="B2165" s="6" t="s">
        <v>113</v>
      </c>
      <c r="C2165" s="6" t="s">
        <v>419</v>
      </c>
      <c r="D2165" s="6" t="s">
        <v>114</v>
      </c>
      <c r="E2165" s="11">
        <v>4.9948558807373047</v>
      </c>
      <c r="F2165" s="11">
        <v>0.48031985759735107</v>
      </c>
    </row>
    <row r="2166" spans="1:6" hidden="1" x14ac:dyDescent="0.3">
      <c r="A2166" s="6">
        <v>16</v>
      </c>
      <c r="B2166" s="6" t="s">
        <v>113</v>
      </c>
      <c r="C2166" s="6" t="s">
        <v>420</v>
      </c>
      <c r="D2166" s="6" t="s">
        <v>114</v>
      </c>
      <c r="E2166" s="11">
        <v>0.83818888664245605</v>
      </c>
      <c r="F2166" s="11">
        <v>0.48031985759735107</v>
      </c>
    </row>
    <row r="2167" spans="1:6" hidden="1" x14ac:dyDescent="0.3">
      <c r="A2167" s="6">
        <v>16</v>
      </c>
      <c r="B2167" s="6" t="s">
        <v>113</v>
      </c>
      <c r="C2167" s="6" t="s">
        <v>421</v>
      </c>
      <c r="D2167" s="6" t="s">
        <v>114</v>
      </c>
      <c r="E2167" s="11">
        <v>0.75069308280944824</v>
      </c>
      <c r="F2167" s="11">
        <v>0.48031985759735107</v>
      </c>
    </row>
    <row r="2168" spans="1:6" hidden="1" x14ac:dyDescent="0.3">
      <c r="A2168" s="6">
        <v>16</v>
      </c>
      <c r="B2168" s="6" t="s">
        <v>113</v>
      </c>
      <c r="C2168" s="6" t="s">
        <v>422</v>
      </c>
      <c r="D2168" s="6" t="s">
        <v>114</v>
      </c>
      <c r="E2168" s="11">
        <v>1.6999999284744263</v>
      </c>
      <c r="F2168" s="11">
        <v>0.48031985759735107</v>
      </c>
    </row>
    <row r="2169" spans="1:6" hidden="1" x14ac:dyDescent="0.3">
      <c r="A2169" s="6">
        <v>16</v>
      </c>
      <c r="B2169" s="6" t="s">
        <v>113</v>
      </c>
      <c r="C2169" s="6" t="s">
        <v>423</v>
      </c>
      <c r="D2169" s="6" t="s">
        <v>114</v>
      </c>
      <c r="E2169" s="11">
        <v>0.91906905174255371</v>
      </c>
      <c r="F2169" s="11">
        <v>0.48031985759735107</v>
      </c>
    </row>
    <row r="2170" spans="1:6" hidden="1" x14ac:dyDescent="0.3">
      <c r="A2170" s="6">
        <v>16</v>
      </c>
      <c r="B2170" s="6" t="s">
        <v>113</v>
      </c>
      <c r="C2170" s="6" t="s">
        <v>424</v>
      </c>
      <c r="D2170" s="6" t="s">
        <v>114</v>
      </c>
      <c r="E2170" s="11">
        <v>0.76623958349227905</v>
      </c>
      <c r="F2170" s="11">
        <v>0.48031985759735107</v>
      </c>
    </row>
    <row r="2171" spans="1:6" hidden="1" x14ac:dyDescent="0.3">
      <c r="A2171" s="6">
        <v>16</v>
      </c>
      <c r="B2171" s="6" t="s">
        <v>113</v>
      </c>
      <c r="C2171" s="6" t="s">
        <v>425</v>
      </c>
      <c r="D2171" s="6" t="s">
        <v>114</v>
      </c>
      <c r="E2171" s="11">
        <v>0.53597760200500488</v>
      </c>
      <c r="F2171" s="11">
        <v>0.48031985759735107</v>
      </c>
    </row>
    <row r="2172" spans="1:6" hidden="1" x14ac:dyDescent="0.3">
      <c r="A2172" s="6">
        <v>16</v>
      </c>
      <c r="B2172" s="6" t="s">
        <v>113</v>
      </c>
      <c r="C2172" s="6" t="s">
        <v>426</v>
      </c>
      <c r="D2172" s="6" t="s">
        <v>114</v>
      </c>
      <c r="E2172" s="11">
        <v>1.0273505449295044</v>
      </c>
      <c r="F2172" s="11">
        <v>0.48031985759735107</v>
      </c>
    </row>
    <row r="2173" spans="1:6" hidden="1" x14ac:dyDescent="0.3">
      <c r="A2173" s="6">
        <v>16</v>
      </c>
      <c r="B2173" s="6" t="s">
        <v>113</v>
      </c>
      <c r="C2173" s="6" t="s">
        <v>427</v>
      </c>
      <c r="D2173" s="6" t="s">
        <v>114</v>
      </c>
      <c r="E2173" s="11"/>
      <c r="F2173" s="11">
        <v>0.48031985759735107</v>
      </c>
    </row>
    <row r="2174" spans="1:6" hidden="1" x14ac:dyDescent="0.3">
      <c r="A2174" s="6">
        <v>16</v>
      </c>
      <c r="B2174" s="6" t="s">
        <v>113</v>
      </c>
      <c r="C2174" s="6" t="s">
        <v>428</v>
      </c>
      <c r="D2174" s="6" t="s">
        <v>114</v>
      </c>
      <c r="E2174" s="11">
        <v>0.55533593893051147</v>
      </c>
      <c r="F2174" s="11">
        <v>0.48031985759735107</v>
      </c>
    </row>
    <row r="2175" spans="1:6" hidden="1" x14ac:dyDescent="0.3">
      <c r="A2175" s="6">
        <v>16</v>
      </c>
      <c r="B2175" s="6" t="s">
        <v>113</v>
      </c>
      <c r="C2175" s="6" t="s">
        <v>429</v>
      </c>
      <c r="D2175" s="6" t="s">
        <v>114</v>
      </c>
      <c r="E2175" s="11">
        <v>0.69776046276092529</v>
      </c>
      <c r="F2175" s="11">
        <v>0.48031985759735107</v>
      </c>
    </row>
    <row r="2176" spans="1:6" hidden="1" x14ac:dyDescent="0.3">
      <c r="A2176" s="6">
        <v>16</v>
      </c>
      <c r="B2176" s="6" t="s">
        <v>113</v>
      </c>
      <c r="C2176" s="6" t="s">
        <v>430</v>
      </c>
      <c r="D2176" s="6" t="s">
        <v>114</v>
      </c>
      <c r="E2176" s="11"/>
      <c r="F2176" s="11">
        <v>0.48031985759735107</v>
      </c>
    </row>
    <row r="2177" spans="1:6" hidden="1" x14ac:dyDescent="0.3">
      <c r="A2177" s="6">
        <v>16</v>
      </c>
      <c r="B2177" s="6" t="s">
        <v>113</v>
      </c>
      <c r="C2177" s="6" t="s">
        <v>431</v>
      </c>
      <c r="D2177" s="6" t="s">
        <v>114</v>
      </c>
      <c r="E2177" s="11">
        <v>0.64796692132949829</v>
      </c>
      <c r="F2177" s="11">
        <v>0.48031985759735107</v>
      </c>
    </row>
    <row r="2178" spans="1:6" hidden="1" x14ac:dyDescent="0.3">
      <c r="A2178" s="6">
        <v>16</v>
      </c>
      <c r="B2178" s="6" t="s">
        <v>113</v>
      </c>
      <c r="C2178" s="6" t="s">
        <v>432</v>
      </c>
      <c r="D2178" s="6" t="s">
        <v>114</v>
      </c>
      <c r="E2178" s="11">
        <v>0.45863288640975952</v>
      </c>
      <c r="F2178" s="11">
        <v>0.48031985759735107</v>
      </c>
    </row>
    <row r="2179" spans="1:6" hidden="1" x14ac:dyDescent="0.3">
      <c r="A2179" s="6">
        <v>16</v>
      </c>
      <c r="B2179" s="6" t="s">
        <v>113</v>
      </c>
      <c r="C2179" s="6" t="s">
        <v>433</v>
      </c>
      <c r="D2179" s="6" t="s">
        <v>114</v>
      </c>
      <c r="E2179" s="11">
        <v>0.5</v>
      </c>
      <c r="F2179" s="11">
        <v>0.48031985759735107</v>
      </c>
    </row>
    <row r="2180" spans="1:6" hidden="1" x14ac:dyDescent="0.3">
      <c r="A2180" s="6">
        <v>16</v>
      </c>
      <c r="B2180" s="6" t="s">
        <v>113</v>
      </c>
      <c r="C2180" s="6" t="s">
        <v>434</v>
      </c>
      <c r="D2180" s="6" t="s">
        <v>114</v>
      </c>
      <c r="E2180" s="11">
        <v>0.41518279910087585</v>
      </c>
      <c r="F2180" s="11">
        <v>0.48031985759735107</v>
      </c>
    </row>
    <row r="2181" spans="1:6" hidden="1" x14ac:dyDescent="0.3">
      <c r="A2181" s="6">
        <v>16</v>
      </c>
      <c r="B2181" s="6" t="s">
        <v>113</v>
      </c>
      <c r="C2181" s="6" t="s">
        <v>435</v>
      </c>
      <c r="D2181" s="6" t="s">
        <v>114</v>
      </c>
      <c r="E2181" s="11">
        <v>0.65089553594589233</v>
      </c>
      <c r="F2181" s="11">
        <v>0.48031985759735107</v>
      </c>
    </row>
    <row r="2182" spans="1:6" hidden="1" x14ac:dyDescent="0.3">
      <c r="A2182" s="6">
        <v>16</v>
      </c>
      <c r="B2182" s="6" t="s">
        <v>113</v>
      </c>
      <c r="C2182" s="6" t="s">
        <v>436</v>
      </c>
      <c r="D2182" s="6" t="s">
        <v>114</v>
      </c>
      <c r="E2182" s="11">
        <v>0.45803847908973694</v>
      </c>
      <c r="F2182" s="11">
        <v>0.48031985759735107</v>
      </c>
    </row>
    <row r="2183" spans="1:6" hidden="1" x14ac:dyDescent="0.3">
      <c r="A2183" s="6">
        <v>16</v>
      </c>
      <c r="B2183" s="6" t="s">
        <v>113</v>
      </c>
      <c r="C2183" s="6" t="s">
        <v>437</v>
      </c>
      <c r="D2183" s="6" t="s">
        <v>114</v>
      </c>
      <c r="E2183" s="11">
        <v>0.44905790686607361</v>
      </c>
      <c r="F2183" s="11">
        <v>0.48031985759735107</v>
      </c>
    </row>
    <row r="2184" spans="1:6" hidden="1" x14ac:dyDescent="0.3">
      <c r="A2184" s="6">
        <v>16</v>
      </c>
      <c r="B2184" s="6" t="s">
        <v>113</v>
      </c>
      <c r="C2184" s="6" t="s">
        <v>438</v>
      </c>
      <c r="D2184" s="6" t="s">
        <v>114</v>
      </c>
      <c r="E2184" s="11">
        <v>0.63333332538604736</v>
      </c>
      <c r="F2184" s="11">
        <v>0.48031985759735107</v>
      </c>
    </row>
    <row r="2185" spans="1:6" hidden="1" x14ac:dyDescent="0.3">
      <c r="A2185" s="6">
        <v>16</v>
      </c>
      <c r="B2185" s="6" t="s">
        <v>113</v>
      </c>
      <c r="C2185" s="6" t="s">
        <v>439</v>
      </c>
      <c r="D2185" s="6" t="s">
        <v>114</v>
      </c>
      <c r="E2185" s="11">
        <v>0.63026374578475952</v>
      </c>
      <c r="F2185" s="11">
        <v>0.48031985759735107</v>
      </c>
    </row>
    <row r="2186" spans="1:6" hidden="1" x14ac:dyDescent="0.3">
      <c r="A2186" s="6">
        <v>16</v>
      </c>
      <c r="B2186" s="6" t="s">
        <v>113</v>
      </c>
      <c r="C2186" s="6" t="s">
        <v>440</v>
      </c>
      <c r="D2186" s="6" t="s">
        <v>114</v>
      </c>
      <c r="E2186" s="11">
        <v>0.40730971097946167</v>
      </c>
      <c r="F2186" s="11">
        <v>0.48031985759735107</v>
      </c>
    </row>
    <row r="2187" spans="1:6" hidden="1" x14ac:dyDescent="0.3">
      <c r="A2187" s="6">
        <v>16</v>
      </c>
      <c r="B2187" s="6" t="s">
        <v>113</v>
      </c>
      <c r="C2187" s="6" t="s">
        <v>441</v>
      </c>
      <c r="D2187" s="6" t="s">
        <v>114</v>
      </c>
      <c r="E2187" s="11">
        <v>1.3345253467559814</v>
      </c>
      <c r="F2187" s="11">
        <v>0.48031985759735107</v>
      </c>
    </row>
    <row r="2188" spans="1:6" hidden="1" x14ac:dyDescent="0.3">
      <c r="A2188" s="6">
        <v>16</v>
      </c>
      <c r="B2188" s="6" t="s">
        <v>113</v>
      </c>
      <c r="C2188" s="6" t="s">
        <v>442</v>
      </c>
      <c r="D2188" s="6" t="s">
        <v>114</v>
      </c>
      <c r="E2188" s="11">
        <v>0.6200825572013855</v>
      </c>
      <c r="F2188" s="11">
        <v>0.48031985759735107</v>
      </c>
    </row>
    <row r="2189" spans="1:6" hidden="1" x14ac:dyDescent="0.3">
      <c r="A2189" s="6">
        <v>16</v>
      </c>
      <c r="B2189" s="6" t="s">
        <v>113</v>
      </c>
      <c r="C2189" s="6" t="s">
        <v>443</v>
      </c>
      <c r="D2189" s="6" t="s">
        <v>114</v>
      </c>
      <c r="E2189" s="11">
        <v>0.48911643028259277</v>
      </c>
      <c r="F2189" s="11">
        <v>0.48031985759735107</v>
      </c>
    </row>
    <row r="2190" spans="1:6" hidden="1" x14ac:dyDescent="0.3">
      <c r="A2190" s="6">
        <v>16</v>
      </c>
      <c r="B2190" s="6" t="s">
        <v>113</v>
      </c>
      <c r="C2190" s="6" t="s">
        <v>444</v>
      </c>
      <c r="D2190" s="6" t="s">
        <v>114</v>
      </c>
      <c r="E2190" s="11">
        <v>0.73775863647460938</v>
      </c>
      <c r="F2190" s="11">
        <v>0.48031985759735107</v>
      </c>
    </row>
    <row r="2191" spans="1:6" hidden="1" x14ac:dyDescent="0.3">
      <c r="A2191" s="6">
        <v>16</v>
      </c>
      <c r="B2191" s="6" t="s">
        <v>113</v>
      </c>
      <c r="C2191" s="6" t="s">
        <v>445</v>
      </c>
      <c r="D2191" s="6" t="s">
        <v>114</v>
      </c>
      <c r="E2191" s="11">
        <v>0.95974385738372803</v>
      </c>
      <c r="F2191" s="11">
        <v>0.48031985759735107</v>
      </c>
    </row>
    <row r="2192" spans="1:6" hidden="1" x14ac:dyDescent="0.3">
      <c r="A2192" s="6">
        <v>16</v>
      </c>
      <c r="B2192" s="6" t="s">
        <v>113</v>
      </c>
      <c r="C2192" s="6" t="s">
        <v>446</v>
      </c>
      <c r="D2192" s="6" t="s">
        <v>114</v>
      </c>
      <c r="E2192" s="11">
        <v>0.69176208972930908</v>
      </c>
      <c r="F2192" s="11">
        <v>0.48031985759735107</v>
      </c>
    </row>
    <row r="2193" spans="1:6" hidden="1" x14ac:dyDescent="0.3">
      <c r="A2193" s="6">
        <v>16</v>
      </c>
      <c r="B2193" s="6" t="s">
        <v>113</v>
      </c>
      <c r="C2193" s="6" t="s">
        <v>447</v>
      </c>
      <c r="D2193" s="6" t="s">
        <v>114</v>
      </c>
      <c r="E2193" s="11">
        <v>0.92382198572158813</v>
      </c>
      <c r="F2193" s="11">
        <v>0.48031985759735107</v>
      </c>
    </row>
    <row r="2194" spans="1:6" hidden="1" x14ac:dyDescent="0.3">
      <c r="A2194" s="6">
        <v>16</v>
      </c>
      <c r="B2194" s="6" t="s">
        <v>113</v>
      </c>
      <c r="C2194" s="6" t="s">
        <v>448</v>
      </c>
      <c r="D2194" s="6" t="s">
        <v>114</v>
      </c>
      <c r="E2194" s="11">
        <v>0.75999999046325684</v>
      </c>
      <c r="F2194" s="11">
        <v>0.48031985759735107</v>
      </c>
    </row>
    <row r="2195" spans="1:6" hidden="1" x14ac:dyDescent="0.3">
      <c r="A2195" s="6">
        <v>16</v>
      </c>
      <c r="B2195" s="6" t="s">
        <v>113</v>
      </c>
      <c r="C2195" s="6" t="s">
        <v>449</v>
      </c>
      <c r="D2195" s="6" t="s">
        <v>114</v>
      </c>
      <c r="E2195" s="11">
        <v>0.49905452132225037</v>
      </c>
      <c r="F2195" s="11">
        <v>0.48031985759735107</v>
      </c>
    </row>
    <row r="2196" spans="1:6" hidden="1" x14ac:dyDescent="0.3">
      <c r="A2196" s="6">
        <v>16</v>
      </c>
      <c r="B2196" s="6" t="s">
        <v>113</v>
      </c>
      <c r="C2196" s="6" t="s">
        <v>450</v>
      </c>
      <c r="D2196" s="6" t="s">
        <v>114</v>
      </c>
      <c r="E2196" s="11">
        <v>0.64462494850158691</v>
      </c>
      <c r="F2196" s="11">
        <v>0.48031985759735107</v>
      </c>
    </row>
    <row r="2197" spans="1:6" hidden="1" x14ac:dyDescent="0.3">
      <c r="A2197" s="6">
        <v>16</v>
      </c>
      <c r="B2197" s="6" t="s">
        <v>113</v>
      </c>
      <c r="C2197" s="6" t="s">
        <v>451</v>
      </c>
      <c r="D2197" s="6" t="s">
        <v>114</v>
      </c>
      <c r="E2197" s="11">
        <v>0.50772649049758911</v>
      </c>
      <c r="F2197" s="11">
        <v>0.48031985759735107</v>
      </c>
    </row>
    <row r="2198" spans="1:6" hidden="1" x14ac:dyDescent="0.3">
      <c r="A2198" s="6">
        <v>16</v>
      </c>
      <c r="B2198" s="6" t="s">
        <v>113</v>
      </c>
      <c r="C2198" s="6" t="s">
        <v>452</v>
      </c>
      <c r="D2198" s="6" t="s">
        <v>114</v>
      </c>
      <c r="E2198" s="11">
        <v>0.69362181425094604</v>
      </c>
      <c r="F2198" s="11">
        <v>0.48031985759735107</v>
      </c>
    </row>
    <row r="2199" spans="1:6" hidden="1" x14ac:dyDescent="0.3">
      <c r="A2199" s="6">
        <v>16</v>
      </c>
      <c r="B2199" s="6" t="s">
        <v>113</v>
      </c>
      <c r="C2199" s="6" t="s">
        <v>453</v>
      </c>
      <c r="D2199" s="6" t="s">
        <v>114</v>
      </c>
      <c r="E2199" s="11">
        <v>0.4537326991558075</v>
      </c>
      <c r="F2199" s="11">
        <v>0.48031985759735107</v>
      </c>
    </row>
    <row r="2200" spans="1:6" hidden="1" x14ac:dyDescent="0.3">
      <c r="A2200" s="6">
        <v>16</v>
      </c>
      <c r="B2200" s="6" t="s">
        <v>113</v>
      </c>
      <c r="C2200" s="6" t="s">
        <v>454</v>
      </c>
      <c r="D2200" s="6" t="s">
        <v>114</v>
      </c>
      <c r="E2200" s="11">
        <v>0.564583420753479</v>
      </c>
      <c r="F2200" s="11">
        <v>0.48031985759735107</v>
      </c>
    </row>
    <row r="2201" spans="1:6" hidden="1" x14ac:dyDescent="0.3">
      <c r="A2201" s="6">
        <v>16</v>
      </c>
      <c r="B2201" s="6" t="s">
        <v>113</v>
      </c>
      <c r="C2201" s="6" t="s">
        <v>455</v>
      </c>
      <c r="D2201" s="6" t="s">
        <v>114</v>
      </c>
      <c r="E2201" s="11">
        <v>0.64720410108566284</v>
      </c>
      <c r="F2201" s="11">
        <v>0.48031985759735107</v>
      </c>
    </row>
    <row r="2202" spans="1:6" hidden="1" x14ac:dyDescent="0.3">
      <c r="A2202" s="6">
        <v>16</v>
      </c>
      <c r="B2202" s="6" t="s">
        <v>113</v>
      </c>
      <c r="C2202" s="6" t="s">
        <v>456</v>
      </c>
      <c r="D2202" s="6" t="s">
        <v>114</v>
      </c>
      <c r="E2202" s="11">
        <v>1.5726407766342163</v>
      </c>
      <c r="F2202" s="11">
        <v>0.48031985759735107</v>
      </c>
    </row>
    <row r="2203" spans="1:6" hidden="1" x14ac:dyDescent="0.3">
      <c r="A2203" s="6">
        <v>16</v>
      </c>
      <c r="B2203" s="6" t="s">
        <v>113</v>
      </c>
      <c r="C2203" s="6" t="s">
        <v>457</v>
      </c>
      <c r="D2203" s="6" t="s">
        <v>114</v>
      </c>
      <c r="E2203" s="11">
        <v>0.54029709100723267</v>
      </c>
      <c r="F2203" s="11">
        <v>0.48031985759735107</v>
      </c>
    </row>
    <row r="2204" spans="1:6" hidden="1" x14ac:dyDescent="0.3">
      <c r="A2204" s="6">
        <v>16</v>
      </c>
      <c r="B2204" s="6" t="s">
        <v>113</v>
      </c>
      <c r="C2204" s="6" t="s">
        <v>458</v>
      </c>
      <c r="D2204" s="6" t="s">
        <v>114</v>
      </c>
      <c r="E2204" s="11">
        <v>1.1090195178985596</v>
      </c>
      <c r="F2204" s="11">
        <v>0.48031985759735107</v>
      </c>
    </row>
    <row r="2205" spans="1:6" hidden="1" x14ac:dyDescent="0.3">
      <c r="A2205" s="6">
        <v>16</v>
      </c>
      <c r="B2205" s="6" t="s">
        <v>113</v>
      </c>
      <c r="C2205" s="6" t="s">
        <v>459</v>
      </c>
      <c r="D2205" s="6" t="s">
        <v>114</v>
      </c>
      <c r="E2205" s="11">
        <v>1.2693254947662354</v>
      </c>
      <c r="F2205" s="11">
        <v>0.48031985759735107</v>
      </c>
    </row>
    <row r="2206" spans="1:6" hidden="1" x14ac:dyDescent="0.3">
      <c r="A2206" s="6">
        <v>16</v>
      </c>
      <c r="B2206" s="6" t="s">
        <v>113</v>
      </c>
      <c r="C2206" s="6" t="s">
        <v>460</v>
      </c>
      <c r="D2206" s="6" t="s">
        <v>114</v>
      </c>
      <c r="E2206" s="11"/>
      <c r="F2206" s="11">
        <v>0.48031985759735107</v>
      </c>
    </row>
    <row r="2207" spans="1:6" hidden="1" x14ac:dyDescent="0.3">
      <c r="A2207" s="6">
        <v>16</v>
      </c>
      <c r="B2207" s="6" t="s">
        <v>113</v>
      </c>
      <c r="C2207" s="6" t="s">
        <v>461</v>
      </c>
      <c r="D2207" s="6" t="s">
        <v>114</v>
      </c>
      <c r="E2207" s="11">
        <v>0.52450060844421387</v>
      </c>
      <c r="F2207" s="11">
        <v>0.48031985759735107</v>
      </c>
    </row>
    <row r="2208" spans="1:6" hidden="1" x14ac:dyDescent="0.3">
      <c r="A2208" s="6">
        <v>16</v>
      </c>
      <c r="B2208" s="6" t="s">
        <v>113</v>
      </c>
      <c r="C2208" s="6" t="s">
        <v>462</v>
      </c>
      <c r="D2208" s="6" t="s">
        <v>114</v>
      </c>
      <c r="E2208" s="11">
        <v>0.47606706619262695</v>
      </c>
      <c r="F2208" s="11">
        <v>0.48031985759735107</v>
      </c>
    </row>
    <row r="2209" spans="1:6" hidden="1" x14ac:dyDescent="0.3">
      <c r="A2209" s="6">
        <v>16</v>
      </c>
      <c r="B2209" s="6" t="s">
        <v>113</v>
      </c>
      <c r="C2209" s="6" t="s">
        <v>463</v>
      </c>
      <c r="D2209" s="6" t="s">
        <v>114</v>
      </c>
      <c r="E2209" s="11">
        <v>0.45296955108642578</v>
      </c>
      <c r="F2209" s="11">
        <v>0.48031985759735107</v>
      </c>
    </row>
    <row r="2210" spans="1:6" hidden="1" x14ac:dyDescent="0.3">
      <c r="A2210" s="6">
        <v>16</v>
      </c>
      <c r="B2210" s="6" t="s">
        <v>113</v>
      </c>
      <c r="C2210" s="6" t="s">
        <v>464</v>
      </c>
      <c r="D2210" s="6" t="s">
        <v>114</v>
      </c>
      <c r="E2210" s="11">
        <v>0.48808375000953674</v>
      </c>
      <c r="F2210" s="11">
        <v>0.48031985759735107</v>
      </c>
    </row>
    <row r="2211" spans="1:6" hidden="1" x14ac:dyDescent="0.3">
      <c r="A2211" s="6">
        <v>16</v>
      </c>
      <c r="B2211" s="6" t="s">
        <v>113</v>
      </c>
      <c r="C2211" s="6" t="s">
        <v>465</v>
      </c>
      <c r="D2211" s="6" t="s">
        <v>114</v>
      </c>
      <c r="E2211" s="11">
        <v>0.49118092656135559</v>
      </c>
      <c r="F2211" s="11">
        <v>0.48031985759735107</v>
      </c>
    </row>
    <row r="2212" spans="1:6" hidden="1" x14ac:dyDescent="0.3">
      <c r="A2212" s="6">
        <v>16</v>
      </c>
      <c r="B2212" s="6" t="s">
        <v>113</v>
      </c>
      <c r="C2212" s="6" t="s">
        <v>466</v>
      </c>
      <c r="D2212" s="6" t="s">
        <v>114</v>
      </c>
      <c r="E2212" s="11"/>
      <c r="F2212" s="11">
        <v>0.48031985759735107</v>
      </c>
    </row>
    <row r="2213" spans="1:6" hidden="1" x14ac:dyDescent="0.3">
      <c r="A2213" s="6">
        <v>16</v>
      </c>
      <c r="B2213" s="6" t="s">
        <v>113</v>
      </c>
      <c r="C2213" s="6" t="s">
        <v>467</v>
      </c>
      <c r="D2213" s="6" t="s">
        <v>114</v>
      </c>
      <c r="E2213" s="11">
        <v>0.55789196491241455</v>
      </c>
      <c r="F2213" s="11">
        <v>0.48031985759735107</v>
      </c>
    </row>
    <row r="2214" spans="1:6" hidden="1" x14ac:dyDescent="0.3">
      <c r="A2214" s="6">
        <v>16</v>
      </c>
      <c r="B2214" s="6" t="s">
        <v>113</v>
      </c>
      <c r="C2214" s="6" t="s">
        <v>468</v>
      </c>
      <c r="D2214" s="6" t="s">
        <v>114</v>
      </c>
      <c r="E2214" s="11">
        <v>0.57502001523971558</v>
      </c>
      <c r="F2214" s="11">
        <v>0.48031985759735107</v>
      </c>
    </row>
    <row r="2215" spans="1:6" hidden="1" x14ac:dyDescent="0.3">
      <c r="A2215" s="6">
        <v>16</v>
      </c>
      <c r="B2215" s="6" t="s">
        <v>113</v>
      </c>
      <c r="C2215" s="6" t="s">
        <v>469</v>
      </c>
      <c r="D2215" s="6" t="s">
        <v>114</v>
      </c>
      <c r="E2215" s="11">
        <v>0.77212947607040405</v>
      </c>
      <c r="F2215" s="11">
        <v>0.48031985759735107</v>
      </c>
    </row>
    <row r="2216" spans="1:6" hidden="1" x14ac:dyDescent="0.3">
      <c r="A2216" s="6">
        <v>16</v>
      </c>
      <c r="B2216" s="6" t="s">
        <v>113</v>
      </c>
      <c r="C2216" s="6" t="s">
        <v>470</v>
      </c>
      <c r="D2216" s="6" t="s">
        <v>114</v>
      </c>
      <c r="E2216" s="11">
        <v>0.51289129257202148</v>
      </c>
      <c r="F2216" s="11">
        <v>0.48031985759735107</v>
      </c>
    </row>
    <row r="2217" spans="1:6" hidden="1" x14ac:dyDescent="0.3">
      <c r="A2217" s="6">
        <v>16</v>
      </c>
      <c r="B2217" s="6" t="s">
        <v>113</v>
      </c>
      <c r="C2217" s="6" t="s">
        <v>471</v>
      </c>
      <c r="D2217" s="6" t="s">
        <v>114</v>
      </c>
      <c r="E2217" s="11">
        <v>0.44281616806983948</v>
      </c>
      <c r="F2217" s="11">
        <v>0.48031985759735107</v>
      </c>
    </row>
    <row r="2218" spans="1:6" hidden="1" x14ac:dyDescent="0.3">
      <c r="A2218" s="6">
        <v>16</v>
      </c>
      <c r="B2218" s="6" t="s">
        <v>113</v>
      </c>
      <c r="C2218" s="6" t="s">
        <v>472</v>
      </c>
      <c r="D2218" s="6" t="s">
        <v>114</v>
      </c>
      <c r="E2218" s="11">
        <v>0.55767643451690674</v>
      </c>
      <c r="F2218" s="11">
        <v>0.48031985759735107</v>
      </c>
    </row>
    <row r="2219" spans="1:6" hidden="1" x14ac:dyDescent="0.3">
      <c r="A2219" s="6">
        <v>16</v>
      </c>
      <c r="B2219" s="6" t="s">
        <v>113</v>
      </c>
      <c r="C2219" s="6" t="s">
        <v>473</v>
      </c>
      <c r="D2219" s="6" t="s">
        <v>114</v>
      </c>
      <c r="E2219" s="11">
        <v>0.60794705152511597</v>
      </c>
      <c r="F2219" s="11">
        <v>0.48031985759735107</v>
      </c>
    </row>
    <row r="2220" spans="1:6" hidden="1" x14ac:dyDescent="0.3">
      <c r="A2220" s="6">
        <v>16</v>
      </c>
      <c r="B2220" s="6" t="s">
        <v>113</v>
      </c>
      <c r="C2220" s="6" t="s">
        <v>474</v>
      </c>
      <c r="D2220" s="6" t="s">
        <v>114</v>
      </c>
      <c r="E2220" s="11">
        <v>0.42468136548995972</v>
      </c>
      <c r="F2220" s="11">
        <v>0.48031985759735107</v>
      </c>
    </row>
    <row r="2221" spans="1:6" hidden="1" x14ac:dyDescent="0.3">
      <c r="A2221" s="6">
        <v>16</v>
      </c>
      <c r="B2221" s="6" t="s">
        <v>113</v>
      </c>
      <c r="C2221" s="6" t="s">
        <v>475</v>
      </c>
      <c r="D2221" s="6" t="s">
        <v>114</v>
      </c>
      <c r="E2221" s="11">
        <v>0.49941512942314148</v>
      </c>
      <c r="F2221" s="11">
        <v>0.48031985759735107</v>
      </c>
    </row>
    <row r="2222" spans="1:6" hidden="1" x14ac:dyDescent="0.3">
      <c r="A2222" s="6">
        <v>16</v>
      </c>
      <c r="B2222" s="6" t="s">
        <v>113</v>
      </c>
      <c r="C2222" s="6" t="s">
        <v>476</v>
      </c>
      <c r="D2222" s="6" t="s">
        <v>114</v>
      </c>
      <c r="E2222" s="11">
        <v>0.54802620410919189</v>
      </c>
      <c r="F2222" s="11">
        <v>0.48031985759735107</v>
      </c>
    </row>
    <row r="2223" spans="1:6" hidden="1" x14ac:dyDescent="0.3">
      <c r="A2223" s="6">
        <v>16</v>
      </c>
      <c r="B2223" s="6" t="s">
        <v>113</v>
      </c>
      <c r="C2223" s="6" t="s">
        <v>477</v>
      </c>
      <c r="D2223" s="6" t="s">
        <v>114</v>
      </c>
      <c r="E2223" s="11">
        <v>0.52302920818328857</v>
      </c>
      <c r="F2223" s="11">
        <v>0.48031985759735107</v>
      </c>
    </row>
    <row r="2224" spans="1:6" hidden="1" x14ac:dyDescent="0.3">
      <c r="A2224" s="6">
        <v>16</v>
      </c>
      <c r="B2224" s="6" t="s">
        <v>113</v>
      </c>
      <c r="C2224" s="6" t="s">
        <v>478</v>
      </c>
      <c r="D2224" s="6" t="s">
        <v>114</v>
      </c>
      <c r="E2224" s="11">
        <v>0.75588607788085938</v>
      </c>
      <c r="F2224" s="11">
        <v>0.48031985759735107</v>
      </c>
    </row>
    <row r="2225" spans="1:6" hidden="1" x14ac:dyDescent="0.3">
      <c r="A2225" s="6">
        <v>16</v>
      </c>
      <c r="B2225" s="6" t="s">
        <v>113</v>
      </c>
      <c r="C2225" s="6" t="s">
        <v>479</v>
      </c>
      <c r="D2225" s="6" t="s">
        <v>114</v>
      </c>
      <c r="E2225" s="11">
        <v>0.5825650691986084</v>
      </c>
      <c r="F2225" s="11">
        <v>0.48031985759735107</v>
      </c>
    </row>
    <row r="2226" spans="1:6" hidden="1" x14ac:dyDescent="0.3">
      <c r="A2226" s="6">
        <v>16</v>
      </c>
      <c r="B2226" s="6" t="s">
        <v>113</v>
      </c>
      <c r="C2226" s="6" t="s">
        <v>480</v>
      </c>
      <c r="D2226" s="6" t="s">
        <v>114</v>
      </c>
      <c r="E2226" s="11">
        <v>0.97106510400772095</v>
      </c>
      <c r="F2226" s="11">
        <v>0.48031985759735107</v>
      </c>
    </row>
    <row r="2227" spans="1:6" hidden="1" x14ac:dyDescent="0.3">
      <c r="A2227" s="6">
        <v>16</v>
      </c>
      <c r="B2227" s="6" t="s">
        <v>113</v>
      </c>
      <c r="C2227" s="6" t="s">
        <v>481</v>
      </c>
      <c r="D2227" s="6" t="s">
        <v>114</v>
      </c>
      <c r="E2227" s="11">
        <v>0.84909451007843018</v>
      </c>
      <c r="F2227" s="11">
        <v>0.48031985759735107</v>
      </c>
    </row>
    <row r="2228" spans="1:6" hidden="1" x14ac:dyDescent="0.3">
      <c r="A2228" s="6">
        <v>16</v>
      </c>
      <c r="B2228" s="6" t="s">
        <v>113</v>
      </c>
      <c r="C2228" s="6" t="s">
        <v>482</v>
      </c>
      <c r="D2228" s="6" t="s">
        <v>114</v>
      </c>
      <c r="E2228" s="11">
        <v>0.5123671293258667</v>
      </c>
      <c r="F2228" s="11">
        <v>0.48031985759735107</v>
      </c>
    </row>
    <row r="2229" spans="1:6" hidden="1" x14ac:dyDescent="0.3">
      <c r="A2229" s="6">
        <v>16</v>
      </c>
      <c r="B2229" s="6" t="s">
        <v>113</v>
      </c>
      <c r="C2229" s="6" t="s">
        <v>483</v>
      </c>
      <c r="D2229" s="6" t="s">
        <v>114</v>
      </c>
      <c r="E2229" s="11">
        <v>0.44784581661224365</v>
      </c>
      <c r="F2229" s="11">
        <v>0.48031985759735107</v>
      </c>
    </row>
    <row r="2230" spans="1:6" hidden="1" x14ac:dyDescent="0.3">
      <c r="A2230" s="6">
        <v>16</v>
      </c>
      <c r="B2230" s="6" t="s">
        <v>113</v>
      </c>
      <c r="C2230" s="6" t="s">
        <v>484</v>
      </c>
      <c r="D2230" s="6" t="s">
        <v>114</v>
      </c>
      <c r="E2230" s="11">
        <v>0.64999657869338989</v>
      </c>
      <c r="F2230" s="11">
        <v>0.48031985759735107</v>
      </c>
    </row>
    <row r="2231" spans="1:6" hidden="1" x14ac:dyDescent="0.3">
      <c r="A2231" s="6">
        <v>16</v>
      </c>
      <c r="B2231" s="6" t="s">
        <v>113</v>
      </c>
      <c r="C2231" s="6" t="s">
        <v>485</v>
      </c>
      <c r="D2231" s="6" t="s">
        <v>114</v>
      </c>
      <c r="E2231" s="11">
        <v>0.41710209846496582</v>
      </c>
      <c r="F2231" s="11">
        <v>0.48031985759735107</v>
      </c>
    </row>
    <row r="2232" spans="1:6" hidden="1" x14ac:dyDescent="0.3">
      <c r="A2232" s="6">
        <v>16</v>
      </c>
      <c r="B2232" s="6" t="s">
        <v>113</v>
      </c>
      <c r="C2232" s="6" t="s">
        <v>486</v>
      </c>
      <c r="D2232" s="6" t="s">
        <v>114</v>
      </c>
      <c r="E2232" s="11">
        <v>0.48796039819717407</v>
      </c>
      <c r="F2232" s="11">
        <v>0.48031985759735107</v>
      </c>
    </row>
    <row r="2233" spans="1:6" hidden="1" x14ac:dyDescent="0.3">
      <c r="A2233" s="6">
        <v>16</v>
      </c>
      <c r="B2233" s="6" t="s">
        <v>113</v>
      </c>
      <c r="C2233" s="6" t="s">
        <v>487</v>
      </c>
      <c r="D2233" s="6" t="s">
        <v>114</v>
      </c>
      <c r="E2233" s="11">
        <v>2.9855098724365234</v>
      </c>
      <c r="F2233" s="11">
        <v>0.48031985759735107</v>
      </c>
    </row>
    <row r="2234" spans="1:6" hidden="1" x14ac:dyDescent="0.3">
      <c r="A2234" s="6">
        <v>16</v>
      </c>
      <c r="B2234" s="6" t="s">
        <v>113</v>
      </c>
      <c r="C2234" s="6" t="s">
        <v>488</v>
      </c>
      <c r="D2234" s="6" t="s">
        <v>114</v>
      </c>
      <c r="E2234" s="11">
        <v>0.48347702622413635</v>
      </c>
      <c r="F2234" s="11">
        <v>0.48031985759735107</v>
      </c>
    </row>
    <row r="2235" spans="1:6" hidden="1" x14ac:dyDescent="0.3">
      <c r="A2235" s="6">
        <v>16</v>
      </c>
      <c r="B2235" s="6" t="s">
        <v>113</v>
      </c>
      <c r="C2235" s="6" t="s">
        <v>489</v>
      </c>
      <c r="D2235" s="6" t="s">
        <v>114</v>
      </c>
      <c r="E2235" s="11">
        <v>0.88913369178771973</v>
      </c>
      <c r="F2235" s="11">
        <v>0.48031985759735107</v>
      </c>
    </row>
    <row r="2236" spans="1:6" hidden="1" x14ac:dyDescent="0.3">
      <c r="A2236" s="6">
        <v>16</v>
      </c>
      <c r="B2236" s="6" t="s">
        <v>113</v>
      </c>
      <c r="C2236" s="6" t="s">
        <v>490</v>
      </c>
      <c r="D2236" s="6" t="s">
        <v>114</v>
      </c>
      <c r="E2236" s="11">
        <v>0.46461504697799683</v>
      </c>
      <c r="F2236" s="11">
        <v>0.48031985759735107</v>
      </c>
    </row>
    <row r="2237" spans="1:6" hidden="1" x14ac:dyDescent="0.3">
      <c r="A2237" s="6">
        <v>16</v>
      </c>
      <c r="B2237" s="6" t="s">
        <v>113</v>
      </c>
      <c r="C2237" s="6" t="s">
        <v>491</v>
      </c>
      <c r="D2237" s="6" t="s">
        <v>114</v>
      </c>
      <c r="E2237" s="11">
        <v>0.58882910013198853</v>
      </c>
      <c r="F2237" s="11">
        <v>0.48031985759735107</v>
      </c>
    </row>
    <row r="2238" spans="1:6" hidden="1" x14ac:dyDescent="0.3">
      <c r="A2238" s="6">
        <v>16</v>
      </c>
      <c r="B2238" s="6" t="s">
        <v>113</v>
      </c>
      <c r="C2238" s="6" t="s">
        <v>492</v>
      </c>
      <c r="D2238" s="6" t="s">
        <v>114</v>
      </c>
      <c r="E2238" s="11">
        <v>0.43931111693382263</v>
      </c>
      <c r="F2238" s="11">
        <v>0.48031985759735107</v>
      </c>
    </row>
    <row r="2239" spans="1:6" hidden="1" x14ac:dyDescent="0.3">
      <c r="A2239" s="6">
        <v>16</v>
      </c>
      <c r="B2239" s="6" t="s">
        <v>113</v>
      </c>
      <c r="C2239" s="6" t="s">
        <v>493</v>
      </c>
      <c r="D2239" s="6" t="s">
        <v>114</v>
      </c>
      <c r="E2239" s="11">
        <v>0.59043711423873901</v>
      </c>
      <c r="F2239" s="11">
        <v>0.48031985759735107</v>
      </c>
    </row>
    <row r="2240" spans="1:6" hidden="1" x14ac:dyDescent="0.3">
      <c r="A2240" s="6">
        <v>16</v>
      </c>
      <c r="B2240" s="6" t="s">
        <v>113</v>
      </c>
      <c r="C2240" s="6" t="s">
        <v>494</v>
      </c>
      <c r="D2240" s="6" t="s">
        <v>114</v>
      </c>
      <c r="E2240" s="11">
        <v>3.2038459777832031</v>
      </c>
      <c r="F2240" s="11">
        <v>0.48031985759735107</v>
      </c>
    </row>
    <row r="2241" spans="1:6" hidden="1" x14ac:dyDescent="0.3">
      <c r="A2241" s="6">
        <v>16</v>
      </c>
      <c r="B2241" s="6" t="s">
        <v>113</v>
      </c>
      <c r="C2241" s="6" t="s">
        <v>495</v>
      </c>
      <c r="D2241" s="6" t="s">
        <v>114</v>
      </c>
      <c r="E2241" s="11">
        <v>0.5986783504486084</v>
      </c>
      <c r="F2241" s="11">
        <v>0.48031985759735107</v>
      </c>
    </row>
    <row r="2242" spans="1:6" hidden="1" x14ac:dyDescent="0.3">
      <c r="A2242" s="6">
        <v>17</v>
      </c>
      <c r="B2242" s="6" t="s">
        <v>115</v>
      </c>
      <c r="C2242" s="6" t="s">
        <v>356</v>
      </c>
      <c r="D2242" s="6" t="s">
        <v>116</v>
      </c>
      <c r="E2242" s="11">
        <v>0.82608151435852051</v>
      </c>
      <c r="F2242" s="11">
        <v>0.51441407203674316</v>
      </c>
    </row>
    <row r="2243" spans="1:6" hidden="1" x14ac:dyDescent="0.3">
      <c r="A2243" s="6">
        <v>17</v>
      </c>
      <c r="B2243" s="6" t="s">
        <v>115</v>
      </c>
      <c r="C2243" s="6" t="s">
        <v>357</v>
      </c>
      <c r="D2243" s="6" t="s">
        <v>116</v>
      </c>
      <c r="E2243" s="11">
        <v>0.515239417552948</v>
      </c>
      <c r="F2243" s="11">
        <v>0.51441407203674316</v>
      </c>
    </row>
    <row r="2244" spans="1:6" hidden="1" x14ac:dyDescent="0.3">
      <c r="A2244" s="6">
        <v>17</v>
      </c>
      <c r="B2244" s="6" t="s">
        <v>115</v>
      </c>
      <c r="C2244" s="6" t="s">
        <v>358</v>
      </c>
      <c r="D2244" s="6" t="s">
        <v>116</v>
      </c>
      <c r="E2244" s="11">
        <v>0.65699046850204468</v>
      </c>
      <c r="F2244" s="11">
        <v>0.51441407203674316</v>
      </c>
    </row>
    <row r="2245" spans="1:6" hidden="1" x14ac:dyDescent="0.3">
      <c r="A2245" s="6">
        <v>17</v>
      </c>
      <c r="B2245" s="6" t="s">
        <v>115</v>
      </c>
      <c r="C2245" s="6" t="s">
        <v>359</v>
      </c>
      <c r="D2245" s="6" t="s">
        <v>116</v>
      </c>
      <c r="E2245" s="11"/>
      <c r="F2245" s="11">
        <v>0.51441407203674316</v>
      </c>
    </row>
    <row r="2246" spans="1:6" hidden="1" x14ac:dyDescent="0.3">
      <c r="A2246" s="6">
        <v>17</v>
      </c>
      <c r="B2246" s="6" t="s">
        <v>115</v>
      </c>
      <c r="C2246" s="6" t="s">
        <v>360</v>
      </c>
      <c r="D2246" s="6" t="s">
        <v>116</v>
      </c>
      <c r="E2246" s="11">
        <v>0.48612368106842041</v>
      </c>
      <c r="F2246" s="11">
        <v>0.51441407203674316</v>
      </c>
    </row>
    <row r="2247" spans="1:6" hidden="1" x14ac:dyDescent="0.3">
      <c r="A2247" s="6">
        <v>17</v>
      </c>
      <c r="B2247" s="6" t="s">
        <v>115</v>
      </c>
      <c r="C2247" s="6" t="s">
        <v>361</v>
      </c>
      <c r="D2247" s="6" t="s">
        <v>116</v>
      </c>
      <c r="E2247" s="11">
        <v>0.64845478534698486</v>
      </c>
      <c r="F2247" s="11">
        <v>0.51441407203674316</v>
      </c>
    </row>
    <row r="2248" spans="1:6" hidden="1" x14ac:dyDescent="0.3">
      <c r="A2248" s="6">
        <v>17</v>
      </c>
      <c r="B2248" s="6" t="s">
        <v>115</v>
      </c>
      <c r="C2248" s="6" t="s">
        <v>362</v>
      </c>
      <c r="D2248" s="6" t="s">
        <v>116</v>
      </c>
      <c r="E2248" s="11">
        <v>0.42791888117790222</v>
      </c>
      <c r="F2248" s="11">
        <v>0.51441407203674316</v>
      </c>
    </row>
    <row r="2249" spans="1:6" hidden="1" x14ac:dyDescent="0.3">
      <c r="A2249" s="6">
        <v>17</v>
      </c>
      <c r="B2249" s="6" t="s">
        <v>115</v>
      </c>
      <c r="C2249" s="6" t="s">
        <v>363</v>
      </c>
      <c r="D2249" s="6" t="s">
        <v>116</v>
      </c>
      <c r="E2249" s="11">
        <v>1.2249503135681152</v>
      </c>
      <c r="F2249" s="11">
        <v>0.51441407203674316</v>
      </c>
    </row>
    <row r="2250" spans="1:6" hidden="1" x14ac:dyDescent="0.3">
      <c r="A2250" s="6">
        <v>17</v>
      </c>
      <c r="B2250" s="6" t="s">
        <v>115</v>
      </c>
      <c r="C2250" s="6" t="s">
        <v>364</v>
      </c>
      <c r="D2250" s="6" t="s">
        <v>116</v>
      </c>
      <c r="E2250" s="11"/>
      <c r="F2250" s="11">
        <v>0.51441407203674316</v>
      </c>
    </row>
    <row r="2251" spans="1:6" hidden="1" x14ac:dyDescent="0.3">
      <c r="A2251" s="6">
        <v>17</v>
      </c>
      <c r="B2251" s="6" t="s">
        <v>115</v>
      </c>
      <c r="C2251" s="6" t="s">
        <v>365</v>
      </c>
      <c r="D2251" s="6" t="s">
        <v>116</v>
      </c>
      <c r="E2251" s="11">
        <v>0.46147215366363525</v>
      </c>
      <c r="F2251" s="11">
        <v>0.51441407203674316</v>
      </c>
    </row>
    <row r="2252" spans="1:6" hidden="1" x14ac:dyDescent="0.3">
      <c r="A2252" s="6">
        <v>17</v>
      </c>
      <c r="B2252" s="6" t="s">
        <v>115</v>
      </c>
      <c r="C2252" s="6" t="s">
        <v>366</v>
      </c>
      <c r="D2252" s="6" t="s">
        <v>116</v>
      </c>
      <c r="E2252" s="11">
        <v>0.59670627117156982</v>
      </c>
      <c r="F2252" s="11">
        <v>0.51441407203674316</v>
      </c>
    </row>
    <row r="2253" spans="1:6" hidden="1" x14ac:dyDescent="0.3">
      <c r="A2253" s="6">
        <v>17</v>
      </c>
      <c r="B2253" s="6" t="s">
        <v>115</v>
      </c>
      <c r="C2253" s="6" t="s">
        <v>367</v>
      </c>
      <c r="D2253" s="6" t="s">
        <v>116</v>
      </c>
      <c r="E2253" s="11">
        <v>0.51797020435333252</v>
      </c>
      <c r="F2253" s="11">
        <v>0.51441407203674316</v>
      </c>
    </row>
    <row r="2254" spans="1:6" hidden="1" x14ac:dyDescent="0.3">
      <c r="A2254" s="6">
        <v>17</v>
      </c>
      <c r="B2254" s="6" t="s">
        <v>115</v>
      </c>
      <c r="C2254" s="6" t="s">
        <v>368</v>
      </c>
      <c r="D2254" s="6" t="s">
        <v>116</v>
      </c>
      <c r="E2254" s="11">
        <v>0.42918571829795837</v>
      </c>
      <c r="F2254" s="11">
        <v>0.51441407203674316</v>
      </c>
    </row>
    <row r="2255" spans="1:6" hidden="1" x14ac:dyDescent="0.3">
      <c r="A2255" s="6">
        <v>17</v>
      </c>
      <c r="B2255" s="6" t="s">
        <v>115</v>
      </c>
      <c r="C2255" s="6" t="s">
        <v>369</v>
      </c>
      <c r="D2255" s="6" t="s">
        <v>116</v>
      </c>
      <c r="E2255" s="11">
        <v>1.2154041528701782</v>
      </c>
      <c r="F2255" s="11">
        <v>0.51441407203674316</v>
      </c>
    </row>
    <row r="2256" spans="1:6" hidden="1" x14ac:dyDescent="0.3">
      <c r="A2256" s="6">
        <v>17</v>
      </c>
      <c r="B2256" s="6" t="s">
        <v>115</v>
      </c>
      <c r="C2256" s="6" t="s">
        <v>370</v>
      </c>
      <c r="D2256" s="6" t="s">
        <v>116</v>
      </c>
      <c r="E2256" s="11">
        <v>0.64154267311096191</v>
      </c>
      <c r="F2256" s="11">
        <v>0.51441407203674316</v>
      </c>
    </row>
    <row r="2257" spans="1:6" hidden="1" x14ac:dyDescent="0.3">
      <c r="A2257" s="6">
        <v>17</v>
      </c>
      <c r="B2257" s="6" t="s">
        <v>115</v>
      </c>
      <c r="C2257" s="6" t="s">
        <v>371</v>
      </c>
      <c r="D2257" s="6" t="s">
        <v>116</v>
      </c>
      <c r="E2257" s="11">
        <v>0.63044935464859009</v>
      </c>
      <c r="F2257" s="11">
        <v>0.51441407203674316</v>
      </c>
    </row>
    <row r="2258" spans="1:6" hidden="1" x14ac:dyDescent="0.3">
      <c r="A2258" s="6">
        <v>17</v>
      </c>
      <c r="B2258" s="6" t="s">
        <v>115</v>
      </c>
      <c r="C2258" s="6" t="s">
        <v>372</v>
      </c>
      <c r="D2258" s="6" t="s">
        <v>116</v>
      </c>
      <c r="E2258" s="11">
        <v>0.43403270840644836</v>
      </c>
      <c r="F2258" s="11">
        <v>0.51441407203674316</v>
      </c>
    </row>
    <row r="2259" spans="1:6" hidden="1" x14ac:dyDescent="0.3">
      <c r="A2259" s="6">
        <v>17</v>
      </c>
      <c r="B2259" s="6" t="s">
        <v>115</v>
      </c>
      <c r="C2259" s="6" t="s">
        <v>373</v>
      </c>
      <c r="D2259" s="6" t="s">
        <v>116</v>
      </c>
      <c r="E2259" s="11">
        <v>0.48703703284263611</v>
      </c>
      <c r="F2259" s="11">
        <v>0.51441407203674316</v>
      </c>
    </row>
    <row r="2260" spans="1:6" hidden="1" x14ac:dyDescent="0.3">
      <c r="A2260" s="6">
        <v>17</v>
      </c>
      <c r="B2260" s="6" t="s">
        <v>115</v>
      </c>
      <c r="C2260" s="6" t="s">
        <v>374</v>
      </c>
      <c r="D2260" s="6" t="s">
        <v>116</v>
      </c>
      <c r="E2260" s="11">
        <v>0.52492207288742065</v>
      </c>
      <c r="F2260" s="11">
        <v>0.51441407203674316</v>
      </c>
    </row>
    <row r="2261" spans="1:6" hidden="1" x14ac:dyDescent="0.3">
      <c r="A2261" s="6">
        <v>17</v>
      </c>
      <c r="B2261" s="6" t="s">
        <v>115</v>
      </c>
      <c r="C2261" s="6" t="s">
        <v>375</v>
      </c>
      <c r="D2261" s="6" t="s">
        <v>116</v>
      </c>
      <c r="E2261" s="11">
        <v>0.65951776504516602</v>
      </c>
      <c r="F2261" s="11">
        <v>0.51441407203674316</v>
      </c>
    </row>
    <row r="2262" spans="1:6" hidden="1" x14ac:dyDescent="0.3">
      <c r="A2262" s="6">
        <v>17</v>
      </c>
      <c r="B2262" s="6" t="s">
        <v>115</v>
      </c>
      <c r="C2262" s="6" t="s">
        <v>376</v>
      </c>
      <c r="D2262" s="6" t="s">
        <v>116</v>
      </c>
      <c r="E2262" s="11">
        <v>0.4984152615070343</v>
      </c>
      <c r="F2262" s="11">
        <v>0.51441407203674316</v>
      </c>
    </row>
    <row r="2263" spans="1:6" hidden="1" x14ac:dyDescent="0.3">
      <c r="A2263" s="6">
        <v>17</v>
      </c>
      <c r="B2263" s="6" t="s">
        <v>115</v>
      </c>
      <c r="C2263" s="6" t="s">
        <v>377</v>
      </c>
      <c r="D2263" s="6" t="s">
        <v>116</v>
      </c>
      <c r="E2263" s="11">
        <v>1.8148870468139648</v>
      </c>
      <c r="F2263" s="11">
        <v>0.51441407203674316</v>
      </c>
    </row>
    <row r="2264" spans="1:6" hidden="1" x14ac:dyDescent="0.3">
      <c r="A2264" s="6">
        <v>17</v>
      </c>
      <c r="B2264" s="6" t="s">
        <v>115</v>
      </c>
      <c r="C2264" s="6" t="s">
        <v>378</v>
      </c>
      <c r="D2264" s="6" t="s">
        <v>116</v>
      </c>
      <c r="E2264" s="11">
        <v>0.59923732280731201</v>
      </c>
      <c r="F2264" s="11">
        <v>0.51441407203674316</v>
      </c>
    </row>
    <row r="2265" spans="1:6" hidden="1" x14ac:dyDescent="0.3">
      <c r="A2265" s="6">
        <v>17</v>
      </c>
      <c r="B2265" s="6" t="s">
        <v>115</v>
      </c>
      <c r="C2265" s="6" t="s">
        <v>379</v>
      </c>
      <c r="D2265" s="6" t="s">
        <v>116</v>
      </c>
      <c r="E2265" s="11">
        <v>6.6657848358154297</v>
      </c>
      <c r="F2265" s="11">
        <v>0.51441407203674316</v>
      </c>
    </row>
    <row r="2266" spans="1:6" hidden="1" x14ac:dyDescent="0.3">
      <c r="A2266" s="6">
        <v>17</v>
      </c>
      <c r="B2266" s="6" t="s">
        <v>115</v>
      </c>
      <c r="C2266" s="6" t="s">
        <v>380</v>
      </c>
      <c r="D2266" s="6" t="s">
        <v>116</v>
      </c>
      <c r="E2266" s="11">
        <v>0.42723542451858521</v>
      </c>
      <c r="F2266" s="11">
        <v>0.51441407203674316</v>
      </c>
    </row>
    <row r="2267" spans="1:6" hidden="1" x14ac:dyDescent="0.3">
      <c r="A2267" s="6">
        <v>17</v>
      </c>
      <c r="B2267" s="6" t="s">
        <v>115</v>
      </c>
      <c r="C2267" s="6" t="s">
        <v>381</v>
      </c>
      <c r="D2267" s="6" t="s">
        <v>116</v>
      </c>
      <c r="E2267" s="11">
        <v>0.5476190447807312</v>
      </c>
      <c r="F2267" s="11">
        <v>0.51441407203674316</v>
      </c>
    </row>
    <row r="2268" spans="1:6" hidden="1" x14ac:dyDescent="0.3">
      <c r="A2268" s="6">
        <v>17</v>
      </c>
      <c r="B2268" s="6" t="s">
        <v>115</v>
      </c>
      <c r="C2268" s="6" t="s">
        <v>382</v>
      </c>
      <c r="D2268" s="6" t="s">
        <v>116</v>
      </c>
      <c r="E2268" s="11">
        <v>0.45894968509674072</v>
      </c>
      <c r="F2268" s="11">
        <v>0.51441407203674316</v>
      </c>
    </row>
    <row r="2269" spans="1:6" hidden="1" x14ac:dyDescent="0.3">
      <c r="A2269" s="6">
        <v>17</v>
      </c>
      <c r="B2269" s="6" t="s">
        <v>115</v>
      </c>
      <c r="C2269" s="6" t="s">
        <v>383</v>
      </c>
      <c r="D2269" s="6" t="s">
        <v>116</v>
      </c>
      <c r="E2269" s="11">
        <v>4.4000000953674316</v>
      </c>
      <c r="F2269" s="11">
        <v>0.51441407203674316</v>
      </c>
    </row>
    <row r="2270" spans="1:6" hidden="1" x14ac:dyDescent="0.3">
      <c r="A2270" s="6">
        <v>17</v>
      </c>
      <c r="B2270" s="6" t="s">
        <v>115</v>
      </c>
      <c r="C2270" s="6" t="s">
        <v>384</v>
      </c>
      <c r="D2270" s="6" t="s">
        <v>116</v>
      </c>
      <c r="E2270" s="11">
        <v>0.57644379138946533</v>
      </c>
      <c r="F2270" s="11">
        <v>0.51441407203674316</v>
      </c>
    </row>
    <row r="2271" spans="1:6" hidden="1" x14ac:dyDescent="0.3">
      <c r="A2271" s="6">
        <v>17</v>
      </c>
      <c r="B2271" s="6" t="s">
        <v>115</v>
      </c>
      <c r="C2271" s="6" t="s">
        <v>385</v>
      </c>
      <c r="D2271" s="6" t="s">
        <v>116</v>
      </c>
      <c r="E2271" s="11">
        <v>0.486479252576828</v>
      </c>
      <c r="F2271" s="11">
        <v>0.51441407203674316</v>
      </c>
    </row>
    <row r="2272" spans="1:6" hidden="1" x14ac:dyDescent="0.3">
      <c r="A2272" s="6">
        <v>17</v>
      </c>
      <c r="B2272" s="6" t="s">
        <v>115</v>
      </c>
      <c r="C2272" s="6" t="s">
        <v>386</v>
      </c>
      <c r="D2272" s="6" t="s">
        <v>116</v>
      </c>
      <c r="E2272" s="11"/>
      <c r="F2272" s="11">
        <v>0.51441407203674316</v>
      </c>
    </row>
    <row r="2273" spans="1:6" hidden="1" x14ac:dyDescent="0.3">
      <c r="A2273" s="6">
        <v>17</v>
      </c>
      <c r="B2273" s="6" t="s">
        <v>115</v>
      </c>
      <c r="C2273" s="6" t="s">
        <v>387</v>
      </c>
      <c r="D2273" s="6" t="s">
        <v>116</v>
      </c>
      <c r="E2273" s="11">
        <v>0.42139124870300293</v>
      </c>
      <c r="F2273" s="11">
        <v>0.51441407203674316</v>
      </c>
    </row>
    <row r="2274" spans="1:6" hidden="1" x14ac:dyDescent="0.3">
      <c r="A2274" s="6">
        <v>17</v>
      </c>
      <c r="B2274" s="6" t="s">
        <v>115</v>
      </c>
      <c r="C2274" s="6" t="s">
        <v>388</v>
      </c>
      <c r="D2274" s="6" t="s">
        <v>116</v>
      </c>
      <c r="E2274" s="11">
        <v>0.42842528223991394</v>
      </c>
      <c r="F2274" s="11">
        <v>0.51441407203674316</v>
      </c>
    </row>
    <row r="2275" spans="1:6" hidden="1" x14ac:dyDescent="0.3">
      <c r="A2275" s="6">
        <v>17</v>
      </c>
      <c r="B2275" s="6" t="s">
        <v>115</v>
      </c>
      <c r="C2275" s="6" t="s">
        <v>389</v>
      </c>
      <c r="D2275" s="6" t="s">
        <v>116</v>
      </c>
      <c r="E2275" s="11">
        <v>2.2867517471313477</v>
      </c>
      <c r="F2275" s="11">
        <v>0.51441407203674316</v>
      </c>
    </row>
    <row r="2276" spans="1:6" hidden="1" x14ac:dyDescent="0.3">
      <c r="A2276" s="6">
        <v>17</v>
      </c>
      <c r="B2276" s="6" t="s">
        <v>115</v>
      </c>
      <c r="C2276" s="6" t="s">
        <v>390</v>
      </c>
      <c r="D2276" s="6" t="s">
        <v>116</v>
      </c>
      <c r="E2276" s="11">
        <v>0.99064123630523682</v>
      </c>
      <c r="F2276" s="11">
        <v>0.51441407203674316</v>
      </c>
    </row>
    <row r="2277" spans="1:6" hidden="1" x14ac:dyDescent="0.3">
      <c r="A2277" s="6">
        <v>17</v>
      </c>
      <c r="B2277" s="6" t="s">
        <v>115</v>
      </c>
      <c r="C2277" s="6" t="s">
        <v>391</v>
      </c>
      <c r="D2277" s="6" t="s">
        <v>116</v>
      </c>
      <c r="E2277" s="11"/>
      <c r="F2277" s="11">
        <v>0.51441407203674316</v>
      </c>
    </row>
    <row r="2278" spans="1:6" hidden="1" x14ac:dyDescent="0.3">
      <c r="A2278" s="6">
        <v>17</v>
      </c>
      <c r="B2278" s="6" t="s">
        <v>115</v>
      </c>
      <c r="C2278" s="6" t="s">
        <v>392</v>
      </c>
      <c r="D2278" s="6" t="s">
        <v>116</v>
      </c>
      <c r="E2278" s="11">
        <v>1.1200000047683716</v>
      </c>
      <c r="F2278" s="11">
        <v>0.51441407203674316</v>
      </c>
    </row>
    <row r="2279" spans="1:6" hidden="1" x14ac:dyDescent="0.3">
      <c r="A2279" s="6">
        <v>17</v>
      </c>
      <c r="B2279" s="6" t="s">
        <v>115</v>
      </c>
      <c r="C2279" s="6" t="s">
        <v>393</v>
      </c>
      <c r="D2279" s="6" t="s">
        <v>116</v>
      </c>
      <c r="E2279" s="11">
        <v>0.62851148843765259</v>
      </c>
      <c r="F2279" s="11">
        <v>0.51441407203674316</v>
      </c>
    </row>
    <row r="2280" spans="1:6" hidden="1" x14ac:dyDescent="0.3">
      <c r="A2280" s="6">
        <v>17</v>
      </c>
      <c r="B2280" s="6" t="s">
        <v>115</v>
      </c>
      <c r="C2280" s="6" t="s">
        <v>394</v>
      </c>
      <c r="D2280" s="6" t="s">
        <v>116</v>
      </c>
      <c r="E2280" s="11">
        <v>0.45229119062423706</v>
      </c>
      <c r="F2280" s="11">
        <v>0.51441407203674316</v>
      </c>
    </row>
    <row r="2281" spans="1:6" hidden="1" x14ac:dyDescent="0.3">
      <c r="A2281" s="6">
        <v>17</v>
      </c>
      <c r="B2281" s="6" t="s">
        <v>115</v>
      </c>
      <c r="C2281" s="6" t="s">
        <v>395</v>
      </c>
      <c r="D2281" s="6" t="s">
        <v>116</v>
      </c>
      <c r="E2281" s="11">
        <v>0.94554102420806885</v>
      </c>
      <c r="F2281" s="11">
        <v>0.51441407203674316</v>
      </c>
    </row>
    <row r="2282" spans="1:6" hidden="1" x14ac:dyDescent="0.3">
      <c r="A2282" s="6">
        <v>17</v>
      </c>
      <c r="B2282" s="6" t="s">
        <v>115</v>
      </c>
      <c r="C2282" s="6" t="s">
        <v>396</v>
      </c>
      <c r="D2282" s="6" t="s">
        <v>116</v>
      </c>
      <c r="E2282" s="11">
        <v>5.2333331108093262</v>
      </c>
      <c r="F2282" s="11">
        <v>0.51441407203674316</v>
      </c>
    </row>
    <row r="2283" spans="1:6" hidden="1" x14ac:dyDescent="0.3">
      <c r="A2283" s="6">
        <v>17</v>
      </c>
      <c r="B2283" s="6" t="s">
        <v>115</v>
      </c>
      <c r="C2283" s="6" t="s">
        <v>397</v>
      </c>
      <c r="D2283" s="6" t="s">
        <v>116</v>
      </c>
      <c r="E2283" s="11">
        <v>15.607351303100586</v>
      </c>
      <c r="F2283" s="11">
        <v>0.51441407203674316</v>
      </c>
    </row>
    <row r="2284" spans="1:6" hidden="1" x14ac:dyDescent="0.3">
      <c r="A2284" s="6">
        <v>17</v>
      </c>
      <c r="B2284" s="6" t="s">
        <v>115</v>
      </c>
      <c r="C2284" s="6" t="s">
        <v>398</v>
      </c>
      <c r="D2284" s="6" t="s">
        <v>116</v>
      </c>
      <c r="E2284" s="11">
        <v>0.50357139110565186</v>
      </c>
      <c r="F2284" s="11">
        <v>0.51441407203674316</v>
      </c>
    </row>
    <row r="2285" spans="1:6" hidden="1" x14ac:dyDescent="0.3">
      <c r="A2285" s="6">
        <v>17</v>
      </c>
      <c r="B2285" s="6" t="s">
        <v>115</v>
      </c>
      <c r="C2285" s="6" t="s">
        <v>399</v>
      </c>
      <c r="D2285" s="6" t="s">
        <v>116</v>
      </c>
      <c r="E2285" s="11">
        <v>0.725128173828125</v>
      </c>
      <c r="F2285" s="11">
        <v>0.51441407203674316</v>
      </c>
    </row>
    <row r="2286" spans="1:6" hidden="1" x14ac:dyDescent="0.3">
      <c r="A2286" s="6">
        <v>17</v>
      </c>
      <c r="B2286" s="6" t="s">
        <v>115</v>
      </c>
      <c r="C2286" s="6" t="s">
        <v>400</v>
      </c>
      <c r="D2286" s="6" t="s">
        <v>116</v>
      </c>
      <c r="E2286" s="11">
        <v>0.78376537561416626</v>
      </c>
      <c r="F2286" s="11">
        <v>0.51441407203674316</v>
      </c>
    </row>
    <row r="2287" spans="1:6" hidden="1" x14ac:dyDescent="0.3">
      <c r="A2287" s="6">
        <v>17</v>
      </c>
      <c r="B2287" s="6" t="s">
        <v>115</v>
      </c>
      <c r="C2287" s="6" t="s">
        <v>401</v>
      </c>
      <c r="D2287" s="6" t="s">
        <v>116</v>
      </c>
      <c r="E2287" s="11">
        <v>1.1399999856948853</v>
      </c>
      <c r="F2287" s="11">
        <v>0.51441407203674316</v>
      </c>
    </row>
    <row r="2288" spans="1:6" hidden="1" x14ac:dyDescent="0.3">
      <c r="A2288" s="6">
        <v>17</v>
      </c>
      <c r="B2288" s="6" t="s">
        <v>115</v>
      </c>
      <c r="C2288" s="6" t="s">
        <v>402</v>
      </c>
      <c r="D2288" s="6" t="s">
        <v>116</v>
      </c>
      <c r="E2288" s="11">
        <v>1.6156492233276367</v>
      </c>
      <c r="F2288" s="11">
        <v>0.51441407203674316</v>
      </c>
    </row>
    <row r="2289" spans="1:6" hidden="1" x14ac:dyDescent="0.3">
      <c r="A2289" s="6">
        <v>17</v>
      </c>
      <c r="B2289" s="6" t="s">
        <v>115</v>
      </c>
      <c r="C2289" s="6" t="s">
        <v>403</v>
      </c>
      <c r="D2289" s="6" t="s">
        <v>116</v>
      </c>
      <c r="E2289" s="11">
        <v>0.66708183288574219</v>
      </c>
      <c r="F2289" s="11">
        <v>0.51441407203674316</v>
      </c>
    </row>
    <row r="2290" spans="1:6" hidden="1" x14ac:dyDescent="0.3">
      <c r="A2290" s="6">
        <v>17</v>
      </c>
      <c r="B2290" s="6" t="s">
        <v>115</v>
      </c>
      <c r="C2290" s="6" t="s">
        <v>404</v>
      </c>
      <c r="D2290" s="6" t="s">
        <v>116</v>
      </c>
      <c r="E2290" s="11">
        <v>0.42211785912513733</v>
      </c>
      <c r="F2290" s="11">
        <v>0.51441407203674316</v>
      </c>
    </row>
    <row r="2291" spans="1:6" hidden="1" x14ac:dyDescent="0.3">
      <c r="A2291" s="6">
        <v>17</v>
      </c>
      <c r="B2291" s="6" t="s">
        <v>115</v>
      </c>
      <c r="C2291" s="6" t="s">
        <v>405</v>
      </c>
      <c r="D2291" s="6" t="s">
        <v>116</v>
      </c>
      <c r="E2291" s="11">
        <v>0.49460211396217346</v>
      </c>
      <c r="F2291" s="11">
        <v>0.51441407203674316</v>
      </c>
    </row>
    <row r="2292" spans="1:6" hidden="1" x14ac:dyDescent="0.3">
      <c r="A2292" s="6">
        <v>17</v>
      </c>
      <c r="B2292" s="6" t="s">
        <v>115</v>
      </c>
      <c r="C2292" s="6" t="s">
        <v>406</v>
      </c>
      <c r="D2292" s="6" t="s">
        <v>116</v>
      </c>
      <c r="E2292" s="11">
        <v>0.89166665077209473</v>
      </c>
      <c r="F2292" s="11">
        <v>0.51441407203674316</v>
      </c>
    </row>
    <row r="2293" spans="1:6" hidden="1" x14ac:dyDescent="0.3">
      <c r="A2293" s="6">
        <v>17</v>
      </c>
      <c r="B2293" s="6" t="s">
        <v>115</v>
      </c>
      <c r="C2293" s="6" t="s">
        <v>407</v>
      </c>
      <c r="D2293" s="6" t="s">
        <v>116</v>
      </c>
      <c r="E2293" s="11">
        <v>0.40518072247505188</v>
      </c>
      <c r="F2293" s="11">
        <v>0.51441407203674316</v>
      </c>
    </row>
    <row r="2294" spans="1:6" hidden="1" x14ac:dyDescent="0.3">
      <c r="A2294" s="6">
        <v>17</v>
      </c>
      <c r="B2294" s="6" t="s">
        <v>115</v>
      </c>
      <c r="C2294" s="6" t="s">
        <v>408</v>
      </c>
      <c r="D2294" s="6" t="s">
        <v>116</v>
      </c>
      <c r="E2294" s="11">
        <v>0.58061724901199341</v>
      </c>
      <c r="F2294" s="11">
        <v>0.51441407203674316</v>
      </c>
    </row>
    <row r="2295" spans="1:6" hidden="1" x14ac:dyDescent="0.3">
      <c r="A2295" s="6">
        <v>17</v>
      </c>
      <c r="B2295" s="6" t="s">
        <v>115</v>
      </c>
      <c r="C2295" s="6" t="s">
        <v>409</v>
      </c>
      <c r="D2295" s="6" t="s">
        <v>116</v>
      </c>
      <c r="E2295" s="11">
        <v>0.51085525751113892</v>
      </c>
      <c r="F2295" s="11">
        <v>0.51441407203674316</v>
      </c>
    </row>
    <row r="2296" spans="1:6" hidden="1" x14ac:dyDescent="0.3">
      <c r="A2296" s="6">
        <v>17</v>
      </c>
      <c r="B2296" s="6" t="s">
        <v>115</v>
      </c>
      <c r="C2296" s="6" t="s">
        <v>410</v>
      </c>
      <c r="D2296" s="6" t="s">
        <v>116</v>
      </c>
      <c r="E2296" s="11">
        <v>0.78064477443695068</v>
      </c>
      <c r="F2296" s="11">
        <v>0.51441407203674316</v>
      </c>
    </row>
    <row r="2297" spans="1:6" hidden="1" x14ac:dyDescent="0.3">
      <c r="A2297" s="6">
        <v>17</v>
      </c>
      <c r="B2297" s="6" t="s">
        <v>115</v>
      </c>
      <c r="C2297" s="6" t="s">
        <v>411</v>
      </c>
      <c r="D2297" s="6" t="s">
        <v>116</v>
      </c>
      <c r="E2297" s="11">
        <v>0.58570653200149536</v>
      </c>
      <c r="F2297" s="11">
        <v>0.51441407203674316</v>
      </c>
    </row>
    <row r="2298" spans="1:6" hidden="1" x14ac:dyDescent="0.3">
      <c r="A2298" s="6">
        <v>17</v>
      </c>
      <c r="B2298" s="6" t="s">
        <v>115</v>
      </c>
      <c r="C2298" s="6" t="s">
        <v>412</v>
      </c>
      <c r="D2298" s="6" t="s">
        <v>116</v>
      </c>
      <c r="E2298" s="11">
        <v>0.5997776985168457</v>
      </c>
      <c r="F2298" s="11">
        <v>0.51441407203674316</v>
      </c>
    </row>
    <row r="2299" spans="1:6" hidden="1" x14ac:dyDescent="0.3">
      <c r="A2299" s="6">
        <v>17</v>
      </c>
      <c r="B2299" s="6" t="s">
        <v>115</v>
      </c>
      <c r="C2299" s="6" t="s">
        <v>413</v>
      </c>
      <c r="D2299" s="6" t="s">
        <v>116</v>
      </c>
      <c r="E2299" s="11">
        <v>1.0175776481628418</v>
      </c>
      <c r="F2299" s="11">
        <v>0.51441407203674316</v>
      </c>
    </row>
    <row r="2300" spans="1:6" hidden="1" x14ac:dyDescent="0.3">
      <c r="A2300" s="6">
        <v>17</v>
      </c>
      <c r="B2300" s="6" t="s">
        <v>115</v>
      </c>
      <c r="C2300" s="6" t="s">
        <v>414</v>
      </c>
      <c r="D2300" s="6" t="s">
        <v>116</v>
      </c>
      <c r="E2300" s="11">
        <v>0.84062069654464722</v>
      </c>
      <c r="F2300" s="11">
        <v>0.51441407203674316</v>
      </c>
    </row>
    <row r="2301" spans="1:6" hidden="1" x14ac:dyDescent="0.3">
      <c r="A2301" s="6">
        <v>17</v>
      </c>
      <c r="B2301" s="6" t="s">
        <v>115</v>
      </c>
      <c r="C2301" s="6" t="s">
        <v>415</v>
      </c>
      <c r="D2301" s="6" t="s">
        <v>116</v>
      </c>
      <c r="E2301" s="11">
        <v>0.74995917081832886</v>
      </c>
      <c r="F2301" s="11">
        <v>0.51441407203674316</v>
      </c>
    </row>
    <row r="2302" spans="1:6" hidden="1" x14ac:dyDescent="0.3">
      <c r="A2302" s="6">
        <v>17</v>
      </c>
      <c r="B2302" s="6" t="s">
        <v>115</v>
      </c>
      <c r="C2302" s="6" t="s">
        <v>416</v>
      </c>
      <c r="D2302" s="6" t="s">
        <v>116</v>
      </c>
      <c r="E2302" s="11"/>
      <c r="F2302" s="11">
        <v>0.51441407203674316</v>
      </c>
    </row>
    <row r="2303" spans="1:6" hidden="1" x14ac:dyDescent="0.3">
      <c r="A2303" s="6">
        <v>17</v>
      </c>
      <c r="B2303" s="6" t="s">
        <v>115</v>
      </c>
      <c r="C2303" s="6" t="s">
        <v>417</v>
      </c>
      <c r="D2303" s="6" t="s">
        <v>116</v>
      </c>
      <c r="E2303" s="11">
        <v>0.55714285373687744</v>
      </c>
      <c r="F2303" s="11">
        <v>0.51441407203674316</v>
      </c>
    </row>
    <row r="2304" spans="1:6" hidden="1" x14ac:dyDescent="0.3">
      <c r="A2304" s="6">
        <v>17</v>
      </c>
      <c r="B2304" s="6" t="s">
        <v>115</v>
      </c>
      <c r="C2304" s="6" t="s">
        <v>418</v>
      </c>
      <c r="D2304" s="6" t="s">
        <v>116</v>
      </c>
      <c r="E2304" s="11">
        <v>0.50115042924880981</v>
      </c>
      <c r="F2304" s="11">
        <v>0.51441407203674316</v>
      </c>
    </row>
    <row r="2305" spans="1:6" hidden="1" x14ac:dyDescent="0.3">
      <c r="A2305" s="6">
        <v>17</v>
      </c>
      <c r="B2305" s="6" t="s">
        <v>115</v>
      </c>
      <c r="C2305" s="6" t="s">
        <v>419</v>
      </c>
      <c r="D2305" s="6" t="s">
        <v>116</v>
      </c>
      <c r="E2305" s="11">
        <v>3.2545452117919922</v>
      </c>
      <c r="F2305" s="11">
        <v>0.51441407203674316</v>
      </c>
    </row>
    <row r="2306" spans="1:6" hidden="1" x14ac:dyDescent="0.3">
      <c r="A2306" s="6">
        <v>17</v>
      </c>
      <c r="B2306" s="6" t="s">
        <v>115</v>
      </c>
      <c r="C2306" s="6" t="s">
        <v>420</v>
      </c>
      <c r="D2306" s="6" t="s">
        <v>116</v>
      </c>
      <c r="E2306" s="11"/>
      <c r="F2306" s="11">
        <v>0.51441407203674316</v>
      </c>
    </row>
    <row r="2307" spans="1:6" hidden="1" x14ac:dyDescent="0.3">
      <c r="A2307" s="6">
        <v>17</v>
      </c>
      <c r="B2307" s="6" t="s">
        <v>115</v>
      </c>
      <c r="C2307" s="6" t="s">
        <v>421</v>
      </c>
      <c r="D2307" s="6" t="s">
        <v>116</v>
      </c>
      <c r="E2307" s="11"/>
      <c r="F2307" s="11">
        <v>0.51441407203674316</v>
      </c>
    </row>
    <row r="2308" spans="1:6" hidden="1" x14ac:dyDescent="0.3">
      <c r="A2308" s="6">
        <v>17</v>
      </c>
      <c r="B2308" s="6" t="s">
        <v>115</v>
      </c>
      <c r="C2308" s="6" t="s">
        <v>422</v>
      </c>
      <c r="D2308" s="6" t="s">
        <v>116</v>
      </c>
      <c r="E2308" s="11">
        <v>1.5999999046325684</v>
      </c>
      <c r="F2308" s="11">
        <v>0.51441407203674316</v>
      </c>
    </row>
    <row r="2309" spans="1:6" hidden="1" x14ac:dyDescent="0.3">
      <c r="A2309" s="6">
        <v>17</v>
      </c>
      <c r="B2309" s="6" t="s">
        <v>115</v>
      </c>
      <c r="C2309" s="6" t="s">
        <v>423</v>
      </c>
      <c r="D2309" s="6" t="s">
        <v>116</v>
      </c>
      <c r="E2309" s="11"/>
      <c r="F2309" s="11">
        <v>0.51441407203674316</v>
      </c>
    </row>
    <row r="2310" spans="1:6" hidden="1" x14ac:dyDescent="0.3">
      <c r="A2310" s="6">
        <v>17</v>
      </c>
      <c r="B2310" s="6" t="s">
        <v>115</v>
      </c>
      <c r="C2310" s="6" t="s">
        <v>424</v>
      </c>
      <c r="D2310" s="6" t="s">
        <v>116</v>
      </c>
      <c r="E2310" s="11">
        <v>18.396720886230469</v>
      </c>
      <c r="F2310" s="11">
        <v>0.51441407203674316</v>
      </c>
    </row>
    <row r="2311" spans="1:6" hidden="1" x14ac:dyDescent="0.3">
      <c r="A2311" s="6">
        <v>17</v>
      </c>
      <c r="B2311" s="6" t="s">
        <v>115</v>
      </c>
      <c r="C2311" s="6" t="s">
        <v>425</v>
      </c>
      <c r="D2311" s="6" t="s">
        <v>116</v>
      </c>
      <c r="E2311" s="11">
        <v>7.405705451965332</v>
      </c>
      <c r="F2311" s="11">
        <v>0.51441407203674316</v>
      </c>
    </row>
    <row r="2312" spans="1:6" hidden="1" x14ac:dyDescent="0.3">
      <c r="A2312" s="6">
        <v>17</v>
      </c>
      <c r="B2312" s="6" t="s">
        <v>115</v>
      </c>
      <c r="C2312" s="6" t="s">
        <v>426</v>
      </c>
      <c r="D2312" s="6" t="s">
        <v>116</v>
      </c>
      <c r="E2312" s="11">
        <v>0.79875016212463379</v>
      </c>
      <c r="F2312" s="11">
        <v>0.51441407203674316</v>
      </c>
    </row>
    <row r="2313" spans="1:6" hidden="1" x14ac:dyDescent="0.3">
      <c r="A2313" s="6">
        <v>17</v>
      </c>
      <c r="B2313" s="6" t="s">
        <v>115</v>
      </c>
      <c r="C2313" s="6" t="s">
        <v>427</v>
      </c>
      <c r="D2313" s="6" t="s">
        <v>116</v>
      </c>
      <c r="E2313" s="11">
        <v>0.40000000596046448</v>
      </c>
      <c r="F2313" s="11">
        <v>0.51441407203674316</v>
      </c>
    </row>
    <row r="2314" spans="1:6" hidden="1" x14ac:dyDescent="0.3">
      <c r="A2314" s="6">
        <v>17</v>
      </c>
      <c r="B2314" s="6" t="s">
        <v>115</v>
      </c>
      <c r="C2314" s="6" t="s">
        <v>428</v>
      </c>
      <c r="D2314" s="6" t="s">
        <v>116</v>
      </c>
      <c r="E2314" s="11"/>
      <c r="F2314" s="11">
        <v>0.51441407203674316</v>
      </c>
    </row>
    <row r="2315" spans="1:6" hidden="1" x14ac:dyDescent="0.3">
      <c r="A2315" s="6">
        <v>17</v>
      </c>
      <c r="B2315" s="6" t="s">
        <v>115</v>
      </c>
      <c r="C2315" s="6" t="s">
        <v>429</v>
      </c>
      <c r="D2315" s="6" t="s">
        <v>116</v>
      </c>
      <c r="E2315" s="11">
        <v>0.57089608907699585</v>
      </c>
      <c r="F2315" s="11">
        <v>0.51441407203674316</v>
      </c>
    </row>
    <row r="2316" spans="1:6" hidden="1" x14ac:dyDescent="0.3">
      <c r="A2316" s="6">
        <v>17</v>
      </c>
      <c r="B2316" s="6" t="s">
        <v>115</v>
      </c>
      <c r="C2316" s="6" t="s">
        <v>430</v>
      </c>
      <c r="D2316" s="6" t="s">
        <v>116</v>
      </c>
      <c r="E2316" s="11">
        <v>0.44082933664321899</v>
      </c>
      <c r="F2316" s="11">
        <v>0.51441407203674316</v>
      </c>
    </row>
    <row r="2317" spans="1:6" hidden="1" x14ac:dyDescent="0.3">
      <c r="A2317" s="6">
        <v>17</v>
      </c>
      <c r="B2317" s="6" t="s">
        <v>115</v>
      </c>
      <c r="C2317" s="6" t="s">
        <v>431</v>
      </c>
      <c r="D2317" s="6" t="s">
        <v>116</v>
      </c>
      <c r="E2317" s="11">
        <v>0.56902694702148438</v>
      </c>
      <c r="F2317" s="11">
        <v>0.51441407203674316</v>
      </c>
    </row>
    <row r="2318" spans="1:6" hidden="1" x14ac:dyDescent="0.3">
      <c r="A2318" s="6">
        <v>17</v>
      </c>
      <c r="B2318" s="6" t="s">
        <v>115</v>
      </c>
      <c r="C2318" s="6" t="s">
        <v>432</v>
      </c>
      <c r="D2318" s="6" t="s">
        <v>116</v>
      </c>
      <c r="E2318" s="11">
        <v>0.46134215593338013</v>
      </c>
      <c r="F2318" s="11">
        <v>0.51441407203674316</v>
      </c>
    </row>
    <row r="2319" spans="1:6" hidden="1" x14ac:dyDescent="0.3">
      <c r="A2319" s="6">
        <v>17</v>
      </c>
      <c r="B2319" s="6" t="s">
        <v>115</v>
      </c>
      <c r="C2319" s="6" t="s">
        <v>433</v>
      </c>
      <c r="D2319" s="6" t="s">
        <v>116</v>
      </c>
      <c r="E2319" s="11">
        <v>0.54222220182418823</v>
      </c>
      <c r="F2319" s="11">
        <v>0.51441407203674316</v>
      </c>
    </row>
    <row r="2320" spans="1:6" hidden="1" x14ac:dyDescent="0.3">
      <c r="A2320" s="6">
        <v>17</v>
      </c>
      <c r="B2320" s="6" t="s">
        <v>115</v>
      </c>
      <c r="C2320" s="6" t="s">
        <v>434</v>
      </c>
      <c r="D2320" s="6" t="s">
        <v>116</v>
      </c>
      <c r="E2320" s="11">
        <v>0.41446399688720703</v>
      </c>
      <c r="F2320" s="11">
        <v>0.51441407203674316</v>
      </c>
    </row>
    <row r="2321" spans="1:6" hidden="1" x14ac:dyDescent="0.3">
      <c r="A2321" s="6">
        <v>17</v>
      </c>
      <c r="B2321" s="6" t="s">
        <v>115</v>
      </c>
      <c r="C2321" s="6" t="s">
        <v>435</v>
      </c>
      <c r="D2321" s="6" t="s">
        <v>116</v>
      </c>
      <c r="E2321" s="11">
        <v>0.680877685546875</v>
      </c>
      <c r="F2321" s="11">
        <v>0.51441407203674316</v>
      </c>
    </row>
    <row r="2322" spans="1:6" hidden="1" x14ac:dyDescent="0.3">
      <c r="A2322" s="6">
        <v>17</v>
      </c>
      <c r="B2322" s="6" t="s">
        <v>115</v>
      </c>
      <c r="C2322" s="6" t="s">
        <v>436</v>
      </c>
      <c r="D2322" s="6" t="s">
        <v>116</v>
      </c>
      <c r="E2322" s="11">
        <v>0.4531882107257843</v>
      </c>
      <c r="F2322" s="11">
        <v>0.51441407203674316</v>
      </c>
    </row>
    <row r="2323" spans="1:6" hidden="1" x14ac:dyDescent="0.3">
      <c r="A2323" s="6">
        <v>17</v>
      </c>
      <c r="B2323" s="6" t="s">
        <v>115</v>
      </c>
      <c r="C2323" s="6" t="s">
        <v>437</v>
      </c>
      <c r="D2323" s="6" t="s">
        <v>116</v>
      </c>
      <c r="E2323" s="11">
        <v>0.45902800559997559</v>
      </c>
      <c r="F2323" s="11">
        <v>0.51441407203674316</v>
      </c>
    </row>
    <row r="2324" spans="1:6" hidden="1" x14ac:dyDescent="0.3">
      <c r="A2324" s="6">
        <v>17</v>
      </c>
      <c r="B2324" s="6" t="s">
        <v>115</v>
      </c>
      <c r="C2324" s="6" t="s">
        <v>438</v>
      </c>
      <c r="D2324" s="6" t="s">
        <v>116</v>
      </c>
      <c r="E2324" s="11">
        <v>0.52222222089767456</v>
      </c>
      <c r="F2324" s="11">
        <v>0.51441407203674316</v>
      </c>
    </row>
    <row r="2325" spans="1:6" hidden="1" x14ac:dyDescent="0.3">
      <c r="A2325" s="6">
        <v>17</v>
      </c>
      <c r="B2325" s="6" t="s">
        <v>115</v>
      </c>
      <c r="C2325" s="6" t="s">
        <v>439</v>
      </c>
      <c r="D2325" s="6" t="s">
        <v>116</v>
      </c>
      <c r="E2325" s="11">
        <v>0.61177033185958862</v>
      </c>
      <c r="F2325" s="11">
        <v>0.51441407203674316</v>
      </c>
    </row>
    <row r="2326" spans="1:6" hidden="1" x14ac:dyDescent="0.3">
      <c r="A2326" s="6">
        <v>17</v>
      </c>
      <c r="B2326" s="6" t="s">
        <v>115</v>
      </c>
      <c r="C2326" s="6" t="s">
        <v>440</v>
      </c>
      <c r="D2326" s="6" t="s">
        <v>116</v>
      </c>
      <c r="E2326" s="11">
        <v>0.40987527370452881</v>
      </c>
      <c r="F2326" s="11">
        <v>0.51441407203674316</v>
      </c>
    </row>
    <row r="2327" spans="1:6" hidden="1" x14ac:dyDescent="0.3">
      <c r="A2327" s="6">
        <v>17</v>
      </c>
      <c r="B2327" s="6" t="s">
        <v>115</v>
      </c>
      <c r="C2327" s="6" t="s">
        <v>441</v>
      </c>
      <c r="D2327" s="6" t="s">
        <v>116</v>
      </c>
      <c r="E2327" s="11">
        <v>1.2121293544769287</v>
      </c>
      <c r="F2327" s="11">
        <v>0.51441407203674316</v>
      </c>
    </row>
    <row r="2328" spans="1:6" hidden="1" x14ac:dyDescent="0.3">
      <c r="A2328" s="6">
        <v>17</v>
      </c>
      <c r="B2328" s="6" t="s">
        <v>115</v>
      </c>
      <c r="C2328" s="6" t="s">
        <v>442</v>
      </c>
      <c r="D2328" s="6" t="s">
        <v>116</v>
      </c>
      <c r="E2328" s="11">
        <v>0.55949145555496216</v>
      </c>
      <c r="F2328" s="11">
        <v>0.51441407203674316</v>
      </c>
    </row>
    <row r="2329" spans="1:6" hidden="1" x14ac:dyDescent="0.3">
      <c r="A2329" s="6">
        <v>17</v>
      </c>
      <c r="B2329" s="6" t="s">
        <v>115</v>
      </c>
      <c r="C2329" s="6" t="s">
        <v>443</v>
      </c>
      <c r="D2329" s="6" t="s">
        <v>116</v>
      </c>
      <c r="E2329" s="11">
        <v>0.47559353709220886</v>
      </c>
      <c r="F2329" s="11">
        <v>0.51441407203674316</v>
      </c>
    </row>
    <row r="2330" spans="1:6" hidden="1" x14ac:dyDescent="0.3">
      <c r="A2330" s="6">
        <v>17</v>
      </c>
      <c r="B2330" s="6" t="s">
        <v>115</v>
      </c>
      <c r="C2330" s="6" t="s">
        <v>444</v>
      </c>
      <c r="D2330" s="6" t="s">
        <v>116</v>
      </c>
      <c r="E2330" s="11">
        <v>0.66858416795730591</v>
      </c>
      <c r="F2330" s="11">
        <v>0.51441407203674316</v>
      </c>
    </row>
    <row r="2331" spans="1:6" hidden="1" x14ac:dyDescent="0.3">
      <c r="A2331" s="6">
        <v>17</v>
      </c>
      <c r="B2331" s="6" t="s">
        <v>115</v>
      </c>
      <c r="C2331" s="6" t="s">
        <v>445</v>
      </c>
      <c r="D2331" s="6" t="s">
        <v>116</v>
      </c>
      <c r="E2331" s="11">
        <v>1.0075023174285889</v>
      </c>
      <c r="F2331" s="11">
        <v>0.51441407203674316</v>
      </c>
    </row>
    <row r="2332" spans="1:6" hidden="1" x14ac:dyDescent="0.3">
      <c r="A2332" s="6">
        <v>17</v>
      </c>
      <c r="B2332" s="6" t="s">
        <v>115</v>
      </c>
      <c r="C2332" s="6" t="s">
        <v>446</v>
      </c>
      <c r="D2332" s="6" t="s">
        <v>116</v>
      </c>
      <c r="E2332" s="11">
        <v>12.133332252502441</v>
      </c>
      <c r="F2332" s="11">
        <v>0.51441407203674316</v>
      </c>
    </row>
    <row r="2333" spans="1:6" hidden="1" x14ac:dyDescent="0.3">
      <c r="A2333" s="6">
        <v>17</v>
      </c>
      <c r="B2333" s="6" t="s">
        <v>115</v>
      </c>
      <c r="C2333" s="6" t="s">
        <v>447</v>
      </c>
      <c r="D2333" s="6" t="s">
        <v>116</v>
      </c>
      <c r="E2333" s="11">
        <v>0.9848484992980957</v>
      </c>
      <c r="F2333" s="11">
        <v>0.51441407203674316</v>
      </c>
    </row>
    <row r="2334" spans="1:6" hidden="1" x14ac:dyDescent="0.3">
      <c r="A2334" s="6">
        <v>17</v>
      </c>
      <c r="B2334" s="6" t="s">
        <v>115</v>
      </c>
      <c r="C2334" s="6" t="s">
        <v>448</v>
      </c>
      <c r="D2334" s="6" t="s">
        <v>116</v>
      </c>
      <c r="E2334" s="11">
        <v>0.51999998092651367</v>
      </c>
      <c r="F2334" s="11">
        <v>0.51441407203674316</v>
      </c>
    </row>
    <row r="2335" spans="1:6" hidden="1" x14ac:dyDescent="0.3">
      <c r="A2335" s="6">
        <v>17</v>
      </c>
      <c r="B2335" s="6" t="s">
        <v>115</v>
      </c>
      <c r="C2335" s="6" t="s">
        <v>449</v>
      </c>
      <c r="D2335" s="6" t="s">
        <v>116</v>
      </c>
      <c r="E2335" s="11">
        <v>0.48927947878837585</v>
      </c>
      <c r="F2335" s="11">
        <v>0.51441407203674316</v>
      </c>
    </row>
    <row r="2336" spans="1:6" hidden="1" x14ac:dyDescent="0.3">
      <c r="A2336" s="6">
        <v>17</v>
      </c>
      <c r="B2336" s="6" t="s">
        <v>115</v>
      </c>
      <c r="C2336" s="6" t="s">
        <v>450</v>
      </c>
      <c r="D2336" s="6" t="s">
        <v>116</v>
      </c>
      <c r="E2336" s="11">
        <v>0.59742569923400879</v>
      </c>
      <c r="F2336" s="11">
        <v>0.51441407203674316</v>
      </c>
    </row>
    <row r="2337" spans="1:6" hidden="1" x14ac:dyDescent="0.3">
      <c r="A2337" s="6">
        <v>17</v>
      </c>
      <c r="B2337" s="6" t="s">
        <v>115</v>
      </c>
      <c r="C2337" s="6" t="s">
        <v>451</v>
      </c>
      <c r="D2337" s="6" t="s">
        <v>116</v>
      </c>
      <c r="E2337" s="11">
        <v>0.70326125621795654</v>
      </c>
      <c r="F2337" s="11">
        <v>0.51441407203674316</v>
      </c>
    </row>
    <row r="2338" spans="1:6" hidden="1" x14ac:dyDescent="0.3">
      <c r="A2338" s="6">
        <v>17</v>
      </c>
      <c r="B2338" s="6" t="s">
        <v>115</v>
      </c>
      <c r="C2338" s="6" t="s">
        <v>452</v>
      </c>
      <c r="D2338" s="6" t="s">
        <v>116</v>
      </c>
      <c r="E2338" s="11">
        <v>0.63805282115936279</v>
      </c>
      <c r="F2338" s="11">
        <v>0.51441407203674316</v>
      </c>
    </row>
    <row r="2339" spans="1:6" hidden="1" x14ac:dyDescent="0.3">
      <c r="A2339" s="6">
        <v>17</v>
      </c>
      <c r="B2339" s="6" t="s">
        <v>115</v>
      </c>
      <c r="C2339" s="6" t="s">
        <v>453</v>
      </c>
      <c r="D2339" s="6" t="s">
        <v>116</v>
      </c>
      <c r="E2339" s="11">
        <v>0.4612250030040741</v>
      </c>
      <c r="F2339" s="11">
        <v>0.51441407203674316</v>
      </c>
    </row>
    <row r="2340" spans="1:6" hidden="1" x14ac:dyDescent="0.3">
      <c r="A2340" s="6">
        <v>17</v>
      </c>
      <c r="B2340" s="6" t="s">
        <v>115</v>
      </c>
      <c r="C2340" s="6" t="s">
        <v>454</v>
      </c>
      <c r="D2340" s="6" t="s">
        <v>116</v>
      </c>
      <c r="E2340" s="11">
        <v>0.54058092832565308</v>
      </c>
      <c r="F2340" s="11">
        <v>0.51441407203674316</v>
      </c>
    </row>
    <row r="2341" spans="1:6" hidden="1" x14ac:dyDescent="0.3">
      <c r="A2341" s="6">
        <v>17</v>
      </c>
      <c r="B2341" s="6" t="s">
        <v>115</v>
      </c>
      <c r="C2341" s="6" t="s">
        <v>455</v>
      </c>
      <c r="D2341" s="6" t="s">
        <v>116</v>
      </c>
      <c r="E2341" s="11"/>
      <c r="F2341" s="11">
        <v>0.51441407203674316</v>
      </c>
    </row>
    <row r="2342" spans="1:6" hidden="1" x14ac:dyDescent="0.3">
      <c r="A2342" s="6">
        <v>17</v>
      </c>
      <c r="B2342" s="6" t="s">
        <v>115</v>
      </c>
      <c r="C2342" s="6" t="s">
        <v>456</v>
      </c>
      <c r="D2342" s="6" t="s">
        <v>116</v>
      </c>
      <c r="E2342" s="11">
        <v>1.8190475702285767</v>
      </c>
      <c r="F2342" s="11">
        <v>0.51441407203674316</v>
      </c>
    </row>
    <row r="2343" spans="1:6" hidden="1" x14ac:dyDescent="0.3">
      <c r="A2343" s="6">
        <v>17</v>
      </c>
      <c r="B2343" s="6" t="s">
        <v>115</v>
      </c>
      <c r="C2343" s="6" t="s">
        <v>457</v>
      </c>
      <c r="D2343" s="6" t="s">
        <v>116</v>
      </c>
      <c r="E2343" s="11">
        <v>0.6308552622795105</v>
      </c>
      <c r="F2343" s="11">
        <v>0.51441407203674316</v>
      </c>
    </row>
    <row r="2344" spans="1:6" hidden="1" x14ac:dyDescent="0.3">
      <c r="A2344" s="6">
        <v>17</v>
      </c>
      <c r="B2344" s="6" t="s">
        <v>115</v>
      </c>
      <c r="C2344" s="6" t="s">
        <v>458</v>
      </c>
      <c r="D2344" s="6" t="s">
        <v>116</v>
      </c>
      <c r="E2344" s="11"/>
      <c r="F2344" s="11">
        <v>0.51441407203674316</v>
      </c>
    </row>
    <row r="2345" spans="1:6" hidden="1" x14ac:dyDescent="0.3">
      <c r="A2345" s="6">
        <v>17</v>
      </c>
      <c r="B2345" s="6" t="s">
        <v>115</v>
      </c>
      <c r="C2345" s="6" t="s">
        <v>459</v>
      </c>
      <c r="D2345" s="6" t="s">
        <v>116</v>
      </c>
      <c r="E2345" s="11">
        <v>1.6348483562469482</v>
      </c>
      <c r="F2345" s="11">
        <v>0.51441407203674316</v>
      </c>
    </row>
    <row r="2346" spans="1:6" hidden="1" x14ac:dyDescent="0.3">
      <c r="A2346" s="6">
        <v>17</v>
      </c>
      <c r="B2346" s="6" t="s">
        <v>115</v>
      </c>
      <c r="C2346" s="6" t="s">
        <v>460</v>
      </c>
      <c r="D2346" s="6" t="s">
        <v>116</v>
      </c>
      <c r="E2346" s="11"/>
      <c r="F2346" s="11">
        <v>0.51441407203674316</v>
      </c>
    </row>
    <row r="2347" spans="1:6" hidden="1" x14ac:dyDescent="0.3">
      <c r="A2347" s="6">
        <v>17</v>
      </c>
      <c r="B2347" s="6" t="s">
        <v>115</v>
      </c>
      <c r="C2347" s="6" t="s">
        <v>461</v>
      </c>
      <c r="D2347" s="6" t="s">
        <v>116</v>
      </c>
      <c r="E2347" s="11">
        <v>0.47966250777244568</v>
      </c>
      <c r="F2347" s="11">
        <v>0.51441407203674316</v>
      </c>
    </row>
    <row r="2348" spans="1:6" hidden="1" x14ac:dyDescent="0.3">
      <c r="A2348" s="6">
        <v>17</v>
      </c>
      <c r="B2348" s="6" t="s">
        <v>115</v>
      </c>
      <c r="C2348" s="6" t="s">
        <v>462</v>
      </c>
      <c r="D2348" s="6" t="s">
        <v>116</v>
      </c>
      <c r="E2348" s="11">
        <v>0.48555877804756165</v>
      </c>
      <c r="F2348" s="11">
        <v>0.51441407203674316</v>
      </c>
    </row>
    <row r="2349" spans="1:6" hidden="1" x14ac:dyDescent="0.3">
      <c r="A2349" s="6">
        <v>17</v>
      </c>
      <c r="B2349" s="6" t="s">
        <v>115</v>
      </c>
      <c r="C2349" s="6" t="s">
        <v>463</v>
      </c>
      <c r="D2349" s="6" t="s">
        <v>116</v>
      </c>
      <c r="E2349" s="11">
        <v>0.43741217255592346</v>
      </c>
      <c r="F2349" s="11">
        <v>0.51441407203674316</v>
      </c>
    </row>
    <row r="2350" spans="1:6" hidden="1" x14ac:dyDescent="0.3">
      <c r="A2350" s="6">
        <v>17</v>
      </c>
      <c r="B2350" s="6" t="s">
        <v>115</v>
      </c>
      <c r="C2350" s="6" t="s">
        <v>464</v>
      </c>
      <c r="D2350" s="6" t="s">
        <v>116</v>
      </c>
      <c r="E2350" s="11">
        <v>0.48394936323165894</v>
      </c>
      <c r="F2350" s="11">
        <v>0.51441407203674316</v>
      </c>
    </row>
    <row r="2351" spans="1:6" hidden="1" x14ac:dyDescent="0.3">
      <c r="A2351" s="6">
        <v>17</v>
      </c>
      <c r="B2351" s="6" t="s">
        <v>115</v>
      </c>
      <c r="C2351" s="6" t="s">
        <v>465</v>
      </c>
      <c r="D2351" s="6" t="s">
        <v>116</v>
      </c>
      <c r="E2351" s="11">
        <v>0.73204326629638672</v>
      </c>
      <c r="F2351" s="11">
        <v>0.51441407203674316</v>
      </c>
    </row>
    <row r="2352" spans="1:6" hidden="1" x14ac:dyDescent="0.3">
      <c r="A2352" s="6">
        <v>17</v>
      </c>
      <c r="B2352" s="6" t="s">
        <v>115</v>
      </c>
      <c r="C2352" s="6" t="s">
        <v>466</v>
      </c>
      <c r="D2352" s="6" t="s">
        <v>116</v>
      </c>
      <c r="E2352" s="11">
        <v>12.40000057220459</v>
      </c>
      <c r="F2352" s="11">
        <v>0.51441407203674316</v>
      </c>
    </row>
    <row r="2353" spans="1:6" hidden="1" x14ac:dyDescent="0.3">
      <c r="A2353" s="6">
        <v>17</v>
      </c>
      <c r="B2353" s="6" t="s">
        <v>115</v>
      </c>
      <c r="C2353" s="6" t="s">
        <v>467</v>
      </c>
      <c r="D2353" s="6" t="s">
        <v>116</v>
      </c>
      <c r="E2353" s="11">
        <v>0.54464912414550781</v>
      </c>
      <c r="F2353" s="11">
        <v>0.51441407203674316</v>
      </c>
    </row>
    <row r="2354" spans="1:6" hidden="1" x14ac:dyDescent="0.3">
      <c r="A2354" s="6">
        <v>17</v>
      </c>
      <c r="B2354" s="6" t="s">
        <v>115</v>
      </c>
      <c r="C2354" s="6" t="s">
        <v>468</v>
      </c>
      <c r="D2354" s="6" t="s">
        <v>116</v>
      </c>
      <c r="E2354" s="11">
        <v>0.57675182819366455</v>
      </c>
      <c r="F2354" s="11">
        <v>0.51441407203674316</v>
      </c>
    </row>
    <row r="2355" spans="1:6" hidden="1" x14ac:dyDescent="0.3">
      <c r="A2355" s="6">
        <v>17</v>
      </c>
      <c r="B2355" s="6" t="s">
        <v>115</v>
      </c>
      <c r="C2355" s="6" t="s">
        <v>469</v>
      </c>
      <c r="D2355" s="6" t="s">
        <v>116</v>
      </c>
      <c r="E2355" s="11"/>
      <c r="F2355" s="11">
        <v>0.51441407203674316</v>
      </c>
    </row>
    <row r="2356" spans="1:6" hidden="1" x14ac:dyDescent="0.3">
      <c r="A2356" s="6">
        <v>17</v>
      </c>
      <c r="B2356" s="6" t="s">
        <v>115</v>
      </c>
      <c r="C2356" s="6" t="s">
        <v>470</v>
      </c>
      <c r="D2356" s="6" t="s">
        <v>116</v>
      </c>
      <c r="E2356" s="11">
        <v>0.52242153882980347</v>
      </c>
      <c r="F2356" s="11">
        <v>0.51441407203674316</v>
      </c>
    </row>
    <row r="2357" spans="1:6" hidden="1" x14ac:dyDescent="0.3">
      <c r="A2357" s="6">
        <v>17</v>
      </c>
      <c r="B2357" s="6" t="s">
        <v>115</v>
      </c>
      <c r="C2357" s="6" t="s">
        <v>471</v>
      </c>
      <c r="D2357" s="6" t="s">
        <v>116</v>
      </c>
      <c r="E2357" s="11">
        <v>0.56748491525650024</v>
      </c>
      <c r="F2357" s="11">
        <v>0.51441407203674316</v>
      </c>
    </row>
    <row r="2358" spans="1:6" hidden="1" x14ac:dyDescent="0.3">
      <c r="A2358" s="6">
        <v>17</v>
      </c>
      <c r="B2358" s="6" t="s">
        <v>115</v>
      </c>
      <c r="C2358" s="6" t="s">
        <v>472</v>
      </c>
      <c r="D2358" s="6" t="s">
        <v>116</v>
      </c>
      <c r="E2358" s="11">
        <v>0.59918332099914551</v>
      </c>
      <c r="F2358" s="11">
        <v>0.51441407203674316</v>
      </c>
    </row>
    <row r="2359" spans="1:6" hidden="1" x14ac:dyDescent="0.3">
      <c r="A2359" s="6">
        <v>17</v>
      </c>
      <c r="B2359" s="6" t="s">
        <v>115</v>
      </c>
      <c r="C2359" s="6" t="s">
        <v>473</v>
      </c>
      <c r="D2359" s="6" t="s">
        <v>116</v>
      </c>
      <c r="E2359" s="11">
        <v>0.60053038597106934</v>
      </c>
      <c r="F2359" s="11">
        <v>0.51441407203674316</v>
      </c>
    </row>
    <row r="2360" spans="1:6" hidden="1" x14ac:dyDescent="0.3">
      <c r="A2360" s="6">
        <v>17</v>
      </c>
      <c r="B2360" s="6" t="s">
        <v>115</v>
      </c>
      <c r="C2360" s="6" t="s">
        <v>474</v>
      </c>
      <c r="D2360" s="6" t="s">
        <v>116</v>
      </c>
      <c r="E2360" s="11">
        <v>0.42179319262504578</v>
      </c>
      <c r="F2360" s="11">
        <v>0.51441407203674316</v>
      </c>
    </row>
    <row r="2361" spans="1:6" hidden="1" x14ac:dyDescent="0.3">
      <c r="A2361" s="6">
        <v>17</v>
      </c>
      <c r="B2361" s="6" t="s">
        <v>115</v>
      </c>
      <c r="C2361" s="6" t="s">
        <v>475</v>
      </c>
      <c r="D2361" s="6" t="s">
        <v>116</v>
      </c>
      <c r="E2361" s="11">
        <v>0.49660947918891907</v>
      </c>
      <c r="F2361" s="11">
        <v>0.51441407203674316</v>
      </c>
    </row>
    <row r="2362" spans="1:6" hidden="1" x14ac:dyDescent="0.3">
      <c r="A2362" s="6">
        <v>17</v>
      </c>
      <c r="B2362" s="6" t="s">
        <v>115</v>
      </c>
      <c r="C2362" s="6" t="s">
        <v>476</v>
      </c>
      <c r="D2362" s="6" t="s">
        <v>116</v>
      </c>
      <c r="E2362" s="11">
        <v>0.48823955655097961</v>
      </c>
      <c r="F2362" s="11">
        <v>0.51441407203674316</v>
      </c>
    </row>
    <row r="2363" spans="1:6" hidden="1" x14ac:dyDescent="0.3">
      <c r="A2363" s="6">
        <v>17</v>
      </c>
      <c r="B2363" s="6" t="s">
        <v>115</v>
      </c>
      <c r="C2363" s="6" t="s">
        <v>477</v>
      </c>
      <c r="D2363" s="6" t="s">
        <v>116</v>
      </c>
      <c r="E2363" s="11">
        <v>0.53434044122695923</v>
      </c>
      <c r="F2363" s="11">
        <v>0.51441407203674316</v>
      </c>
    </row>
    <row r="2364" spans="1:6" hidden="1" x14ac:dyDescent="0.3">
      <c r="A2364" s="6">
        <v>17</v>
      </c>
      <c r="B2364" s="6" t="s">
        <v>115</v>
      </c>
      <c r="C2364" s="6" t="s">
        <v>478</v>
      </c>
      <c r="D2364" s="6" t="s">
        <v>116</v>
      </c>
      <c r="E2364" s="11">
        <v>1.132487416267395</v>
      </c>
      <c r="F2364" s="11">
        <v>0.51441407203674316</v>
      </c>
    </row>
    <row r="2365" spans="1:6" hidden="1" x14ac:dyDescent="0.3">
      <c r="A2365" s="6">
        <v>17</v>
      </c>
      <c r="B2365" s="6" t="s">
        <v>115</v>
      </c>
      <c r="C2365" s="6" t="s">
        <v>479</v>
      </c>
      <c r="D2365" s="6" t="s">
        <v>116</v>
      </c>
      <c r="E2365" s="11">
        <v>0.59862732887268066</v>
      </c>
      <c r="F2365" s="11">
        <v>0.51441407203674316</v>
      </c>
    </row>
    <row r="2366" spans="1:6" hidden="1" x14ac:dyDescent="0.3">
      <c r="A2366" s="6">
        <v>17</v>
      </c>
      <c r="B2366" s="6" t="s">
        <v>115</v>
      </c>
      <c r="C2366" s="6" t="s">
        <v>480</v>
      </c>
      <c r="D2366" s="6" t="s">
        <v>116</v>
      </c>
      <c r="E2366" s="11">
        <v>1.0321477651596069</v>
      </c>
      <c r="F2366" s="11">
        <v>0.51441407203674316</v>
      </c>
    </row>
    <row r="2367" spans="1:6" hidden="1" x14ac:dyDescent="0.3">
      <c r="A2367" s="6">
        <v>17</v>
      </c>
      <c r="B2367" s="6" t="s">
        <v>115</v>
      </c>
      <c r="C2367" s="6" t="s">
        <v>481</v>
      </c>
      <c r="D2367" s="6" t="s">
        <v>116</v>
      </c>
      <c r="E2367" s="11">
        <v>0.70382684469223022</v>
      </c>
      <c r="F2367" s="11">
        <v>0.51441407203674316</v>
      </c>
    </row>
    <row r="2368" spans="1:6" hidden="1" x14ac:dyDescent="0.3">
      <c r="A2368" s="6">
        <v>17</v>
      </c>
      <c r="B2368" s="6" t="s">
        <v>115</v>
      </c>
      <c r="C2368" s="6" t="s">
        <v>482</v>
      </c>
      <c r="D2368" s="6" t="s">
        <v>116</v>
      </c>
      <c r="E2368" s="11">
        <v>0.50468713045120239</v>
      </c>
      <c r="F2368" s="11">
        <v>0.51441407203674316</v>
      </c>
    </row>
    <row r="2369" spans="1:6" hidden="1" x14ac:dyDescent="0.3">
      <c r="A2369" s="6">
        <v>17</v>
      </c>
      <c r="B2369" s="6" t="s">
        <v>115</v>
      </c>
      <c r="C2369" s="6" t="s">
        <v>483</v>
      </c>
      <c r="D2369" s="6" t="s">
        <v>116</v>
      </c>
      <c r="E2369" s="11">
        <v>0.43420562148094177</v>
      </c>
      <c r="F2369" s="11">
        <v>0.51441407203674316</v>
      </c>
    </row>
    <row r="2370" spans="1:6" hidden="1" x14ac:dyDescent="0.3">
      <c r="A2370" s="6">
        <v>17</v>
      </c>
      <c r="B2370" s="6" t="s">
        <v>115</v>
      </c>
      <c r="C2370" s="6" t="s">
        <v>484</v>
      </c>
      <c r="D2370" s="6" t="s">
        <v>116</v>
      </c>
      <c r="E2370" s="11">
        <v>0.63952493667602539</v>
      </c>
      <c r="F2370" s="11">
        <v>0.51441407203674316</v>
      </c>
    </row>
    <row r="2371" spans="1:6" hidden="1" x14ac:dyDescent="0.3">
      <c r="A2371" s="6">
        <v>17</v>
      </c>
      <c r="B2371" s="6" t="s">
        <v>115</v>
      </c>
      <c r="C2371" s="6" t="s">
        <v>485</v>
      </c>
      <c r="D2371" s="6" t="s">
        <v>116</v>
      </c>
      <c r="E2371" s="11">
        <v>0.42579805850982666</v>
      </c>
      <c r="F2371" s="11">
        <v>0.51441407203674316</v>
      </c>
    </row>
    <row r="2372" spans="1:6" hidden="1" x14ac:dyDescent="0.3">
      <c r="A2372" s="6">
        <v>17</v>
      </c>
      <c r="B2372" s="6" t="s">
        <v>115</v>
      </c>
      <c r="C2372" s="6" t="s">
        <v>486</v>
      </c>
      <c r="D2372" s="6" t="s">
        <v>116</v>
      </c>
      <c r="E2372" s="11">
        <v>0.60937803983688354</v>
      </c>
      <c r="F2372" s="11">
        <v>0.51441407203674316</v>
      </c>
    </row>
    <row r="2373" spans="1:6" hidden="1" x14ac:dyDescent="0.3">
      <c r="A2373" s="6">
        <v>17</v>
      </c>
      <c r="B2373" s="6" t="s">
        <v>115</v>
      </c>
      <c r="C2373" s="6" t="s">
        <v>487</v>
      </c>
      <c r="D2373" s="6" t="s">
        <v>116</v>
      </c>
      <c r="E2373" s="11">
        <v>2.083153247833252</v>
      </c>
      <c r="F2373" s="11">
        <v>0.51441407203674316</v>
      </c>
    </row>
    <row r="2374" spans="1:6" hidden="1" x14ac:dyDescent="0.3">
      <c r="A2374" s="6">
        <v>17</v>
      </c>
      <c r="B2374" s="6" t="s">
        <v>115</v>
      </c>
      <c r="C2374" s="6" t="s">
        <v>488</v>
      </c>
      <c r="D2374" s="6" t="s">
        <v>116</v>
      </c>
      <c r="E2374" s="11">
        <v>0.5089072585105896</v>
      </c>
      <c r="F2374" s="11">
        <v>0.51441407203674316</v>
      </c>
    </row>
    <row r="2375" spans="1:6" hidden="1" x14ac:dyDescent="0.3">
      <c r="A2375" s="6">
        <v>17</v>
      </c>
      <c r="B2375" s="6" t="s">
        <v>115</v>
      </c>
      <c r="C2375" s="6" t="s">
        <v>489</v>
      </c>
      <c r="D2375" s="6" t="s">
        <v>116</v>
      </c>
      <c r="E2375" s="11">
        <v>0.78981912136077881</v>
      </c>
      <c r="F2375" s="11">
        <v>0.51441407203674316</v>
      </c>
    </row>
    <row r="2376" spans="1:6" hidden="1" x14ac:dyDescent="0.3">
      <c r="A2376" s="6">
        <v>17</v>
      </c>
      <c r="B2376" s="6" t="s">
        <v>115</v>
      </c>
      <c r="C2376" s="6" t="s">
        <v>490</v>
      </c>
      <c r="D2376" s="6" t="s">
        <v>116</v>
      </c>
      <c r="E2376" s="11">
        <v>0.60667258501052856</v>
      </c>
      <c r="F2376" s="11">
        <v>0.51441407203674316</v>
      </c>
    </row>
    <row r="2377" spans="1:6" hidden="1" x14ac:dyDescent="0.3">
      <c r="A2377" s="6">
        <v>17</v>
      </c>
      <c r="B2377" s="6" t="s">
        <v>115</v>
      </c>
      <c r="C2377" s="6" t="s">
        <v>491</v>
      </c>
      <c r="D2377" s="6" t="s">
        <v>116</v>
      </c>
      <c r="E2377" s="11">
        <v>0.65476030111312866</v>
      </c>
      <c r="F2377" s="11">
        <v>0.51441407203674316</v>
      </c>
    </row>
    <row r="2378" spans="1:6" hidden="1" x14ac:dyDescent="0.3">
      <c r="A2378" s="6">
        <v>17</v>
      </c>
      <c r="B2378" s="6" t="s">
        <v>115</v>
      </c>
      <c r="C2378" s="6" t="s">
        <v>492</v>
      </c>
      <c r="D2378" s="6" t="s">
        <v>116</v>
      </c>
      <c r="E2378" s="11">
        <v>0.43134179711341858</v>
      </c>
      <c r="F2378" s="11">
        <v>0.51441407203674316</v>
      </c>
    </row>
    <row r="2379" spans="1:6" hidden="1" x14ac:dyDescent="0.3">
      <c r="A2379" s="6">
        <v>17</v>
      </c>
      <c r="B2379" s="6" t="s">
        <v>115</v>
      </c>
      <c r="C2379" s="6" t="s">
        <v>493</v>
      </c>
      <c r="D2379" s="6" t="s">
        <v>116</v>
      </c>
      <c r="E2379" s="11">
        <v>3.3521842956542969</v>
      </c>
      <c r="F2379" s="11">
        <v>0.51441407203674316</v>
      </c>
    </row>
    <row r="2380" spans="1:6" hidden="1" x14ac:dyDescent="0.3">
      <c r="A2380" s="6">
        <v>17</v>
      </c>
      <c r="B2380" s="6" t="s">
        <v>115</v>
      </c>
      <c r="C2380" s="6" t="s">
        <v>494</v>
      </c>
      <c r="D2380" s="6" t="s">
        <v>116</v>
      </c>
      <c r="E2380" s="11"/>
      <c r="F2380" s="11">
        <v>0.51441407203674316</v>
      </c>
    </row>
    <row r="2381" spans="1:6" hidden="1" x14ac:dyDescent="0.3">
      <c r="A2381" s="6">
        <v>17</v>
      </c>
      <c r="B2381" s="6" t="s">
        <v>115</v>
      </c>
      <c r="C2381" s="6" t="s">
        <v>495</v>
      </c>
      <c r="D2381" s="6" t="s">
        <v>116</v>
      </c>
      <c r="E2381" s="11">
        <v>0.49314078688621521</v>
      </c>
      <c r="F2381" s="11">
        <v>0.51441407203674316</v>
      </c>
    </row>
    <row r="2382" spans="1:6" hidden="1" x14ac:dyDescent="0.3">
      <c r="A2382" s="6">
        <v>18</v>
      </c>
      <c r="B2382" s="6" t="s">
        <v>117</v>
      </c>
      <c r="C2382" s="6" t="s">
        <v>356</v>
      </c>
      <c r="D2382" s="6" t="s">
        <v>118</v>
      </c>
      <c r="E2382" s="11">
        <v>0.49542397260665894</v>
      </c>
      <c r="F2382" s="11">
        <v>0.7003103494644165</v>
      </c>
    </row>
    <row r="2383" spans="1:6" hidden="1" x14ac:dyDescent="0.3">
      <c r="A2383" s="6">
        <v>18</v>
      </c>
      <c r="B2383" s="6" t="s">
        <v>117</v>
      </c>
      <c r="C2383" s="6" t="s">
        <v>357</v>
      </c>
      <c r="D2383" s="6" t="s">
        <v>118</v>
      </c>
      <c r="E2383" s="11">
        <v>0.4557839035987854</v>
      </c>
      <c r="F2383" s="11">
        <v>0.7003103494644165</v>
      </c>
    </row>
    <row r="2384" spans="1:6" hidden="1" x14ac:dyDescent="0.3">
      <c r="A2384" s="6">
        <v>18</v>
      </c>
      <c r="B2384" s="6" t="s">
        <v>117</v>
      </c>
      <c r="C2384" s="6" t="s">
        <v>358</v>
      </c>
      <c r="D2384" s="6" t="s">
        <v>118</v>
      </c>
      <c r="E2384" s="11">
        <v>0.58693277835845947</v>
      </c>
      <c r="F2384" s="11">
        <v>0.7003103494644165</v>
      </c>
    </row>
    <row r="2385" spans="1:6" hidden="1" x14ac:dyDescent="0.3">
      <c r="A2385" s="6">
        <v>18</v>
      </c>
      <c r="B2385" s="6" t="s">
        <v>117</v>
      </c>
      <c r="C2385" s="6" t="s">
        <v>359</v>
      </c>
      <c r="D2385" s="6" t="s">
        <v>118</v>
      </c>
      <c r="E2385" s="11">
        <v>0.68907904624938965</v>
      </c>
      <c r="F2385" s="11">
        <v>0.7003103494644165</v>
      </c>
    </row>
    <row r="2386" spans="1:6" hidden="1" x14ac:dyDescent="0.3">
      <c r="A2386" s="6">
        <v>18</v>
      </c>
      <c r="B2386" s="6" t="s">
        <v>117</v>
      </c>
      <c r="C2386" s="6" t="s">
        <v>360</v>
      </c>
      <c r="D2386" s="6" t="s">
        <v>118</v>
      </c>
      <c r="E2386" s="11">
        <v>0.55699151754379272</v>
      </c>
      <c r="F2386" s="11">
        <v>0.7003103494644165</v>
      </c>
    </row>
    <row r="2387" spans="1:6" hidden="1" x14ac:dyDescent="0.3">
      <c r="A2387" s="6">
        <v>18</v>
      </c>
      <c r="B2387" s="6" t="s">
        <v>117</v>
      </c>
      <c r="C2387" s="6" t="s">
        <v>361</v>
      </c>
      <c r="D2387" s="6" t="s">
        <v>118</v>
      </c>
      <c r="E2387" s="11">
        <v>0.82065290212631226</v>
      </c>
      <c r="F2387" s="11">
        <v>0.7003103494644165</v>
      </c>
    </row>
    <row r="2388" spans="1:6" hidden="1" x14ac:dyDescent="0.3">
      <c r="A2388" s="6">
        <v>18</v>
      </c>
      <c r="B2388" s="6" t="s">
        <v>117</v>
      </c>
      <c r="C2388" s="6" t="s">
        <v>362</v>
      </c>
      <c r="D2388" s="6" t="s">
        <v>118</v>
      </c>
      <c r="E2388" s="11">
        <v>1.3494386672973633</v>
      </c>
      <c r="F2388" s="11">
        <v>0.7003103494644165</v>
      </c>
    </row>
    <row r="2389" spans="1:6" hidden="1" x14ac:dyDescent="0.3">
      <c r="A2389" s="6">
        <v>18</v>
      </c>
      <c r="B2389" s="6" t="s">
        <v>117</v>
      </c>
      <c r="C2389" s="6" t="s">
        <v>363</v>
      </c>
      <c r="D2389" s="6" t="s">
        <v>118</v>
      </c>
      <c r="E2389" s="11">
        <v>1.0108652114868164</v>
      </c>
      <c r="F2389" s="11">
        <v>0.7003103494644165</v>
      </c>
    </row>
    <row r="2390" spans="1:6" hidden="1" x14ac:dyDescent="0.3">
      <c r="A2390" s="6">
        <v>18</v>
      </c>
      <c r="B2390" s="6" t="s">
        <v>117</v>
      </c>
      <c r="C2390" s="6" t="s">
        <v>364</v>
      </c>
      <c r="D2390" s="6" t="s">
        <v>118</v>
      </c>
      <c r="E2390" s="11">
        <v>0.56160199642181396</v>
      </c>
      <c r="F2390" s="11">
        <v>0.7003103494644165</v>
      </c>
    </row>
    <row r="2391" spans="1:6" hidden="1" x14ac:dyDescent="0.3">
      <c r="A2391" s="6">
        <v>18</v>
      </c>
      <c r="B2391" s="6" t="s">
        <v>117</v>
      </c>
      <c r="C2391" s="6" t="s">
        <v>365</v>
      </c>
      <c r="D2391" s="6" t="s">
        <v>118</v>
      </c>
      <c r="E2391" s="11">
        <v>0.46334508061408997</v>
      </c>
      <c r="F2391" s="11">
        <v>0.7003103494644165</v>
      </c>
    </row>
    <row r="2392" spans="1:6" hidden="1" x14ac:dyDescent="0.3">
      <c r="A2392" s="6">
        <v>18</v>
      </c>
      <c r="B2392" s="6" t="s">
        <v>117</v>
      </c>
      <c r="C2392" s="6" t="s">
        <v>366</v>
      </c>
      <c r="D2392" s="6" t="s">
        <v>118</v>
      </c>
      <c r="E2392" s="11">
        <v>0.7260705828666687</v>
      </c>
      <c r="F2392" s="11">
        <v>0.7003103494644165</v>
      </c>
    </row>
    <row r="2393" spans="1:6" hidden="1" x14ac:dyDescent="0.3">
      <c r="A2393" s="6">
        <v>18</v>
      </c>
      <c r="B2393" s="6" t="s">
        <v>117</v>
      </c>
      <c r="C2393" s="6" t="s">
        <v>367</v>
      </c>
      <c r="D2393" s="6" t="s">
        <v>118</v>
      </c>
      <c r="E2393" s="11">
        <v>1.1614943742752075</v>
      </c>
      <c r="F2393" s="11">
        <v>0.7003103494644165</v>
      </c>
    </row>
    <row r="2394" spans="1:6" hidden="1" x14ac:dyDescent="0.3">
      <c r="A2394" s="6">
        <v>18</v>
      </c>
      <c r="B2394" s="6" t="s">
        <v>117</v>
      </c>
      <c r="C2394" s="6" t="s">
        <v>368</v>
      </c>
      <c r="D2394" s="6" t="s">
        <v>118</v>
      </c>
      <c r="E2394" s="11">
        <v>0.46293953061103821</v>
      </c>
      <c r="F2394" s="11">
        <v>0.7003103494644165</v>
      </c>
    </row>
    <row r="2395" spans="1:6" hidden="1" x14ac:dyDescent="0.3">
      <c r="A2395" s="6">
        <v>18</v>
      </c>
      <c r="B2395" s="6" t="s">
        <v>117</v>
      </c>
      <c r="C2395" s="6" t="s">
        <v>369</v>
      </c>
      <c r="D2395" s="6" t="s">
        <v>118</v>
      </c>
      <c r="E2395" s="11">
        <v>1.1569904088973999</v>
      </c>
      <c r="F2395" s="11">
        <v>0.7003103494644165</v>
      </c>
    </row>
    <row r="2396" spans="1:6" hidden="1" x14ac:dyDescent="0.3">
      <c r="A2396" s="6">
        <v>18</v>
      </c>
      <c r="B2396" s="6" t="s">
        <v>117</v>
      </c>
      <c r="C2396" s="6" t="s">
        <v>370</v>
      </c>
      <c r="D2396" s="6" t="s">
        <v>118</v>
      </c>
      <c r="E2396" s="11">
        <v>0.53236168622970581</v>
      </c>
      <c r="F2396" s="11">
        <v>0.7003103494644165</v>
      </c>
    </row>
    <row r="2397" spans="1:6" hidden="1" x14ac:dyDescent="0.3">
      <c r="A2397" s="6">
        <v>18</v>
      </c>
      <c r="B2397" s="6" t="s">
        <v>117</v>
      </c>
      <c r="C2397" s="6" t="s">
        <v>371</v>
      </c>
      <c r="D2397" s="6" t="s">
        <v>118</v>
      </c>
      <c r="E2397" s="11">
        <v>0.67290538549423218</v>
      </c>
      <c r="F2397" s="11">
        <v>0.7003103494644165</v>
      </c>
    </row>
    <row r="2398" spans="1:6" hidden="1" x14ac:dyDescent="0.3">
      <c r="A2398" s="6">
        <v>18</v>
      </c>
      <c r="B2398" s="6" t="s">
        <v>117</v>
      </c>
      <c r="C2398" s="6" t="s">
        <v>372</v>
      </c>
      <c r="D2398" s="6" t="s">
        <v>118</v>
      </c>
      <c r="E2398" s="11">
        <v>0.56064885854721069</v>
      </c>
      <c r="F2398" s="11">
        <v>0.7003103494644165</v>
      </c>
    </row>
    <row r="2399" spans="1:6" hidden="1" x14ac:dyDescent="0.3">
      <c r="A2399" s="6">
        <v>18</v>
      </c>
      <c r="B2399" s="6" t="s">
        <v>117</v>
      </c>
      <c r="C2399" s="6" t="s">
        <v>373</v>
      </c>
      <c r="D2399" s="6" t="s">
        <v>118</v>
      </c>
      <c r="E2399" s="11">
        <v>0.43377497792243958</v>
      </c>
      <c r="F2399" s="11">
        <v>0.7003103494644165</v>
      </c>
    </row>
    <row r="2400" spans="1:6" hidden="1" x14ac:dyDescent="0.3">
      <c r="A2400" s="6">
        <v>18</v>
      </c>
      <c r="B2400" s="6" t="s">
        <v>117</v>
      </c>
      <c r="C2400" s="6" t="s">
        <v>374</v>
      </c>
      <c r="D2400" s="6" t="s">
        <v>118</v>
      </c>
      <c r="E2400" s="11">
        <v>0.70455390214920044</v>
      </c>
      <c r="F2400" s="11">
        <v>0.7003103494644165</v>
      </c>
    </row>
    <row r="2401" spans="1:6" hidden="1" x14ac:dyDescent="0.3">
      <c r="A2401" s="6">
        <v>18</v>
      </c>
      <c r="B2401" s="6" t="s">
        <v>117</v>
      </c>
      <c r="C2401" s="6" t="s">
        <v>375</v>
      </c>
      <c r="D2401" s="6" t="s">
        <v>118</v>
      </c>
      <c r="E2401" s="11">
        <v>0.93295735120773315</v>
      </c>
      <c r="F2401" s="11">
        <v>0.7003103494644165</v>
      </c>
    </row>
    <row r="2402" spans="1:6" hidden="1" x14ac:dyDescent="0.3">
      <c r="A2402" s="6">
        <v>18</v>
      </c>
      <c r="B2402" s="6" t="s">
        <v>117</v>
      </c>
      <c r="C2402" s="6" t="s">
        <v>376</v>
      </c>
      <c r="D2402" s="6" t="s">
        <v>118</v>
      </c>
      <c r="E2402" s="11">
        <v>0.66519570350646973</v>
      </c>
      <c r="F2402" s="11">
        <v>0.7003103494644165</v>
      </c>
    </row>
    <row r="2403" spans="1:6" hidden="1" x14ac:dyDescent="0.3">
      <c r="A2403" s="6">
        <v>18</v>
      </c>
      <c r="B2403" s="6" t="s">
        <v>117</v>
      </c>
      <c r="C2403" s="6" t="s">
        <v>377</v>
      </c>
      <c r="D2403" s="6" t="s">
        <v>118</v>
      </c>
      <c r="E2403" s="11">
        <v>0.82523238658905029</v>
      </c>
      <c r="F2403" s="11">
        <v>0.7003103494644165</v>
      </c>
    </row>
    <row r="2404" spans="1:6" hidden="1" x14ac:dyDescent="0.3">
      <c r="A2404" s="6">
        <v>18</v>
      </c>
      <c r="B2404" s="6" t="s">
        <v>117</v>
      </c>
      <c r="C2404" s="6" t="s">
        <v>378</v>
      </c>
      <c r="D2404" s="6" t="s">
        <v>118</v>
      </c>
      <c r="E2404" s="11">
        <v>0.94165956974029541</v>
      </c>
      <c r="F2404" s="11">
        <v>0.7003103494644165</v>
      </c>
    </row>
    <row r="2405" spans="1:6" hidden="1" x14ac:dyDescent="0.3">
      <c r="A2405" s="6">
        <v>18</v>
      </c>
      <c r="B2405" s="6" t="s">
        <v>117</v>
      </c>
      <c r="C2405" s="6" t="s">
        <v>379</v>
      </c>
      <c r="D2405" s="6" t="s">
        <v>118</v>
      </c>
      <c r="E2405" s="11">
        <v>1.7403609752655029</v>
      </c>
      <c r="F2405" s="11">
        <v>0.7003103494644165</v>
      </c>
    </row>
    <row r="2406" spans="1:6" hidden="1" x14ac:dyDescent="0.3">
      <c r="A2406" s="6">
        <v>18</v>
      </c>
      <c r="B2406" s="6" t="s">
        <v>117</v>
      </c>
      <c r="C2406" s="6" t="s">
        <v>380</v>
      </c>
      <c r="D2406" s="6" t="s">
        <v>118</v>
      </c>
      <c r="E2406" s="11">
        <v>0.48807996511459351</v>
      </c>
      <c r="F2406" s="11">
        <v>0.7003103494644165</v>
      </c>
    </row>
    <row r="2407" spans="1:6" hidden="1" x14ac:dyDescent="0.3">
      <c r="A2407" s="6">
        <v>18</v>
      </c>
      <c r="B2407" s="6" t="s">
        <v>117</v>
      </c>
      <c r="C2407" s="6" t="s">
        <v>381</v>
      </c>
      <c r="D2407" s="6" t="s">
        <v>118</v>
      </c>
      <c r="E2407" s="11">
        <v>0.94041901826858521</v>
      </c>
      <c r="F2407" s="11">
        <v>0.7003103494644165</v>
      </c>
    </row>
    <row r="2408" spans="1:6" hidden="1" x14ac:dyDescent="0.3">
      <c r="A2408" s="6">
        <v>18</v>
      </c>
      <c r="B2408" s="6" t="s">
        <v>117</v>
      </c>
      <c r="C2408" s="6" t="s">
        <v>382</v>
      </c>
      <c r="D2408" s="6" t="s">
        <v>118</v>
      </c>
      <c r="E2408" s="11">
        <v>0.60808080434799194</v>
      </c>
      <c r="F2408" s="11">
        <v>0.7003103494644165</v>
      </c>
    </row>
    <row r="2409" spans="1:6" hidden="1" x14ac:dyDescent="0.3">
      <c r="A2409" s="6">
        <v>18</v>
      </c>
      <c r="B2409" s="6" t="s">
        <v>117</v>
      </c>
      <c r="C2409" s="6" t="s">
        <v>383</v>
      </c>
      <c r="D2409" s="6" t="s">
        <v>118</v>
      </c>
      <c r="E2409" s="11">
        <v>0.7414061427116394</v>
      </c>
      <c r="F2409" s="11">
        <v>0.7003103494644165</v>
      </c>
    </row>
    <row r="2410" spans="1:6" hidden="1" x14ac:dyDescent="0.3">
      <c r="A2410" s="6">
        <v>18</v>
      </c>
      <c r="B2410" s="6" t="s">
        <v>117</v>
      </c>
      <c r="C2410" s="6" t="s">
        <v>384</v>
      </c>
      <c r="D2410" s="6" t="s">
        <v>118</v>
      </c>
      <c r="E2410" s="11">
        <v>0.7988743782043457</v>
      </c>
      <c r="F2410" s="11">
        <v>0.7003103494644165</v>
      </c>
    </row>
    <row r="2411" spans="1:6" hidden="1" x14ac:dyDescent="0.3">
      <c r="A2411" s="6">
        <v>18</v>
      </c>
      <c r="B2411" s="6" t="s">
        <v>117</v>
      </c>
      <c r="C2411" s="6" t="s">
        <v>385</v>
      </c>
      <c r="D2411" s="6" t="s">
        <v>118</v>
      </c>
      <c r="E2411" s="11">
        <v>0.77995282411575317</v>
      </c>
      <c r="F2411" s="11">
        <v>0.7003103494644165</v>
      </c>
    </row>
    <row r="2412" spans="1:6" hidden="1" x14ac:dyDescent="0.3">
      <c r="A2412" s="6">
        <v>18</v>
      </c>
      <c r="B2412" s="6" t="s">
        <v>117</v>
      </c>
      <c r="C2412" s="6" t="s">
        <v>386</v>
      </c>
      <c r="D2412" s="6" t="s">
        <v>118</v>
      </c>
      <c r="E2412" s="11">
        <v>0.90263241529464722</v>
      </c>
      <c r="F2412" s="11">
        <v>0.7003103494644165</v>
      </c>
    </row>
    <row r="2413" spans="1:6" hidden="1" x14ac:dyDescent="0.3">
      <c r="A2413" s="6">
        <v>18</v>
      </c>
      <c r="B2413" s="6" t="s">
        <v>117</v>
      </c>
      <c r="C2413" s="6" t="s">
        <v>387</v>
      </c>
      <c r="D2413" s="6" t="s">
        <v>118</v>
      </c>
      <c r="E2413" s="11">
        <v>0.64495980739593506</v>
      </c>
      <c r="F2413" s="11">
        <v>0.7003103494644165</v>
      </c>
    </row>
    <row r="2414" spans="1:6" hidden="1" x14ac:dyDescent="0.3">
      <c r="A2414" s="6">
        <v>18</v>
      </c>
      <c r="B2414" s="6" t="s">
        <v>117</v>
      </c>
      <c r="C2414" s="6" t="s">
        <v>388</v>
      </c>
      <c r="D2414" s="6" t="s">
        <v>118</v>
      </c>
      <c r="E2414" s="11">
        <v>0.71663862466812134</v>
      </c>
      <c r="F2414" s="11">
        <v>0.7003103494644165</v>
      </c>
    </row>
    <row r="2415" spans="1:6" hidden="1" x14ac:dyDescent="0.3">
      <c r="A2415" s="6">
        <v>18</v>
      </c>
      <c r="B2415" s="6" t="s">
        <v>117</v>
      </c>
      <c r="C2415" s="6" t="s">
        <v>389</v>
      </c>
      <c r="D2415" s="6" t="s">
        <v>118</v>
      </c>
      <c r="E2415" s="11">
        <v>0.84141159057617188</v>
      </c>
      <c r="F2415" s="11">
        <v>0.7003103494644165</v>
      </c>
    </row>
    <row r="2416" spans="1:6" hidden="1" x14ac:dyDescent="0.3">
      <c r="A2416" s="6">
        <v>18</v>
      </c>
      <c r="B2416" s="6" t="s">
        <v>117</v>
      </c>
      <c r="C2416" s="6" t="s">
        <v>390</v>
      </c>
      <c r="D2416" s="6" t="s">
        <v>118</v>
      </c>
      <c r="E2416" s="11">
        <v>0.76624393463134766</v>
      </c>
      <c r="F2416" s="11">
        <v>0.7003103494644165</v>
      </c>
    </row>
    <row r="2417" spans="1:6" hidden="1" x14ac:dyDescent="0.3">
      <c r="A2417" s="6">
        <v>18</v>
      </c>
      <c r="B2417" s="6" t="s">
        <v>117</v>
      </c>
      <c r="C2417" s="6" t="s">
        <v>391</v>
      </c>
      <c r="D2417" s="6" t="s">
        <v>118</v>
      </c>
      <c r="E2417" s="11">
        <v>0.64036542177200317</v>
      </c>
      <c r="F2417" s="11">
        <v>0.7003103494644165</v>
      </c>
    </row>
    <row r="2418" spans="1:6" hidden="1" x14ac:dyDescent="0.3">
      <c r="A2418" s="6">
        <v>18</v>
      </c>
      <c r="B2418" s="6" t="s">
        <v>117</v>
      </c>
      <c r="C2418" s="6" t="s">
        <v>392</v>
      </c>
      <c r="D2418" s="6" t="s">
        <v>118</v>
      </c>
      <c r="E2418" s="11">
        <v>1.0409021377563477</v>
      </c>
      <c r="F2418" s="11">
        <v>0.7003103494644165</v>
      </c>
    </row>
    <row r="2419" spans="1:6" hidden="1" x14ac:dyDescent="0.3">
      <c r="A2419" s="6">
        <v>18</v>
      </c>
      <c r="B2419" s="6" t="s">
        <v>117</v>
      </c>
      <c r="C2419" s="6" t="s">
        <v>393</v>
      </c>
      <c r="D2419" s="6" t="s">
        <v>118</v>
      </c>
      <c r="E2419" s="11">
        <v>0.92514169216156006</v>
      </c>
      <c r="F2419" s="11">
        <v>0.7003103494644165</v>
      </c>
    </row>
    <row r="2420" spans="1:6" hidden="1" x14ac:dyDescent="0.3">
      <c r="A2420" s="6">
        <v>18</v>
      </c>
      <c r="B2420" s="6" t="s">
        <v>117</v>
      </c>
      <c r="C2420" s="6" t="s">
        <v>394</v>
      </c>
      <c r="D2420" s="6" t="s">
        <v>118</v>
      </c>
      <c r="E2420" s="11">
        <v>1.2146772146224976</v>
      </c>
      <c r="F2420" s="11">
        <v>0.7003103494644165</v>
      </c>
    </row>
    <row r="2421" spans="1:6" hidden="1" x14ac:dyDescent="0.3">
      <c r="A2421" s="6">
        <v>18</v>
      </c>
      <c r="B2421" s="6" t="s">
        <v>117</v>
      </c>
      <c r="C2421" s="6" t="s">
        <v>395</v>
      </c>
      <c r="D2421" s="6" t="s">
        <v>118</v>
      </c>
      <c r="E2421" s="11">
        <v>0.95182788372039795</v>
      </c>
      <c r="F2421" s="11">
        <v>0.7003103494644165</v>
      </c>
    </row>
    <row r="2422" spans="1:6" hidden="1" x14ac:dyDescent="0.3">
      <c r="A2422" s="6">
        <v>18</v>
      </c>
      <c r="B2422" s="6" t="s">
        <v>117</v>
      </c>
      <c r="C2422" s="6" t="s">
        <v>396</v>
      </c>
      <c r="D2422" s="6" t="s">
        <v>118</v>
      </c>
      <c r="E2422" s="11">
        <v>0.54543572664260864</v>
      </c>
      <c r="F2422" s="11">
        <v>0.7003103494644165</v>
      </c>
    </row>
    <row r="2423" spans="1:6" hidden="1" x14ac:dyDescent="0.3">
      <c r="A2423" s="6">
        <v>18</v>
      </c>
      <c r="B2423" s="6" t="s">
        <v>117</v>
      </c>
      <c r="C2423" s="6" t="s">
        <v>397</v>
      </c>
      <c r="D2423" s="6" t="s">
        <v>118</v>
      </c>
      <c r="E2423" s="11">
        <v>0.63280612230300903</v>
      </c>
      <c r="F2423" s="11">
        <v>0.7003103494644165</v>
      </c>
    </row>
    <row r="2424" spans="1:6" hidden="1" x14ac:dyDescent="0.3">
      <c r="A2424" s="6">
        <v>18</v>
      </c>
      <c r="B2424" s="6" t="s">
        <v>117</v>
      </c>
      <c r="C2424" s="6" t="s">
        <v>398</v>
      </c>
      <c r="D2424" s="6" t="s">
        <v>118</v>
      </c>
      <c r="E2424" s="11">
        <v>0.63708144426345825</v>
      </c>
      <c r="F2424" s="11">
        <v>0.7003103494644165</v>
      </c>
    </row>
    <row r="2425" spans="1:6" hidden="1" x14ac:dyDescent="0.3">
      <c r="A2425" s="6">
        <v>18</v>
      </c>
      <c r="B2425" s="6" t="s">
        <v>117</v>
      </c>
      <c r="C2425" s="6" t="s">
        <v>399</v>
      </c>
      <c r="D2425" s="6" t="s">
        <v>118</v>
      </c>
      <c r="E2425" s="11">
        <v>0.52278399467468262</v>
      </c>
      <c r="F2425" s="11">
        <v>0.7003103494644165</v>
      </c>
    </row>
    <row r="2426" spans="1:6" hidden="1" x14ac:dyDescent="0.3">
      <c r="A2426" s="6">
        <v>18</v>
      </c>
      <c r="B2426" s="6" t="s">
        <v>117</v>
      </c>
      <c r="C2426" s="6" t="s">
        <v>400</v>
      </c>
      <c r="D2426" s="6" t="s">
        <v>118</v>
      </c>
      <c r="E2426" s="11">
        <v>1.2376877069473267</v>
      </c>
      <c r="F2426" s="11">
        <v>0.7003103494644165</v>
      </c>
    </row>
    <row r="2427" spans="1:6" hidden="1" x14ac:dyDescent="0.3">
      <c r="A2427" s="6">
        <v>18</v>
      </c>
      <c r="B2427" s="6" t="s">
        <v>117</v>
      </c>
      <c r="C2427" s="6" t="s">
        <v>401</v>
      </c>
      <c r="D2427" s="6" t="s">
        <v>118</v>
      </c>
      <c r="E2427" s="11">
        <v>0.81366384029388428</v>
      </c>
      <c r="F2427" s="11">
        <v>0.7003103494644165</v>
      </c>
    </row>
    <row r="2428" spans="1:6" hidden="1" x14ac:dyDescent="0.3">
      <c r="A2428" s="6">
        <v>18</v>
      </c>
      <c r="B2428" s="6" t="s">
        <v>117</v>
      </c>
      <c r="C2428" s="6" t="s">
        <v>402</v>
      </c>
      <c r="D2428" s="6" t="s">
        <v>118</v>
      </c>
      <c r="E2428" s="11">
        <v>1.7834069728851318</v>
      </c>
      <c r="F2428" s="11">
        <v>0.7003103494644165</v>
      </c>
    </row>
    <row r="2429" spans="1:6" hidden="1" x14ac:dyDescent="0.3">
      <c r="A2429" s="6">
        <v>18</v>
      </c>
      <c r="B2429" s="6" t="s">
        <v>117</v>
      </c>
      <c r="C2429" s="6" t="s">
        <v>403</v>
      </c>
      <c r="D2429" s="6" t="s">
        <v>118</v>
      </c>
      <c r="E2429" s="11">
        <v>0.78993409872055054</v>
      </c>
      <c r="F2429" s="11">
        <v>0.7003103494644165</v>
      </c>
    </row>
    <row r="2430" spans="1:6" hidden="1" x14ac:dyDescent="0.3">
      <c r="A2430" s="6">
        <v>18</v>
      </c>
      <c r="B2430" s="6" t="s">
        <v>117</v>
      </c>
      <c r="C2430" s="6" t="s">
        <v>404</v>
      </c>
      <c r="D2430" s="6" t="s">
        <v>118</v>
      </c>
      <c r="E2430" s="11">
        <v>0.55589169263839722</v>
      </c>
      <c r="F2430" s="11">
        <v>0.7003103494644165</v>
      </c>
    </row>
    <row r="2431" spans="1:6" hidden="1" x14ac:dyDescent="0.3">
      <c r="A2431" s="6">
        <v>18</v>
      </c>
      <c r="B2431" s="6" t="s">
        <v>117</v>
      </c>
      <c r="C2431" s="6" t="s">
        <v>405</v>
      </c>
      <c r="D2431" s="6" t="s">
        <v>118</v>
      </c>
      <c r="E2431" s="11">
        <v>0.58228105306625366</v>
      </c>
      <c r="F2431" s="11">
        <v>0.7003103494644165</v>
      </c>
    </row>
    <row r="2432" spans="1:6" hidden="1" x14ac:dyDescent="0.3">
      <c r="A2432" s="6">
        <v>18</v>
      </c>
      <c r="B2432" s="6" t="s">
        <v>117</v>
      </c>
      <c r="C2432" s="6" t="s">
        <v>406</v>
      </c>
      <c r="D2432" s="6" t="s">
        <v>118</v>
      </c>
      <c r="E2432" s="11">
        <v>0.76710271835327148</v>
      </c>
      <c r="F2432" s="11">
        <v>0.7003103494644165</v>
      </c>
    </row>
    <row r="2433" spans="1:6" hidden="1" x14ac:dyDescent="0.3">
      <c r="A2433" s="6">
        <v>18</v>
      </c>
      <c r="B2433" s="6" t="s">
        <v>117</v>
      </c>
      <c r="C2433" s="6" t="s">
        <v>407</v>
      </c>
      <c r="D2433" s="6" t="s">
        <v>118</v>
      </c>
      <c r="E2433" s="11">
        <v>0.49389705061912537</v>
      </c>
      <c r="F2433" s="11">
        <v>0.7003103494644165</v>
      </c>
    </row>
    <row r="2434" spans="1:6" hidden="1" x14ac:dyDescent="0.3">
      <c r="A2434" s="6">
        <v>18</v>
      </c>
      <c r="B2434" s="6" t="s">
        <v>117</v>
      </c>
      <c r="C2434" s="6" t="s">
        <v>408</v>
      </c>
      <c r="D2434" s="6" t="s">
        <v>118</v>
      </c>
      <c r="E2434" s="11">
        <v>0.70014524459838867</v>
      </c>
      <c r="F2434" s="11">
        <v>0.7003103494644165</v>
      </c>
    </row>
    <row r="2435" spans="1:6" hidden="1" x14ac:dyDescent="0.3">
      <c r="A2435" s="6">
        <v>18</v>
      </c>
      <c r="B2435" s="6" t="s">
        <v>117</v>
      </c>
      <c r="C2435" s="6" t="s">
        <v>409</v>
      </c>
      <c r="D2435" s="6" t="s">
        <v>118</v>
      </c>
      <c r="E2435" s="11">
        <v>0.80316674709320068</v>
      </c>
      <c r="F2435" s="11">
        <v>0.7003103494644165</v>
      </c>
    </row>
    <row r="2436" spans="1:6" hidden="1" x14ac:dyDescent="0.3">
      <c r="A2436" s="6">
        <v>18</v>
      </c>
      <c r="B2436" s="6" t="s">
        <v>117</v>
      </c>
      <c r="C2436" s="6" t="s">
        <v>410</v>
      </c>
      <c r="D2436" s="6" t="s">
        <v>118</v>
      </c>
      <c r="E2436" s="11">
        <v>8050.19970703125</v>
      </c>
      <c r="F2436" s="11">
        <v>0.7003103494644165</v>
      </c>
    </row>
    <row r="2437" spans="1:6" hidden="1" x14ac:dyDescent="0.3">
      <c r="A2437" s="6">
        <v>18</v>
      </c>
      <c r="B2437" s="6" t="s">
        <v>117</v>
      </c>
      <c r="C2437" s="6" t="s">
        <v>411</v>
      </c>
      <c r="D2437" s="6" t="s">
        <v>118</v>
      </c>
      <c r="E2437" s="11">
        <v>0.75529402494430542</v>
      </c>
      <c r="F2437" s="11">
        <v>0.7003103494644165</v>
      </c>
    </row>
    <row r="2438" spans="1:6" hidden="1" x14ac:dyDescent="0.3">
      <c r="A2438" s="6">
        <v>18</v>
      </c>
      <c r="B2438" s="6" t="s">
        <v>117</v>
      </c>
      <c r="C2438" s="6" t="s">
        <v>412</v>
      </c>
      <c r="D2438" s="6" t="s">
        <v>118</v>
      </c>
      <c r="E2438" s="11">
        <v>1.0528322458267212</v>
      </c>
      <c r="F2438" s="11">
        <v>0.7003103494644165</v>
      </c>
    </row>
    <row r="2439" spans="1:6" hidden="1" x14ac:dyDescent="0.3">
      <c r="A2439" s="6">
        <v>18</v>
      </c>
      <c r="B2439" s="6" t="s">
        <v>117</v>
      </c>
      <c r="C2439" s="6" t="s">
        <v>413</v>
      </c>
      <c r="D2439" s="6" t="s">
        <v>118</v>
      </c>
      <c r="E2439" s="11">
        <v>0.94066619873046875</v>
      </c>
      <c r="F2439" s="11">
        <v>0.7003103494644165</v>
      </c>
    </row>
    <row r="2440" spans="1:6" hidden="1" x14ac:dyDescent="0.3">
      <c r="A2440" s="6">
        <v>18</v>
      </c>
      <c r="B2440" s="6" t="s">
        <v>117</v>
      </c>
      <c r="C2440" s="6" t="s">
        <v>414</v>
      </c>
      <c r="D2440" s="6" t="s">
        <v>118</v>
      </c>
      <c r="E2440" s="11">
        <v>1.253201961517334</v>
      </c>
      <c r="F2440" s="11">
        <v>0.7003103494644165</v>
      </c>
    </row>
    <row r="2441" spans="1:6" hidden="1" x14ac:dyDescent="0.3">
      <c r="A2441" s="6">
        <v>18</v>
      </c>
      <c r="B2441" s="6" t="s">
        <v>117</v>
      </c>
      <c r="C2441" s="6" t="s">
        <v>415</v>
      </c>
      <c r="D2441" s="6" t="s">
        <v>118</v>
      </c>
      <c r="E2441" s="11">
        <v>0.84360975027084351</v>
      </c>
      <c r="F2441" s="11">
        <v>0.7003103494644165</v>
      </c>
    </row>
    <row r="2442" spans="1:6" hidden="1" x14ac:dyDescent="0.3">
      <c r="A2442" s="6">
        <v>18</v>
      </c>
      <c r="B2442" s="6" t="s">
        <v>117</v>
      </c>
      <c r="C2442" s="6" t="s">
        <v>416</v>
      </c>
      <c r="D2442" s="6" t="s">
        <v>118</v>
      </c>
      <c r="E2442" s="11">
        <v>1.0108054876327515</v>
      </c>
      <c r="F2442" s="11">
        <v>0.7003103494644165</v>
      </c>
    </row>
    <row r="2443" spans="1:6" hidden="1" x14ac:dyDescent="0.3">
      <c r="A2443" s="6">
        <v>18</v>
      </c>
      <c r="B2443" s="6" t="s">
        <v>117</v>
      </c>
      <c r="C2443" s="6" t="s">
        <v>417</v>
      </c>
      <c r="D2443" s="6" t="s">
        <v>118</v>
      </c>
      <c r="E2443" s="11">
        <v>0.60266238451004028</v>
      </c>
      <c r="F2443" s="11">
        <v>0.7003103494644165</v>
      </c>
    </row>
    <row r="2444" spans="1:6" hidden="1" x14ac:dyDescent="0.3">
      <c r="A2444" s="6">
        <v>18</v>
      </c>
      <c r="B2444" s="6" t="s">
        <v>117</v>
      </c>
      <c r="C2444" s="6" t="s">
        <v>418</v>
      </c>
      <c r="D2444" s="6" t="s">
        <v>118</v>
      </c>
      <c r="E2444" s="11">
        <v>0.46898120641708374</v>
      </c>
      <c r="F2444" s="11">
        <v>0.7003103494644165</v>
      </c>
    </row>
    <row r="2445" spans="1:6" hidden="1" x14ac:dyDescent="0.3">
      <c r="A2445" s="6">
        <v>18</v>
      </c>
      <c r="B2445" s="6" t="s">
        <v>117</v>
      </c>
      <c r="C2445" s="6" t="s">
        <v>419</v>
      </c>
      <c r="D2445" s="6" t="s">
        <v>118</v>
      </c>
      <c r="E2445" s="11">
        <v>4.9660286903381348</v>
      </c>
      <c r="F2445" s="11">
        <v>0.7003103494644165</v>
      </c>
    </row>
    <row r="2446" spans="1:6" hidden="1" x14ac:dyDescent="0.3">
      <c r="A2446" s="6">
        <v>18</v>
      </c>
      <c r="B2446" s="6" t="s">
        <v>117</v>
      </c>
      <c r="C2446" s="6" t="s">
        <v>420</v>
      </c>
      <c r="D2446" s="6" t="s">
        <v>118</v>
      </c>
      <c r="E2446" s="11">
        <v>0.49999147653579712</v>
      </c>
      <c r="F2446" s="11">
        <v>0.7003103494644165</v>
      </c>
    </row>
    <row r="2447" spans="1:6" hidden="1" x14ac:dyDescent="0.3">
      <c r="A2447" s="6">
        <v>18</v>
      </c>
      <c r="B2447" s="6" t="s">
        <v>117</v>
      </c>
      <c r="C2447" s="6" t="s">
        <v>421</v>
      </c>
      <c r="D2447" s="6" t="s">
        <v>118</v>
      </c>
      <c r="E2447" s="11">
        <v>0.71564716100692749</v>
      </c>
      <c r="F2447" s="11">
        <v>0.7003103494644165</v>
      </c>
    </row>
    <row r="2448" spans="1:6" hidden="1" x14ac:dyDescent="0.3">
      <c r="A2448" s="6">
        <v>18</v>
      </c>
      <c r="B2448" s="6" t="s">
        <v>117</v>
      </c>
      <c r="C2448" s="6" t="s">
        <v>422</v>
      </c>
      <c r="D2448" s="6" t="s">
        <v>118</v>
      </c>
      <c r="E2448" s="11">
        <v>0.78305310010910034</v>
      </c>
      <c r="F2448" s="11">
        <v>0.7003103494644165</v>
      </c>
    </row>
    <row r="2449" spans="1:6" hidden="1" x14ac:dyDescent="0.3">
      <c r="A2449" s="6">
        <v>18</v>
      </c>
      <c r="B2449" s="6" t="s">
        <v>117</v>
      </c>
      <c r="C2449" s="6" t="s">
        <v>423</v>
      </c>
      <c r="D2449" s="6" t="s">
        <v>118</v>
      </c>
      <c r="E2449" s="11">
        <v>0.82399088144302368</v>
      </c>
      <c r="F2449" s="11">
        <v>0.7003103494644165</v>
      </c>
    </row>
    <row r="2450" spans="1:6" hidden="1" x14ac:dyDescent="0.3">
      <c r="A2450" s="6">
        <v>18</v>
      </c>
      <c r="B2450" s="6" t="s">
        <v>117</v>
      </c>
      <c r="C2450" s="6" t="s">
        <v>424</v>
      </c>
      <c r="D2450" s="6" t="s">
        <v>118</v>
      </c>
      <c r="E2450" s="11">
        <v>0.58481985330581665</v>
      </c>
      <c r="F2450" s="11">
        <v>0.7003103494644165</v>
      </c>
    </row>
    <row r="2451" spans="1:6" hidden="1" x14ac:dyDescent="0.3">
      <c r="A2451" s="6">
        <v>18</v>
      </c>
      <c r="B2451" s="6" t="s">
        <v>117</v>
      </c>
      <c r="C2451" s="6" t="s">
        <v>425</v>
      </c>
      <c r="D2451" s="6" t="s">
        <v>118</v>
      </c>
      <c r="E2451" s="11">
        <v>1.2750328779220581</v>
      </c>
      <c r="F2451" s="11">
        <v>0.7003103494644165</v>
      </c>
    </row>
    <row r="2452" spans="1:6" hidden="1" x14ac:dyDescent="0.3">
      <c r="A2452" s="6">
        <v>18</v>
      </c>
      <c r="B2452" s="6" t="s">
        <v>117</v>
      </c>
      <c r="C2452" s="6" t="s">
        <v>426</v>
      </c>
      <c r="D2452" s="6" t="s">
        <v>118</v>
      </c>
      <c r="E2452" s="11">
        <v>0.65915191173553467</v>
      </c>
      <c r="F2452" s="11">
        <v>0.7003103494644165</v>
      </c>
    </row>
    <row r="2453" spans="1:6" hidden="1" x14ac:dyDescent="0.3">
      <c r="A2453" s="6">
        <v>18</v>
      </c>
      <c r="B2453" s="6" t="s">
        <v>117</v>
      </c>
      <c r="C2453" s="6" t="s">
        <v>427</v>
      </c>
      <c r="D2453" s="6" t="s">
        <v>118</v>
      </c>
      <c r="E2453" s="11">
        <v>1.6628830432891846</v>
      </c>
      <c r="F2453" s="11">
        <v>0.7003103494644165</v>
      </c>
    </row>
    <row r="2454" spans="1:6" hidden="1" x14ac:dyDescent="0.3">
      <c r="A2454" s="6">
        <v>18</v>
      </c>
      <c r="B2454" s="6" t="s">
        <v>117</v>
      </c>
      <c r="C2454" s="6" t="s">
        <v>428</v>
      </c>
      <c r="D2454" s="6" t="s">
        <v>118</v>
      </c>
      <c r="E2454" s="11">
        <v>0.59445595741271973</v>
      </c>
      <c r="F2454" s="11">
        <v>0.7003103494644165</v>
      </c>
    </row>
    <row r="2455" spans="1:6" hidden="1" x14ac:dyDescent="0.3">
      <c r="A2455" s="6">
        <v>18</v>
      </c>
      <c r="B2455" s="6" t="s">
        <v>117</v>
      </c>
      <c r="C2455" s="6" t="s">
        <v>429</v>
      </c>
      <c r="D2455" s="6" t="s">
        <v>118</v>
      </c>
      <c r="E2455" s="11">
        <v>0.71821969747543335</v>
      </c>
      <c r="F2455" s="11">
        <v>0.7003103494644165</v>
      </c>
    </row>
    <row r="2456" spans="1:6" hidden="1" x14ac:dyDescent="0.3">
      <c r="A2456" s="6">
        <v>18</v>
      </c>
      <c r="B2456" s="6" t="s">
        <v>117</v>
      </c>
      <c r="C2456" s="6" t="s">
        <v>430</v>
      </c>
      <c r="D2456" s="6" t="s">
        <v>118</v>
      </c>
      <c r="E2456" s="11">
        <v>0.51525121927261353</v>
      </c>
      <c r="F2456" s="11">
        <v>0.7003103494644165</v>
      </c>
    </row>
    <row r="2457" spans="1:6" hidden="1" x14ac:dyDescent="0.3">
      <c r="A2457" s="6">
        <v>18</v>
      </c>
      <c r="B2457" s="6" t="s">
        <v>117</v>
      </c>
      <c r="C2457" s="6" t="s">
        <v>431</v>
      </c>
      <c r="D2457" s="6" t="s">
        <v>118</v>
      </c>
      <c r="E2457" s="11">
        <v>45.352123260498047</v>
      </c>
      <c r="F2457" s="11">
        <v>0.7003103494644165</v>
      </c>
    </row>
    <row r="2458" spans="1:6" hidden="1" x14ac:dyDescent="0.3">
      <c r="A2458" s="6">
        <v>18</v>
      </c>
      <c r="B2458" s="6" t="s">
        <v>117</v>
      </c>
      <c r="C2458" s="6" t="s">
        <v>432</v>
      </c>
      <c r="D2458" s="6" t="s">
        <v>118</v>
      </c>
      <c r="E2458" s="11">
        <v>0.78862303495407104</v>
      </c>
      <c r="F2458" s="11">
        <v>0.7003103494644165</v>
      </c>
    </row>
    <row r="2459" spans="1:6" hidden="1" x14ac:dyDescent="0.3">
      <c r="A2459" s="6">
        <v>18</v>
      </c>
      <c r="B2459" s="6" t="s">
        <v>117</v>
      </c>
      <c r="C2459" s="6" t="s">
        <v>433</v>
      </c>
      <c r="D2459" s="6" t="s">
        <v>118</v>
      </c>
      <c r="E2459" s="11">
        <v>0.69958037137985229</v>
      </c>
      <c r="F2459" s="11">
        <v>0.7003103494644165</v>
      </c>
    </row>
    <row r="2460" spans="1:6" hidden="1" x14ac:dyDescent="0.3">
      <c r="A2460" s="6">
        <v>18</v>
      </c>
      <c r="B2460" s="6" t="s">
        <v>117</v>
      </c>
      <c r="C2460" s="6" t="s">
        <v>434</v>
      </c>
      <c r="D2460" s="6" t="s">
        <v>118</v>
      </c>
      <c r="E2460" s="11">
        <v>0.44132417440414429</v>
      </c>
      <c r="F2460" s="11">
        <v>0.7003103494644165</v>
      </c>
    </row>
    <row r="2461" spans="1:6" hidden="1" x14ac:dyDescent="0.3">
      <c r="A2461" s="6">
        <v>18</v>
      </c>
      <c r="B2461" s="6" t="s">
        <v>117</v>
      </c>
      <c r="C2461" s="6" t="s">
        <v>435</v>
      </c>
      <c r="D2461" s="6" t="s">
        <v>118</v>
      </c>
      <c r="E2461" s="11">
        <v>880.20001220703125</v>
      </c>
      <c r="F2461" s="11">
        <v>0.7003103494644165</v>
      </c>
    </row>
    <row r="2462" spans="1:6" hidden="1" x14ac:dyDescent="0.3">
      <c r="A2462" s="6">
        <v>18</v>
      </c>
      <c r="B2462" s="6" t="s">
        <v>117</v>
      </c>
      <c r="C2462" s="6" t="s">
        <v>436</v>
      </c>
      <c r="D2462" s="6" t="s">
        <v>118</v>
      </c>
      <c r="E2462" s="11">
        <v>0.70513898134231567</v>
      </c>
      <c r="F2462" s="11">
        <v>0.7003103494644165</v>
      </c>
    </row>
    <row r="2463" spans="1:6" hidden="1" x14ac:dyDescent="0.3">
      <c r="A2463" s="6">
        <v>18</v>
      </c>
      <c r="B2463" s="6" t="s">
        <v>117</v>
      </c>
      <c r="C2463" s="6" t="s">
        <v>437</v>
      </c>
      <c r="D2463" s="6" t="s">
        <v>118</v>
      </c>
      <c r="E2463" s="11">
        <v>0.84614551067352295</v>
      </c>
      <c r="F2463" s="11">
        <v>0.7003103494644165</v>
      </c>
    </row>
    <row r="2464" spans="1:6" hidden="1" x14ac:dyDescent="0.3">
      <c r="A2464" s="6">
        <v>18</v>
      </c>
      <c r="B2464" s="6" t="s">
        <v>117</v>
      </c>
      <c r="C2464" s="6" t="s">
        <v>438</v>
      </c>
      <c r="D2464" s="6" t="s">
        <v>118</v>
      </c>
      <c r="E2464" s="11">
        <v>0.52697718143463135</v>
      </c>
      <c r="F2464" s="11">
        <v>0.7003103494644165</v>
      </c>
    </row>
    <row r="2465" spans="1:6" hidden="1" x14ac:dyDescent="0.3">
      <c r="A2465" s="6">
        <v>18</v>
      </c>
      <c r="B2465" s="6" t="s">
        <v>117</v>
      </c>
      <c r="C2465" s="6" t="s">
        <v>439</v>
      </c>
      <c r="D2465" s="6" t="s">
        <v>118</v>
      </c>
      <c r="E2465" s="11">
        <v>0.75093203783035278</v>
      </c>
      <c r="F2465" s="11">
        <v>0.7003103494644165</v>
      </c>
    </row>
    <row r="2466" spans="1:6" hidden="1" x14ac:dyDescent="0.3">
      <c r="A2466" s="6">
        <v>18</v>
      </c>
      <c r="B2466" s="6" t="s">
        <v>117</v>
      </c>
      <c r="C2466" s="6" t="s">
        <v>440</v>
      </c>
      <c r="D2466" s="6" t="s">
        <v>118</v>
      </c>
      <c r="E2466" s="11">
        <v>0.49397778511047363</v>
      </c>
      <c r="F2466" s="11">
        <v>0.7003103494644165</v>
      </c>
    </row>
    <row r="2467" spans="1:6" hidden="1" x14ac:dyDescent="0.3">
      <c r="A2467" s="6">
        <v>18</v>
      </c>
      <c r="B2467" s="6" t="s">
        <v>117</v>
      </c>
      <c r="C2467" s="6" t="s">
        <v>441</v>
      </c>
      <c r="D2467" s="6" t="s">
        <v>118</v>
      </c>
      <c r="E2467" s="11">
        <v>0.91074144840240479</v>
      </c>
      <c r="F2467" s="11">
        <v>0.7003103494644165</v>
      </c>
    </row>
    <row r="2468" spans="1:6" hidden="1" x14ac:dyDescent="0.3">
      <c r="A2468" s="6">
        <v>18</v>
      </c>
      <c r="B2468" s="6" t="s">
        <v>117</v>
      </c>
      <c r="C2468" s="6" t="s">
        <v>442</v>
      </c>
      <c r="D2468" s="6" t="s">
        <v>118</v>
      </c>
      <c r="E2468" s="11">
        <v>1.6758133172988892</v>
      </c>
      <c r="F2468" s="11">
        <v>0.7003103494644165</v>
      </c>
    </row>
    <row r="2469" spans="1:6" hidden="1" x14ac:dyDescent="0.3">
      <c r="A2469" s="6">
        <v>18</v>
      </c>
      <c r="B2469" s="6" t="s">
        <v>117</v>
      </c>
      <c r="C2469" s="6" t="s">
        <v>443</v>
      </c>
      <c r="D2469" s="6" t="s">
        <v>118</v>
      </c>
      <c r="E2469" s="11">
        <v>0.77616560459136963</v>
      </c>
      <c r="F2469" s="11">
        <v>0.7003103494644165</v>
      </c>
    </row>
    <row r="2470" spans="1:6" hidden="1" x14ac:dyDescent="0.3">
      <c r="A2470" s="6">
        <v>18</v>
      </c>
      <c r="B2470" s="6" t="s">
        <v>117</v>
      </c>
      <c r="C2470" s="6" t="s">
        <v>444</v>
      </c>
      <c r="D2470" s="6" t="s">
        <v>118</v>
      </c>
      <c r="E2470" s="11">
        <v>0.52934116125106812</v>
      </c>
      <c r="F2470" s="11">
        <v>0.7003103494644165</v>
      </c>
    </row>
    <row r="2471" spans="1:6" hidden="1" x14ac:dyDescent="0.3">
      <c r="A2471" s="6">
        <v>18</v>
      </c>
      <c r="B2471" s="6" t="s">
        <v>117</v>
      </c>
      <c r="C2471" s="6" t="s">
        <v>445</v>
      </c>
      <c r="D2471" s="6" t="s">
        <v>118</v>
      </c>
      <c r="E2471" s="11">
        <v>0.83924168348312378</v>
      </c>
      <c r="F2471" s="11">
        <v>0.7003103494644165</v>
      </c>
    </row>
    <row r="2472" spans="1:6" hidden="1" x14ac:dyDescent="0.3">
      <c r="A2472" s="6">
        <v>18</v>
      </c>
      <c r="B2472" s="6" t="s">
        <v>117</v>
      </c>
      <c r="C2472" s="6" t="s">
        <v>446</v>
      </c>
      <c r="D2472" s="6" t="s">
        <v>118</v>
      </c>
      <c r="E2472" s="11">
        <v>1.6760345697402954</v>
      </c>
      <c r="F2472" s="11">
        <v>0.7003103494644165</v>
      </c>
    </row>
    <row r="2473" spans="1:6" hidden="1" x14ac:dyDescent="0.3">
      <c r="A2473" s="6">
        <v>18</v>
      </c>
      <c r="B2473" s="6" t="s">
        <v>117</v>
      </c>
      <c r="C2473" s="6" t="s">
        <v>447</v>
      </c>
      <c r="D2473" s="6" t="s">
        <v>118</v>
      </c>
      <c r="E2473" s="11">
        <v>0.6559874415397644</v>
      </c>
      <c r="F2473" s="11">
        <v>0.7003103494644165</v>
      </c>
    </row>
    <row r="2474" spans="1:6" hidden="1" x14ac:dyDescent="0.3">
      <c r="A2474" s="6">
        <v>18</v>
      </c>
      <c r="B2474" s="6" t="s">
        <v>117</v>
      </c>
      <c r="C2474" s="6" t="s">
        <v>448</v>
      </c>
      <c r="D2474" s="6" t="s">
        <v>118</v>
      </c>
      <c r="E2474" s="11">
        <v>0.62620151042938232</v>
      </c>
      <c r="F2474" s="11">
        <v>0.7003103494644165</v>
      </c>
    </row>
    <row r="2475" spans="1:6" hidden="1" x14ac:dyDescent="0.3">
      <c r="A2475" s="6">
        <v>18</v>
      </c>
      <c r="B2475" s="6" t="s">
        <v>117</v>
      </c>
      <c r="C2475" s="6" t="s">
        <v>449</v>
      </c>
      <c r="D2475" s="6" t="s">
        <v>118</v>
      </c>
      <c r="E2475" s="11">
        <v>0.44545575976371765</v>
      </c>
      <c r="F2475" s="11">
        <v>0.7003103494644165</v>
      </c>
    </row>
    <row r="2476" spans="1:6" hidden="1" x14ac:dyDescent="0.3">
      <c r="A2476" s="6">
        <v>18</v>
      </c>
      <c r="B2476" s="6" t="s">
        <v>117</v>
      </c>
      <c r="C2476" s="6" t="s">
        <v>450</v>
      </c>
      <c r="D2476" s="6" t="s">
        <v>118</v>
      </c>
      <c r="E2476" s="11">
        <v>0.95111048221588135</v>
      </c>
      <c r="F2476" s="11">
        <v>0.7003103494644165</v>
      </c>
    </row>
    <row r="2477" spans="1:6" hidden="1" x14ac:dyDescent="0.3">
      <c r="A2477" s="6">
        <v>18</v>
      </c>
      <c r="B2477" s="6" t="s">
        <v>117</v>
      </c>
      <c r="C2477" s="6" t="s">
        <v>451</v>
      </c>
      <c r="D2477" s="6" t="s">
        <v>118</v>
      </c>
      <c r="E2477" s="11">
        <v>0.70055979490280151</v>
      </c>
      <c r="F2477" s="11">
        <v>0.7003103494644165</v>
      </c>
    </row>
    <row r="2478" spans="1:6" hidden="1" x14ac:dyDescent="0.3">
      <c r="A2478" s="6">
        <v>18</v>
      </c>
      <c r="B2478" s="6" t="s">
        <v>117</v>
      </c>
      <c r="C2478" s="6" t="s">
        <v>452</v>
      </c>
      <c r="D2478" s="6" t="s">
        <v>118</v>
      </c>
      <c r="E2478" s="11">
        <v>0.56708240509033203</v>
      </c>
      <c r="F2478" s="11">
        <v>0.7003103494644165</v>
      </c>
    </row>
    <row r="2479" spans="1:6" hidden="1" x14ac:dyDescent="0.3">
      <c r="A2479" s="6">
        <v>18</v>
      </c>
      <c r="B2479" s="6" t="s">
        <v>117</v>
      </c>
      <c r="C2479" s="6" t="s">
        <v>453</v>
      </c>
      <c r="D2479" s="6" t="s">
        <v>118</v>
      </c>
      <c r="E2479" s="11">
        <v>0.48229005932807922</v>
      </c>
      <c r="F2479" s="11">
        <v>0.7003103494644165</v>
      </c>
    </row>
    <row r="2480" spans="1:6" hidden="1" x14ac:dyDescent="0.3">
      <c r="A2480" s="6">
        <v>18</v>
      </c>
      <c r="B2480" s="6" t="s">
        <v>117</v>
      </c>
      <c r="C2480" s="6" t="s">
        <v>454</v>
      </c>
      <c r="D2480" s="6" t="s">
        <v>118</v>
      </c>
      <c r="E2480" s="11">
        <v>0.72683048248291016</v>
      </c>
      <c r="F2480" s="11">
        <v>0.7003103494644165</v>
      </c>
    </row>
    <row r="2481" spans="1:6" hidden="1" x14ac:dyDescent="0.3">
      <c r="A2481" s="6">
        <v>18</v>
      </c>
      <c r="B2481" s="6" t="s">
        <v>117</v>
      </c>
      <c r="C2481" s="6" t="s">
        <v>455</v>
      </c>
      <c r="D2481" s="6" t="s">
        <v>118</v>
      </c>
      <c r="E2481" s="11"/>
      <c r="F2481" s="11">
        <v>0.7003103494644165</v>
      </c>
    </row>
    <row r="2482" spans="1:6" hidden="1" x14ac:dyDescent="0.3">
      <c r="A2482" s="6">
        <v>18</v>
      </c>
      <c r="B2482" s="6" t="s">
        <v>117</v>
      </c>
      <c r="C2482" s="6" t="s">
        <v>456</v>
      </c>
      <c r="D2482" s="6" t="s">
        <v>118</v>
      </c>
      <c r="E2482" s="11">
        <v>0.25614190101623535</v>
      </c>
      <c r="F2482" s="11">
        <v>0.7003103494644165</v>
      </c>
    </row>
    <row r="2483" spans="1:6" hidden="1" x14ac:dyDescent="0.3">
      <c r="A2483" s="6">
        <v>18</v>
      </c>
      <c r="B2483" s="6" t="s">
        <v>117</v>
      </c>
      <c r="C2483" s="6" t="s">
        <v>457</v>
      </c>
      <c r="D2483" s="6" t="s">
        <v>118</v>
      </c>
      <c r="E2483" s="11">
        <v>0.94145143032073975</v>
      </c>
      <c r="F2483" s="11">
        <v>0.7003103494644165</v>
      </c>
    </row>
    <row r="2484" spans="1:6" hidden="1" x14ac:dyDescent="0.3">
      <c r="A2484" s="6">
        <v>18</v>
      </c>
      <c r="B2484" s="6" t="s">
        <v>117</v>
      </c>
      <c r="C2484" s="6" t="s">
        <v>458</v>
      </c>
      <c r="D2484" s="6" t="s">
        <v>118</v>
      </c>
      <c r="E2484" s="11">
        <v>1.2180383205413818</v>
      </c>
      <c r="F2484" s="11">
        <v>0.7003103494644165</v>
      </c>
    </row>
    <row r="2485" spans="1:6" hidden="1" x14ac:dyDescent="0.3">
      <c r="A2485" s="6">
        <v>18</v>
      </c>
      <c r="B2485" s="6" t="s">
        <v>117</v>
      </c>
      <c r="C2485" s="6" t="s">
        <v>459</v>
      </c>
      <c r="D2485" s="6" t="s">
        <v>118</v>
      </c>
      <c r="E2485" s="11">
        <v>0.90699267387390137</v>
      </c>
      <c r="F2485" s="11">
        <v>0.7003103494644165</v>
      </c>
    </row>
    <row r="2486" spans="1:6" hidden="1" x14ac:dyDescent="0.3">
      <c r="A2486" s="6">
        <v>18</v>
      </c>
      <c r="B2486" s="6" t="s">
        <v>117</v>
      </c>
      <c r="C2486" s="6" t="s">
        <v>460</v>
      </c>
      <c r="D2486" s="6" t="s">
        <v>118</v>
      </c>
      <c r="E2486" s="11">
        <v>0.68553006649017334</v>
      </c>
      <c r="F2486" s="11">
        <v>0.7003103494644165</v>
      </c>
    </row>
    <row r="2487" spans="1:6" hidden="1" x14ac:dyDescent="0.3">
      <c r="A2487" s="6">
        <v>18</v>
      </c>
      <c r="B2487" s="6" t="s">
        <v>117</v>
      </c>
      <c r="C2487" s="6" t="s">
        <v>461</v>
      </c>
      <c r="D2487" s="6" t="s">
        <v>118</v>
      </c>
      <c r="E2487" s="11">
        <v>0.54220235347747803</v>
      </c>
      <c r="F2487" s="11">
        <v>0.7003103494644165</v>
      </c>
    </row>
    <row r="2488" spans="1:6" hidden="1" x14ac:dyDescent="0.3">
      <c r="A2488" s="6">
        <v>18</v>
      </c>
      <c r="B2488" s="6" t="s">
        <v>117</v>
      </c>
      <c r="C2488" s="6" t="s">
        <v>462</v>
      </c>
      <c r="D2488" s="6" t="s">
        <v>118</v>
      </c>
      <c r="E2488" s="11">
        <v>0.57882261276245117</v>
      </c>
      <c r="F2488" s="11">
        <v>0.7003103494644165</v>
      </c>
    </row>
    <row r="2489" spans="1:6" hidden="1" x14ac:dyDescent="0.3">
      <c r="A2489" s="6">
        <v>18</v>
      </c>
      <c r="B2489" s="6" t="s">
        <v>117</v>
      </c>
      <c r="C2489" s="6" t="s">
        <v>463</v>
      </c>
      <c r="D2489" s="6" t="s">
        <v>118</v>
      </c>
      <c r="E2489" s="11">
        <v>0.83838552236557007</v>
      </c>
      <c r="F2489" s="11">
        <v>0.7003103494644165</v>
      </c>
    </row>
    <row r="2490" spans="1:6" hidden="1" x14ac:dyDescent="0.3">
      <c r="A2490" s="6">
        <v>18</v>
      </c>
      <c r="B2490" s="6" t="s">
        <v>117</v>
      </c>
      <c r="C2490" s="6" t="s">
        <v>464</v>
      </c>
      <c r="D2490" s="6" t="s">
        <v>118</v>
      </c>
      <c r="E2490" s="11">
        <v>0.65302616357803345</v>
      </c>
      <c r="F2490" s="11">
        <v>0.7003103494644165</v>
      </c>
    </row>
    <row r="2491" spans="1:6" hidden="1" x14ac:dyDescent="0.3">
      <c r="A2491" s="6">
        <v>18</v>
      </c>
      <c r="B2491" s="6" t="s">
        <v>117</v>
      </c>
      <c r="C2491" s="6" t="s">
        <v>465</v>
      </c>
      <c r="D2491" s="6" t="s">
        <v>118</v>
      </c>
      <c r="E2491" s="11">
        <v>0.8654206395149231</v>
      </c>
      <c r="F2491" s="11">
        <v>0.7003103494644165</v>
      </c>
    </row>
    <row r="2492" spans="1:6" hidden="1" x14ac:dyDescent="0.3">
      <c r="A2492" s="6">
        <v>18</v>
      </c>
      <c r="B2492" s="6" t="s">
        <v>117</v>
      </c>
      <c r="C2492" s="6" t="s">
        <v>466</v>
      </c>
      <c r="D2492" s="6" t="s">
        <v>118</v>
      </c>
      <c r="E2492" s="11">
        <v>0.45753559470176697</v>
      </c>
      <c r="F2492" s="11">
        <v>0.7003103494644165</v>
      </c>
    </row>
    <row r="2493" spans="1:6" hidden="1" x14ac:dyDescent="0.3">
      <c r="A2493" s="6">
        <v>18</v>
      </c>
      <c r="B2493" s="6" t="s">
        <v>117</v>
      </c>
      <c r="C2493" s="6" t="s">
        <v>467</v>
      </c>
      <c r="D2493" s="6" t="s">
        <v>118</v>
      </c>
      <c r="E2493" s="11">
        <v>0.63086175918579102</v>
      </c>
      <c r="F2493" s="11">
        <v>0.7003103494644165</v>
      </c>
    </row>
    <row r="2494" spans="1:6" hidden="1" x14ac:dyDescent="0.3">
      <c r="A2494" s="6">
        <v>18</v>
      </c>
      <c r="B2494" s="6" t="s">
        <v>117</v>
      </c>
      <c r="C2494" s="6" t="s">
        <v>468</v>
      </c>
      <c r="D2494" s="6" t="s">
        <v>118</v>
      </c>
      <c r="E2494" s="11">
        <v>1.0417755842208862</v>
      </c>
      <c r="F2494" s="11">
        <v>0.7003103494644165</v>
      </c>
    </row>
    <row r="2495" spans="1:6" hidden="1" x14ac:dyDescent="0.3">
      <c r="A2495" s="6">
        <v>18</v>
      </c>
      <c r="B2495" s="6" t="s">
        <v>117</v>
      </c>
      <c r="C2495" s="6" t="s">
        <v>469</v>
      </c>
      <c r="D2495" s="6" t="s">
        <v>118</v>
      </c>
      <c r="E2495" s="11">
        <v>0.62386494874954224</v>
      </c>
      <c r="F2495" s="11">
        <v>0.7003103494644165</v>
      </c>
    </row>
    <row r="2496" spans="1:6" hidden="1" x14ac:dyDescent="0.3">
      <c r="A2496" s="6">
        <v>18</v>
      </c>
      <c r="B2496" s="6" t="s">
        <v>117</v>
      </c>
      <c r="C2496" s="6" t="s">
        <v>470</v>
      </c>
      <c r="D2496" s="6" t="s">
        <v>118</v>
      </c>
      <c r="E2496" s="11">
        <v>0.71905517578125</v>
      </c>
      <c r="F2496" s="11">
        <v>0.7003103494644165</v>
      </c>
    </row>
    <row r="2497" spans="1:6" hidden="1" x14ac:dyDescent="0.3">
      <c r="A2497" s="6">
        <v>18</v>
      </c>
      <c r="B2497" s="6" t="s">
        <v>117</v>
      </c>
      <c r="C2497" s="6" t="s">
        <v>471</v>
      </c>
      <c r="D2497" s="6" t="s">
        <v>118</v>
      </c>
      <c r="E2497" s="11">
        <v>0.65837836265563965</v>
      </c>
      <c r="F2497" s="11">
        <v>0.7003103494644165</v>
      </c>
    </row>
    <row r="2498" spans="1:6" hidden="1" x14ac:dyDescent="0.3">
      <c r="A2498" s="6">
        <v>18</v>
      </c>
      <c r="B2498" s="6" t="s">
        <v>117</v>
      </c>
      <c r="C2498" s="6" t="s">
        <v>472</v>
      </c>
      <c r="D2498" s="6" t="s">
        <v>118</v>
      </c>
      <c r="E2498" s="11">
        <v>0.78931665420532227</v>
      </c>
      <c r="F2498" s="11">
        <v>0.7003103494644165</v>
      </c>
    </row>
    <row r="2499" spans="1:6" hidden="1" x14ac:dyDescent="0.3">
      <c r="A2499" s="6">
        <v>18</v>
      </c>
      <c r="B2499" s="6" t="s">
        <v>117</v>
      </c>
      <c r="C2499" s="6" t="s">
        <v>473</v>
      </c>
      <c r="D2499" s="6" t="s">
        <v>118</v>
      </c>
      <c r="E2499" s="11">
        <v>0.69140243530273438</v>
      </c>
      <c r="F2499" s="11">
        <v>0.7003103494644165</v>
      </c>
    </row>
    <row r="2500" spans="1:6" hidden="1" x14ac:dyDescent="0.3">
      <c r="A2500" s="6">
        <v>18</v>
      </c>
      <c r="B2500" s="6" t="s">
        <v>117</v>
      </c>
      <c r="C2500" s="6" t="s">
        <v>474</v>
      </c>
      <c r="D2500" s="6" t="s">
        <v>118</v>
      </c>
      <c r="E2500" s="11">
        <v>0.64330112934112549</v>
      </c>
      <c r="F2500" s="11">
        <v>0.7003103494644165</v>
      </c>
    </row>
    <row r="2501" spans="1:6" hidden="1" x14ac:dyDescent="0.3">
      <c r="A2501" s="6">
        <v>18</v>
      </c>
      <c r="B2501" s="6" t="s">
        <v>117</v>
      </c>
      <c r="C2501" s="6" t="s">
        <v>475</v>
      </c>
      <c r="D2501" s="6" t="s">
        <v>118</v>
      </c>
      <c r="E2501" s="11">
        <v>0.8000217080116272</v>
      </c>
      <c r="F2501" s="11">
        <v>0.7003103494644165</v>
      </c>
    </row>
    <row r="2502" spans="1:6" hidden="1" x14ac:dyDescent="0.3">
      <c r="A2502" s="6">
        <v>18</v>
      </c>
      <c r="B2502" s="6" t="s">
        <v>117</v>
      </c>
      <c r="C2502" s="6" t="s">
        <v>476</v>
      </c>
      <c r="D2502" s="6" t="s">
        <v>118</v>
      </c>
      <c r="E2502" s="11">
        <v>0.65699881315231323</v>
      </c>
      <c r="F2502" s="11">
        <v>0.7003103494644165</v>
      </c>
    </row>
    <row r="2503" spans="1:6" hidden="1" x14ac:dyDescent="0.3">
      <c r="A2503" s="6">
        <v>18</v>
      </c>
      <c r="B2503" s="6" t="s">
        <v>117</v>
      </c>
      <c r="C2503" s="6" t="s">
        <v>477</v>
      </c>
      <c r="D2503" s="6" t="s">
        <v>118</v>
      </c>
      <c r="E2503" s="11">
        <v>0.54389220476150513</v>
      </c>
      <c r="F2503" s="11">
        <v>0.7003103494644165</v>
      </c>
    </row>
    <row r="2504" spans="1:6" hidden="1" x14ac:dyDescent="0.3">
      <c r="A2504" s="6">
        <v>18</v>
      </c>
      <c r="B2504" s="6" t="s">
        <v>117</v>
      </c>
      <c r="C2504" s="6" t="s">
        <v>478</v>
      </c>
      <c r="D2504" s="6" t="s">
        <v>118</v>
      </c>
      <c r="E2504" s="11">
        <v>0.86928403377532959</v>
      </c>
      <c r="F2504" s="11">
        <v>0.7003103494644165</v>
      </c>
    </row>
    <row r="2505" spans="1:6" hidden="1" x14ac:dyDescent="0.3">
      <c r="A2505" s="6">
        <v>18</v>
      </c>
      <c r="B2505" s="6" t="s">
        <v>117</v>
      </c>
      <c r="C2505" s="6" t="s">
        <v>479</v>
      </c>
      <c r="D2505" s="6" t="s">
        <v>118</v>
      </c>
      <c r="E2505" s="11">
        <v>1.0237492322921753</v>
      </c>
      <c r="F2505" s="11">
        <v>0.7003103494644165</v>
      </c>
    </row>
    <row r="2506" spans="1:6" hidden="1" x14ac:dyDescent="0.3">
      <c r="A2506" s="6">
        <v>18</v>
      </c>
      <c r="B2506" s="6" t="s">
        <v>117</v>
      </c>
      <c r="C2506" s="6" t="s">
        <v>480</v>
      </c>
      <c r="D2506" s="6" t="s">
        <v>118</v>
      </c>
      <c r="E2506" s="11">
        <v>1.0266178846359253</v>
      </c>
      <c r="F2506" s="11">
        <v>0.7003103494644165</v>
      </c>
    </row>
    <row r="2507" spans="1:6" hidden="1" x14ac:dyDescent="0.3">
      <c r="A2507" s="6">
        <v>18</v>
      </c>
      <c r="B2507" s="6" t="s">
        <v>117</v>
      </c>
      <c r="C2507" s="6" t="s">
        <v>481</v>
      </c>
      <c r="D2507" s="6" t="s">
        <v>118</v>
      </c>
      <c r="E2507" s="11">
        <v>0.86173689365386963</v>
      </c>
      <c r="F2507" s="11">
        <v>0.7003103494644165</v>
      </c>
    </row>
    <row r="2508" spans="1:6" hidden="1" x14ac:dyDescent="0.3">
      <c r="A2508" s="6">
        <v>18</v>
      </c>
      <c r="B2508" s="6" t="s">
        <v>117</v>
      </c>
      <c r="C2508" s="6" t="s">
        <v>482</v>
      </c>
      <c r="D2508" s="6" t="s">
        <v>118</v>
      </c>
      <c r="E2508" s="11">
        <v>0.86298537254333496</v>
      </c>
      <c r="F2508" s="11">
        <v>0.7003103494644165</v>
      </c>
    </row>
    <row r="2509" spans="1:6" hidden="1" x14ac:dyDescent="0.3">
      <c r="A2509" s="6">
        <v>18</v>
      </c>
      <c r="B2509" s="6" t="s">
        <v>117</v>
      </c>
      <c r="C2509" s="6" t="s">
        <v>483</v>
      </c>
      <c r="D2509" s="6" t="s">
        <v>118</v>
      </c>
      <c r="E2509" s="11">
        <v>0.7699425220489502</v>
      </c>
      <c r="F2509" s="11">
        <v>0.7003103494644165</v>
      </c>
    </row>
    <row r="2510" spans="1:6" hidden="1" x14ac:dyDescent="0.3">
      <c r="A2510" s="6">
        <v>18</v>
      </c>
      <c r="B2510" s="6" t="s">
        <v>117</v>
      </c>
      <c r="C2510" s="6" t="s">
        <v>484</v>
      </c>
      <c r="D2510" s="6" t="s">
        <v>118</v>
      </c>
      <c r="E2510" s="11">
        <v>0.70480155944824219</v>
      </c>
      <c r="F2510" s="11">
        <v>0.7003103494644165</v>
      </c>
    </row>
    <row r="2511" spans="1:6" hidden="1" x14ac:dyDescent="0.3">
      <c r="A2511" s="6">
        <v>18</v>
      </c>
      <c r="B2511" s="6" t="s">
        <v>117</v>
      </c>
      <c r="C2511" s="6" t="s">
        <v>485</v>
      </c>
      <c r="D2511" s="6" t="s">
        <v>118</v>
      </c>
      <c r="E2511" s="11">
        <v>0.53120207786560059</v>
      </c>
      <c r="F2511" s="11">
        <v>0.7003103494644165</v>
      </c>
    </row>
    <row r="2512" spans="1:6" hidden="1" x14ac:dyDescent="0.3">
      <c r="A2512" s="6">
        <v>18</v>
      </c>
      <c r="B2512" s="6" t="s">
        <v>117</v>
      </c>
      <c r="C2512" s="6" t="s">
        <v>486</v>
      </c>
      <c r="D2512" s="6" t="s">
        <v>118</v>
      </c>
      <c r="E2512" s="11">
        <v>0.65820938348770142</v>
      </c>
      <c r="F2512" s="11">
        <v>0.7003103494644165</v>
      </c>
    </row>
    <row r="2513" spans="1:6" hidden="1" x14ac:dyDescent="0.3">
      <c r="A2513" s="6">
        <v>18</v>
      </c>
      <c r="B2513" s="6" t="s">
        <v>117</v>
      </c>
      <c r="C2513" s="6" t="s">
        <v>487</v>
      </c>
      <c r="D2513" s="6" t="s">
        <v>118</v>
      </c>
      <c r="E2513" s="11">
        <v>3.2676916122436523</v>
      </c>
      <c r="F2513" s="11">
        <v>0.7003103494644165</v>
      </c>
    </row>
    <row r="2514" spans="1:6" hidden="1" x14ac:dyDescent="0.3">
      <c r="A2514" s="6">
        <v>18</v>
      </c>
      <c r="B2514" s="6" t="s">
        <v>117</v>
      </c>
      <c r="C2514" s="6" t="s">
        <v>488</v>
      </c>
      <c r="D2514" s="6" t="s">
        <v>118</v>
      </c>
      <c r="E2514" s="11">
        <v>0.59950578212738037</v>
      </c>
      <c r="F2514" s="11">
        <v>0.7003103494644165</v>
      </c>
    </row>
    <row r="2515" spans="1:6" hidden="1" x14ac:dyDescent="0.3">
      <c r="A2515" s="6">
        <v>18</v>
      </c>
      <c r="B2515" s="6" t="s">
        <v>117</v>
      </c>
      <c r="C2515" s="6" t="s">
        <v>489</v>
      </c>
      <c r="D2515" s="6" t="s">
        <v>118</v>
      </c>
      <c r="E2515" s="11">
        <v>1.1216152906417847</v>
      </c>
      <c r="F2515" s="11">
        <v>0.7003103494644165</v>
      </c>
    </row>
    <row r="2516" spans="1:6" hidden="1" x14ac:dyDescent="0.3">
      <c r="A2516" s="6">
        <v>18</v>
      </c>
      <c r="B2516" s="6" t="s">
        <v>117</v>
      </c>
      <c r="C2516" s="6" t="s">
        <v>490</v>
      </c>
      <c r="D2516" s="6" t="s">
        <v>118</v>
      </c>
      <c r="E2516" s="11">
        <v>0.79680150747299194</v>
      </c>
      <c r="F2516" s="11">
        <v>0.7003103494644165</v>
      </c>
    </row>
    <row r="2517" spans="1:6" hidden="1" x14ac:dyDescent="0.3">
      <c r="A2517" s="6">
        <v>18</v>
      </c>
      <c r="B2517" s="6" t="s">
        <v>117</v>
      </c>
      <c r="C2517" s="6" t="s">
        <v>491</v>
      </c>
      <c r="D2517" s="6" t="s">
        <v>118</v>
      </c>
      <c r="E2517" s="11">
        <v>0.75479155778884888</v>
      </c>
      <c r="F2517" s="11">
        <v>0.7003103494644165</v>
      </c>
    </row>
    <row r="2518" spans="1:6" hidden="1" x14ac:dyDescent="0.3">
      <c r="A2518" s="6">
        <v>18</v>
      </c>
      <c r="B2518" s="6" t="s">
        <v>117</v>
      </c>
      <c r="C2518" s="6" t="s">
        <v>492</v>
      </c>
      <c r="D2518" s="6" t="s">
        <v>118</v>
      </c>
      <c r="E2518" s="11">
        <v>1.9980467557907104</v>
      </c>
      <c r="F2518" s="11">
        <v>0.7003103494644165</v>
      </c>
    </row>
    <row r="2519" spans="1:6" hidden="1" x14ac:dyDescent="0.3">
      <c r="A2519" s="6">
        <v>18</v>
      </c>
      <c r="B2519" s="6" t="s">
        <v>117</v>
      </c>
      <c r="C2519" s="6" t="s">
        <v>493</v>
      </c>
      <c r="D2519" s="6" t="s">
        <v>118</v>
      </c>
      <c r="E2519" s="11">
        <v>0.71019083261489868</v>
      </c>
      <c r="F2519" s="11">
        <v>0.7003103494644165</v>
      </c>
    </row>
    <row r="2520" spans="1:6" hidden="1" x14ac:dyDescent="0.3">
      <c r="A2520" s="6">
        <v>18</v>
      </c>
      <c r="B2520" s="6" t="s">
        <v>117</v>
      </c>
      <c r="C2520" s="6" t="s">
        <v>494</v>
      </c>
      <c r="D2520" s="6" t="s">
        <v>118</v>
      </c>
      <c r="E2520" s="11">
        <v>1.4281315803527832</v>
      </c>
      <c r="F2520" s="11">
        <v>0.7003103494644165</v>
      </c>
    </row>
    <row r="2521" spans="1:6" hidden="1" x14ac:dyDescent="0.3">
      <c r="A2521" s="6">
        <v>18</v>
      </c>
      <c r="B2521" s="6" t="s">
        <v>117</v>
      </c>
      <c r="C2521" s="6" t="s">
        <v>495</v>
      </c>
      <c r="D2521" s="6" t="s">
        <v>118</v>
      </c>
      <c r="E2521" s="11">
        <v>0.76834022998809814</v>
      </c>
      <c r="F2521" s="11">
        <v>0.7003103494644165</v>
      </c>
    </row>
    <row r="2522" spans="1:6" hidden="1" x14ac:dyDescent="0.3">
      <c r="A2522" s="6">
        <v>19</v>
      </c>
      <c r="B2522" s="6" t="s">
        <v>119</v>
      </c>
      <c r="C2522" s="6" t="s">
        <v>356</v>
      </c>
      <c r="D2522" s="6" t="s">
        <v>120</v>
      </c>
      <c r="E2522" s="11">
        <v>30.303447723388672</v>
      </c>
      <c r="F2522" s="11">
        <v>6.4624571800231934</v>
      </c>
    </row>
    <row r="2523" spans="1:6" hidden="1" x14ac:dyDescent="0.3">
      <c r="A2523" s="6">
        <v>19</v>
      </c>
      <c r="B2523" s="6" t="s">
        <v>119</v>
      </c>
      <c r="C2523" s="6" t="s">
        <v>357</v>
      </c>
      <c r="D2523" s="6" t="s">
        <v>120</v>
      </c>
      <c r="E2523" s="11">
        <v>4.823115348815918</v>
      </c>
      <c r="F2523" s="11">
        <v>6.4624571800231934</v>
      </c>
    </row>
    <row r="2524" spans="1:6" hidden="1" x14ac:dyDescent="0.3">
      <c r="A2524" s="6">
        <v>19</v>
      </c>
      <c r="B2524" s="6" t="s">
        <v>119</v>
      </c>
      <c r="C2524" s="6" t="s">
        <v>358</v>
      </c>
      <c r="D2524" s="6" t="s">
        <v>120</v>
      </c>
      <c r="E2524" s="11">
        <v>12.31095027923584</v>
      </c>
      <c r="F2524" s="11">
        <v>6.4624571800231934</v>
      </c>
    </row>
    <row r="2525" spans="1:6" hidden="1" x14ac:dyDescent="0.3">
      <c r="A2525" s="6">
        <v>19</v>
      </c>
      <c r="B2525" s="6" t="s">
        <v>119</v>
      </c>
      <c r="C2525" s="6" t="s">
        <v>359</v>
      </c>
      <c r="D2525" s="6" t="s">
        <v>120</v>
      </c>
      <c r="E2525" s="11">
        <v>16.267982482910156</v>
      </c>
      <c r="F2525" s="11">
        <v>6.4624571800231934</v>
      </c>
    </row>
    <row r="2526" spans="1:6" hidden="1" x14ac:dyDescent="0.3">
      <c r="A2526" s="6">
        <v>19</v>
      </c>
      <c r="B2526" s="6" t="s">
        <v>119</v>
      </c>
      <c r="C2526" s="6" t="s">
        <v>360</v>
      </c>
      <c r="D2526" s="6" t="s">
        <v>120</v>
      </c>
      <c r="E2526" s="11">
        <v>7.1865663528442383</v>
      </c>
      <c r="F2526" s="11">
        <v>6.4624571800231934</v>
      </c>
    </row>
    <row r="2527" spans="1:6" hidden="1" x14ac:dyDescent="0.3">
      <c r="A2527" s="6">
        <v>19</v>
      </c>
      <c r="B2527" s="6" t="s">
        <v>119</v>
      </c>
      <c r="C2527" s="6" t="s">
        <v>361</v>
      </c>
      <c r="D2527" s="6" t="s">
        <v>120</v>
      </c>
      <c r="E2527" s="11">
        <v>6.4272499084472656</v>
      </c>
      <c r="F2527" s="11">
        <v>6.4624571800231934</v>
      </c>
    </row>
    <row r="2528" spans="1:6" hidden="1" x14ac:dyDescent="0.3">
      <c r="A2528" s="6">
        <v>19</v>
      </c>
      <c r="B2528" s="6" t="s">
        <v>119</v>
      </c>
      <c r="C2528" s="6" t="s">
        <v>362</v>
      </c>
      <c r="D2528" s="6" t="s">
        <v>120</v>
      </c>
      <c r="E2528" s="11">
        <v>4.837738037109375</v>
      </c>
      <c r="F2528" s="11">
        <v>6.4624571800231934</v>
      </c>
    </row>
    <row r="2529" spans="1:6" hidden="1" x14ac:dyDescent="0.3">
      <c r="A2529" s="6">
        <v>19</v>
      </c>
      <c r="B2529" s="6" t="s">
        <v>119</v>
      </c>
      <c r="C2529" s="6" t="s">
        <v>363</v>
      </c>
      <c r="D2529" s="6" t="s">
        <v>120</v>
      </c>
      <c r="E2529" s="11">
        <v>8.0924739837646484</v>
      </c>
      <c r="F2529" s="11">
        <v>6.4624571800231934</v>
      </c>
    </row>
    <row r="2530" spans="1:6" hidden="1" x14ac:dyDescent="0.3">
      <c r="A2530" s="6">
        <v>19</v>
      </c>
      <c r="B2530" s="6" t="s">
        <v>119</v>
      </c>
      <c r="C2530" s="6" t="s">
        <v>364</v>
      </c>
      <c r="D2530" s="6" t="s">
        <v>120</v>
      </c>
      <c r="E2530" s="11">
        <v>4.1350736618041992</v>
      </c>
      <c r="F2530" s="11">
        <v>6.4624571800231934</v>
      </c>
    </row>
    <row r="2531" spans="1:6" hidden="1" x14ac:dyDescent="0.3">
      <c r="A2531" s="6">
        <v>19</v>
      </c>
      <c r="B2531" s="6" t="s">
        <v>119</v>
      </c>
      <c r="C2531" s="6" t="s">
        <v>365</v>
      </c>
      <c r="D2531" s="6" t="s">
        <v>120</v>
      </c>
      <c r="E2531" s="11">
        <v>18.557693481445313</v>
      </c>
      <c r="F2531" s="11">
        <v>6.4624571800231934</v>
      </c>
    </row>
    <row r="2532" spans="1:6" hidden="1" x14ac:dyDescent="0.3">
      <c r="A2532" s="6">
        <v>19</v>
      </c>
      <c r="B2532" s="6" t="s">
        <v>119</v>
      </c>
      <c r="C2532" s="6" t="s">
        <v>366</v>
      </c>
      <c r="D2532" s="6" t="s">
        <v>120</v>
      </c>
      <c r="E2532" s="11">
        <v>33.988964080810547</v>
      </c>
      <c r="F2532" s="11">
        <v>6.4624571800231934</v>
      </c>
    </row>
    <row r="2533" spans="1:6" hidden="1" x14ac:dyDescent="0.3">
      <c r="A2533" s="6">
        <v>19</v>
      </c>
      <c r="B2533" s="6" t="s">
        <v>119</v>
      </c>
      <c r="C2533" s="6" t="s">
        <v>367</v>
      </c>
      <c r="D2533" s="6" t="s">
        <v>120</v>
      </c>
      <c r="E2533" s="11">
        <v>4.4167442321777344</v>
      </c>
      <c r="F2533" s="11">
        <v>6.4624571800231934</v>
      </c>
    </row>
    <row r="2534" spans="1:6" hidden="1" x14ac:dyDescent="0.3">
      <c r="A2534" s="6">
        <v>19</v>
      </c>
      <c r="B2534" s="6" t="s">
        <v>119</v>
      </c>
      <c r="C2534" s="6" t="s">
        <v>368</v>
      </c>
      <c r="D2534" s="6" t="s">
        <v>120</v>
      </c>
      <c r="E2534" s="11">
        <v>8.2739315032958984</v>
      </c>
      <c r="F2534" s="11">
        <v>6.4624571800231934</v>
      </c>
    </row>
    <row r="2535" spans="1:6" hidden="1" x14ac:dyDescent="0.3">
      <c r="A2535" s="6">
        <v>19</v>
      </c>
      <c r="B2535" s="6" t="s">
        <v>119</v>
      </c>
      <c r="C2535" s="6" t="s">
        <v>369</v>
      </c>
      <c r="D2535" s="6" t="s">
        <v>120</v>
      </c>
      <c r="E2535" s="11">
        <v>363.30551147460938</v>
      </c>
      <c r="F2535" s="11">
        <v>6.4624571800231934</v>
      </c>
    </row>
    <row r="2536" spans="1:6" hidden="1" x14ac:dyDescent="0.3">
      <c r="A2536" s="6">
        <v>19</v>
      </c>
      <c r="B2536" s="6" t="s">
        <v>119</v>
      </c>
      <c r="C2536" s="6" t="s">
        <v>370</v>
      </c>
      <c r="D2536" s="6" t="s">
        <v>120</v>
      </c>
      <c r="E2536" s="11">
        <v>5.2691659927368164</v>
      </c>
      <c r="F2536" s="11">
        <v>6.4624571800231934</v>
      </c>
    </row>
    <row r="2537" spans="1:6" hidden="1" x14ac:dyDescent="0.3">
      <c r="A2537" s="6">
        <v>19</v>
      </c>
      <c r="B2537" s="6" t="s">
        <v>119</v>
      </c>
      <c r="C2537" s="6" t="s">
        <v>371</v>
      </c>
      <c r="D2537" s="6" t="s">
        <v>120</v>
      </c>
      <c r="E2537" s="11">
        <v>7.971564769744873</v>
      </c>
      <c r="F2537" s="11">
        <v>6.4624571800231934</v>
      </c>
    </row>
    <row r="2538" spans="1:6" hidden="1" x14ac:dyDescent="0.3">
      <c r="A2538" s="6">
        <v>19</v>
      </c>
      <c r="B2538" s="6" t="s">
        <v>119</v>
      </c>
      <c r="C2538" s="6" t="s">
        <v>372</v>
      </c>
      <c r="D2538" s="6" t="s">
        <v>120</v>
      </c>
      <c r="E2538" s="11">
        <v>4.918306827545166</v>
      </c>
      <c r="F2538" s="11">
        <v>6.4624571800231934</v>
      </c>
    </row>
    <row r="2539" spans="1:6" hidden="1" x14ac:dyDescent="0.3">
      <c r="A2539" s="6">
        <v>19</v>
      </c>
      <c r="B2539" s="6" t="s">
        <v>119</v>
      </c>
      <c r="C2539" s="6" t="s">
        <v>373</v>
      </c>
      <c r="D2539" s="6" t="s">
        <v>120</v>
      </c>
      <c r="E2539" s="11">
        <v>7.8973135948181152</v>
      </c>
      <c r="F2539" s="11">
        <v>6.4624571800231934</v>
      </c>
    </row>
    <row r="2540" spans="1:6" hidden="1" x14ac:dyDescent="0.3">
      <c r="A2540" s="6">
        <v>19</v>
      </c>
      <c r="B2540" s="6" t="s">
        <v>119</v>
      </c>
      <c r="C2540" s="6" t="s">
        <v>374</v>
      </c>
      <c r="D2540" s="6" t="s">
        <v>120</v>
      </c>
      <c r="E2540" s="11">
        <v>6.0887885093688965</v>
      </c>
      <c r="F2540" s="11">
        <v>6.4624571800231934</v>
      </c>
    </row>
    <row r="2541" spans="1:6" hidden="1" x14ac:dyDescent="0.3">
      <c r="A2541" s="6">
        <v>19</v>
      </c>
      <c r="B2541" s="6" t="s">
        <v>119</v>
      </c>
      <c r="C2541" s="6" t="s">
        <v>375</v>
      </c>
      <c r="D2541" s="6" t="s">
        <v>120</v>
      </c>
      <c r="E2541" s="11">
        <v>5.5908923149108887</v>
      </c>
      <c r="F2541" s="11">
        <v>6.4624571800231934</v>
      </c>
    </row>
    <row r="2542" spans="1:6" hidden="1" x14ac:dyDescent="0.3">
      <c r="A2542" s="6">
        <v>19</v>
      </c>
      <c r="B2542" s="6" t="s">
        <v>119</v>
      </c>
      <c r="C2542" s="6" t="s">
        <v>376</v>
      </c>
      <c r="D2542" s="6" t="s">
        <v>120</v>
      </c>
      <c r="E2542" s="11">
        <v>4.4372682571411133</v>
      </c>
      <c r="F2542" s="11">
        <v>6.4624571800231934</v>
      </c>
    </row>
    <row r="2543" spans="1:6" hidden="1" x14ac:dyDescent="0.3">
      <c r="A2543" s="6">
        <v>19</v>
      </c>
      <c r="B2543" s="6" t="s">
        <v>119</v>
      </c>
      <c r="C2543" s="6" t="s">
        <v>377</v>
      </c>
      <c r="D2543" s="6" t="s">
        <v>120</v>
      </c>
      <c r="E2543" s="11">
        <v>7.0690202713012695</v>
      </c>
      <c r="F2543" s="11">
        <v>6.4624571800231934</v>
      </c>
    </row>
    <row r="2544" spans="1:6" hidden="1" x14ac:dyDescent="0.3">
      <c r="A2544" s="6">
        <v>19</v>
      </c>
      <c r="B2544" s="6" t="s">
        <v>119</v>
      </c>
      <c r="C2544" s="6" t="s">
        <v>378</v>
      </c>
      <c r="D2544" s="6" t="s">
        <v>120</v>
      </c>
      <c r="E2544" s="11">
        <v>10.471537590026855</v>
      </c>
      <c r="F2544" s="11">
        <v>6.4624571800231934</v>
      </c>
    </row>
    <row r="2545" spans="1:6" hidden="1" x14ac:dyDescent="0.3">
      <c r="A2545" s="6">
        <v>19</v>
      </c>
      <c r="B2545" s="6" t="s">
        <v>119</v>
      </c>
      <c r="C2545" s="6" t="s">
        <v>379</v>
      </c>
      <c r="D2545" s="6" t="s">
        <v>120</v>
      </c>
      <c r="E2545" s="11">
        <v>5.127161979675293</v>
      </c>
      <c r="F2545" s="11">
        <v>6.4624571800231934</v>
      </c>
    </row>
    <row r="2546" spans="1:6" hidden="1" x14ac:dyDescent="0.3">
      <c r="A2546" s="6">
        <v>19</v>
      </c>
      <c r="B2546" s="6" t="s">
        <v>119</v>
      </c>
      <c r="C2546" s="6" t="s">
        <v>380</v>
      </c>
      <c r="D2546" s="6" t="s">
        <v>120</v>
      </c>
      <c r="E2546" s="11">
        <v>22.045742034912109</v>
      </c>
      <c r="F2546" s="11">
        <v>6.4624571800231934</v>
      </c>
    </row>
    <row r="2547" spans="1:6" hidden="1" x14ac:dyDescent="0.3">
      <c r="A2547" s="6">
        <v>19</v>
      </c>
      <c r="B2547" s="6" t="s">
        <v>119</v>
      </c>
      <c r="C2547" s="6" t="s">
        <v>381</v>
      </c>
      <c r="D2547" s="6" t="s">
        <v>120</v>
      </c>
      <c r="E2547" s="11">
        <v>5.5260515213012695</v>
      </c>
      <c r="F2547" s="11">
        <v>6.4624571800231934</v>
      </c>
    </row>
    <row r="2548" spans="1:6" hidden="1" x14ac:dyDescent="0.3">
      <c r="A2548" s="6">
        <v>19</v>
      </c>
      <c r="B2548" s="6" t="s">
        <v>119</v>
      </c>
      <c r="C2548" s="6" t="s">
        <v>382</v>
      </c>
      <c r="D2548" s="6" t="s">
        <v>120</v>
      </c>
      <c r="E2548" s="11">
        <v>6.8959012031555176</v>
      </c>
      <c r="F2548" s="11">
        <v>6.4624571800231934</v>
      </c>
    </row>
    <row r="2549" spans="1:6" hidden="1" x14ac:dyDescent="0.3">
      <c r="A2549" s="6">
        <v>19</v>
      </c>
      <c r="B2549" s="6" t="s">
        <v>119</v>
      </c>
      <c r="C2549" s="6" t="s">
        <v>383</v>
      </c>
      <c r="D2549" s="6" t="s">
        <v>120</v>
      </c>
      <c r="E2549" s="11">
        <v>4.3643789291381836</v>
      </c>
      <c r="F2549" s="11">
        <v>6.4624571800231934</v>
      </c>
    </row>
    <row r="2550" spans="1:6" hidden="1" x14ac:dyDescent="0.3">
      <c r="A2550" s="6">
        <v>19</v>
      </c>
      <c r="B2550" s="6" t="s">
        <v>119</v>
      </c>
      <c r="C2550" s="6" t="s">
        <v>384</v>
      </c>
      <c r="D2550" s="6" t="s">
        <v>120</v>
      </c>
      <c r="E2550" s="11">
        <v>5.8187093734741211</v>
      </c>
      <c r="F2550" s="11">
        <v>6.4624571800231934</v>
      </c>
    </row>
    <row r="2551" spans="1:6" hidden="1" x14ac:dyDescent="0.3">
      <c r="A2551" s="6">
        <v>19</v>
      </c>
      <c r="B2551" s="6" t="s">
        <v>119</v>
      </c>
      <c r="C2551" s="6" t="s">
        <v>385</v>
      </c>
      <c r="D2551" s="6" t="s">
        <v>120</v>
      </c>
      <c r="E2551" s="11">
        <v>5.8503971099853516</v>
      </c>
      <c r="F2551" s="11">
        <v>6.4624571800231934</v>
      </c>
    </row>
    <row r="2552" spans="1:6" hidden="1" x14ac:dyDescent="0.3">
      <c r="A2552" s="6">
        <v>19</v>
      </c>
      <c r="B2552" s="6" t="s">
        <v>119</v>
      </c>
      <c r="C2552" s="6" t="s">
        <v>386</v>
      </c>
      <c r="D2552" s="6" t="s">
        <v>120</v>
      </c>
      <c r="E2552" s="11">
        <v>3.1545140743255615</v>
      </c>
      <c r="F2552" s="11">
        <v>6.4624571800231934</v>
      </c>
    </row>
    <row r="2553" spans="1:6" hidden="1" x14ac:dyDescent="0.3">
      <c r="A2553" s="6">
        <v>19</v>
      </c>
      <c r="B2553" s="6" t="s">
        <v>119</v>
      </c>
      <c r="C2553" s="6" t="s">
        <v>387</v>
      </c>
      <c r="D2553" s="6" t="s">
        <v>120</v>
      </c>
      <c r="E2553" s="11">
        <v>6.3547286987304688</v>
      </c>
      <c r="F2553" s="11">
        <v>6.4624571800231934</v>
      </c>
    </row>
    <row r="2554" spans="1:6" hidden="1" x14ac:dyDescent="0.3">
      <c r="A2554" s="6">
        <v>19</v>
      </c>
      <c r="B2554" s="6" t="s">
        <v>119</v>
      </c>
      <c r="C2554" s="6" t="s">
        <v>388</v>
      </c>
      <c r="D2554" s="6" t="s">
        <v>120</v>
      </c>
      <c r="E2554" s="11">
        <v>3.02018141746521</v>
      </c>
      <c r="F2554" s="11">
        <v>6.4624571800231934</v>
      </c>
    </row>
    <row r="2555" spans="1:6" hidden="1" x14ac:dyDescent="0.3">
      <c r="A2555" s="6">
        <v>19</v>
      </c>
      <c r="B2555" s="6" t="s">
        <v>119</v>
      </c>
      <c r="C2555" s="6" t="s">
        <v>389</v>
      </c>
      <c r="D2555" s="6" t="s">
        <v>120</v>
      </c>
      <c r="E2555" s="11">
        <v>6.2307291030883789</v>
      </c>
      <c r="F2555" s="11">
        <v>6.4624571800231934</v>
      </c>
    </row>
    <row r="2556" spans="1:6" hidden="1" x14ac:dyDescent="0.3">
      <c r="A2556" s="6">
        <v>19</v>
      </c>
      <c r="B2556" s="6" t="s">
        <v>119</v>
      </c>
      <c r="C2556" s="6" t="s">
        <v>390</v>
      </c>
      <c r="D2556" s="6" t="s">
        <v>120</v>
      </c>
      <c r="E2556" s="11">
        <v>4.9606771469116211</v>
      </c>
      <c r="F2556" s="11">
        <v>6.4624571800231934</v>
      </c>
    </row>
    <row r="2557" spans="1:6" hidden="1" x14ac:dyDescent="0.3">
      <c r="A2557" s="6">
        <v>19</v>
      </c>
      <c r="B2557" s="6" t="s">
        <v>119</v>
      </c>
      <c r="C2557" s="6" t="s">
        <v>391</v>
      </c>
      <c r="D2557" s="6" t="s">
        <v>120</v>
      </c>
      <c r="E2557" s="11">
        <v>32.753086090087891</v>
      </c>
      <c r="F2557" s="11">
        <v>6.4624571800231934</v>
      </c>
    </row>
    <row r="2558" spans="1:6" hidden="1" x14ac:dyDescent="0.3">
      <c r="A2558" s="6">
        <v>19</v>
      </c>
      <c r="B2558" s="6" t="s">
        <v>119</v>
      </c>
      <c r="C2558" s="6" t="s">
        <v>392</v>
      </c>
      <c r="D2558" s="6" t="s">
        <v>120</v>
      </c>
      <c r="E2558" s="11">
        <v>6.4427847862243652</v>
      </c>
      <c r="F2558" s="11">
        <v>6.4624571800231934</v>
      </c>
    </row>
    <row r="2559" spans="1:6" hidden="1" x14ac:dyDescent="0.3">
      <c r="A2559" s="6">
        <v>19</v>
      </c>
      <c r="B2559" s="6" t="s">
        <v>119</v>
      </c>
      <c r="C2559" s="6" t="s">
        <v>393</v>
      </c>
      <c r="D2559" s="6" t="s">
        <v>120</v>
      </c>
      <c r="E2559" s="11">
        <v>9.1184787750244141</v>
      </c>
      <c r="F2559" s="11">
        <v>6.4624571800231934</v>
      </c>
    </row>
    <row r="2560" spans="1:6" hidden="1" x14ac:dyDescent="0.3">
      <c r="A2560" s="6">
        <v>19</v>
      </c>
      <c r="B2560" s="6" t="s">
        <v>119</v>
      </c>
      <c r="C2560" s="6" t="s">
        <v>394</v>
      </c>
      <c r="D2560" s="6" t="s">
        <v>120</v>
      </c>
      <c r="E2560" s="11">
        <v>6.5454049110412598</v>
      </c>
      <c r="F2560" s="11">
        <v>6.4624571800231934</v>
      </c>
    </row>
    <row r="2561" spans="1:6" hidden="1" x14ac:dyDescent="0.3">
      <c r="A2561" s="6">
        <v>19</v>
      </c>
      <c r="B2561" s="6" t="s">
        <v>119</v>
      </c>
      <c r="C2561" s="6" t="s">
        <v>395</v>
      </c>
      <c r="D2561" s="6" t="s">
        <v>120</v>
      </c>
      <c r="E2561" s="11">
        <v>6.9922528266906738</v>
      </c>
      <c r="F2561" s="11">
        <v>6.4624571800231934</v>
      </c>
    </row>
    <row r="2562" spans="1:6" hidden="1" x14ac:dyDescent="0.3">
      <c r="A2562" s="6">
        <v>19</v>
      </c>
      <c r="B2562" s="6" t="s">
        <v>119</v>
      </c>
      <c r="C2562" s="6" t="s">
        <v>396</v>
      </c>
      <c r="D2562" s="6" t="s">
        <v>120</v>
      </c>
      <c r="E2562" s="11">
        <v>3.0075781345367432</v>
      </c>
      <c r="F2562" s="11">
        <v>6.4624571800231934</v>
      </c>
    </row>
    <row r="2563" spans="1:6" hidden="1" x14ac:dyDescent="0.3">
      <c r="A2563" s="6">
        <v>19</v>
      </c>
      <c r="B2563" s="6" t="s">
        <v>119</v>
      </c>
      <c r="C2563" s="6" t="s">
        <v>397</v>
      </c>
      <c r="D2563" s="6" t="s">
        <v>120</v>
      </c>
      <c r="E2563" s="11">
        <v>4.4109506607055664</v>
      </c>
      <c r="F2563" s="11">
        <v>6.4624571800231934</v>
      </c>
    </row>
    <row r="2564" spans="1:6" hidden="1" x14ac:dyDescent="0.3">
      <c r="A2564" s="6">
        <v>19</v>
      </c>
      <c r="B2564" s="6" t="s">
        <v>119</v>
      </c>
      <c r="C2564" s="6" t="s">
        <v>398</v>
      </c>
      <c r="D2564" s="6" t="s">
        <v>120</v>
      </c>
      <c r="E2564" s="11">
        <v>7.8862619400024414</v>
      </c>
      <c r="F2564" s="11">
        <v>6.4624571800231934</v>
      </c>
    </row>
    <row r="2565" spans="1:6" hidden="1" x14ac:dyDescent="0.3">
      <c r="A2565" s="6">
        <v>19</v>
      </c>
      <c r="B2565" s="6" t="s">
        <v>119</v>
      </c>
      <c r="C2565" s="6" t="s">
        <v>399</v>
      </c>
      <c r="D2565" s="6" t="s">
        <v>120</v>
      </c>
      <c r="E2565" s="11">
        <v>10.658302307128906</v>
      </c>
      <c r="F2565" s="11">
        <v>6.4624571800231934</v>
      </c>
    </row>
    <row r="2566" spans="1:6" hidden="1" x14ac:dyDescent="0.3">
      <c r="A2566" s="6">
        <v>19</v>
      </c>
      <c r="B2566" s="6" t="s">
        <v>119</v>
      </c>
      <c r="C2566" s="6" t="s">
        <v>400</v>
      </c>
      <c r="D2566" s="6" t="s">
        <v>120</v>
      </c>
      <c r="E2566" s="11">
        <v>4.1075954437255859</v>
      </c>
      <c r="F2566" s="11">
        <v>6.4624571800231934</v>
      </c>
    </row>
    <row r="2567" spans="1:6" hidden="1" x14ac:dyDescent="0.3">
      <c r="A2567" s="6">
        <v>19</v>
      </c>
      <c r="B2567" s="6" t="s">
        <v>119</v>
      </c>
      <c r="C2567" s="6" t="s">
        <v>401</v>
      </c>
      <c r="D2567" s="6" t="s">
        <v>120</v>
      </c>
      <c r="E2567" s="11">
        <v>8.4796972274780273</v>
      </c>
      <c r="F2567" s="11">
        <v>6.4624571800231934</v>
      </c>
    </row>
    <row r="2568" spans="1:6" hidden="1" x14ac:dyDescent="0.3">
      <c r="A2568" s="6">
        <v>19</v>
      </c>
      <c r="B2568" s="6" t="s">
        <v>119</v>
      </c>
      <c r="C2568" s="6" t="s">
        <v>402</v>
      </c>
      <c r="D2568" s="6" t="s">
        <v>120</v>
      </c>
      <c r="E2568" s="11">
        <v>11.550997734069824</v>
      </c>
      <c r="F2568" s="11">
        <v>6.4624571800231934</v>
      </c>
    </row>
    <row r="2569" spans="1:6" hidden="1" x14ac:dyDescent="0.3">
      <c r="A2569" s="6">
        <v>19</v>
      </c>
      <c r="B2569" s="6" t="s">
        <v>119</v>
      </c>
      <c r="C2569" s="6" t="s">
        <v>403</v>
      </c>
      <c r="D2569" s="6" t="s">
        <v>120</v>
      </c>
      <c r="E2569" s="11">
        <v>9.584202766418457</v>
      </c>
      <c r="F2569" s="11">
        <v>6.4624571800231934</v>
      </c>
    </row>
    <row r="2570" spans="1:6" hidden="1" x14ac:dyDescent="0.3">
      <c r="A2570" s="6">
        <v>19</v>
      </c>
      <c r="B2570" s="6" t="s">
        <v>119</v>
      </c>
      <c r="C2570" s="6" t="s">
        <v>404</v>
      </c>
      <c r="D2570" s="6" t="s">
        <v>120</v>
      </c>
      <c r="E2570" s="11">
        <v>5.4323039054870605</v>
      </c>
      <c r="F2570" s="11">
        <v>6.4624571800231934</v>
      </c>
    </row>
    <row r="2571" spans="1:6" hidden="1" x14ac:dyDescent="0.3">
      <c r="A2571" s="6">
        <v>19</v>
      </c>
      <c r="B2571" s="6" t="s">
        <v>119</v>
      </c>
      <c r="C2571" s="6" t="s">
        <v>405</v>
      </c>
      <c r="D2571" s="6" t="s">
        <v>120</v>
      </c>
      <c r="E2571" s="11">
        <v>8.4238462448120117</v>
      </c>
      <c r="F2571" s="11">
        <v>6.4624571800231934</v>
      </c>
    </row>
    <row r="2572" spans="1:6" hidden="1" x14ac:dyDescent="0.3">
      <c r="A2572" s="6">
        <v>19</v>
      </c>
      <c r="B2572" s="6" t="s">
        <v>119</v>
      </c>
      <c r="C2572" s="6" t="s">
        <v>406</v>
      </c>
      <c r="D2572" s="6" t="s">
        <v>120</v>
      </c>
      <c r="E2572" s="11">
        <v>6.2864589691162109</v>
      </c>
      <c r="F2572" s="11">
        <v>6.4624571800231934</v>
      </c>
    </row>
    <row r="2573" spans="1:6" hidden="1" x14ac:dyDescent="0.3">
      <c r="A2573" s="6">
        <v>19</v>
      </c>
      <c r="B2573" s="6" t="s">
        <v>119</v>
      </c>
      <c r="C2573" s="6" t="s">
        <v>407</v>
      </c>
      <c r="D2573" s="6" t="s">
        <v>120</v>
      </c>
      <c r="E2573" s="11">
        <v>24.951389312744141</v>
      </c>
      <c r="F2573" s="11">
        <v>6.4624571800231934</v>
      </c>
    </row>
    <row r="2574" spans="1:6" hidden="1" x14ac:dyDescent="0.3">
      <c r="A2574" s="6">
        <v>19</v>
      </c>
      <c r="B2574" s="6" t="s">
        <v>119</v>
      </c>
      <c r="C2574" s="6" t="s">
        <v>408</v>
      </c>
      <c r="D2574" s="6" t="s">
        <v>120</v>
      </c>
      <c r="E2574" s="11">
        <v>8.6187877655029297</v>
      </c>
      <c r="F2574" s="11">
        <v>6.4624571800231934</v>
      </c>
    </row>
    <row r="2575" spans="1:6" hidden="1" x14ac:dyDescent="0.3">
      <c r="A2575" s="6">
        <v>19</v>
      </c>
      <c r="B2575" s="6" t="s">
        <v>119</v>
      </c>
      <c r="C2575" s="6" t="s">
        <v>409</v>
      </c>
      <c r="D2575" s="6" t="s">
        <v>120</v>
      </c>
      <c r="E2575" s="11">
        <v>6.9587903022766113</v>
      </c>
      <c r="F2575" s="11">
        <v>6.4624571800231934</v>
      </c>
    </row>
    <row r="2576" spans="1:6" hidden="1" x14ac:dyDescent="0.3">
      <c r="A2576" s="6">
        <v>19</v>
      </c>
      <c r="B2576" s="6" t="s">
        <v>119</v>
      </c>
      <c r="C2576" s="6" t="s">
        <v>410</v>
      </c>
      <c r="D2576" s="6" t="s">
        <v>120</v>
      </c>
      <c r="E2576" s="11">
        <v>4.957094669342041</v>
      </c>
      <c r="F2576" s="11">
        <v>6.4624571800231934</v>
      </c>
    </row>
    <row r="2577" spans="1:6" hidden="1" x14ac:dyDescent="0.3">
      <c r="A2577" s="6">
        <v>19</v>
      </c>
      <c r="B2577" s="6" t="s">
        <v>119</v>
      </c>
      <c r="C2577" s="6" t="s">
        <v>411</v>
      </c>
      <c r="D2577" s="6" t="s">
        <v>120</v>
      </c>
      <c r="E2577" s="11">
        <v>5.4352331161499023</v>
      </c>
      <c r="F2577" s="11">
        <v>6.4624571800231934</v>
      </c>
    </row>
    <row r="2578" spans="1:6" hidden="1" x14ac:dyDescent="0.3">
      <c r="A2578" s="6">
        <v>19</v>
      </c>
      <c r="B2578" s="6" t="s">
        <v>119</v>
      </c>
      <c r="C2578" s="6" t="s">
        <v>412</v>
      </c>
      <c r="D2578" s="6" t="s">
        <v>120</v>
      </c>
      <c r="E2578" s="11">
        <v>5.4303150177001953</v>
      </c>
      <c r="F2578" s="11">
        <v>6.4624571800231934</v>
      </c>
    </row>
    <row r="2579" spans="1:6" hidden="1" x14ac:dyDescent="0.3">
      <c r="A2579" s="6">
        <v>19</v>
      </c>
      <c r="B2579" s="6" t="s">
        <v>119</v>
      </c>
      <c r="C2579" s="6" t="s">
        <v>413</v>
      </c>
      <c r="D2579" s="6" t="s">
        <v>120</v>
      </c>
      <c r="E2579" s="11">
        <v>6.8912091255187988</v>
      </c>
      <c r="F2579" s="11">
        <v>6.4624571800231934</v>
      </c>
    </row>
    <row r="2580" spans="1:6" hidden="1" x14ac:dyDescent="0.3">
      <c r="A2580" s="6">
        <v>19</v>
      </c>
      <c r="B2580" s="6" t="s">
        <v>119</v>
      </c>
      <c r="C2580" s="6" t="s">
        <v>414</v>
      </c>
      <c r="D2580" s="6" t="s">
        <v>120</v>
      </c>
      <c r="E2580" s="11">
        <v>3.8178310394287109</v>
      </c>
      <c r="F2580" s="11">
        <v>6.4624571800231934</v>
      </c>
    </row>
    <row r="2581" spans="1:6" hidden="1" x14ac:dyDescent="0.3">
      <c r="A2581" s="6">
        <v>19</v>
      </c>
      <c r="B2581" s="6" t="s">
        <v>119</v>
      </c>
      <c r="C2581" s="6" t="s">
        <v>415</v>
      </c>
      <c r="D2581" s="6" t="s">
        <v>120</v>
      </c>
      <c r="E2581" s="11">
        <v>14.211164474487305</v>
      </c>
      <c r="F2581" s="11">
        <v>6.4624571800231934</v>
      </c>
    </row>
    <row r="2582" spans="1:6" hidden="1" x14ac:dyDescent="0.3">
      <c r="A2582" s="6">
        <v>19</v>
      </c>
      <c r="B2582" s="6" t="s">
        <v>119</v>
      </c>
      <c r="C2582" s="6" t="s">
        <v>416</v>
      </c>
      <c r="D2582" s="6" t="s">
        <v>120</v>
      </c>
      <c r="E2582" s="11">
        <v>14.262479782104492</v>
      </c>
      <c r="F2582" s="11">
        <v>6.4624571800231934</v>
      </c>
    </row>
    <row r="2583" spans="1:6" hidden="1" x14ac:dyDescent="0.3">
      <c r="A2583" s="6">
        <v>19</v>
      </c>
      <c r="B2583" s="6" t="s">
        <v>119</v>
      </c>
      <c r="C2583" s="6" t="s">
        <v>417</v>
      </c>
      <c r="D2583" s="6" t="s">
        <v>120</v>
      </c>
      <c r="E2583" s="11">
        <v>12.959216117858887</v>
      </c>
      <c r="F2583" s="11">
        <v>6.4624571800231934</v>
      </c>
    </row>
    <row r="2584" spans="1:6" hidden="1" x14ac:dyDescent="0.3">
      <c r="A2584" s="6">
        <v>19</v>
      </c>
      <c r="B2584" s="6" t="s">
        <v>119</v>
      </c>
      <c r="C2584" s="6" t="s">
        <v>418</v>
      </c>
      <c r="D2584" s="6" t="s">
        <v>120</v>
      </c>
      <c r="E2584" s="11">
        <v>9.3777732849121094</v>
      </c>
      <c r="F2584" s="11">
        <v>6.4624571800231934</v>
      </c>
    </row>
    <row r="2585" spans="1:6" hidden="1" x14ac:dyDescent="0.3">
      <c r="A2585" s="6">
        <v>19</v>
      </c>
      <c r="B2585" s="6" t="s">
        <v>119</v>
      </c>
      <c r="C2585" s="6" t="s">
        <v>419</v>
      </c>
      <c r="D2585" s="6" t="s">
        <v>120</v>
      </c>
      <c r="E2585" s="11">
        <v>232.69110107421875</v>
      </c>
      <c r="F2585" s="11">
        <v>6.4624571800231934</v>
      </c>
    </row>
    <row r="2586" spans="1:6" hidden="1" x14ac:dyDescent="0.3">
      <c r="A2586" s="6">
        <v>19</v>
      </c>
      <c r="B2586" s="6" t="s">
        <v>119</v>
      </c>
      <c r="C2586" s="6" t="s">
        <v>420</v>
      </c>
      <c r="D2586" s="6" t="s">
        <v>120</v>
      </c>
      <c r="E2586" s="11">
        <v>3.0259618759155273</v>
      </c>
      <c r="F2586" s="11">
        <v>6.4624571800231934</v>
      </c>
    </row>
    <row r="2587" spans="1:6" hidden="1" x14ac:dyDescent="0.3">
      <c r="A2587" s="6">
        <v>19</v>
      </c>
      <c r="B2587" s="6" t="s">
        <v>119</v>
      </c>
      <c r="C2587" s="6" t="s">
        <v>421</v>
      </c>
      <c r="D2587" s="6" t="s">
        <v>120</v>
      </c>
      <c r="E2587" s="11">
        <v>3.872114896774292</v>
      </c>
      <c r="F2587" s="11">
        <v>6.4624571800231934</v>
      </c>
    </row>
    <row r="2588" spans="1:6" hidden="1" x14ac:dyDescent="0.3">
      <c r="A2588" s="6">
        <v>19</v>
      </c>
      <c r="B2588" s="6" t="s">
        <v>119</v>
      </c>
      <c r="C2588" s="6" t="s">
        <v>422</v>
      </c>
      <c r="D2588" s="6" t="s">
        <v>120</v>
      </c>
      <c r="E2588" s="11">
        <v>6.7769474983215332</v>
      </c>
      <c r="F2588" s="11">
        <v>6.4624571800231934</v>
      </c>
    </row>
    <row r="2589" spans="1:6" hidden="1" x14ac:dyDescent="0.3">
      <c r="A2589" s="6">
        <v>19</v>
      </c>
      <c r="B2589" s="6" t="s">
        <v>119</v>
      </c>
      <c r="C2589" s="6" t="s">
        <v>423</v>
      </c>
      <c r="D2589" s="6" t="s">
        <v>120</v>
      </c>
      <c r="E2589" s="11">
        <v>2.9863982200622559</v>
      </c>
      <c r="F2589" s="11">
        <v>6.4624571800231934</v>
      </c>
    </row>
    <row r="2590" spans="1:6" hidden="1" x14ac:dyDescent="0.3">
      <c r="A2590" s="6">
        <v>19</v>
      </c>
      <c r="B2590" s="6" t="s">
        <v>119</v>
      </c>
      <c r="C2590" s="6" t="s">
        <v>424</v>
      </c>
      <c r="D2590" s="6" t="s">
        <v>120</v>
      </c>
      <c r="E2590" s="11">
        <v>3.5061964988708496</v>
      </c>
      <c r="F2590" s="11">
        <v>6.4624571800231934</v>
      </c>
    </row>
    <row r="2591" spans="1:6" hidden="1" x14ac:dyDescent="0.3">
      <c r="A2591" s="6">
        <v>19</v>
      </c>
      <c r="B2591" s="6" t="s">
        <v>119</v>
      </c>
      <c r="C2591" s="6" t="s">
        <v>425</v>
      </c>
      <c r="D2591" s="6" t="s">
        <v>120</v>
      </c>
      <c r="E2591" s="11">
        <v>5.1931233406066895</v>
      </c>
      <c r="F2591" s="11">
        <v>6.4624571800231934</v>
      </c>
    </row>
    <row r="2592" spans="1:6" hidden="1" x14ac:dyDescent="0.3">
      <c r="A2592" s="6">
        <v>19</v>
      </c>
      <c r="B2592" s="6" t="s">
        <v>119</v>
      </c>
      <c r="C2592" s="6" t="s">
        <v>426</v>
      </c>
      <c r="D2592" s="6" t="s">
        <v>120</v>
      </c>
      <c r="E2592" s="11">
        <v>5.1361613273620605</v>
      </c>
      <c r="F2592" s="11">
        <v>6.4624571800231934</v>
      </c>
    </row>
    <row r="2593" spans="1:6" hidden="1" x14ac:dyDescent="0.3">
      <c r="A2593" s="6">
        <v>19</v>
      </c>
      <c r="B2593" s="6" t="s">
        <v>119</v>
      </c>
      <c r="C2593" s="6" t="s">
        <v>427</v>
      </c>
      <c r="D2593" s="6" t="s">
        <v>120</v>
      </c>
      <c r="E2593" s="11">
        <v>3.9420833587646484</v>
      </c>
      <c r="F2593" s="11">
        <v>6.4624571800231934</v>
      </c>
    </row>
    <row r="2594" spans="1:6" hidden="1" x14ac:dyDescent="0.3">
      <c r="A2594" s="6">
        <v>19</v>
      </c>
      <c r="B2594" s="6" t="s">
        <v>119</v>
      </c>
      <c r="C2594" s="6" t="s">
        <v>428</v>
      </c>
      <c r="D2594" s="6" t="s">
        <v>120</v>
      </c>
      <c r="E2594" s="11">
        <v>9.2879114151000977</v>
      </c>
      <c r="F2594" s="11">
        <v>6.4624571800231934</v>
      </c>
    </row>
    <row r="2595" spans="1:6" hidden="1" x14ac:dyDescent="0.3">
      <c r="A2595" s="6">
        <v>19</v>
      </c>
      <c r="B2595" s="6" t="s">
        <v>119</v>
      </c>
      <c r="C2595" s="6" t="s">
        <v>429</v>
      </c>
      <c r="D2595" s="6" t="s">
        <v>120</v>
      </c>
      <c r="E2595" s="11">
        <v>5.0980081558227539</v>
      </c>
      <c r="F2595" s="11">
        <v>6.4624571800231934</v>
      </c>
    </row>
    <row r="2596" spans="1:6" hidden="1" x14ac:dyDescent="0.3">
      <c r="A2596" s="6">
        <v>19</v>
      </c>
      <c r="B2596" s="6" t="s">
        <v>119</v>
      </c>
      <c r="C2596" s="6" t="s">
        <v>430</v>
      </c>
      <c r="D2596" s="6" t="s">
        <v>120</v>
      </c>
      <c r="E2596" s="11">
        <v>4.631192684173584</v>
      </c>
      <c r="F2596" s="11">
        <v>6.4624571800231934</v>
      </c>
    </row>
    <row r="2597" spans="1:6" hidden="1" x14ac:dyDescent="0.3">
      <c r="A2597" s="6">
        <v>19</v>
      </c>
      <c r="B2597" s="6" t="s">
        <v>119</v>
      </c>
      <c r="C2597" s="6" t="s">
        <v>431</v>
      </c>
      <c r="D2597" s="6" t="s">
        <v>120</v>
      </c>
      <c r="E2597" s="11"/>
      <c r="F2597" s="11">
        <v>6.4624571800231934</v>
      </c>
    </row>
    <row r="2598" spans="1:6" hidden="1" x14ac:dyDescent="0.3">
      <c r="A2598" s="6">
        <v>19</v>
      </c>
      <c r="B2598" s="6" t="s">
        <v>119</v>
      </c>
      <c r="C2598" s="6" t="s">
        <v>432</v>
      </c>
      <c r="D2598" s="6" t="s">
        <v>120</v>
      </c>
      <c r="E2598" s="11">
        <v>7.3329353332519531</v>
      </c>
      <c r="F2598" s="11">
        <v>6.4624571800231934</v>
      </c>
    </row>
    <row r="2599" spans="1:6" hidden="1" x14ac:dyDescent="0.3">
      <c r="A2599" s="6">
        <v>19</v>
      </c>
      <c r="B2599" s="6" t="s">
        <v>119</v>
      </c>
      <c r="C2599" s="6" t="s">
        <v>433</v>
      </c>
      <c r="D2599" s="6" t="s">
        <v>120</v>
      </c>
      <c r="E2599" s="11">
        <v>9.3732337951660156</v>
      </c>
      <c r="F2599" s="11">
        <v>6.4624571800231934</v>
      </c>
    </row>
    <row r="2600" spans="1:6" hidden="1" x14ac:dyDescent="0.3">
      <c r="A2600" s="6">
        <v>19</v>
      </c>
      <c r="B2600" s="6" t="s">
        <v>119</v>
      </c>
      <c r="C2600" s="6" t="s">
        <v>434</v>
      </c>
      <c r="D2600" s="6" t="s">
        <v>120</v>
      </c>
      <c r="E2600" s="11">
        <v>3.718273401260376</v>
      </c>
      <c r="F2600" s="11">
        <v>6.4624571800231934</v>
      </c>
    </row>
    <row r="2601" spans="1:6" hidden="1" x14ac:dyDescent="0.3">
      <c r="A2601" s="6">
        <v>19</v>
      </c>
      <c r="B2601" s="6" t="s">
        <v>119</v>
      </c>
      <c r="C2601" s="6" t="s">
        <v>435</v>
      </c>
      <c r="D2601" s="6" t="s">
        <v>120</v>
      </c>
      <c r="E2601" s="11">
        <v>7.331817626953125</v>
      </c>
      <c r="F2601" s="11">
        <v>6.4624571800231934</v>
      </c>
    </row>
    <row r="2602" spans="1:6" hidden="1" x14ac:dyDescent="0.3">
      <c r="A2602" s="6">
        <v>19</v>
      </c>
      <c r="B2602" s="6" t="s">
        <v>119</v>
      </c>
      <c r="C2602" s="6" t="s">
        <v>436</v>
      </c>
      <c r="D2602" s="6" t="s">
        <v>120</v>
      </c>
      <c r="E2602" s="11">
        <v>7.6122632026672363</v>
      </c>
      <c r="F2602" s="11">
        <v>6.4624571800231934</v>
      </c>
    </row>
    <row r="2603" spans="1:6" hidden="1" x14ac:dyDescent="0.3">
      <c r="A2603" s="6">
        <v>19</v>
      </c>
      <c r="B2603" s="6" t="s">
        <v>119</v>
      </c>
      <c r="C2603" s="6" t="s">
        <v>437</v>
      </c>
      <c r="D2603" s="6" t="s">
        <v>120</v>
      </c>
      <c r="E2603" s="11">
        <v>8.936955451965332</v>
      </c>
      <c r="F2603" s="11">
        <v>6.4624571800231934</v>
      </c>
    </row>
    <row r="2604" spans="1:6" hidden="1" x14ac:dyDescent="0.3">
      <c r="A2604" s="6">
        <v>19</v>
      </c>
      <c r="B2604" s="6" t="s">
        <v>119</v>
      </c>
      <c r="C2604" s="6" t="s">
        <v>438</v>
      </c>
      <c r="D2604" s="6" t="s">
        <v>120</v>
      </c>
      <c r="E2604" s="11">
        <v>7.5604267120361328</v>
      </c>
      <c r="F2604" s="11">
        <v>6.4624571800231934</v>
      </c>
    </row>
    <row r="2605" spans="1:6" hidden="1" x14ac:dyDescent="0.3">
      <c r="A2605" s="6">
        <v>19</v>
      </c>
      <c r="B2605" s="6" t="s">
        <v>119</v>
      </c>
      <c r="C2605" s="6" t="s">
        <v>439</v>
      </c>
      <c r="D2605" s="6" t="s">
        <v>120</v>
      </c>
      <c r="E2605" s="11">
        <v>5.743797779083252</v>
      </c>
      <c r="F2605" s="11">
        <v>6.4624571800231934</v>
      </c>
    </row>
    <row r="2606" spans="1:6" hidden="1" x14ac:dyDescent="0.3">
      <c r="A2606" s="6">
        <v>19</v>
      </c>
      <c r="B2606" s="6" t="s">
        <v>119</v>
      </c>
      <c r="C2606" s="6" t="s">
        <v>440</v>
      </c>
      <c r="D2606" s="6" t="s">
        <v>120</v>
      </c>
      <c r="E2606" s="11">
        <v>8.5905637741088867</v>
      </c>
      <c r="F2606" s="11">
        <v>6.4624571800231934</v>
      </c>
    </row>
    <row r="2607" spans="1:6" hidden="1" x14ac:dyDescent="0.3">
      <c r="A2607" s="6">
        <v>19</v>
      </c>
      <c r="B2607" s="6" t="s">
        <v>119</v>
      </c>
      <c r="C2607" s="6" t="s">
        <v>441</v>
      </c>
      <c r="D2607" s="6" t="s">
        <v>120</v>
      </c>
      <c r="E2607" s="11">
        <v>2.994391918182373</v>
      </c>
      <c r="F2607" s="11">
        <v>6.4624571800231934</v>
      </c>
    </row>
    <row r="2608" spans="1:6" hidden="1" x14ac:dyDescent="0.3">
      <c r="A2608" s="6">
        <v>19</v>
      </c>
      <c r="B2608" s="6" t="s">
        <v>119</v>
      </c>
      <c r="C2608" s="6" t="s">
        <v>442</v>
      </c>
      <c r="D2608" s="6" t="s">
        <v>120</v>
      </c>
      <c r="E2608" s="11">
        <v>7.5675101280212402</v>
      </c>
      <c r="F2608" s="11">
        <v>6.4624571800231934</v>
      </c>
    </row>
    <row r="2609" spans="1:6" hidden="1" x14ac:dyDescent="0.3">
      <c r="A2609" s="6">
        <v>19</v>
      </c>
      <c r="B2609" s="6" t="s">
        <v>119</v>
      </c>
      <c r="C2609" s="6" t="s">
        <v>443</v>
      </c>
      <c r="D2609" s="6" t="s">
        <v>120</v>
      </c>
      <c r="E2609" s="11">
        <v>3.9424915313720703</v>
      </c>
      <c r="F2609" s="11">
        <v>6.4624571800231934</v>
      </c>
    </row>
    <row r="2610" spans="1:6" hidden="1" x14ac:dyDescent="0.3">
      <c r="A2610" s="6">
        <v>19</v>
      </c>
      <c r="B2610" s="6" t="s">
        <v>119</v>
      </c>
      <c r="C2610" s="6" t="s">
        <v>444</v>
      </c>
      <c r="D2610" s="6" t="s">
        <v>120</v>
      </c>
      <c r="E2610" s="11">
        <v>4.2258930206298828</v>
      </c>
      <c r="F2610" s="11">
        <v>6.4624571800231934</v>
      </c>
    </row>
    <row r="2611" spans="1:6" hidden="1" x14ac:dyDescent="0.3">
      <c r="A2611" s="6">
        <v>19</v>
      </c>
      <c r="B2611" s="6" t="s">
        <v>119</v>
      </c>
      <c r="C2611" s="6" t="s">
        <v>445</v>
      </c>
      <c r="D2611" s="6" t="s">
        <v>120</v>
      </c>
      <c r="E2611" s="11">
        <v>6.9930286407470703</v>
      </c>
      <c r="F2611" s="11">
        <v>6.4624571800231934</v>
      </c>
    </row>
    <row r="2612" spans="1:6" hidden="1" x14ac:dyDescent="0.3">
      <c r="A2612" s="6">
        <v>19</v>
      </c>
      <c r="B2612" s="6" t="s">
        <v>119</v>
      </c>
      <c r="C2612" s="6" t="s">
        <v>446</v>
      </c>
      <c r="D2612" s="6" t="s">
        <v>120</v>
      </c>
      <c r="E2612" s="11">
        <v>4.5854849815368652</v>
      </c>
      <c r="F2612" s="11">
        <v>6.4624571800231934</v>
      </c>
    </row>
    <row r="2613" spans="1:6" hidden="1" x14ac:dyDescent="0.3">
      <c r="A2613" s="6">
        <v>19</v>
      </c>
      <c r="B2613" s="6" t="s">
        <v>119</v>
      </c>
      <c r="C2613" s="6" t="s">
        <v>447</v>
      </c>
      <c r="D2613" s="6" t="s">
        <v>120</v>
      </c>
      <c r="E2613" s="11">
        <v>8.5638113021850586</v>
      </c>
      <c r="F2613" s="11">
        <v>6.4624571800231934</v>
      </c>
    </row>
    <row r="2614" spans="1:6" hidden="1" x14ac:dyDescent="0.3">
      <c r="A2614" s="6">
        <v>19</v>
      </c>
      <c r="B2614" s="6" t="s">
        <v>119</v>
      </c>
      <c r="C2614" s="6" t="s">
        <v>448</v>
      </c>
      <c r="D2614" s="6" t="s">
        <v>120</v>
      </c>
      <c r="E2614" s="11">
        <v>5.8128495216369629</v>
      </c>
      <c r="F2614" s="11">
        <v>6.4624571800231934</v>
      </c>
    </row>
    <row r="2615" spans="1:6" hidden="1" x14ac:dyDescent="0.3">
      <c r="A2615" s="6">
        <v>19</v>
      </c>
      <c r="B2615" s="6" t="s">
        <v>119</v>
      </c>
      <c r="C2615" s="6" t="s">
        <v>449</v>
      </c>
      <c r="D2615" s="6" t="s">
        <v>120</v>
      </c>
      <c r="E2615" s="11">
        <v>5.6439208984375</v>
      </c>
      <c r="F2615" s="11">
        <v>6.4624571800231934</v>
      </c>
    </row>
    <row r="2616" spans="1:6" hidden="1" x14ac:dyDescent="0.3">
      <c r="A2616" s="6">
        <v>19</v>
      </c>
      <c r="B2616" s="6" t="s">
        <v>119</v>
      </c>
      <c r="C2616" s="6" t="s">
        <v>450</v>
      </c>
      <c r="D2616" s="6" t="s">
        <v>120</v>
      </c>
      <c r="E2616" s="11">
        <v>5.0888767242431641</v>
      </c>
      <c r="F2616" s="11">
        <v>6.4624571800231934</v>
      </c>
    </row>
    <row r="2617" spans="1:6" hidden="1" x14ac:dyDescent="0.3">
      <c r="A2617" s="6">
        <v>19</v>
      </c>
      <c r="B2617" s="6" t="s">
        <v>119</v>
      </c>
      <c r="C2617" s="6" t="s">
        <v>451</v>
      </c>
      <c r="D2617" s="6" t="s">
        <v>120</v>
      </c>
      <c r="E2617" s="11">
        <v>7.1969585418701172</v>
      </c>
      <c r="F2617" s="11">
        <v>6.4624571800231934</v>
      </c>
    </row>
    <row r="2618" spans="1:6" hidden="1" x14ac:dyDescent="0.3">
      <c r="A2618" s="6">
        <v>19</v>
      </c>
      <c r="B2618" s="6" t="s">
        <v>119</v>
      </c>
      <c r="C2618" s="6" t="s">
        <v>452</v>
      </c>
      <c r="D2618" s="6" t="s">
        <v>120</v>
      </c>
      <c r="E2618" s="11">
        <v>24.455986022949219</v>
      </c>
      <c r="F2618" s="11">
        <v>6.4624571800231934</v>
      </c>
    </row>
    <row r="2619" spans="1:6" hidden="1" x14ac:dyDescent="0.3">
      <c r="A2619" s="6">
        <v>19</v>
      </c>
      <c r="B2619" s="6" t="s">
        <v>119</v>
      </c>
      <c r="C2619" s="6" t="s">
        <v>453</v>
      </c>
      <c r="D2619" s="6" t="s">
        <v>120</v>
      </c>
      <c r="E2619" s="11">
        <v>4.9755477905273438</v>
      </c>
      <c r="F2619" s="11">
        <v>6.4624571800231934</v>
      </c>
    </row>
    <row r="2620" spans="1:6" hidden="1" x14ac:dyDescent="0.3">
      <c r="A2620" s="6">
        <v>19</v>
      </c>
      <c r="B2620" s="6" t="s">
        <v>119</v>
      </c>
      <c r="C2620" s="6" t="s">
        <v>454</v>
      </c>
      <c r="D2620" s="6" t="s">
        <v>120</v>
      </c>
      <c r="E2620" s="11">
        <v>8.1175394058227539</v>
      </c>
      <c r="F2620" s="11">
        <v>6.4624571800231934</v>
      </c>
    </row>
    <row r="2621" spans="1:6" hidden="1" x14ac:dyDescent="0.3">
      <c r="A2621" s="6">
        <v>19</v>
      </c>
      <c r="B2621" s="6" t="s">
        <v>119</v>
      </c>
      <c r="C2621" s="6" t="s">
        <v>455</v>
      </c>
      <c r="D2621" s="6" t="s">
        <v>120</v>
      </c>
      <c r="E2621" s="11">
        <v>3.7328264713287354</v>
      </c>
      <c r="F2621" s="11">
        <v>6.4624571800231934</v>
      </c>
    </row>
    <row r="2622" spans="1:6" hidden="1" x14ac:dyDescent="0.3">
      <c r="A2622" s="6">
        <v>19</v>
      </c>
      <c r="B2622" s="6" t="s">
        <v>119</v>
      </c>
      <c r="C2622" s="6" t="s">
        <v>456</v>
      </c>
      <c r="D2622" s="6" t="s">
        <v>120</v>
      </c>
      <c r="E2622" s="11">
        <v>4.7107844352722168</v>
      </c>
      <c r="F2622" s="11">
        <v>6.4624571800231934</v>
      </c>
    </row>
    <row r="2623" spans="1:6" hidden="1" x14ac:dyDescent="0.3">
      <c r="A2623" s="6">
        <v>19</v>
      </c>
      <c r="B2623" s="6" t="s">
        <v>119</v>
      </c>
      <c r="C2623" s="6" t="s">
        <v>457</v>
      </c>
      <c r="D2623" s="6" t="s">
        <v>120</v>
      </c>
      <c r="E2623" s="11">
        <v>6.4111733436584473</v>
      </c>
      <c r="F2623" s="11">
        <v>6.4624571800231934</v>
      </c>
    </row>
    <row r="2624" spans="1:6" hidden="1" x14ac:dyDescent="0.3">
      <c r="A2624" s="6">
        <v>19</v>
      </c>
      <c r="B2624" s="6" t="s">
        <v>119</v>
      </c>
      <c r="C2624" s="6" t="s">
        <v>458</v>
      </c>
      <c r="D2624" s="6" t="s">
        <v>120</v>
      </c>
      <c r="E2624" s="11">
        <v>3.8668460845947266</v>
      </c>
      <c r="F2624" s="11">
        <v>6.4624571800231934</v>
      </c>
    </row>
    <row r="2625" spans="1:6" hidden="1" x14ac:dyDescent="0.3">
      <c r="A2625" s="6">
        <v>19</v>
      </c>
      <c r="B2625" s="6" t="s">
        <v>119</v>
      </c>
      <c r="C2625" s="6" t="s">
        <v>459</v>
      </c>
      <c r="D2625" s="6" t="s">
        <v>120</v>
      </c>
      <c r="E2625" s="11">
        <v>4.9211544990539551</v>
      </c>
      <c r="F2625" s="11">
        <v>6.4624571800231934</v>
      </c>
    </row>
    <row r="2626" spans="1:6" hidden="1" x14ac:dyDescent="0.3">
      <c r="A2626" s="6">
        <v>19</v>
      </c>
      <c r="B2626" s="6" t="s">
        <v>119</v>
      </c>
      <c r="C2626" s="6" t="s">
        <v>460</v>
      </c>
      <c r="D2626" s="6" t="s">
        <v>120</v>
      </c>
      <c r="E2626" s="11">
        <v>6.7595739364624023</v>
      </c>
      <c r="F2626" s="11">
        <v>6.4624571800231934</v>
      </c>
    </row>
    <row r="2627" spans="1:6" hidden="1" x14ac:dyDescent="0.3">
      <c r="A2627" s="6">
        <v>19</v>
      </c>
      <c r="B2627" s="6" t="s">
        <v>119</v>
      </c>
      <c r="C2627" s="6" t="s">
        <v>461</v>
      </c>
      <c r="D2627" s="6" t="s">
        <v>120</v>
      </c>
      <c r="E2627" s="11">
        <v>8.2462663650512695</v>
      </c>
      <c r="F2627" s="11">
        <v>6.4624571800231934</v>
      </c>
    </row>
    <row r="2628" spans="1:6" hidden="1" x14ac:dyDescent="0.3">
      <c r="A2628" s="6">
        <v>19</v>
      </c>
      <c r="B2628" s="6" t="s">
        <v>119</v>
      </c>
      <c r="C2628" s="6" t="s">
        <v>462</v>
      </c>
      <c r="D2628" s="6" t="s">
        <v>120</v>
      </c>
      <c r="E2628" s="11">
        <v>8.3380699157714844</v>
      </c>
      <c r="F2628" s="11">
        <v>6.4624571800231934</v>
      </c>
    </row>
    <row r="2629" spans="1:6" hidden="1" x14ac:dyDescent="0.3">
      <c r="A2629" s="6">
        <v>19</v>
      </c>
      <c r="B2629" s="6" t="s">
        <v>119</v>
      </c>
      <c r="C2629" s="6" t="s">
        <v>463</v>
      </c>
      <c r="D2629" s="6" t="s">
        <v>120</v>
      </c>
      <c r="E2629" s="11">
        <v>8.7338161468505859</v>
      </c>
      <c r="F2629" s="11">
        <v>6.4624571800231934</v>
      </c>
    </row>
    <row r="2630" spans="1:6" hidden="1" x14ac:dyDescent="0.3">
      <c r="A2630" s="6">
        <v>19</v>
      </c>
      <c r="B2630" s="6" t="s">
        <v>119</v>
      </c>
      <c r="C2630" s="6" t="s">
        <v>464</v>
      </c>
      <c r="D2630" s="6" t="s">
        <v>120</v>
      </c>
      <c r="E2630" s="11">
        <v>7.8704934120178223</v>
      </c>
      <c r="F2630" s="11">
        <v>6.4624571800231934</v>
      </c>
    </row>
    <row r="2631" spans="1:6" hidden="1" x14ac:dyDescent="0.3">
      <c r="A2631" s="6">
        <v>19</v>
      </c>
      <c r="B2631" s="6" t="s">
        <v>119</v>
      </c>
      <c r="C2631" s="6" t="s">
        <v>465</v>
      </c>
      <c r="D2631" s="6" t="s">
        <v>120</v>
      </c>
      <c r="E2631" s="11">
        <v>9.9622163772583008</v>
      </c>
      <c r="F2631" s="11">
        <v>6.4624571800231934</v>
      </c>
    </row>
    <row r="2632" spans="1:6" hidden="1" x14ac:dyDescent="0.3">
      <c r="A2632" s="6">
        <v>19</v>
      </c>
      <c r="B2632" s="6" t="s">
        <v>119</v>
      </c>
      <c r="C2632" s="6" t="s">
        <v>466</v>
      </c>
      <c r="D2632" s="6" t="s">
        <v>120</v>
      </c>
      <c r="E2632" s="11">
        <v>5.2019891738891602</v>
      </c>
      <c r="F2632" s="11">
        <v>6.4624571800231934</v>
      </c>
    </row>
    <row r="2633" spans="1:6" hidden="1" x14ac:dyDescent="0.3">
      <c r="A2633" s="6">
        <v>19</v>
      </c>
      <c r="B2633" s="6" t="s">
        <v>119</v>
      </c>
      <c r="C2633" s="6" t="s">
        <v>467</v>
      </c>
      <c r="D2633" s="6" t="s">
        <v>120</v>
      </c>
      <c r="E2633" s="11">
        <v>60.357921600341797</v>
      </c>
      <c r="F2633" s="11">
        <v>6.4624571800231934</v>
      </c>
    </row>
    <row r="2634" spans="1:6" hidden="1" x14ac:dyDescent="0.3">
      <c r="A2634" s="6">
        <v>19</v>
      </c>
      <c r="B2634" s="6" t="s">
        <v>119</v>
      </c>
      <c r="C2634" s="6" t="s">
        <v>468</v>
      </c>
      <c r="D2634" s="6" t="s">
        <v>120</v>
      </c>
      <c r="E2634" s="11">
        <v>10.149635314941406</v>
      </c>
      <c r="F2634" s="11">
        <v>6.4624571800231934</v>
      </c>
    </row>
    <row r="2635" spans="1:6" hidden="1" x14ac:dyDescent="0.3">
      <c r="A2635" s="6">
        <v>19</v>
      </c>
      <c r="B2635" s="6" t="s">
        <v>119</v>
      </c>
      <c r="C2635" s="6" t="s">
        <v>469</v>
      </c>
      <c r="D2635" s="6" t="s">
        <v>120</v>
      </c>
      <c r="E2635" s="11">
        <v>7.7917971611022949</v>
      </c>
      <c r="F2635" s="11">
        <v>6.4624571800231934</v>
      </c>
    </row>
    <row r="2636" spans="1:6" hidden="1" x14ac:dyDescent="0.3">
      <c r="A2636" s="6">
        <v>19</v>
      </c>
      <c r="B2636" s="6" t="s">
        <v>119</v>
      </c>
      <c r="C2636" s="6" t="s">
        <v>470</v>
      </c>
      <c r="D2636" s="6" t="s">
        <v>120</v>
      </c>
      <c r="E2636" s="11">
        <v>7.2753524780273438</v>
      </c>
      <c r="F2636" s="11">
        <v>6.4624571800231934</v>
      </c>
    </row>
    <row r="2637" spans="1:6" hidden="1" x14ac:dyDescent="0.3">
      <c r="A2637" s="6">
        <v>19</v>
      </c>
      <c r="B2637" s="6" t="s">
        <v>119</v>
      </c>
      <c r="C2637" s="6" t="s">
        <v>471</v>
      </c>
      <c r="D2637" s="6" t="s">
        <v>120</v>
      </c>
      <c r="E2637" s="11">
        <v>5.4681868553161621</v>
      </c>
      <c r="F2637" s="11">
        <v>6.4624571800231934</v>
      </c>
    </row>
    <row r="2638" spans="1:6" hidden="1" x14ac:dyDescent="0.3">
      <c r="A2638" s="6">
        <v>19</v>
      </c>
      <c r="B2638" s="6" t="s">
        <v>119</v>
      </c>
      <c r="C2638" s="6" t="s">
        <v>472</v>
      </c>
      <c r="D2638" s="6" t="s">
        <v>120</v>
      </c>
      <c r="E2638" s="11">
        <v>70.037818908691406</v>
      </c>
      <c r="F2638" s="11">
        <v>6.4624571800231934</v>
      </c>
    </row>
    <row r="2639" spans="1:6" hidden="1" x14ac:dyDescent="0.3">
      <c r="A2639" s="6">
        <v>19</v>
      </c>
      <c r="B2639" s="6" t="s">
        <v>119</v>
      </c>
      <c r="C2639" s="6" t="s">
        <v>473</v>
      </c>
      <c r="D2639" s="6" t="s">
        <v>120</v>
      </c>
      <c r="E2639" s="11">
        <v>10.159079551696777</v>
      </c>
      <c r="F2639" s="11">
        <v>6.4624571800231934</v>
      </c>
    </row>
    <row r="2640" spans="1:6" hidden="1" x14ac:dyDescent="0.3">
      <c r="A2640" s="6">
        <v>19</v>
      </c>
      <c r="B2640" s="6" t="s">
        <v>119</v>
      </c>
      <c r="C2640" s="6" t="s">
        <v>474</v>
      </c>
      <c r="D2640" s="6" t="s">
        <v>120</v>
      </c>
      <c r="E2640" s="11">
        <v>6.3008308410644531</v>
      </c>
      <c r="F2640" s="11">
        <v>6.4624571800231934</v>
      </c>
    </row>
    <row r="2641" spans="1:6" hidden="1" x14ac:dyDescent="0.3">
      <c r="A2641" s="6">
        <v>19</v>
      </c>
      <c r="B2641" s="6" t="s">
        <v>119</v>
      </c>
      <c r="C2641" s="6" t="s">
        <v>475</v>
      </c>
      <c r="D2641" s="6" t="s">
        <v>120</v>
      </c>
      <c r="E2641" s="11">
        <v>4.7777361869812012</v>
      </c>
      <c r="F2641" s="11">
        <v>6.4624571800231934</v>
      </c>
    </row>
    <row r="2642" spans="1:6" hidden="1" x14ac:dyDescent="0.3">
      <c r="A2642" s="6">
        <v>19</v>
      </c>
      <c r="B2642" s="6" t="s">
        <v>119</v>
      </c>
      <c r="C2642" s="6" t="s">
        <v>476</v>
      </c>
      <c r="D2642" s="6" t="s">
        <v>120</v>
      </c>
      <c r="E2642" s="11">
        <v>8.6977720260620117</v>
      </c>
      <c r="F2642" s="11">
        <v>6.4624571800231934</v>
      </c>
    </row>
    <row r="2643" spans="1:6" hidden="1" x14ac:dyDescent="0.3">
      <c r="A2643" s="6">
        <v>19</v>
      </c>
      <c r="B2643" s="6" t="s">
        <v>119</v>
      </c>
      <c r="C2643" s="6" t="s">
        <v>477</v>
      </c>
      <c r="D2643" s="6" t="s">
        <v>120</v>
      </c>
      <c r="E2643" s="11">
        <v>7.8551440238952637</v>
      </c>
      <c r="F2643" s="11">
        <v>6.4624571800231934</v>
      </c>
    </row>
    <row r="2644" spans="1:6" hidden="1" x14ac:dyDescent="0.3">
      <c r="A2644" s="6">
        <v>19</v>
      </c>
      <c r="B2644" s="6" t="s">
        <v>119</v>
      </c>
      <c r="C2644" s="6" t="s">
        <v>478</v>
      </c>
      <c r="D2644" s="6" t="s">
        <v>120</v>
      </c>
      <c r="E2644" s="11">
        <v>9.6625814437866211</v>
      </c>
      <c r="F2644" s="11">
        <v>6.4624571800231934</v>
      </c>
    </row>
    <row r="2645" spans="1:6" hidden="1" x14ac:dyDescent="0.3">
      <c r="A2645" s="6">
        <v>19</v>
      </c>
      <c r="B2645" s="6" t="s">
        <v>119</v>
      </c>
      <c r="C2645" s="6" t="s">
        <v>479</v>
      </c>
      <c r="D2645" s="6" t="s">
        <v>120</v>
      </c>
      <c r="E2645" s="11">
        <v>11.216671943664551</v>
      </c>
      <c r="F2645" s="11">
        <v>6.4624571800231934</v>
      </c>
    </row>
    <row r="2646" spans="1:6" hidden="1" x14ac:dyDescent="0.3">
      <c r="A2646" s="6">
        <v>19</v>
      </c>
      <c r="B2646" s="6" t="s">
        <v>119</v>
      </c>
      <c r="C2646" s="6" t="s">
        <v>480</v>
      </c>
      <c r="D2646" s="6" t="s">
        <v>120</v>
      </c>
      <c r="E2646" s="11">
        <v>7.1414494514465332</v>
      </c>
      <c r="F2646" s="11">
        <v>6.4624571800231934</v>
      </c>
    </row>
    <row r="2647" spans="1:6" hidden="1" x14ac:dyDescent="0.3">
      <c r="A2647" s="6">
        <v>19</v>
      </c>
      <c r="B2647" s="6" t="s">
        <v>119</v>
      </c>
      <c r="C2647" s="6" t="s">
        <v>481</v>
      </c>
      <c r="D2647" s="6" t="s">
        <v>120</v>
      </c>
      <c r="E2647" s="11">
        <v>7.423614501953125</v>
      </c>
      <c r="F2647" s="11">
        <v>6.4624571800231934</v>
      </c>
    </row>
    <row r="2648" spans="1:6" hidden="1" x14ac:dyDescent="0.3">
      <c r="A2648" s="6">
        <v>19</v>
      </c>
      <c r="B2648" s="6" t="s">
        <v>119</v>
      </c>
      <c r="C2648" s="6" t="s">
        <v>482</v>
      </c>
      <c r="D2648" s="6" t="s">
        <v>120</v>
      </c>
      <c r="E2648" s="11">
        <v>7.1541056632995605</v>
      </c>
      <c r="F2648" s="11">
        <v>6.4624571800231934</v>
      </c>
    </row>
    <row r="2649" spans="1:6" hidden="1" x14ac:dyDescent="0.3">
      <c r="A2649" s="6">
        <v>19</v>
      </c>
      <c r="B2649" s="6" t="s">
        <v>119</v>
      </c>
      <c r="C2649" s="6" t="s">
        <v>483</v>
      </c>
      <c r="D2649" s="6" t="s">
        <v>120</v>
      </c>
      <c r="E2649" s="11">
        <v>8.9041309356689453</v>
      </c>
      <c r="F2649" s="11">
        <v>6.4624571800231934</v>
      </c>
    </row>
    <row r="2650" spans="1:6" hidden="1" x14ac:dyDescent="0.3">
      <c r="A2650" s="6">
        <v>19</v>
      </c>
      <c r="B2650" s="6" t="s">
        <v>119</v>
      </c>
      <c r="C2650" s="6" t="s">
        <v>484</v>
      </c>
      <c r="D2650" s="6" t="s">
        <v>120</v>
      </c>
      <c r="E2650" s="11">
        <v>6.3614158630371094</v>
      </c>
      <c r="F2650" s="11">
        <v>6.4624571800231934</v>
      </c>
    </row>
    <row r="2651" spans="1:6" hidden="1" x14ac:dyDescent="0.3">
      <c r="A2651" s="6">
        <v>19</v>
      </c>
      <c r="B2651" s="6" t="s">
        <v>119</v>
      </c>
      <c r="C2651" s="6" t="s">
        <v>485</v>
      </c>
      <c r="D2651" s="6" t="s">
        <v>120</v>
      </c>
      <c r="E2651" s="11">
        <v>8.4808464050292969</v>
      </c>
      <c r="F2651" s="11">
        <v>6.4624571800231934</v>
      </c>
    </row>
    <row r="2652" spans="1:6" hidden="1" x14ac:dyDescent="0.3">
      <c r="A2652" s="6">
        <v>19</v>
      </c>
      <c r="B2652" s="6" t="s">
        <v>119</v>
      </c>
      <c r="C2652" s="6" t="s">
        <v>486</v>
      </c>
      <c r="D2652" s="6" t="s">
        <v>120</v>
      </c>
      <c r="E2652" s="11">
        <v>6.3078160285949707</v>
      </c>
      <c r="F2652" s="11">
        <v>6.4624571800231934</v>
      </c>
    </row>
    <row r="2653" spans="1:6" hidden="1" x14ac:dyDescent="0.3">
      <c r="A2653" s="6">
        <v>19</v>
      </c>
      <c r="B2653" s="6" t="s">
        <v>119</v>
      </c>
      <c r="C2653" s="6" t="s">
        <v>487</v>
      </c>
      <c r="D2653" s="6" t="s">
        <v>120</v>
      </c>
      <c r="E2653" s="11">
        <v>198.62330627441406</v>
      </c>
      <c r="F2653" s="11">
        <v>6.4624571800231934</v>
      </c>
    </row>
    <row r="2654" spans="1:6" hidden="1" x14ac:dyDescent="0.3">
      <c r="A2654" s="6">
        <v>19</v>
      </c>
      <c r="B2654" s="6" t="s">
        <v>119</v>
      </c>
      <c r="C2654" s="6" t="s">
        <v>488</v>
      </c>
      <c r="D2654" s="6" t="s">
        <v>120</v>
      </c>
      <c r="E2654" s="11">
        <v>6.6551198959350586</v>
      </c>
      <c r="F2654" s="11">
        <v>6.4624571800231934</v>
      </c>
    </row>
    <row r="2655" spans="1:6" hidden="1" x14ac:dyDescent="0.3">
      <c r="A2655" s="6">
        <v>19</v>
      </c>
      <c r="B2655" s="6" t="s">
        <v>119</v>
      </c>
      <c r="C2655" s="6" t="s">
        <v>489</v>
      </c>
      <c r="D2655" s="6" t="s">
        <v>120</v>
      </c>
      <c r="E2655" s="11">
        <v>10.211507797241211</v>
      </c>
      <c r="F2655" s="11">
        <v>6.4624571800231934</v>
      </c>
    </row>
    <row r="2656" spans="1:6" hidden="1" x14ac:dyDescent="0.3">
      <c r="A2656" s="6">
        <v>19</v>
      </c>
      <c r="B2656" s="6" t="s">
        <v>119</v>
      </c>
      <c r="C2656" s="6" t="s">
        <v>490</v>
      </c>
      <c r="D2656" s="6" t="s">
        <v>120</v>
      </c>
      <c r="E2656" s="11">
        <v>6.381709098815918</v>
      </c>
      <c r="F2656" s="11">
        <v>6.4624571800231934</v>
      </c>
    </row>
    <row r="2657" spans="1:6" hidden="1" x14ac:dyDescent="0.3">
      <c r="A2657" s="6">
        <v>19</v>
      </c>
      <c r="B2657" s="6" t="s">
        <v>119</v>
      </c>
      <c r="C2657" s="6" t="s">
        <v>491</v>
      </c>
      <c r="D2657" s="6" t="s">
        <v>120</v>
      </c>
      <c r="E2657" s="11">
        <v>4.7173752784729004</v>
      </c>
      <c r="F2657" s="11">
        <v>6.4624571800231934</v>
      </c>
    </row>
    <row r="2658" spans="1:6" hidden="1" x14ac:dyDescent="0.3">
      <c r="A2658" s="6">
        <v>19</v>
      </c>
      <c r="B2658" s="6" t="s">
        <v>119</v>
      </c>
      <c r="C2658" s="6" t="s">
        <v>492</v>
      </c>
      <c r="D2658" s="6" t="s">
        <v>120</v>
      </c>
      <c r="E2658" s="11">
        <v>7.0685892105102539</v>
      </c>
      <c r="F2658" s="11">
        <v>6.4624571800231934</v>
      </c>
    </row>
    <row r="2659" spans="1:6" hidden="1" x14ac:dyDescent="0.3">
      <c r="A2659" s="6">
        <v>19</v>
      </c>
      <c r="B2659" s="6" t="s">
        <v>119</v>
      </c>
      <c r="C2659" s="6" t="s">
        <v>493</v>
      </c>
      <c r="D2659" s="6" t="s">
        <v>120</v>
      </c>
      <c r="E2659" s="11">
        <v>26.098028182983398</v>
      </c>
      <c r="F2659" s="11">
        <v>6.4624571800231934</v>
      </c>
    </row>
    <row r="2660" spans="1:6" hidden="1" x14ac:dyDescent="0.3">
      <c r="A2660" s="6">
        <v>19</v>
      </c>
      <c r="B2660" s="6" t="s">
        <v>119</v>
      </c>
      <c r="C2660" s="6" t="s">
        <v>494</v>
      </c>
      <c r="D2660" s="6" t="s">
        <v>120</v>
      </c>
      <c r="E2660" s="11">
        <v>9.5742006301879883</v>
      </c>
      <c r="F2660" s="11">
        <v>6.4624571800231934</v>
      </c>
    </row>
    <row r="2661" spans="1:6" hidden="1" x14ac:dyDescent="0.3">
      <c r="A2661" s="6">
        <v>19</v>
      </c>
      <c r="B2661" s="6" t="s">
        <v>119</v>
      </c>
      <c r="C2661" s="6" t="s">
        <v>495</v>
      </c>
      <c r="D2661" s="6" t="s">
        <v>120</v>
      </c>
      <c r="E2661" s="11">
        <v>3.91754150390625</v>
      </c>
      <c r="F2661" s="11">
        <v>6.4624571800231934</v>
      </c>
    </row>
    <row r="2662" spans="1:6" hidden="1" x14ac:dyDescent="0.3">
      <c r="A2662" s="6">
        <v>20</v>
      </c>
      <c r="B2662" s="6" t="s">
        <v>121</v>
      </c>
      <c r="C2662" s="6" t="s">
        <v>356</v>
      </c>
      <c r="D2662" s="6" t="s">
        <v>122</v>
      </c>
      <c r="E2662" s="11">
        <v>22.376995086669922</v>
      </c>
      <c r="F2662" s="11">
        <v>7.0297927856445313</v>
      </c>
    </row>
    <row r="2663" spans="1:6" hidden="1" x14ac:dyDescent="0.3">
      <c r="A2663" s="6">
        <v>20</v>
      </c>
      <c r="B2663" s="6" t="s">
        <v>121</v>
      </c>
      <c r="C2663" s="6" t="s">
        <v>357</v>
      </c>
      <c r="D2663" s="6" t="s">
        <v>122</v>
      </c>
      <c r="E2663" s="11">
        <v>40.976665496826172</v>
      </c>
      <c r="F2663" s="11">
        <v>7.0297927856445313</v>
      </c>
    </row>
    <row r="2664" spans="1:6" hidden="1" x14ac:dyDescent="0.3">
      <c r="A2664" s="6">
        <v>20</v>
      </c>
      <c r="B2664" s="6" t="s">
        <v>121</v>
      </c>
      <c r="C2664" s="6" t="s">
        <v>358</v>
      </c>
      <c r="D2664" s="6" t="s">
        <v>122</v>
      </c>
      <c r="E2664" s="11">
        <v>11.304315567016602</v>
      </c>
      <c r="F2664" s="11">
        <v>7.0297927856445313</v>
      </c>
    </row>
    <row r="2665" spans="1:6" hidden="1" x14ac:dyDescent="0.3">
      <c r="A2665" s="6">
        <v>20</v>
      </c>
      <c r="B2665" s="6" t="s">
        <v>121</v>
      </c>
      <c r="C2665" s="6" t="s">
        <v>359</v>
      </c>
      <c r="D2665" s="6" t="s">
        <v>122</v>
      </c>
      <c r="E2665" s="11">
        <v>28.141948699951172</v>
      </c>
      <c r="F2665" s="11">
        <v>7.0297927856445313</v>
      </c>
    </row>
    <row r="2666" spans="1:6" hidden="1" x14ac:dyDescent="0.3">
      <c r="A2666" s="6">
        <v>20</v>
      </c>
      <c r="B2666" s="6" t="s">
        <v>121</v>
      </c>
      <c r="C2666" s="6" t="s">
        <v>360</v>
      </c>
      <c r="D2666" s="6" t="s">
        <v>122</v>
      </c>
      <c r="E2666" s="11">
        <v>4.3074870109558105</v>
      </c>
      <c r="F2666" s="11">
        <v>7.0297927856445313</v>
      </c>
    </row>
    <row r="2667" spans="1:6" hidden="1" x14ac:dyDescent="0.3">
      <c r="A2667" s="6">
        <v>20</v>
      </c>
      <c r="B2667" s="6" t="s">
        <v>121</v>
      </c>
      <c r="C2667" s="6" t="s">
        <v>361</v>
      </c>
      <c r="D2667" s="6" t="s">
        <v>122</v>
      </c>
      <c r="E2667" s="11">
        <v>8.6507444381713867</v>
      </c>
      <c r="F2667" s="11">
        <v>7.0297927856445313</v>
      </c>
    </row>
    <row r="2668" spans="1:6" hidden="1" x14ac:dyDescent="0.3">
      <c r="A2668" s="6">
        <v>20</v>
      </c>
      <c r="B2668" s="6" t="s">
        <v>121</v>
      </c>
      <c r="C2668" s="6" t="s">
        <v>362</v>
      </c>
      <c r="D2668" s="6" t="s">
        <v>122</v>
      </c>
      <c r="E2668" s="11">
        <v>11.36467456817627</v>
      </c>
      <c r="F2668" s="11">
        <v>7.0297927856445313</v>
      </c>
    </row>
    <row r="2669" spans="1:6" hidden="1" x14ac:dyDescent="0.3">
      <c r="A2669" s="6">
        <v>20</v>
      </c>
      <c r="B2669" s="6" t="s">
        <v>121</v>
      </c>
      <c r="C2669" s="6" t="s">
        <v>363</v>
      </c>
      <c r="D2669" s="6" t="s">
        <v>122</v>
      </c>
      <c r="E2669" s="11">
        <v>11.624567031860352</v>
      </c>
      <c r="F2669" s="11">
        <v>7.0297927856445313</v>
      </c>
    </row>
    <row r="2670" spans="1:6" hidden="1" x14ac:dyDescent="0.3">
      <c r="A2670" s="6">
        <v>20</v>
      </c>
      <c r="B2670" s="6" t="s">
        <v>121</v>
      </c>
      <c r="C2670" s="6" t="s">
        <v>364</v>
      </c>
      <c r="D2670" s="6" t="s">
        <v>122</v>
      </c>
      <c r="E2670" s="11">
        <v>5.084007740020752</v>
      </c>
      <c r="F2670" s="11">
        <v>7.0297927856445313</v>
      </c>
    </row>
    <row r="2671" spans="1:6" hidden="1" x14ac:dyDescent="0.3">
      <c r="A2671" s="6">
        <v>20</v>
      </c>
      <c r="B2671" s="6" t="s">
        <v>121</v>
      </c>
      <c r="C2671" s="6" t="s">
        <v>365</v>
      </c>
      <c r="D2671" s="6" t="s">
        <v>122</v>
      </c>
      <c r="E2671" s="11">
        <v>3.1461849212646484</v>
      </c>
      <c r="F2671" s="11">
        <v>7.0297927856445313</v>
      </c>
    </row>
    <row r="2672" spans="1:6" hidden="1" x14ac:dyDescent="0.3">
      <c r="A2672" s="6">
        <v>20</v>
      </c>
      <c r="B2672" s="6" t="s">
        <v>121</v>
      </c>
      <c r="C2672" s="6" t="s">
        <v>366</v>
      </c>
      <c r="D2672" s="6" t="s">
        <v>122</v>
      </c>
      <c r="E2672" s="11">
        <v>40.539840698242188</v>
      </c>
      <c r="F2672" s="11">
        <v>7.0297927856445313</v>
      </c>
    </row>
    <row r="2673" spans="1:6" hidden="1" x14ac:dyDescent="0.3">
      <c r="A2673" s="6">
        <v>20</v>
      </c>
      <c r="B2673" s="6" t="s">
        <v>121</v>
      </c>
      <c r="C2673" s="6" t="s">
        <v>367</v>
      </c>
      <c r="D2673" s="6" t="s">
        <v>122</v>
      </c>
      <c r="E2673" s="11">
        <v>10.81796932220459</v>
      </c>
      <c r="F2673" s="11">
        <v>7.0297927856445313</v>
      </c>
    </row>
    <row r="2674" spans="1:6" hidden="1" x14ac:dyDescent="0.3">
      <c r="A2674" s="6">
        <v>20</v>
      </c>
      <c r="B2674" s="6" t="s">
        <v>121</v>
      </c>
      <c r="C2674" s="6" t="s">
        <v>368</v>
      </c>
      <c r="D2674" s="6" t="s">
        <v>122</v>
      </c>
      <c r="E2674" s="11">
        <v>4.7977409362792969</v>
      </c>
      <c r="F2674" s="11">
        <v>7.0297927856445313</v>
      </c>
    </row>
    <row r="2675" spans="1:6" hidden="1" x14ac:dyDescent="0.3">
      <c r="A2675" s="6">
        <v>20</v>
      </c>
      <c r="B2675" s="6" t="s">
        <v>121</v>
      </c>
      <c r="C2675" s="6" t="s">
        <v>369</v>
      </c>
      <c r="D2675" s="6" t="s">
        <v>122</v>
      </c>
      <c r="E2675" s="11">
        <v>8.4793806076049805</v>
      </c>
      <c r="F2675" s="11">
        <v>7.0297927856445313</v>
      </c>
    </row>
    <row r="2676" spans="1:6" hidden="1" x14ac:dyDescent="0.3">
      <c r="A2676" s="6">
        <v>20</v>
      </c>
      <c r="B2676" s="6" t="s">
        <v>121</v>
      </c>
      <c r="C2676" s="6" t="s">
        <v>370</v>
      </c>
      <c r="D2676" s="6" t="s">
        <v>122</v>
      </c>
      <c r="E2676" s="11">
        <v>7.7983174324035645</v>
      </c>
      <c r="F2676" s="11">
        <v>7.0297927856445313</v>
      </c>
    </row>
    <row r="2677" spans="1:6" hidden="1" x14ac:dyDescent="0.3">
      <c r="A2677" s="6">
        <v>20</v>
      </c>
      <c r="B2677" s="6" t="s">
        <v>121</v>
      </c>
      <c r="C2677" s="6" t="s">
        <v>371</v>
      </c>
      <c r="D2677" s="6" t="s">
        <v>122</v>
      </c>
      <c r="E2677" s="11">
        <v>6.1886081695556641</v>
      </c>
      <c r="F2677" s="11">
        <v>7.0297927856445313</v>
      </c>
    </row>
    <row r="2678" spans="1:6" hidden="1" x14ac:dyDescent="0.3">
      <c r="A2678" s="6">
        <v>20</v>
      </c>
      <c r="B2678" s="6" t="s">
        <v>121</v>
      </c>
      <c r="C2678" s="6" t="s">
        <v>372</v>
      </c>
      <c r="D2678" s="6" t="s">
        <v>122</v>
      </c>
      <c r="E2678" s="11">
        <v>8.1487598419189453</v>
      </c>
      <c r="F2678" s="11">
        <v>7.0297927856445313</v>
      </c>
    </row>
    <row r="2679" spans="1:6" hidden="1" x14ac:dyDescent="0.3">
      <c r="A2679" s="6">
        <v>20</v>
      </c>
      <c r="B2679" s="6" t="s">
        <v>121</v>
      </c>
      <c r="C2679" s="6" t="s">
        <v>373</v>
      </c>
      <c r="D2679" s="6" t="s">
        <v>122</v>
      </c>
      <c r="E2679" s="11">
        <v>4.013918399810791</v>
      </c>
      <c r="F2679" s="11">
        <v>7.0297927856445313</v>
      </c>
    </row>
    <row r="2680" spans="1:6" hidden="1" x14ac:dyDescent="0.3">
      <c r="A2680" s="6">
        <v>20</v>
      </c>
      <c r="B2680" s="6" t="s">
        <v>121</v>
      </c>
      <c r="C2680" s="6" t="s">
        <v>374</v>
      </c>
      <c r="D2680" s="6" t="s">
        <v>122</v>
      </c>
      <c r="E2680" s="11">
        <v>6.9665436744689941</v>
      </c>
      <c r="F2680" s="11">
        <v>7.0297927856445313</v>
      </c>
    </row>
    <row r="2681" spans="1:6" hidden="1" x14ac:dyDescent="0.3">
      <c r="A2681" s="6">
        <v>20</v>
      </c>
      <c r="B2681" s="6" t="s">
        <v>121</v>
      </c>
      <c r="C2681" s="6" t="s">
        <v>375</v>
      </c>
      <c r="D2681" s="6" t="s">
        <v>122</v>
      </c>
      <c r="E2681" s="11">
        <v>7.6694092750549316</v>
      </c>
      <c r="F2681" s="11">
        <v>7.0297927856445313</v>
      </c>
    </row>
    <row r="2682" spans="1:6" hidden="1" x14ac:dyDescent="0.3">
      <c r="A2682" s="6">
        <v>20</v>
      </c>
      <c r="B2682" s="6" t="s">
        <v>121</v>
      </c>
      <c r="C2682" s="6" t="s">
        <v>376</v>
      </c>
      <c r="D2682" s="6" t="s">
        <v>122</v>
      </c>
      <c r="E2682" s="11">
        <v>10.601052284240723</v>
      </c>
      <c r="F2682" s="11">
        <v>7.0297927856445313</v>
      </c>
    </row>
    <row r="2683" spans="1:6" hidden="1" x14ac:dyDescent="0.3">
      <c r="A2683" s="6">
        <v>20</v>
      </c>
      <c r="B2683" s="6" t="s">
        <v>121</v>
      </c>
      <c r="C2683" s="6" t="s">
        <v>377</v>
      </c>
      <c r="D2683" s="6" t="s">
        <v>122</v>
      </c>
      <c r="E2683" s="11">
        <v>13.195857048034668</v>
      </c>
      <c r="F2683" s="11">
        <v>7.0297927856445313</v>
      </c>
    </row>
    <row r="2684" spans="1:6" hidden="1" x14ac:dyDescent="0.3">
      <c r="A2684" s="6">
        <v>20</v>
      </c>
      <c r="B2684" s="6" t="s">
        <v>121</v>
      </c>
      <c r="C2684" s="6" t="s">
        <v>378</v>
      </c>
      <c r="D2684" s="6" t="s">
        <v>122</v>
      </c>
      <c r="E2684" s="11">
        <v>7.3686323165893555</v>
      </c>
      <c r="F2684" s="11">
        <v>7.0297927856445313</v>
      </c>
    </row>
    <row r="2685" spans="1:6" hidden="1" x14ac:dyDescent="0.3">
      <c r="A2685" s="6">
        <v>20</v>
      </c>
      <c r="B2685" s="6" t="s">
        <v>121</v>
      </c>
      <c r="C2685" s="6" t="s">
        <v>379</v>
      </c>
      <c r="D2685" s="6" t="s">
        <v>122</v>
      </c>
      <c r="E2685" s="11">
        <v>5.1240653991699219</v>
      </c>
      <c r="F2685" s="11">
        <v>7.0297927856445313</v>
      </c>
    </row>
    <row r="2686" spans="1:6" hidden="1" x14ac:dyDescent="0.3">
      <c r="A2686" s="6">
        <v>20</v>
      </c>
      <c r="B2686" s="6" t="s">
        <v>121</v>
      </c>
      <c r="C2686" s="6" t="s">
        <v>380</v>
      </c>
      <c r="D2686" s="6" t="s">
        <v>122</v>
      </c>
      <c r="E2686" s="11">
        <v>8.3647270202636719</v>
      </c>
      <c r="F2686" s="11">
        <v>7.0297927856445313</v>
      </c>
    </row>
    <row r="2687" spans="1:6" hidden="1" x14ac:dyDescent="0.3">
      <c r="A2687" s="6">
        <v>20</v>
      </c>
      <c r="B2687" s="6" t="s">
        <v>121</v>
      </c>
      <c r="C2687" s="6" t="s">
        <v>381</v>
      </c>
      <c r="D2687" s="6" t="s">
        <v>122</v>
      </c>
      <c r="E2687" s="11">
        <v>12.345554351806641</v>
      </c>
      <c r="F2687" s="11">
        <v>7.0297927856445313</v>
      </c>
    </row>
    <row r="2688" spans="1:6" hidden="1" x14ac:dyDescent="0.3">
      <c r="A2688" s="6">
        <v>20</v>
      </c>
      <c r="B2688" s="6" t="s">
        <v>121</v>
      </c>
      <c r="C2688" s="6" t="s">
        <v>382</v>
      </c>
      <c r="D2688" s="6" t="s">
        <v>122</v>
      </c>
      <c r="E2688" s="11">
        <v>3.7631559371948242</v>
      </c>
      <c r="F2688" s="11">
        <v>7.0297927856445313</v>
      </c>
    </row>
    <row r="2689" spans="1:6" hidden="1" x14ac:dyDescent="0.3">
      <c r="A2689" s="6">
        <v>20</v>
      </c>
      <c r="B2689" s="6" t="s">
        <v>121</v>
      </c>
      <c r="C2689" s="6" t="s">
        <v>383</v>
      </c>
      <c r="D2689" s="6" t="s">
        <v>122</v>
      </c>
      <c r="E2689" s="11">
        <v>5.6743712425231934</v>
      </c>
      <c r="F2689" s="11">
        <v>7.0297927856445313</v>
      </c>
    </row>
    <row r="2690" spans="1:6" hidden="1" x14ac:dyDescent="0.3">
      <c r="A2690" s="6">
        <v>20</v>
      </c>
      <c r="B2690" s="6" t="s">
        <v>121</v>
      </c>
      <c r="C2690" s="6" t="s">
        <v>384</v>
      </c>
      <c r="D2690" s="6" t="s">
        <v>122</v>
      </c>
      <c r="E2690" s="11">
        <v>9.3936595916748047</v>
      </c>
      <c r="F2690" s="11">
        <v>7.0297927856445313</v>
      </c>
    </row>
    <row r="2691" spans="1:6" hidden="1" x14ac:dyDescent="0.3">
      <c r="A2691" s="6">
        <v>20</v>
      </c>
      <c r="B2691" s="6" t="s">
        <v>121</v>
      </c>
      <c r="C2691" s="6" t="s">
        <v>385</v>
      </c>
      <c r="D2691" s="6" t="s">
        <v>122</v>
      </c>
      <c r="E2691" s="11">
        <v>9.0663251876831055</v>
      </c>
      <c r="F2691" s="11">
        <v>7.0297927856445313</v>
      </c>
    </row>
    <row r="2692" spans="1:6" hidden="1" x14ac:dyDescent="0.3">
      <c r="A2692" s="6">
        <v>20</v>
      </c>
      <c r="B2692" s="6" t="s">
        <v>121</v>
      </c>
      <c r="C2692" s="6" t="s">
        <v>386</v>
      </c>
      <c r="D2692" s="6" t="s">
        <v>122</v>
      </c>
      <c r="E2692" s="11">
        <v>3.759300708770752</v>
      </c>
      <c r="F2692" s="11">
        <v>7.0297927856445313</v>
      </c>
    </row>
    <row r="2693" spans="1:6" hidden="1" x14ac:dyDescent="0.3">
      <c r="A2693" s="6">
        <v>20</v>
      </c>
      <c r="B2693" s="6" t="s">
        <v>121</v>
      </c>
      <c r="C2693" s="6" t="s">
        <v>387</v>
      </c>
      <c r="D2693" s="6" t="s">
        <v>122</v>
      </c>
      <c r="E2693" s="11">
        <v>6.389338493347168</v>
      </c>
      <c r="F2693" s="11">
        <v>7.0297927856445313</v>
      </c>
    </row>
    <row r="2694" spans="1:6" hidden="1" x14ac:dyDescent="0.3">
      <c r="A2694" s="6">
        <v>20</v>
      </c>
      <c r="B2694" s="6" t="s">
        <v>121</v>
      </c>
      <c r="C2694" s="6" t="s">
        <v>388</v>
      </c>
      <c r="D2694" s="6" t="s">
        <v>122</v>
      </c>
      <c r="E2694" s="11">
        <v>2.9499516487121582</v>
      </c>
      <c r="F2694" s="11">
        <v>7.0297927856445313</v>
      </c>
    </row>
    <row r="2695" spans="1:6" hidden="1" x14ac:dyDescent="0.3">
      <c r="A2695" s="6">
        <v>20</v>
      </c>
      <c r="B2695" s="6" t="s">
        <v>121</v>
      </c>
      <c r="C2695" s="6" t="s">
        <v>389</v>
      </c>
      <c r="D2695" s="6" t="s">
        <v>122</v>
      </c>
      <c r="E2695" s="11">
        <v>10.350226402282715</v>
      </c>
      <c r="F2695" s="11">
        <v>7.0297927856445313</v>
      </c>
    </row>
    <row r="2696" spans="1:6" hidden="1" x14ac:dyDescent="0.3">
      <c r="A2696" s="6">
        <v>20</v>
      </c>
      <c r="B2696" s="6" t="s">
        <v>121</v>
      </c>
      <c r="C2696" s="6" t="s">
        <v>390</v>
      </c>
      <c r="D2696" s="6" t="s">
        <v>122</v>
      </c>
      <c r="E2696" s="11">
        <v>5.5942034721374512</v>
      </c>
      <c r="F2696" s="11">
        <v>7.0297927856445313</v>
      </c>
    </row>
    <row r="2697" spans="1:6" hidden="1" x14ac:dyDescent="0.3">
      <c r="A2697" s="6">
        <v>20</v>
      </c>
      <c r="B2697" s="6" t="s">
        <v>121</v>
      </c>
      <c r="C2697" s="6" t="s">
        <v>391</v>
      </c>
      <c r="D2697" s="6" t="s">
        <v>122</v>
      </c>
      <c r="E2697" s="11">
        <v>10.707905769348145</v>
      </c>
      <c r="F2697" s="11">
        <v>7.0297927856445313</v>
      </c>
    </row>
    <row r="2698" spans="1:6" hidden="1" x14ac:dyDescent="0.3">
      <c r="A2698" s="6">
        <v>20</v>
      </c>
      <c r="B2698" s="6" t="s">
        <v>121</v>
      </c>
      <c r="C2698" s="6" t="s">
        <v>392</v>
      </c>
      <c r="D2698" s="6" t="s">
        <v>122</v>
      </c>
      <c r="E2698" s="11">
        <v>99.985115051269531</v>
      </c>
      <c r="F2698" s="11">
        <v>7.0297927856445313</v>
      </c>
    </row>
    <row r="2699" spans="1:6" hidden="1" x14ac:dyDescent="0.3">
      <c r="A2699" s="6">
        <v>20</v>
      </c>
      <c r="B2699" s="6" t="s">
        <v>121</v>
      </c>
      <c r="C2699" s="6" t="s">
        <v>393</v>
      </c>
      <c r="D2699" s="6" t="s">
        <v>122</v>
      </c>
      <c r="E2699" s="11">
        <v>12.947403907775879</v>
      </c>
      <c r="F2699" s="11">
        <v>7.0297927856445313</v>
      </c>
    </row>
    <row r="2700" spans="1:6" hidden="1" x14ac:dyDescent="0.3">
      <c r="A2700" s="6">
        <v>20</v>
      </c>
      <c r="B2700" s="6" t="s">
        <v>121</v>
      </c>
      <c r="C2700" s="6" t="s">
        <v>394</v>
      </c>
      <c r="D2700" s="6" t="s">
        <v>122</v>
      </c>
      <c r="E2700" s="11">
        <v>8.7270078659057617</v>
      </c>
      <c r="F2700" s="11">
        <v>7.0297927856445313</v>
      </c>
    </row>
    <row r="2701" spans="1:6" hidden="1" x14ac:dyDescent="0.3">
      <c r="A2701" s="6">
        <v>20</v>
      </c>
      <c r="B2701" s="6" t="s">
        <v>121</v>
      </c>
      <c r="C2701" s="6" t="s">
        <v>395</v>
      </c>
      <c r="D2701" s="6" t="s">
        <v>122</v>
      </c>
      <c r="E2701" s="11">
        <v>5.2882437705993652</v>
      </c>
      <c r="F2701" s="11">
        <v>7.0297927856445313</v>
      </c>
    </row>
    <row r="2702" spans="1:6" hidden="1" x14ac:dyDescent="0.3">
      <c r="A2702" s="6">
        <v>20</v>
      </c>
      <c r="B2702" s="6" t="s">
        <v>121</v>
      </c>
      <c r="C2702" s="6" t="s">
        <v>396</v>
      </c>
      <c r="D2702" s="6" t="s">
        <v>122</v>
      </c>
      <c r="E2702" s="11">
        <v>2.9886167049407959</v>
      </c>
      <c r="F2702" s="11">
        <v>7.0297927856445313</v>
      </c>
    </row>
    <row r="2703" spans="1:6" hidden="1" x14ac:dyDescent="0.3">
      <c r="A2703" s="6">
        <v>20</v>
      </c>
      <c r="B2703" s="6" t="s">
        <v>121</v>
      </c>
      <c r="C2703" s="6" t="s">
        <v>397</v>
      </c>
      <c r="D2703" s="6" t="s">
        <v>122</v>
      </c>
      <c r="E2703" s="11">
        <v>3.2069754600524902</v>
      </c>
      <c r="F2703" s="11">
        <v>7.0297927856445313</v>
      </c>
    </row>
    <row r="2704" spans="1:6" hidden="1" x14ac:dyDescent="0.3">
      <c r="A2704" s="6">
        <v>20</v>
      </c>
      <c r="B2704" s="6" t="s">
        <v>121</v>
      </c>
      <c r="C2704" s="6" t="s">
        <v>398</v>
      </c>
      <c r="D2704" s="6" t="s">
        <v>122</v>
      </c>
      <c r="E2704" s="11">
        <v>7.4740562438964844</v>
      </c>
      <c r="F2704" s="11">
        <v>7.0297927856445313</v>
      </c>
    </row>
    <row r="2705" spans="1:6" hidden="1" x14ac:dyDescent="0.3">
      <c r="A2705" s="6">
        <v>20</v>
      </c>
      <c r="B2705" s="6" t="s">
        <v>121</v>
      </c>
      <c r="C2705" s="6" t="s">
        <v>399</v>
      </c>
      <c r="D2705" s="6" t="s">
        <v>122</v>
      </c>
      <c r="E2705" s="11">
        <v>6.6826248168945313</v>
      </c>
      <c r="F2705" s="11">
        <v>7.0297927856445313</v>
      </c>
    </row>
    <row r="2706" spans="1:6" hidden="1" x14ac:dyDescent="0.3">
      <c r="A2706" s="6">
        <v>20</v>
      </c>
      <c r="B2706" s="6" t="s">
        <v>121</v>
      </c>
      <c r="C2706" s="6" t="s">
        <v>400</v>
      </c>
      <c r="D2706" s="6" t="s">
        <v>122</v>
      </c>
      <c r="E2706" s="11">
        <v>5.6672439575195313</v>
      </c>
      <c r="F2706" s="11">
        <v>7.0297927856445313</v>
      </c>
    </row>
    <row r="2707" spans="1:6" hidden="1" x14ac:dyDescent="0.3">
      <c r="A2707" s="6">
        <v>20</v>
      </c>
      <c r="B2707" s="6" t="s">
        <v>121</v>
      </c>
      <c r="C2707" s="6" t="s">
        <v>401</v>
      </c>
      <c r="D2707" s="6" t="s">
        <v>122</v>
      </c>
      <c r="E2707" s="11">
        <v>7.7153143882751465</v>
      </c>
      <c r="F2707" s="11">
        <v>7.0297927856445313</v>
      </c>
    </row>
    <row r="2708" spans="1:6" hidden="1" x14ac:dyDescent="0.3">
      <c r="A2708" s="6">
        <v>20</v>
      </c>
      <c r="B2708" s="6" t="s">
        <v>121</v>
      </c>
      <c r="C2708" s="6" t="s">
        <v>402</v>
      </c>
      <c r="D2708" s="6" t="s">
        <v>122</v>
      </c>
      <c r="E2708" s="11">
        <v>12.805514335632324</v>
      </c>
      <c r="F2708" s="11">
        <v>7.0297927856445313</v>
      </c>
    </row>
    <row r="2709" spans="1:6" hidden="1" x14ac:dyDescent="0.3">
      <c r="A2709" s="6">
        <v>20</v>
      </c>
      <c r="B2709" s="6" t="s">
        <v>121</v>
      </c>
      <c r="C2709" s="6" t="s">
        <v>403</v>
      </c>
      <c r="D2709" s="6" t="s">
        <v>122</v>
      </c>
      <c r="E2709" s="11">
        <v>6.1373281478881836</v>
      </c>
      <c r="F2709" s="11">
        <v>7.0297927856445313</v>
      </c>
    </row>
    <row r="2710" spans="1:6" hidden="1" x14ac:dyDescent="0.3">
      <c r="A2710" s="6">
        <v>20</v>
      </c>
      <c r="B2710" s="6" t="s">
        <v>121</v>
      </c>
      <c r="C2710" s="6" t="s">
        <v>404</v>
      </c>
      <c r="D2710" s="6" t="s">
        <v>122</v>
      </c>
      <c r="E2710" s="11">
        <v>4.149350643157959</v>
      </c>
      <c r="F2710" s="11">
        <v>7.0297927856445313</v>
      </c>
    </row>
    <row r="2711" spans="1:6" hidden="1" x14ac:dyDescent="0.3">
      <c r="A2711" s="6">
        <v>20</v>
      </c>
      <c r="B2711" s="6" t="s">
        <v>121</v>
      </c>
      <c r="C2711" s="6" t="s">
        <v>405</v>
      </c>
      <c r="D2711" s="6" t="s">
        <v>122</v>
      </c>
      <c r="E2711" s="11">
        <v>14.726363182067871</v>
      </c>
      <c r="F2711" s="11">
        <v>7.0297927856445313</v>
      </c>
    </row>
    <row r="2712" spans="1:6" hidden="1" x14ac:dyDescent="0.3">
      <c r="A2712" s="6">
        <v>20</v>
      </c>
      <c r="B2712" s="6" t="s">
        <v>121</v>
      </c>
      <c r="C2712" s="6" t="s">
        <v>406</v>
      </c>
      <c r="D2712" s="6" t="s">
        <v>122</v>
      </c>
      <c r="E2712" s="11">
        <v>6.2662439346313477</v>
      </c>
      <c r="F2712" s="11">
        <v>7.0297927856445313</v>
      </c>
    </row>
    <row r="2713" spans="1:6" hidden="1" x14ac:dyDescent="0.3">
      <c r="A2713" s="6">
        <v>20</v>
      </c>
      <c r="B2713" s="6" t="s">
        <v>121</v>
      </c>
      <c r="C2713" s="6" t="s">
        <v>407</v>
      </c>
      <c r="D2713" s="6" t="s">
        <v>122</v>
      </c>
      <c r="E2713" s="11">
        <v>677.6182861328125</v>
      </c>
      <c r="F2713" s="11">
        <v>7.0297927856445313</v>
      </c>
    </row>
    <row r="2714" spans="1:6" hidden="1" x14ac:dyDescent="0.3">
      <c r="A2714" s="6">
        <v>20</v>
      </c>
      <c r="B2714" s="6" t="s">
        <v>121</v>
      </c>
      <c r="C2714" s="6" t="s">
        <v>408</v>
      </c>
      <c r="D2714" s="6" t="s">
        <v>122</v>
      </c>
      <c r="E2714" s="11">
        <v>7.8882455825805664</v>
      </c>
      <c r="F2714" s="11">
        <v>7.0297927856445313</v>
      </c>
    </row>
    <row r="2715" spans="1:6" hidden="1" x14ac:dyDescent="0.3">
      <c r="A2715" s="6">
        <v>20</v>
      </c>
      <c r="B2715" s="6" t="s">
        <v>121</v>
      </c>
      <c r="C2715" s="6" t="s">
        <v>409</v>
      </c>
      <c r="D2715" s="6" t="s">
        <v>122</v>
      </c>
      <c r="E2715" s="11">
        <v>3.3653876781463623</v>
      </c>
      <c r="F2715" s="11">
        <v>7.0297927856445313</v>
      </c>
    </row>
    <row r="2716" spans="1:6" hidden="1" x14ac:dyDescent="0.3">
      <c r="A2716" s="6">
        <v>20</v>
      </c>
      <c r="B2716" s="6" t="s">
        <v>121</v>
      </c>
      <c r="C2716" s="6" t="s">
        <v>410</v>
      </c>
      <c r="D2716" s="6" t="s">
        <v>122</v>
      </c>
      <c r="E2716" s="11">
        <v>7.2090492248535156</v>
      </c>
      <c r="F2716" s="11">
        <v>7.0297927856445313</v>
      </c>
    </row>
    <row r="2717" spans="1:6" hidden="1" x14ac:dyDescent="0.3">
      <c r="A2717" s="6">
        <v>20</v>
      </c>
      <c r="B2717" s="6" t="s">
        <v>121</v>
      </c>
      <c r="C2717" s="6" t="s">
        <v>411</v>
      </c>
      <c r="D2717" s="6" t="s">
        <v>122</v>
      </c>
      <c r="E2717" s="11">
        <v>4.4109487533569336</v>
      </c>
      <c r="F2717" s="11">
        <v>7.0297927856445313</v>
      </c>
    </row>
    <row r="2718" spans="1:6" hidden="1" x14ac:dyDescent="0.3">
      <c r="A2718" s="6">
        <v>20</v>
      </c>
      <c r="B2718" s="6" t="s">
        <v>121</v>
      </c>
      <c r="C2718" s="6" t="s">
        <v>412</v>
      </c>
      <c r="D2718" s="6" t="s">
        <v>122</v>
      </c>
      <c r="E2718" s="11">
        <v>15.132594108581543</v>
      </c>
      <c r="F2718" s="11">
        <v>7.0297927856445313</v>
      </c>
    </row>
    <row r="2719" spans="1:6" hidden="1" x14ac:dyDescent="0.3">
      <c r="A2719" s="6">
        <v>20</v>
      </c>
      <c r="B2719" s="6" t="s">
        <v>121</v>
      </c>
      <c r="C2719" s="6" t="s">
        <v>413</v>
      </c>
      <c r="D2719" s="6" t="s">
        <v>122</v>
      </c>
      <c r="E2719" s="11">
        <v>5.1714820861816406</v>
      </c>
      <c r="F2719" s="11">
        <v>7.0297927856445313</v>
      </c>
    </row>
    <row r="2720" spans="1:6" hidden="1" x14ac:dyDescent="0.3">
      <c r="A2720" s="6">
        <v>20</v>
      </c>
      <c r="B2720" s="6" t="s">
        <v>121</v>
      </c>
      <c r="C2720" s="6" t="s">
        <v>414</v>
      </c>
      <c r="D2720" s="6" t="s">
        <v>122</v>
      </c>
      <c r="E2720" s="11">
        <v>3.6370613574981689</v>
      </c>
      <c r="F2720" s="11">
        <v>7.0297927856445313</v>
      </c>
    </row>
    <row r="2721" spans="1:6" hidden="1" x14ac:dyDescent="0.3">
      <c r="A2721" s="6">
        <v>20</v>
      </c>
      <c r="B2721" s="6" t="s">
        <v>121</v>
      </c>
      <c r="C2721" s="6" t="s">
        <v>415</v>
      </c>
      <c r="D2721" s="6" t="s">
        <v>122</v>
      </c>
      <c r="E2721" s="11">
        <v>13.387428283691406</v>
      </c>
      <c r="F2721" s="11">
        <v>7.0297927856445313</v>
      </c>
    </row>
    <row r="2722" spans="1:6" hidden="1" x14ac:dyDescent="0.3">
      <c r="A2722" s="6">
        <v>20</v>
      </c>
      <c r="B2722" s="6" t="s">
        <v>121</v>
      </c>
      <c r="C2722" s="6" t="s">
        <v>416</v>
      </c>
      <c r="D2722" s="6" t="s">
        <v>122</v>
      </c>
      <c r="E2722" s="11">
        <v>12.784019470214844</v>
      </c>
      <c r="F2722" s="11">
        <v>7.0297927856445313</v>
      </c>
    </row>
    <row r="2723" spans="1:6" hidden="1" x14ac:dyDescent="0.3">
      <c r="A2723" s="6">
        <v>20</v>
      </c>
      <c r="B2723" s="6" t="s">
        <v>121</v>
      </c>
      <c r="C2723" s="6" t="s">
        <v>417</v>
      </c>
      <c r="D2723" s="6" t="s">
        <v>122</v>
      </c>
      <c r="E2723" s="11">
        <v>30.314319610595703</v>
      </c>
      <c r="F2723" s="11">
        <v>7.0297927856445313</v>
      </c>
    </row>
    <row r="2724" spans="1:6" hidden="1" x14ac:dyDescent="0.3">
      <c r="A2724" s="6">
        <v>20</v>
      </c>
      <c r="B2724" s="6" t="s">
        <v>121</v>
      </c>
      <c r="C2724" s="6" t="s">
        <v>418</v>
      </c>
      <c r="D2724" s="6" t="s">
        <v>122</v>
      </c>
      <c r="E2724" s="11">
        <v>82.975433349609375</v>
      </c>
      <c r="F2724" s="11">
        <v>7.0297927856445313</v>
      </c>
    </row>
    <row r="2725" spans="1:6" hidden="1" x14ac:dyDescent="0.3">
      <c r="A2725" s="6">
        <v>20</v>
      </c>
      <c r="B2725" s="6" t="s">
        <v>121</v>
      </c>
      <c r="C2725" s="6" t="s">
        <v>419</v>
      </c>
      <c r="D2725" s="6" t="s">
        <v>122</v>
      </c>
      <c r="E2725" s="11">
        <v>303.66317749023438</v>
      </c>
      <c r="F2725" s="11">
        <v>7.0297927856445313</v>
      </c>
    </row>
    <row r="2726" spans="1:6" hidden="1" x14ac:dyDescent="0.3">
      <c r="A2726" s="6">
        <v>20</v>
      </c>
      <c r="B2726" s="6" t="s">
        <v>121</v>
      </c>
      <c r="C2726" s="6" t="s">
        <v>420</v>
      </c>
      <c r="D2726" s="6" t="s">
        <v>122</v>
      </c>
      <c r="E2726" s="11">
        <v>2.7496590614318848</v>
      </c>
      <c r="F2726" s="11">
        <v>7.0297927856445313</v>
      </c>
    </row>
    <row r="2727" spans="1:6" hidden="1" x14ac:dyDescent="0.3">
      <c r="A2727" s="6">
        <v>20</v>
      </c>
      <c r="B2727" s="6" t="s">
        <v>121</v>
      </c>
      <c r="C2727" s="6" t="s">
        <v>421</v>
      </c>
      <c r="D2727" s="6" t="s">
        <v>122</v>
      </c>
      <c r="E2727" s="11">
        <v>3.1751909255981445</v>
      </c>
      <c r="F2727" s="11">
        <v>7.0297927856445313</v>
      </c>
    </row>
    <row r="2728" spans="1:6" hidden="1" x14ac:dyDescent="0.3">
      <c r="A2728" s="6">
        <v>20</v>
      </c>
      <c r="B2728" s="6" t="s">
        <v>121</v>
      </c>
      <c r="C2728" s="6" t="s">
        <v>422</v>
      </c>
      <c r="D2728" s="6" t="s">
        <v>122</v>
      </c>
      <c r="E2728" s="11">
        <v>2.8929414749145508</v>
      </c>
      <c r="F2728" s="11">
        <v>7.0297927856445313</v>
      </c>
    </row>
    <row r="2729" spans="1:6" hidden="1" x14ac:dyDescent="0.3">
      <c r="A2729" s="6">
        <v>20</v>
      </c>
      <c r="B2729" s="6" t="s">
        <v>121</v>
      </c>
      <c r="C2729" s="6" t="s">
        <v>423</v>
      </c>
      <c r="D2729" s="6" t="s">
        <v>122</v>
      </c>
      <c r="E2729" s="11">
        <v>2.6564290523529053</v>
      </c>
      <c r="F2729" s="11">
        <v>7.0297927856445313</v>
      </c>
    </row>
    <row r="2730" spans="1:6" hidden="1" x14ac:dyDescent="0.3">
      <c r="A2730" s="6">
        <v>20</v>
      </c>
      <c r="B2730" s="6" t="s">
        <v>121</v>
      </c>
      <c r="C2730" s="6" t="s">
        <v>424</v>
      </c>
      <c r="D2730" s="6" t="s">
        <v>122</v>
      </c>
      <c r="E2730" s="11">
        <v>3.5708038806915283</v>
      </c>
      <c r="F2730" s="11">
        <v>7.0297927856445313</v>
      </c>
    </row>
    <row r="2731" spans="1:6" hidden="1" x14ac:dyDescent="0.3">
      <c r="A2731" s="6">
        <v>20</v>
      </c>
      <c r="B2731" s="6" t="s">
        <v>121</v>
      </c>
      <c r="C2731" s="6" t="s">
        <v>425</v>
      </c>
      <c r="D2731" s="6" t="s">
        <v>122</v>
      </c>
      <c r="E2731" s="11">
        <v>4.4179344177246094</v>
      </c>
      <c r="F2731" s="11">
        <v>7.0297927856445313</v>
      </c>
    </row>
    <row r="2732" spans="1:6" hidden="1" x14ac:dyDescent="0.3">
      <c r="A2732" s="6">
        <v>20</v>
      </c>
      <c r="B2732" s="6" t="s">
        <v>121</v>
      </c>
      <c r="C2732" s="6" t="s">
        <v>426</v>
      </c>
      <c r="D2732" s="6" t="s">
        <v>122</v>
      </c>
      <c r="E2732" s="11">
        <v>5.5130319595336914</v>
      </c>
      <c r="F2732" s="11">
        <v>7.0297927856445313</v>
      </c>
    </row>
    <row r="2733" spans="1:6" hidden="1" x14ac:dyDescent="0.3">
      <c r="A2733" s="6">
        <v>20</v>
      </c>
      <c r="B2733" s="6" t="s">
        <v>121</v>
      </c>
      <c r="C2733" s="6" t="s">
        <v>427</v>
      </c>
      <c r="D2733" s="6" t="s">
        <v>122</v>
      </c>
      <c r="E2733" s="11">
        <v>3.3378407955169678</v>
      </c>
      <c r="F2733" s="11">
        <v>7.0297927856445313</v>
      </c>
    </row>
    <row r="2734" spans="1:6" hidden="1" x14ac:dyDescent="0.3">
      <c r="A2734" s="6">
        <v>20</v>
      </c>
      <c r="B2734" s="6" t="s">
        <v>121</v>
      </c>
      <c r="C2734" s="6" t="s">
        <v>428</v>
      </c>
      <c r="D2734" s="6" t="s">
        <v>122</v>
      </c>
      <c r="E2734" s="11">
        <v>5.6490793228149414</v>
      </c>
      <c r="F2734" s="11">
        <v>7.0297927856445313</v>
      </c>
    </row>
    <row r="2735" spans="1:6" hidden="1" x14ac:dyDescent="0.3">
      <c r="A2735" s="6">
        <v>20</v>
      </c>
      <c r="B2735" s="6" t="s">
        <v>121</v>
      </c>
      <c r="C2735" s="6" t="s">
        <v>429</v>
      </c>
      <c r="D2735" s="6" t="s">
        <v>122</v>
      </c>
      <c r="E2735" s="11">
        <v>4.1150364875793457</v>
      </c>
      <c r="F2735" s="11">
        <v>7.0297927856445313</v>
      </c>
    </row>
    <row r="2736" spans="1:6" hidden="1" x14ac:dyDescent="0.3">
      <c r="A2736" s="6">
        <v>20</v>
      </c>
      <c r="B2736" s="6" t="s">
        <v>121</v>
      </c>
      <c r="C2736" s="6" t="s">
        <v>430</v>
      </c>
      <c r="D2736" s="6" t="s">
        <v>122</v>
      </c>
      <c r="E2736" s="11">
        <v>3.6173973083496094</v>
      </c>
      <c r="F2736" s="11">
        <v>7.0297927856445313</v>
      </c>
    </row>
    <row r="2737" spans="1:6" hidden="1" x14ac:dyDescent="0.3">
      <c r="A2737" s="6">
        <v>20</v>
      </c>
      <c r="B2737" s="6" t="s">
        <v>121</v>
      </c>
      <c r="C2737" s="6" t="s">
        <v>431</v>
      </c>
      <c r="D2737" s="6" t="s">
        <v>122</v>
      </c>
      <c r="E2737" s="11">
        <v>37.893333435058594</v>
      </c>
      <c r="F2737" s="11">
        <v>7.0297927856445313</v>
      </c>
    </row>
    <row r="2738" spans="1:6" hidden="1" x14ac:dyDescent="0.3">
      <c r="A2738" s="6">
        <v>20</v>
      </c>
      <c r="B2738" s="6" t="s">
        <v>121</v>
      </c>
      <c r="C2738" s="6" t="s">
        <v>432</v>
      </c>
      <c r="D2738" s="6" t="s">
        <v>122</v>
      </c>
      <c r="E2738" s="11">
        <v>7.3193397521972656</v>
      </c>
      <c r="F2738" s="11">
        <v>7.0297927856445313</v>
      </c>
    </row>
    <row r="2739" spans="1:6" hidden="1" x14ac:dyDescent="0.3">
      <c r="A2739" s="6">
        <v>20</v>
      </c>
      <c r="B2739" s="6" t="s">
        <v>121</v>
      </c>
      <c r="C2739" s="6" t="s">
        <v>433</v>
      </c>
      <c r="D2739" s="6" t="s">
        <v>122</v>
      </c>
      <c r="E2739" s="11">
        <v>14.10636043548584</v>
      </c>
      <c r="F2739" s="11">
        <v>7.0297927856445313</v>
      </c>
    </row>
    <row r="2740" spans="1:6" hidden="1" x14ac:dyDescent="0.3">
      <c r="A2740" s="6">
        <v>20</v>
      </c>
      <c r="B2740" s="6" t="s">
        <v>121</v>
      </c>
      <c r="C2740" s="6" t="s">
        <v>434</v>
      </c>
      <c r="D2740" s="6" t="s">
        <v>122</v>
      </c>
      <c r="E2740" s="11">
        <v>5.1082444190979004</v>
      </c>
      <c r="F2740" s="11">
        <v>7.0297927856445313</v>
      </c>
    </row>
    <row r="2741" spans="1:6" hidden="1" x14ac:dyDescent="0.3">
      <c r="A2741" s="6">
        <v>20</v>
      </c>
      <c r="B2741" s="6" t="s">
        <v>121</v>
      </c>
      <c r="C2741" s="6" t="s">
        <v>435</v>
      </c>
      <c r="D2741" s="6" t="s">
        <v>122</v>
      </c>
      <c r="E2741" s="11">
        <v>9.762608528137207</v>
      </c>
      <c r="F2741" s="11">
        <v>7.0297927856445313</v>
      </c>
    </row>
    <row r="2742" spans="1:6" hidden="1" x14ac:dyDescent="0.3">
      <c r="A2742" s="6">
        <v>20</v>
      </c>
      <c r="B2742" s="6" t="s">
        <v>121</v>
      </c>
      <c r="C2742" s="6" t="s">
        <v>436</v>
      </c>
      <c r="D2742" s="6" t="s">
        <v>122</v>
      </c>
      <c r="E2742" s="11">
        <v>8.5559282302856445</v>
      </c>
      <c r="F2742" s="11">
        <v>7.0297927856445313</v>
      </c>
    </row>
    <row r="2743" spans="1:6" hidden="1" x14ac:dyDescent="0.3">
      <c r="A2743" s="6">
        <v>20</v>
      </c>
      <c r="B2743" s="6" t="s">
        <v>121</v>
      </c>
      <c r="C2743" s="6" t="s">
        <v>437</v>
      </c>
      <c r="D2743" s="6" t="s">
        <v>122</v>
      </c>
      <c r="E2743" s="11">
        <v>53.417125701904297</v>
      </c>
      <c r="F2743" s="11">
        <v>7.0297927856445313</v>
      </c>
    </row>
    <row r="2744" spans="1:6" hidden="1" x14ac:dyDescent="0.3">
      <c r="A2744" s="6">
        <v>20</v>
      </c>
      <c r="B2744" s="6" t="s">
        <v>121</v>
      </c>
      <c r="C2744" s="6" t="s">
        <v>438</v>
      </c>
      <c r="D2744" s="6" t="s">
        <v>122</v>
      </c>
      <c r="E2744" s="11">
        <v>4.9328165054321289</v>
      </c>
      <c r="F2744" s="11">
        <v>7.0297927856445313</v>
      </c>
    </row>
    <row r="2745" spans="1:6" hidden="1" x14ac:dyDescent="0.3">
      <c r="A2745" s="6">
        <v>20</v>
      </c>
      <c r="B2745" s="6" t="s">
        <v>121</v>
      </c>
      <c r="C2745" s="6" t="s">
        <v>439</v>
      </c>
      <c r="D2745" s="6" t="s">
        <v>122</v>
      </c>
      <c r="E2745" s="11">
        <v>4.3755760192871094</v>
      </c>
      <c r="F2745" s="11">
        <v>7.0297927856445313</v>
      </c>
    </row>
    <row r="2746" spans="1:6" hidden="1" x14ac:dyDescent="0.3">
      <c r="A2746" s="6">
        <v>20</v>
      </c>
      <c r="B2746" s="6" t="s">
        <v>121</v>
      </c>
      <c r="C2746" s="6" t="s">
        <v>440</v>
      </c>
      <c r="D2746" s="6" t="s">
        <v>122</v>
      </c>
      <c r="E2746" s="11">
        <v>4.6583819389343262</v>
      </c>
      <c r="F2746" s="11">
        <v>7.0297927856445313</v>
      </c>
    </row>
    <row r="2747" spans="1:6" hidden="1" x14ac:dyDescent="0.3">
      <c r="A2747" s="6">
        <v>20</v>
      </c>
      <c r="B2747" s="6" t="s">
        <v>121</v>
      </c>
      <c r="C2747" s="6" t="s">
        <v>441</v>
      </c>
      <c r="D2747" s="6" t="s">
        <v>122</v>
      </c>
      <c r="E2747" s="11">
        <v>3.1992256641387939</v>
      </c>
      <c r="F2747" s="11">
        <v>7.0297927856445313</v>
      </c>
    </row>
    <row r="2748" spans="1:6" hidden="1" x14ac:dyDescent="0.3">
      <c r="A2748" s="6">
        <v>20</v>
      </c>
      <c r="B2748" s="6" t="s">
        <v>121</v>
      </c>
      <c r="C2748" s="6" t="s">
        <v>442</v>
      </c>
      <c r="D2748" s="6" t="s">
        <v>122</v>
      </c>
      <c r="E2748" s="11">
        <v>6.8316221237182617</v>
      </c>
      <c r="F2748" s="11">
        <v>7.0297927856445313</v>
      </c>
    </row>
    <row r="2749" spans="1:6" hidden="1" x14ac:dyDescent="0.3">
      <c r="A2749" s="6">
        <v>20</v>
      </c>
      <c r="B2749" s="6" t="s">
        <v>121</v>
      </c>
      <c r="C2749" s="6" t="s">
        <v>443</v>
      </c>
      <c r="D2749" s="6" t="s">
        <v>122</v>
      </c>
      <c r="E2749" s="11">
        <v>4.5961551666259766</v>
      </c>
      <c r="F2749" s="11">
        <v>7.0297927856445313</v>
      </c>
    </row>
    <row r="2750" spans="1:6" hidden="1" x14ac:dyDescent="0.3">
      <c r="A2750" s="6">
        <v>20</v>
      </c>
      <c r="B2750" s="6" t="s">
        <v>121</v>
      </c>
      <c r="C2750" s="6" t="s">
        <v>444</v>
      </c>
      <c r="D2750" s="6" t="s">
        <v>122</v>
      </c>
      <c r="E2750" s="11">
        <v>7.5595617294311523</v>
      </c>
      <c r="F2750" s="11">
        <v>7.0297927856445313</v>
      </c>
    </row>
    <row r="2751" spans="1:6" hidden="1" x14ac:dyDescent="0.3">
      <c r="A2751" s="6">
        <v>20</v>
      </c>
      <c r="B2751" s="6" t="s">
        <v>121</v>
      </c>
      <c r="C2751" s="6" t="s">
        <v>445</v>
      </c>
      <c r="D2751" s="6" t="s">
        <v>122</v>
      </c>
      <c r="E2751" s="11">
        <v>14.461082458496094</v>
      </c>
      <c r="F2751" s="11">
        <v>7.0297927856445313</v>
      </c>
    </row>
    <row r="2752" spans="1:6" hidden="1" x14ac:dyDescent="0.3">
      <c r="A2752" s="6">
        <v>20</v>
      </c>
      <c r="B2752" s="6" t="s">
        <v>121</v>
      </c>
      <c r="C2752" s="6" t="s">
        <v>446</v>
      </c>
      <c r="D2752" s="6" t="s">
        <v>122</v>
      </c>
      <c r="E2752" s="11">
        <v>5.1037888526916504</v>
      </c>
      <c r="F2752" s="11">
        <v>7.0297927856445313</v>
      </c>
    </row>
    <row r="2753" spans="1:6" hidden="1" x14ac:dyDescent="0.3">
      <c r="A2753" s="6">
        <v>20</v>
      </c>
      <c r="B2753" s="6" t="s">
        <v>121</v>
      </c>
      <c r="C2753" s="6" t="s">
        <v>447</v>
      </c>
      <c r="D2753" s="6" t="s">
        <v>122</v>
      </c>
      <c r="E2753" s="11">
        <v>10.406889915466309</v>
      </c>
      <c r="F2753" s="11">
        <v>7.0297927856445313</v>
      </c>
    </row>
    <row r="2754" spans="1:6" hidden="1" x14ac:dyDescent="0.3">
      <c r="A2754" s="6">
        <v>20</v>
      </c>
      <c r="B2754" s="6" t="s">
        <v>121</v>
      </c>
      <c r="C2754" s="6" t="s">
        <v>448</v>
      </c>
      <c r="D2754" s="6" t="s">
        <v>122</v>
      </c>
      <c r="E2754" s="11">
        <v>7.5224661827087402</v>
      </c>
      <c r="F2754" s="11">
        <v>7.0297927856445313</v>
      </c>
    </row>
    <row r="2755" spans="1:6" hidden="1" x14ac:dyDescent="0.3">
      <c r="A2755" s="6">
        <v>20</v>
      </c>
      <c r="B2755" s="6" t="s">
        <v>121</v>
      </c>
      <c r="C2755" s="6" t="s">
        <v>449</v>
      </c>
      <c r="D2755" s="6" t="s">
        <v>122</v>
      </c>
      <c r="E2755" s="11">
        <v>4.6012735366821289</v>
      </c>
      <c r="F2755" s="11">
        <v>7.0297927856445313</v>
      </c>
    </row>
    <row r="2756" spans="1:6" hidden="1" x14ac:dyDescent="0.3">
      <c r="A2756" s="6">
        <v>20</v>
      </c>
      <c r="B2756" s="6" t="s">
        <v>121</v>
      </c>
      <c r="C2756" s="6" t="s">
        <v>450</v>
      </c>
      <c r="D2756" s="6" t="s">
        <v>122</v>
      </c>
      <c r="E2756" s="11">
        <v>3.2490906715393066</v>
      </c>
      <c r="F2756" s="11">
        <v>7.0297927856445313</v>
      </c>
    </row>
    <row r="2757" spans="1:6" hidden="1" x14ac:dyDescent="0.3">
      <c r="A2757" s="6">
        <v>20</v>
      </c>
      <c r="B2757" s="6" t="s">
        <v>121</v>
      </c>
      <c r="C2757" s="6" t="s">
        <v>451</v>
      </c>
      <c r="D2757" s="6" t="s">
        <v>122</v>
      </c>
      <c r="E2757" s="11">
        <v>4.9278864860534668</v>
      </c>
      <c r="F2757" s="11">
        <v>7.0297927856445313</v>
      </c>
    </row>
    <row r="2758" spans="1:6" hidden="1" x14ac:dyDescent="0.3">
      <c r="A2758" s="6">
        <v>20</v>
      </c>
      <c r="B2758" s="6" t="s">
        <v>121</v>
      </c>
      <c r="C2758" s="6" t="s">
        <v>452</v>
      </c>
      <c r="D2758" s="6" t="s">
        <v>122</v>
      </c>
      <c r="E2758" s="11">
        <v>6.2751379013061523</v>
      </c>
      <c r="F2758" s="11">
        <v>7.0297927856445313</v>
      </c>
    </row>
    <row r="2759" spans="1:6" hidden="1" x14ac:dyDescent="0.3">
      <c r="A2759" s="6">
        <v>20</v>
      </c>
      <c r="B2759" s="6" t="s">
        <v>121</v>
      </c>
      <c r="C2759" s="6" t="s">
        <v>453</v>
      </c>
      <c r="D2759" s="6" t="s">
        <v>122</v>
      </c>
      <c r="E2759" s="11">
        <v>3.5679528713226318</v>
      </c>
      <c r="F2759" s="11">
        <v>7.0297927856445313</v>
      </c>
    </row>
    <row r="2760" spans="1:6" hidden="1" x14ac:dyDescent="0.3">
      <c r="A2760" s="6">
        <v>20</v>
      </c>
      <c r="B2760" s="6" t="s">
        <v>121</v>
      </c>
      <c r="C2760" s="6" t="s">
        <v>454</v>
      </c>
      <c r="D2760" s="6" t="s">
        <v>122</v>
      </c>
      <c r="E2760" s="11">
        <v>9.0537996292114258</v>
      </c>
      <c r="F2760" s="11">
        <v>7.0297927856445313</v>
      </c>
    </row>
    <row r="2761" spans="1:6" hidden="1" x14ac:dyDescent="0.3">
      <c r="A2761" s="6">
        <v>20</v>
      </c>
      <c r="B2761" s="6" t="s">
        <v>121</v>
      </c>
      <c r="C2761" s="6" t="s">
        <v>455</v>
      </c>
      <c r="D2761" s="6" t="s">
        <v>122</v>
      </c>
      <c r="E2761" s="11">
        <v>5.3582577705383301</v>
      </c>
      <c r="F2761" s="11">
        <v>7.0297927856445313</v>
      </c>
    </row>
    <row r="2762" spans="1:6" hidden="1" x14ac:dyDescent="0.3">
      <c r="A2762" s="6">
        <v>20</v>
      </c>
      <c r="B2762" s="6" t="s">
        <v>121</v>
      </c>
      <c r="C2762" s="6" t="s">
        <v>456</v>
      </c>
      <c r="D2762" s="6" t="s">
        <v>122</v>
      </c>
      <c r="E2762" s="11">
        <v>3.198983907699585</v>
      </c>
      <c r="F2762" s="11">
        <v>7.0297927856445313</v>
      </c>
    </row>
    <row r="2763" spans="1:6" hidden="1" x14ac:dyDescent="0.3">
      <c r="A2763" s="6">
        <v>20</v>
      </c>
      <c r="B2763" s="6" t="s">
        <v>121</v>
      </c>
      <c r="C2763" s="6" t="s">
        <v>457</v>
      </c>
      <c r="D2763" s="6" t="s">
        <v>122</v>
      </c>
      <c r="E2763" s="11">
        <v>4.1697812080383301</v>
      </c>
      <c r="F2763" s="11">
        <v>7.0297927856445313</v>
      </c>
    </row>
    <row r="2764" spans="1:6" hidden="1" x14ac:dyDescent="0.3">
      <c r="A2764" s="6">
        <v>20</v>
      </c>
      <c r="B2764" s="6" t="s">
        <v>121</v>
      </c>
      <c r="C2764" s="6" t="s">
        <v>458</v>
      </c>
      <c r="D2764" s="6" t="s">
        <v>122</v>
      </c>
      <c r="E2764" s="11">
        <v>3.791008472442627</v>
      </c>
      <c r="F2764" s="11">
        <v>7.0297927856445313</v>
      </c>
    </row>
    <row r="2765" spans="1:6" hidden="1" x14ac:dyDescent="0.3">
      <c r="A2765" s="6">
        <v>20</v>
      </c>
      <c r="B2765" s="6" t="s">
        <v>121</v>
      </c>
      <c r="C2765" s="6" t="s">
        <v>459</v>
      </c>
      <c r="D2765" s="6" t="s">
        <v>122</v>
      </c>
      <c r="E2765" s="11">
        <v>6.8527874946594238</v>
      </c>
      <c r="F2765" s="11">
        <v>7.0297927856445313</v>
      </c>
    </row>
    <row r="2766" spans="1:6" hidden="1" x14ac:dyDescent="0.3">
      <c r="A2766" s="6">
        <v>20</v>
      </c>
      <c r="B2766" s="6" t="s">
        <v>121</v>
      </c>
      <c r="C2766" s="6" t="s">
        <v>460</v>
      </c>
      <c r="D2766" s="6" t="s">
        <v>122</v>
      </c>
      <c r="E2766" s="11">
        <v>6.0399346351623535</v>
      </c>
      <c r="F2766" s="11">
        <v>7.0297927856445313</v>
      </c>
    </row>
    <row r="2767" spans="1:6" hidden="1" x14ac:dyDescent="0.3">
      <c r="A2767" s="6">
        <v>20</v>
      </c>
      <c r="B2767" s="6" t="s">
        <v>121</v>
      </c>
      <c r="C2767" s="6" t="s">
        <v>461</v>
      </c>
      <c r="D2767" s="6" t="s">
        <v>122</v>
      </c>
      <c r="E2767" s="11">
        <v>7.2175836563110352</v>
      </c>
      <c r="F2767" s="11">
        <v>7.0297927856445313</v>
      </c>
    </row>
    <row r="2768" spans="1:6" hidden="1" x14ac:dyDescent="0.3">
      <c r="A2768" s="6">
        <v>20</v>
      </c>
      <c r="B2768" s="6" t="s">
        <v>121</v>
      </c>
      <c r="C2768" s="6" t="s">
        <v>462</v>
      </c>
      <c r="D2768" s="6" t="s">
        <v>122</v>
      </c>
      <c r="E2768" s="11">
        <v>54.404232025146484</v>
      </c>
      <c r="F2768" s="11">
        <v>7.0297927856445313</v>
      </c>
    </row>
    <row r="2769" spans="1:6" hidden="1" x14ac:dyDescent="0.3">
      <c r="A2769" s="6">
        <v>20</v>
      </c>
      <c r="B2769" s="6" t="s">
        <v>121</v>
      </c>
      <c r="C2769" s="6" t="s">
        <v>463</v>
      </c>
      <c r="D2769" s="6" t="s">
        <v>122</v>
      </c>
      <c r="E2769" s="11">
        <v>255.24114990234375</v>
      </c>
      <c r="F2769" s="11">
        <v>7.0297927856445313</v>
      </c>
    </row>
    <row r="2770" spans="1:6" hidden="1" x14ac:dyDescent="0.3">
      <c r="A2770" s="6">
        <v>20</v>
      </c>
      <c r="B2770" s="6" t="s">
        <v>121</v>
      </c>
      <c r="C2770" s="6" t="s">
        <v>464</v>
      </c>
      <c r="D2770" s="6" t="s">
        <v>122</v>
      </c>
      <c r="E2770" s="11">
        <v>8.2875480651855469</v>
      </c>
      <c r="F2770" s="11">
        <v>7.0297927856445313</v>
      </c>
    </row>
    <row r="2771" spans="1:6" hidden="1" x14ac:dyDescent="0.3">
      <c r="A2771" s="6">
        <v>20</v>
      </c>
      <c r="B2771" s="6" t="s">
        <v>121</v>
      </c>
      <c r="C2771" s="6" t="s">
        <v>465</v>
      </c>
      <c r="D2771" s="6" t="s">
        <v>122</v>
      </c>
      <c r="E2771" s="11">
        <v>16.972196578979492</v>
      </c>
      <c r="F2771" s="11">
        <v>7.0297927856445313</v>
      </c>
    </row>
    <row r="2772" spans="1:6" hidden="1" x14ac:dyDescent="0.3">
      <c r="A2772" s="6">
        <v>20</v>
      </c>
      <c r="B2772" s="6" t="s">
        <v>121</v>
      </c>
      <c r="C2772" s="6" t="s">
        <v>466</v>
      </c>
      <c r="D2772" s="6" t="s">
        <v>122</v>
      </c>
      <c r="E2772" s="11">
        <v>4.416987419128418</v>
      </c>
      <c r="F2772" s="11">
        <v>7.0297927856445313</v>
      </c>
    </row>
    <row r="2773" spans="1:6" hidden="1" x14ac:dyDescent="0.3">
      <c r="A2773" s="6">
        <v>20</v>
      </c>
      <c r="B2773" s="6" t="s">
        <v>121</v>
      </c>
      <c r="C2773" s="6" t="s">
        <v>467</v>
      </c>
      <c r="D2773" s="6" t="s">
        <v>122</v>
      </c>
      <c r="E2773" s="11">
        <v>48.175285339355469</v>
      </c>
      <c r="F2773" s="11">
        <v>7.0297927856445313</v>
      </c>
    </row>
    <row r="2774" spans="1:6" hidden="1" x14ac:dyDescent="0.3">
      <c r="A2774" s="6">
        <v>20</v>
      </c>
      <c r="B2774" s="6" t="s">
        <v>121</v>
      </c>
      <c r="C2774" s="6" t="s">
        <v>468</v>
      </c>
      <c r="D2774" s="6" t="s">
        <v>122</v>
      </c>
      <c r="E2774" s="11">
        <v>12.728333473205566</v>
      </c>
      <c r="F2774" s="11">
        <v>7.0297927856445313</v>
      </c>
    </row>
    <row r="2775" spans="1:6" hidden="1" x14ac:dyDescent="0.3">
      <c r="A2775" s="6">
        <v>20</v>
      </c>
      <c r="B2775" s="6" t="s">
        <v>121</v>
      </c>
      <c r="C2775" s="6" t="s">
        <v>469</v>
      </c>
      <c r="D2775" s="6" t="s">
        <v>122</v>
      </c>
      <c r="E2775" s="11">
        <v>7.7848258018493652</v>
      </c>
      <c r="F2775" s="11">
        <v>7.0297927856445313</v>
      </c>
    </row>
    <row r="2776" spans="1:6" hidden="1" x14ac:dyDescent="0.3">
      <c r="A2776" s="6">
        <v>20</v>
      </c>
      <c r="B2776" s="6" t="s">
        <v>121</v>
      </c>
      <c r="C2776" s="6" t="s">
        <v>470</v>
      </c>
      <c r="D2776" s="6" t="s">
        <v>122</v>
      </c>
      <c r="E2776" s="11">
        <v>7.4598274230957031</v>
      </c>
      <c r="F2776" s="11">
        <v>7.0297927856445313</v>
      </c>
    </row>
    <row r="2777" spans="1:6" hidden="1" x14ac:dyDescent="0.3">
      <c r="A2777" s="6">
        <v>20</v>
      </c>
      <c r="B2777" s="6" t="s">
        <v>121</v>
      </c>
      <c r="C2777" s="6" t="s">
        <v>471</v>
      </c>
      <c r="D2777" s="6" t="s">
        <v>122</v>
      </c>
      <c r="E2777" s="11">
        <v>12.605128288269043</v>
      </c>
      <c r="F2777" s="11">
        <v>7.0297927856445313</v>
      </c>
    </row>
    <row r="2778" spans="1:6" hidden="1" x14ac:dyDescent="0.3">
      <c r="A2778" s="6">
        <v>20</v>
      </c>
      <c r="B2778" s="6" t="s">
        <v>121</v>
      </c>
      <c r="C2778" s="6" t="s">
        <v>472</v>
      </c>
      <c r="D2778" s="6" t="s">
        <v>122</v>
      </c>
      <c r="E2778" s="11">
        <v>9.1945629119873047</v>
      </c>
      <c r="F2778" s="11">
        <v>7.0297927856445313</v>
      </c>
    </row>
    <row r="2779" spans="1:6" hidden="1" x14ac:dyDescent="0.3">
      <c r="A2779" s="6">
        <v>20</v>
      </c>
      <c r="B2779" s="6" t="s">
        <v>121</v>
      </c>
      <c r="C2779" s="6" t="s">
        <v>473</v>
      </c>
      <c r="D2779" s="6" t="s">
        <v>122</v>
      </c>
      <c r="E2779" s="11">
        <v>15.287031173706055</v>
      </c>
      <c r="F2779" s="11">
        <v>7.0297927856445313</v>
      </c>
    </row>
    <row r="2780" spans="1:6" hidden="1" x14ac:dyDescent="0.3">
      <c r="A2780" s="6">
        <v>20</v>
      </c>
      <c r="B2780" s="6" t="s">
        <v>121</v>
      </c>
      <c r="C2780" s="6" t="s">
        <v>474</v>
      </c>
      <c r="D2780" s="6" t="s">
        <v>122</v>
      </c>
      <c r="E2780" s="11">
        <v>6.3508486747741699</v>
      </c>
      <c r="F2780" s="11">
        <v>7.0297927856445313</v>
      </c>
    </row>
    <row r="2781" spans="1:6" hidden="1" x14ac:dyDescent="0.3">
      <c r="A2781" s="6">
        <v>20</v>
      </c>
      <c r="B2781" s="6" t="s">
        <v>121</v>
      </c>
      <c r="C2781" s="6" t="s">
        <v>475</v>
      </c>
      <c r="D2781" s="6" t="s">
        <v>122</v>
      </c>
      <c r="E2781" s="11">
        <v>5.5035872459411621</v>
      </c>
      <c r="F2781" s="11">
        <v>7.0297927856445313</v>
      </c>
    </row>
    <row r="2782" spans="1:6" hidden="1" x14ac:dyDescent="0.3">
      <c r="A2782" s="6">
        <v>20</v>
      </c>
      <c r="B2782" s="6" t="s">
        <v>121</v>
      </c>
      <c r="C2782" s="6" t="s">
        <v>476</v>
      </c>
      <c r="D2782" s="6" t="s">
        <v>122</v>
      </c>
      <c r="E2782" s="11">
        <v>4.829103946685791</v>
      </c>
      <c r="F2782" s="11">
        <v>7.0297927856445313</v>
      </c>
    </row>
    <row r="2783" spans="1:6" hidden="1" x14ac:dyDescent="0.3">
      <c r="A2783" s="6">
        <v>20</v>
      </c>
      <c r="B2783" s="6" t="s">
        <v>121</v>
      </c>
      <c r="C2783" s="6" t="s">
        <v>477</v>
      </c>
      <c r="D2783" s="6" t="s">
        <v>122</v>
      </c>
      <c r="E2783" s="11">
        <v>7.3161044120788574</v>
      </c>
      <c r="F2783" s="11">
        <v>7.0297927856445313</v>
      </c>
    </row>
    <row r="2784" spans="1:6" hidden="1" x14ac:dyDescent="0.3">
      <c r="A2784" s="6">
        <v>20</v>
      </c>
      <c r="B2784" s="6" t="s">
        <v>121</v>
      </c>
      <c r="C2784" s="6" t="s">
        <v>478</v>
      </c>
      <c r="D2784" s="6" t="s">
        <v>122</v>
      </c>
      <c r="E2784" s="11">
        <v>9.7577352523803711</v>
      </c>
      <c r="F2784" s="11">
        <v>7.0297927856445313</v>
      </c>
    </row>
    <row r="2785" spans="1:6" hidden="1" x14ac:dyDescent="0.3">
      <c r="A2785" s="6">
        <v>20</v>
      </c>
      <c r="B2785" s="6" t="s">
        <v>121</v>
      </c>
      <c r="C2785" s="6" t="s">
        <v>479</v>
      </c>
      <c r="D2785" s="6" t="s">
        <v>122</v>
      </c>
      <c r="E2785" s="11">
        <v>13.783414840698242</v>
      </c>
      <c r="F2785" s="11">
        <v>7.0297927856445313</v>
      </c>
    </row>
    <row r="2786" spans="1:6" hidden="1" x14ac:dyDescent="0.3">
      <c r="A2786" s="6">
        <v>20</v>
      </c>
      <c r="B2786" s="6" t="s">
        <v>121</v>
      </c>
      <c r="C2786" s="6" t="s">
        <v>480</v>
      </c>
      <c r="D2786" s="6" t="s">
        <v>122</v>
      </c>
      <c r="E2786" s="11">
        <v>9.9861106872558594</v>
      </c>
      <c r="F2786" s="11">
        <v>7.0297927856445313</v>
      </c>
    </row>
    <row r="2787" spans="1:6" hidden="1" x14ac:dyDescent="0.3">
      <c r="A2787" s="6">
        <v>20</v>
      </c>
      <c r="B2787" s="6" t="s">
        <v>121</v>
      </c>
      <c r="C2787" s="6" t="s">
        <v>481</v>
      </c>
      <c r="D2787" s="6" t="s">
        <v>122</v>
      </c>
      <c r="E2787" s="11">
        <v>8.5168123245239258</v>
      </c>
      <c r="F2787" s="11">
        <v>7.0297927856445313</v>
      </c>
    </row>
    <row r="2788" spans="1:6" hidden="1" x14ac:dyDescent="0.3">
      <c r="A2788" s="6">
        <v>20</v>
      </c>
      <c r="B2788" s="6" t="s">
        <v>121</v>
      </c>
      <c r="C2788" s="6" t="s">
        <v>482</v>
      </c>
      <c r="D2788" s="6" t="s">
        <v>122</v>
      </c>
      <c r="E2788" s="11">
        <v>8.8390741348266602</v>
      </c>
      <c r="F2788" s="11">
        <v>7.0297927856445313</v>
      </c>
    </row>
    <row r="2789" spans="1:6" hidden="1" x14ac:dyDescent="0.3">
      <c r="A2789" s="6">
        <v>20</v>
      </c>
      <c r="B2789" s="6" t="s">
        <v>121</v>
      </c>
      <c r="C2789" s="6" t="s">
        <v>483</v>
      </c>
      <c r="D2789" s="6" t="s">
        <v>122</v>
      </c>
      <c r="E2789" s="11">
        <v>201.44822692871094</v>
      </c>
      <c r="F2789" s="11">
        <v>7.0297927856445313</v>
      </c>
    </row>
    <row r="2790" spans="1:6" hidden="1" x14ac:dyDescent="0.3">
      <c r="A2790" s="6">
        <v>20</v>
      </c>
      <c r="B2790" s="6" t="s">
        <v>121</v>
      </c>
      <c r="C2790" s="6" t="s">
        <v>484</v>
      </c>
      <c r="D2790" s="6" t="s">
        <v>122</v>
      </c>
      <c r="E2790" s="11">
        <v>5.0196437835693359</v>
      </c>
      <c r="F2790" s="11">
        <v>7.0297927856445313</v>
      </c>
    </row>
    <row r="2791" spans="1:6" hidden="1" x14ac:dyDescent="0.3">
      <c r="A2791" s="6">
        <v>20</v>
      </c>
      <c r="B2791" s="6" t="s">
        <v>121</v>
      </c>
      <c r="C2791" s="6" t="s">
        <v>485</v>
      </c>
      <c r="D2791" s="6" t="s">
        <v>122</v>
      </c>
      <c r="E2791" s="11">
        <v>5.1574320793151855</v>
      </c>
      <c r="F2791" s="11">
        <v>7.0297927856445313</v>
      </c>
    </row>
    <row r="2792" spans="1:6" hidden="1" x14ac:dyDescent="0.3">
      <c r="A2792" s="6">
        <v>20</v>
      </c>
      <c r="B2792" s="6" t="s">
        <v>121</v>
      </c>
      <c r="C2792" s="6" t="s">
        <v>486</v>
      </c>
      <c r="D2792" s="6" t="s">
        <v>122</v>
      </c>
      <c r="E2792" s="11">
        <v>8.8493623733520508</v>
      </c>
      <c r="F2792" s="11">
        <v>7.0297927856445313</v>
      </c>
    </row>
    <row r="2793" spans="1:6" hidden="1" x14ac:dyDescent="0.3">
      <c r="A2793" s="6">
        <v>20</v>
      </c>
      <c r="B2793" s="6" t="s">
        <v>121</v>
      </c>
      <c r="C2793" s="6" t="s">
        <v>487</v>
      </c>
      <c r="D2793" s="6" t="s">
        <v>122</v>
      </c>
      <c r="E2793" s="11">
        <v>188.6180419921875</v>
      </c>
      <c r="F2793" s="11">
        <v>7.0297927856445313</v>
      </c>
    </row>
    <row r="2794" spans="1:6" hidden="1" x14ac:dyDescent="0.3">
      <c r="A2794" s="6">
        <v>20</v>
      </c>
      <c r="B2794" s="6" t="s">
        <v>121</v>
      </c>
      <c r="C2794" s="6" t="s">
        <v>488</v>
      </c>
      <c r="D2794" s="6" t="s">
        <v>122</v>
      </c>
      <c r="E2794" s="11">
        <v>10.766347885131836</v>
      </c>
      <c r="F2794" s="11">
        <v>7.0297927856445313</v>
      </c>
    </row>
    <row r="2795" spans="1:6" hidden="1" x14ac:dyDescent="0.3">
      <c r="A2795" s="6">
        <v>20</v>
      </c>
      <c r="B2795" s="6" t="s">
        <v>121</v>
      </c>
      <c r="C2795" s="6" t="s">
        <v>489</v>
      </c>
      <c r="D2795" s="6" t="s">
        <v>122</v>
      </c>
      <c r="E2795" s="11">
        <v>8.4713258743286133</v>
      </c>
      <c r="F2795" s="11">
        <v>7.0297927856445313</v>
      </c>
    </row>
    <row r="2796" spans="1:6" hidden="1" x14ac:dyDescent="0.3">
      <c r="A2796" s="6">
        <v>20</v>
      </c>
      <c r="B2796" s="6" t="s">
        <v>121</v>
      </c>
      <c r="C2796" s="6" t="s">
        <v>490</v>
      </c>
      <c r="D2796" s="6" t="s">
        <v>122</v>
      </c>
      <c r="E2796" s="11">
        <v>6.0515799522399902</v>
      </c>
      <c r="F2796" s="11">
        <v>7.0297927856445313</v>
      </c>
    </row>
    <row r="2797" spans="1:6" hidden="1" x14ac:dyDescent="0.3">
      <c r="A2797" s="6">
        <v>20</v>
      </c>
      <c r="B2797" s="6" t="s">
        <v>121</v>
      </c>
      <c r="C2797" s="6" t="s">
        <v>491</v>
      </c>
      <c r="D2797" s="6" t="s">
        <v>122</v>
      </c>
      <c r="E2797" s="11">
        <v>4.1832828521728516</v>
      </c>
      <c r="F2797" s="11">
        <v>7.0297927856445313</v>
      </c>
    </row>
    <row r="2798" spans="1:6" hidden="1" x14ac:dyDescent="0.3">
      <c r="A2798" s="6">
        <v>20</v>
      </c>
      <c r="B2798" s="6" t="s">
        <v>121</v>
      </c>
      <c r="C2798" s="6" t="s">
        <v>492</v>
      </c>
      <c r="D2798" s="6" t="s">
        <v>122</v>
      </c>
      <c r="E2798" s="11">
        <v>6.0320305824279785</v>
      </c>
      <c r="F2798" s="11">
        <v>7.0297927856445313</v>
      </c>
    </row>
    <row r="2799" spans="1:6" hidden="1" x14ac:dyDescent="0.3">
      <c r="A2799" s="6">
        <v>20</v>
      </c>
      <c r="B2799" s="6" t="s">
        <v>121</v>
      </c>
      <c r="C2799" s="6" t="s">
        <v>493</v>
      </c>
      <c r="D2799" s="6" t="s">
        <v>122</v>
      </c>
      <c r="E2799" s="11">
        <v>25.952089309692383</v>
      </c>
      <c r="F2799" s="11">
        <v>7.0297927856445313</v>
      </c>
    </row>
    <row r="2800" spans="1:6" hidden="1" x14ac:dyDescent="0.3">
      <c r="A2800" s="6">
        <v>20</v>
      </c>
      <c r="B2800" s="6" t="s">
        <v>121</v>
      </c>
      <c r="C2800" s="6" t="s">
        <v>494</v>
      </c>
      <c r="D2800" s="6" t="s">
        <v>122</v>
      </c>
      <c r="E2800" s="11">
        <v>7.550417423248291</v>
      </c>
      <c r="F2800" s="11">
        <v>7.0297927856445313</v>
      </c>
    </row>
    <row r="2801" spans="1:6" hidden="1" x14ac:dyDescent="0.3">
      <c r="A2801" s="6">
        <v>20</v>
      </c>
      <c r="B2801" s="6" t="s">
        <v>121</v>
      </c>
      <c r="C2801" s="6" t="s">
        <v>495</v>
      </c>
      <c r="D2801" s="6" t="s">
        <v>122</v>
      </c>
      <c r="E2801" s="11">
        <v>421.29794311523438</v>
      </c>
      <c r="F2801" s="11">
        <v>7.0297927856445313</v>
      </c>
    </row>
    <row r="2802" spans="1:6" hidden="1" x14ac:dyDescent="0.3">
      <c r="A2802" s="6">
        <v>21</v>
      </c>
      <c r="B2802" s="6" t="s">
        <v>123</v>
      </c>
      <c r="C2802" s="6" t="s">
        <v>356</v>
      </c>
      <c r="D2802" s="6" t="s">
        <v>124</v>
      </c>
      <c r="E2802" s="11">
        <v>8.8120794296264648</v>
      </c>
      <c r="F2802" s="11">
        <v>8.4000215530395508</v>
      </c>
    </row>
    <row r="2803" spans="1:6" hidden="1" x14ac:dyDescent="0.3">
      <c r="A2803" s="6">
        <v>21</v>
      </c>
      <c r="B2803" s="6" t="s">
        <v>123</v>
      </c>
      <c r="C2803" s="6" t="s">
        <v>357</v>
      </c>
      <c r="D2803" s="6" t="s">
        <v>124</v>
      </c>
      <c r="E2803" s="11">
        <v>7.0108628273010254</v>
      </c>
      <c r="F2803" s="11">
        <v>8.4000215530395508</v>
      </c>
    </row>
    <row r="2804" spans="1:6" hidden="1" x14ac:dyDescent="0.3">
      <c r="A2804" s="6">
        <v>21</v>
      </c>
      <c r="B2804" s="6" t="s">
        <v>123</v>
      </c>
      <c r="C2804" s="6" t="s">
        <v>358</v>
      </c>
      <c r="D2804" s="6" t="s">
        <v>124</v>
      </c>
      <c r="E2804" s="11">
        <v>18.509729385375977</v>
      </c>
      <c r="F2804" s="11">
        <v>8.4000215530395508</v>
      </c>
    </row>
    <row r="2805" spans="1:6" hidden="1" x14ac:dyDescent="0.3">
      <c r="A2805" s="6">
        <v>21</v>
      </c>
      <c r="B2805" s="6" t="s">
        <v>123</v>
      </c>
      <c r="C2805" s="6" t="s">
        <v>359</v>
      </c>
      <c r="D2805" s="6" t="s">
        <v>124</v>
      </c>
      <c r="E2805" s="11">
        <v>14.638889312744141</v>
      </c>
      <c r="F2805" s="11">
        <v>8.4000215530395508</v>
      </c>
    </row>
    <row r="2806" spans="1:6" hidden="1" x14ac:dyDescent="0.3">
      <c r="A2806" s="6">
        <v>21</v>
      </c>
      <c r="B2806" s="6" t="s">
        <v>123</v>
      </c>
      <c r="C2806" s="6" t="s">
        <v>360</v>
      </c>
      <c r="D2806" s="6" t="s">
        <v>124</v>
      </c>
      <c r="E2806" s="11">
        <v>8.0237054824829102</v>
      </c>
      <c r="F2806" s="11">
        <v>8.4000215530395508</v>
      </c>
    </row>
    <row r="2807" spans="1:6" hidden="1" x14ac:dyDescent="0.3">
      <c r="A2807" s="6">
        <v>21</v>
      </c>
      <c r="B2807" s="6" t="s">
        <v>123</v>
      </c>
      <c r="C2807" s="6" t="s">
        <v>361</v>
      </c>
      <c r="D2807" s="6" t="s">
        <v>124</v>
      </c>
      <c r="E2807" s="11">
        <v>27.491653442382813</v>
      </c>
      <c r="F2807" s="11">
        <v>8.4000215530395508</v>
      </c>
    </row>
    <row r="2808" spans="1:6" hidden="1" x14ac:dyDescent="0.3">
      <c r="A2808" s="6">
        <v>21</v>
      </c>
      <c r="B2808" s="6" t="s">
        <v>123</v>
      </c>
      <c r="C2808" s="6" t="s">
        <v>362</v>
      </c>
      <c r="D2808" s="6" t="s">
        <v>124</v>
      </c>
      <c r="E2808" s="11">
        <v>32.097232818603516</v>
      </c>
      <c r="F2808" s="11">
        <v>8.4000215530395508</v>
      </c>
    </row>
    <row r="2809" spans="1:6" hidden="1" x14ac:dyDescent="0.3">
      <c r="A2809" s="6">
        <v>21</v>
      </c>
      <c r="B2809" s="6" t="s">
        <v>123</v>
      </c>
      <c r="C2809" s="6" t="s">
        <v>363</v>
      </c>
      <c r="D2809" s="6" t="s">
        <v>124</v>
      </c>
      <c r="E2809" s="11">
        <v>5.990264892578125</v>
      </c>
      <c r="F2809" s="11">
        <v>8.4000215530395508</v>
      </c>
    </row>
    <row r="2810" spans="1:6" hidden="1" x14ac:dyDescent="0.3">
      <c r="A2810" s="6">
        <v>21</v>
      </c>
      <c r="B2810" s="6" t="s">
        <v>123</v>
      </c>
      <c r="C2810" s="6" t="s">
        <v>364</v>
      </c>
      <c r="D2810" s="6" t="s">
        <v>124</v>
      </c>
      <c r="E2810" s="11">
        <v>9.1608705520629883</v>
      </c>
      <c r="F2810" s="11">
        <v>8.4000215530395508</v>
      </c>
    </row>
    <row r="2811" spans="1:6" hidden="1" x14ac:dyDescent="0.3">
      <c r="A2811" s="6">
        <v>21</v>
      </c>
      <c r="B2811" s="6" t="s">
        <v>123</v>
      </c>
      <c r="C2811" s="6" t="s">
        <v>365</v>
      </c>
      <c r="D2811" s="6" t="s">
        <v>124</v>
      </c>
      <c r="E2811" s="11">
        <v>7.1871695518493652</v>
      </c>
      <c r="F2811" s="11">
        <v>8.4000215530395508</v>
      </c>
    </row>
    <row r="2812" spans="1:6" hidden="1" x14ac:dyDescent="0.3">
      <c r="A2812" s="6">
        <v>21</v>
      </c>
      <c r="B2812" s="6" t="s">
        <v>123</v>
      </c>
      <c r="C2812" s="6" t="s">
        <v>366</v>
      </c>
      <c r="D2812" s="6" t="s">
        <v>124</v>
      </c>
      <c r="E2812" s="11">
        <v>13.072723388671875</v>
      </c>
      <c r="F2812" s="11">
        <v>8.4000215530395508</v>
      </c>
    </row>
    <row r="2813" spans="1:6" hidden="1" x14ac:dyDescent="0.3">
      <c r="A2813" s="6">
        <v>21</v>
      </c>
      <c r="B2813" s="6" t="s">
        <v>123</v>
      </c>
      <c r="C2813" s="6" t="s">
        <v>367</v>
      </c>
      <c r="D2813" s="6" t="s">
        <v>124</v>
      </c>
      <c r="E2813" s="11">
        <v>4.4013781547546387</v>
      </c>
      <c r="F2813" s="11">
        <v>8.4000215530395508</v>
      </c>
    </row>
    <row r="2814" spans="1:6" hidden="1" x14ac:dyDescent="0.3">
      <c r="A2814" s="6">
        <v>21</v>
      </c>
      <c r="B2814" s="6" t="s">
        <v>123</v>
      </c>
      <c r="C2814" s="6" t="s">
        <v>368</v>
      </c>
      <c r="D2814" s="6" t="s">
        <v>124</v>
      </c>
      <c r="E2814" s="11">
        <v>19.04991340637207</v>
      </c>
      <c r="F2814" s="11">
        <v>8.4000215530395508</v>
      </c>
    </row>
    <row r="2815" spans="1:6" hidden="1" x14ac:dyDescent="0.3">
      <c r="A2815" s="6">
        <v>21</v>
      </c>
      <c r="B2815" s="6" t="s">
        <v>123</v>
      </c>
      <c r="C2815" s="6" t="s">
        <v>369</v>
      </c>
      <c r="D2815" s="6" t="s">
        <v>124</v>
      </c>
      <c r="E2815" s="11">
        <v>459.12533569335938</v>
      </c>
      <c r="F2815" s="11">
        <v>8.4000215530395508</v>
      </c>
    </row>
    <row r="2816" spans="1:6" hidden="1" x14ac:dyDescent="0.3">
      <c r="A2816" s="6">
        <v>21</v>
      </c>
      <c r="B2816" s="6" t="s">
        <v>123</v>
      </c>
      <c r="C2816" s="6" t="s">
        <v>370</v>
      </c>
      <c r="D2816" s="6" t="s">
        <v>124</v>
      </c>
      <c r="E2816" s="11">
        <v>29.483844757080078</v>
      </c>
      <c r="F2816" s="11">
        <v>8.4000215530395508</v>
      </c>
    </row>
    <row r="2817" spans="1:6" hidden="1" x14ac:dyDescent="0.3">
      <c r="A2817" s="6">
        <v>21</v>
      </c>
      <c r="B2817" s="6" t="s">
        <v>123</v>
      </c>
      <c r="C2817" s="6" t="s">
        <v>371</v>
      </c>
      <c r="D2817" s="6" t="s">
        <v>124</v>
      </c>
      <c r="E2817" s="11">
        <v>7.8018183708190918</v>
      </c>
      <c r="F2817" s="11">
        <v>8.4000215530395508</v>
      </c>
    </row>
    <row r="2818" spans="1:6" hidden="1" x14ac:dyDescent="0.3">
      <c r="A2818" s="6">
        <v>21</v>
      </c>
      <c r="B2818" s="6" t="s">
        <v>123</v>
      </c>
      <c r="C2818" s="6" t="s">
        <v>372</v>
      </c>
      <c r="D2818" s="6" t="s">
        <v>124</v>
      </c>
      <c r="E2818" s="11">
        <v>8.9600000381469727</v>
      </c>
      <c r="F2818" s="11">
        <v>8.4000215530395508</v>
      </c>
    </row>
    <row r="2819" spans="1:6" hidden="1" x14ac:dyDescent="0.3">
      <c r="A2819" s="6">
        <v>21</v>
      </c>
      <c r="B2819" s="6" t="s">
        <v>123</v>
      </c>
      <c r="C2819" s="6" t="s">
        <v>373</v>
      </c>
      <c r="D2819" s="6" t="s">
        <v>124</v>
      </c>
      <c r="E2819" s="11">
        <v>9.8815402984619141</v>
      </c>
      <c r="F2819" s="11">
        <v>8.4000215530395508</v>
      </c>
    </row>
    <row r="2820" spans="1:6" hidden="1" x14ac:dyDescent="0.3">
      <c r="A2820" s="6">
        <v>21</v>
      </c>
      <c r="B2820" s="6" t="s">
        <v>123</v>
      </c>
      <c r="C2820" s="6" t="s">
        <v>374</v>
      </c>
      <c r="D2820" s="6" t="s">
        <v>124</v>
      </c>
      <c r="E2820" s="11">
        <v>6.9564046859741211</v>
      </c>
      <c r="F2820" s="11">
        <v>8.4000215530395508</v>
      </c>
    </row>
    <row r="2821" spans="1:6" hidden="1" x14ac:dyDescent="0.3">
      <c r="A2821" s="6">
        <v>21</v>
      </c>
      <c r="B2821" s="6" t="s">
        <v>123</v>
      </c>
      <c r="C2821" s="6" t="s">
        <v>375</v>
      </c>
      <c r="D2821" s="6" t="s">
        <v>124</v>
      </c>
      <c r="E2821" s="11">
        <v>12.687861442565918</v>
      </c>
      <c r="F2821" s="11">
        <v>8.4000215530395508</v>
      </c>
    </row>
    <row r="2822" spans="1:6" hidden="1" x14ac:dyDescent="0.3">
      <c r="A2822" s="6">
        <v>21</v>
      </c>
      <c r="B2822" s="6" t="s">
        <v>123</v>
      </c>
      <c r="C2822" s="6" t="s">
        <v>376</v>
      </c>
      <c r="D2822" s="6" t="s">
        <v>124</v>
      </c>
      <c r="E2822" s="11">
        <v>5.794623851776123</v>
      </c>
      <c r="F2822" s="11">
        <v>8.4000215530395508</v>
      </c>
    </row>
    <row r="2823" spans="1:6" hidden="1" x14ac:dyDescent="0.3">
      <c r="A2823" s="6">
        <v>21</v>
      </c>
      <c r="B2823" s="6" t="s">
        <v>123</v>
      </c>
      <c r="C2823" s="6" t="s">
        <v>377</v>
      </c>
      <c r="D2823" s="6" t="s">
        <v>124</v>
      </c>
      <c r="E2823" s="11">
        <v>11.045909881591797</v>
      </c>
      <c r="F2823" s="11">
        <v>8.4000215530395508</v>
      </c>
    </row>
    <row r="2824" spans="1:6" hidden="1" x14ac:dyDescent="0.3">
      <c r="A2824" s="6">
        <v>21</v>
      </c>
      <c r="B2824" s="6" t="s">
        <v>123</v>
      </c>
      <c r="C2824" s="6" t="s">
        <v>378</v>
      </c>
      <c r="D2824" s="6" t="s">
        <v>124</v>
      </c>
      <c r="E2824" s="11">
        <v>15.466937065124512</v>
      </c>
      <c r="F2824" s="11">
        <v>8.4000215530395508</v>
      </c>
    </row>
    <row r="2825" spans="1:6" hidden="1" x14ac:dyDescent="0.3">
      <c r="A2825" s="6">
        <v>21</v>
      </c>
      <c r="B2825" s="6" t="s">
        <v>123</v>
      </c>
      <c r="C2825" s="6" t="s">
        <v>379</v>
      </c>
      <c r="D2825" s="6" t="s">
        <v>124</v>
      </c>
      <c r="E2825" s="11">
        <v>5.3611540794372559</v>
      </c>
      <c r="F2825" s="11">
        <v>8.4000215530395508</v>
      </c>
    </row>
    <row r="2826" spans="1:6" hidden="1" x14ac:dyDescent="0.3">
      <c r="A2826" s="6">
        <v>21</v>
      </c>
      <c r="B2826" s="6" t="s">
        <v>123</v>
      </c>
      <c r="C2826" s="6" t="s">
        <v>380</v>
      </c>
      <c r="D2826" s="6" t="s">
        <v>124</v>
      </c>
      <c r="E2826" s="11">
        <v>6.4416813850402832</v>
      </c>
      <c r="F2826" s="11">
        <v>8.4000215530395508</v>
      </c>
    </row>
    <row r="2827" spans="1:6" hidden="1" x14ac:dyDescent="0.3">
      <c r="A2827" s="6">
        <v>21</v>
      </c>
      <c r="B2827" s="6" t="s">
        <v>123</v>
      </c>
      <c r="C2827" s="6" t="s">
        <v>381</v>
      </c>
      <c r="D2827" s="6" t="s">
        <v>124</v>
      </c>
      <c r="E2827" s="11">
        <v>6.8353767395019531</v>
      </c>
      <c r="F2827" s="11">
        <v>8.4000215530395508</v>
      </c>
    </row>
    <row r="2828" spans="1:6" hidden="1" x14ac:dyDescent="0.3">
      <c r="A2828" s="6">
        <v>21</v>
      </c>
      <c r="B2828" s="6" t="s">
        <v>123</v>
      </c>
      <c r="C2828" s="6" t="s">
        <v>382</v>
      </c>
      <c r="D2828" s="6" t="s">
        <v>124</v>
      </c>
      <c r="E2828" s="11">
        <v>6.2637476921081543</v>
      </c>
      <c r="F2828" s="11">
        <v>8.4000215530395508</v>
      </c>
    </row>
    <row r="2829" spans="1:6" hidden="1" x14ac:dyDescent="0.3">
      <c r="A2829" s="6">
        <v>21</v>
      </c>
      <c r="B2829" s="6" t="s">
        <v>123</v>
      </c>
      <c r="C2829" s="6" t="s">
        <v>383</v>
      </c>
      <c r="D2829" s="6" t="s">
        <v>124</v>
      </c>
      <c r="E2829" s="11">
        <v>4.893343448638916</v>
      </c>
      <c r="F2829" s="11">
        <v>8.4000215530395508</v>
      </c>
    </row>
    <row r="2830" spans="1:6" hidden="1" x14ac:dyDescent="0.3">
      <c r="A2830" s="6">
        <v>21</v>
      </c>
      <c r="B2830" s="6" t="s">
        <v>123</v>
      </c>
      <c r="C2830" s="6" t="s">
        <v>384</v>
      </c>
      <c r="D2830" s="6" t="s">
        <v>124</v>
      </c>
      <c r="E2830" s="11">
        <v>20.060142517089844</v>
      </c>
      <c r="F2830" s="11">
        <v>8.4000215530395508</v>
      </c>
    </row>
    <row r="2831" spans="1:6" hidden="1" x14ac:dyDescent="0.3">
      <c r="A2831" s="6">
        <v>21</v>
      </c>
      <c r="B2831" s="6" t="s">
        <v>123</v>
      </c>
      <c r="C2831" s="6" t="s">
        <v>385</v>
      </c>
      <c r="D2831" s="6" t="s">
        <v>124</v>
      </c>
      <c r="E2831" s="11">
        <v>10.533308982849121</v>
      </c>
      <c r="F2831" s="11">
        <v>8.4000215530395508</v>
      </c>
    </row>
    <row r="2832" spans="1:6" hidden="1" x14ac:dyDescent="0.3">
      <c r="A2832" s="6">
        <v>21</v>
      </c>
      <c r="B2832" s="6" t="s">
        <v>123</v>
      </c>
      <c r="C2832" s="6" t="s">
        <v>386</v>
      </c>
      <c r="D2832" s="6" t="s">
        <v>124</v>
      </c>
      <c r="E2832" s="11">
        <v>3.4136509895324707</v>
      </c>
      <c r="F2832" s="11">
        <v>8.4000215530395508</v>
      </c>
    </row>
    <row r="2833" spans="1:6" hidden="1" x14ac:dyDescent="0.3">
      <c r="A2833" s="6">
        <v>21</v>
      </c>
      <c r="B2833" s="6" t="s">
        <v>123</v>
      </c>
      <c r="C2833" s="6" t="s">
        <v>387</v>
      </c>
      <c r="D2833" s="6" t="s">
        <v>124</v>
      </c>
      <c r="E2833" s="11">
        <v>9.2483768463134766</v>
      </c>
      <c r="F2833" s="11">
        <v>8.4000215530395508</v>
      </c>
    </row>
    <row r="2834" spans="1:6" hidden="1" x14ac:dyDescent="0.3">
      <c r="A2834" s="6">
        <v>21</v>
      </c>
      <c r="B2834" s="6" t="s">
        <v>123</v>
      </c>
      <c r="C2834" s="6" t="s">
        <v>388</v>
      </c>
      <c r="D2834" s="6" t="s">
        <v>124</v>
      </c>
      <c r="E2834" s="11">
        <v>294.93649291992188</v>
      </c>
      <c r="F2834" s="11">
        <v>8.4000215530395508</v>
      </c>
    </row>
    <row r="2835" spans="1:6" hidden="1" x14ac:dyDescent="0.3">
      <c r="A2835" s="6">
        <v>21</v>
      </c>
      <c r="B2835" s="6" t="s">
        <v>123</v>
      </c>
      <c r="C2835" s="6" t="s">
        <v>389</v>
      </c>
      <c r="D2835" s="6" t="s">
        <v>124</v>
      </c>
      <c r="E2835" s="11">
        <v>8.0034160614013672</v>
      </c>
      <c r="F2835" s="11">
        <v>8.4000215530395508</v>
      </c>
    </row>
    <row r="2836" spans="1:6" hidden="1" x14ac:dyDescent="0.3">
      <c r="A2836" s="6">
        <v>21</v>
      </c>
      <c r="B2836" s="6" t="s">
        <v>123</v>
      </c>
      <c r="C2836" s="6" t="s">
        <v>390</v>
      </c>
      <c r="D2836" s="6" t="s">
        <v>124</v>
      </c>
      <c r="E2836" s="11">
        <v>4.0281009674072266</v>
      </c>
      <c r="F2836" s="11">
        <v>8.4000215530395508</v>
      </c>
    </row>
    <row r="2837" spans="1:6" hidden="1" x14ac:dyDescent="0.3">
      <c r="A2837" s="6">
        <v>21</v>
      </c>
      <c r="B2837" s="6" t="s">
        <v>123</v>
      </c>
      <c r="C2837" s="6" t="s">
        <v>391</v>
      </c>
      <c r="D2837" s="6" t="s">
        <v>124</v>
      </c>
      <c r="E2837" s="11">
        <v>2072.545654296875</v>
      </c>
      <c r="F2837" s="11">
        <v>8.4000215530395508</v>
      </c>
    </row>
    <row r="2838" spans="1:6" hidden="1" x14ac:dyDescent="0.3">
      <c r="A2838" s="6">
        <v>21</v>
      </c>
      <c r="B2838" s="6" t="s">
        <v>123</v>
      </c>
      <c r="C2838" s="6" t="s">
        <v>392</v>
      </c>
      <c r="D2838" s="6" t="s">
        <v>124</v>
      </c>
      <c r="E2838" s="11">
        <v>15.060489654541016</v>
      </c>
      <c r="F2838" s="11">
        <v>8.4000215530395508</v>
      </c>
    </row>
    <row r="2839" spans="1:6" hidden="1" x14ac:dyDescent="0.3">
      <c r="A2839" s="6">
        <v>21</v>
      </c>
      <c r="B2839" s="6" t="s">
        <v>123</v>
      </c>
      <c r="C2839" s="6" t="s">
        <v>393</v>
      </c>
      <c r="D2839" s="6" t="s">
        <v>124</v>
      </c>
      <c r="E2839" s="11">
        <v>34.520889282226563</v>
      </c>
      <c r="F2839" s="11">
        <v>8.4000215530395508</v>
      </c>
    </row>
    <row r="2840" spans="1:6" hidden="1" x14ac:dyDescent="0.3">
      <c r="A2840" s="6">
        <v>21</v>
      </c>
      <c r="B2840" s="6" t="s">
        <v>123</v>
      </c>
      <c r="C2840" s="6" t="s">
        <v>394</v>
      </c>
      <c r="D2840" s="6" t="s">
        <v>124</v>
      </c>
      <c r="E2840" s="11">
        <v>21.813541412353516</v>
      </c>
      <c r="F2840" s="11">
        <v>8.4000215530395508</v>
      </c>
    </row>
    <row r="2841" spans="1:6" hidden="1" x14ac:dyDescent="0.3">
      <c r="A2841" s="6">
        <v>21</v>
      </c>
      <c r="B2841" s="6" t="s">
        <v>123</v>
      </c>
      <c r="C2841" s="6" t="s">
        <v>395</v>
      </c>
      <c r="D2841" s="6" t="s">
        <v>124</v>
      </c>
      <c r="E2841" s="11">
        <v>12.540248870849609</v>
      </c>
      <c r="F2841" s="11">
        <v>8.4000215530395508</v>
      </c>
    </row>
    <row r="2842" spans="1:6" hidden="1" x14ac:dyDescent="0.3">
      <c r="A2842" s="6">
        <v>21</v>
      </c>
      <c r="B2842" s="6" t="s">
        <v>123</v>
      </c>
      <c r="C2842" s="6" t="s">
        <v>396</v>
      </c>
      <c r="D2842" s="6" t="s">
        <v>124</v>
      </c>
      <c r="E2842" s="11">
        <v>3.1816291809082031</v>
      </c>
      <c r="F2842" s="11">
        <v>8.4000215530395508</v>
      </c>
    </row>
    <row r="2843" spans="1:6" hidden="1" x14ac:dyDescent="0.3">
      <c r="A2843" s="6">
        <v>21</v>
      </c>
      <c r="B2843" s="6" t="s">
        <v>123</v>
      </c>
      <c r="C2843" s="6" t="s">
        <v>397</v>
      </c>
      <c r="D2843" s="6" t="s">
        <v>124</v>
      </c>
      <c r="E2843" s="11">
        <v>2.95648193359375</v>
      </c>
      <c r="F2843" s="11">
        <v>8.4000215530395508</v>
      </c>
    </row>
    <row r="2844" spans="1:6" hidden="1" x14ac:dyDescent="0.3">
      <c r="A2844" s="6">
        <v>21</v>
      </c>
      <c r="B2844" s="6" t="s">
        <v>123</v>
      </c>
      <c r="C2844" s="6" t="s">
        <v>398</v>
      </c>
      <c r="D2844" s="6" t="s">
        <v>124</v>
      </c>
      <c r="E2844" s="11">
        <v>5.5471863746643066</v>
      </c>
      <c r="F2844" s="11">
        <v>8.4000215530395508</v>
      </c>
    </row>
    <row r="2845" spans="1:6" hidden="1" x14ac:dyDescent="0.3">
      <c r="A2845" s="6">
        <v>21</v>
      </c>
      <c r="B2845" s="6" t="s">
        <v>123</v>
      </c>
      <c r="C2845" s="6" t="s">
        <v>399</v>
      </c>
      <c r="D2845" s="6" t="s">
        <v>124</v>
      </c>
      <c r="E2845" s="11">
        <v>4.4888749122619629</v>
      </c>
      <c r="F2845" s="11">
        <v>8.4000215530395508</v>
      </c>
    </row>
    <row r="2846" spans="1:6" hidden="1" x14ac:dyDescent="0.3">
      <c r="A2846" s="6">
        <v>21</v>
      </c>
      <c r="B2846" s="6" t="s">
        <v>123</v>
      </c>
      <c r="C2846" s="6" t="s">
        <v>400</v>
      </c>
      <c r="D2846" s="6" t="s">
        <v>124</v>
      </c>
      <c r="E2846" s="11">
        <v>83.177787780761719</v>
      </c>
      <c r="F2846" s="11">
        <v>8.4000215530395508</v>
      </c>
    </row>
    <row r="2847" spans="1:6" hidden="1" x14ac:dyDescent="0.3">
      <c r="A2847" s="6">
        <v>21</v>
      </c>
      <c r="B2847" s="6" t="s">
        <v>123</v>
      </c>
      <c r="C2847" s="6" t="s">
        <v>401</v>
      </c>
      <c r="D2847" s="6" t="s">
        <v>124</v>
      </c>
      <c r="E2847" s="11">
        <v>7.3007831573486328</v>
      </c>
      <c r="F2847" s="11">
        <v>8.4000215530395508</v>
      </c>
    </row>
    <row r="2848" spans="1:6" hidden="1" x14ac:dyDescent="0.3">
      <c r="A2848" s="6">
        <v>21</v>
      </c>
      <c r="B2848" s="6" t="s">
        <v>123</v>
      </c>
      <c r="C2848" s="6" t="s">
        <v>402</v>
      </c>
      <c r="D2848" s="6" t="s">
        <v>124</v>
      </c>
      <c r="E2848" s="11">
        <v>9.3473014831542969</v>
      </c>
      <c r="F2848" s="11">
        <v>8.4000215530395508</v>
      </c>
    </row>
    <row r="2849" spans="1:6" hidden="1" x14ac:dyDescent="0.3">
      <c r="A2849" s="6">
        <v>21</v>
      </c>
      <c r="B2849" s="6" t="s">
        <v>123</v>
      </c>
      <c r="C2849" s="6" t="s">
        <v>403</v>
      </c>
      <c r="D2849" s="6" t="s">
        <v>124</v>
      </c>
      <c r="E2849" s="11">
        <v>6.9030265808105469</v>
      </c>
      <c r="F2849" s="11">
        <v>8.4000215530395508</v>
      </c>
    </row>
    <row r="2850" spans="1:6" hidden="1" x14ac:dyDescent="0.3">
      <c r="A2850" s="6">
        <v>21</v>
      </c>
      <c r="B2850" s="6" t="s">
        <v>123</v>
      </c>
      <c r="C2850" s="6" t="s">
        <v>404</v>
      </c>
      <c r="D2850" s="6" t="s">
        <v>124</v>
      </c>
      <c r="E2850" s="11">
        <v>5.081627368927002</v>
      </c>
      <c r="F2850" s="11">
        <v>8.4000215530395508</v>
      </c>
    </row>
    <row r="2851" spans="1:6" hidden="1" x14ac:dyDescent="0.3">
      <c r="A2851" s="6">
        <v>21</v>
      </c>
      <c r="B2851" s="6" t="s">
        <v>123</v>
      </c>
      <c r="C2851" s="6" t="s">
        <v>405</v>
      </c>
      <c r="D2851" s="6" t="s">
        <v>124</v>
      </c>
      <c r="E2851" s="11">
        <v>8.8214139938354492</v>
      </c>
      <c r="F2851" s="11">
        <v>8.4000215530395508</v>
      </c>
    </row>
    <row r="2852" spans="1:6" hidden="1" x14ac:dyDescent="0.3">
      <c r="A2852" s="6">
        <v>21</v>
      </c>
      <c r="B2852" s="6" t="s">
        <v>123</v>
      </c>
      <c r="C2852" s="6" t="s">
        <v>406</v>
      </c>
      <c r="D2852" s="6" t="s">
        <v>124</v>
      </c>
      <c r="E2852" s="11">
        <v>8.2689952850341797</v>
      </c>
      <c r="F2852" s="11">
        <v>8.4000215530395508</v>
      </c>
    </row>
    <row r="2853" spans="1:6" hidden="1" x14ac:dyDescent="0.3">
      <c r="A2853" s="6">
        <v>21</v>
      </c>
      <c r="B2853" s="6" t="s">
        <v>123</v>
      </c>
      <c r="C2853" s="6" t="s">
        <v>407</v>
      </c>
      <c r="D2853" s="6" t="s">
        <v>124</v>
      </c>
      <c r="E2853" s="11">
        <v>11.039456367492676</v>
      </c>
      <c r="F2853" s="11">
        <v>8.4000215530395508</v>
      </c>
    </row>
    <row r="2854" spans="1:6" hidden="1" x14ac:dyDescent="0.3">
      <c r="A2854" s="6">
        <v>21</v>
      </c>
      <c r="B2854" s="6" t="s">
        <v>123</v>
      </c>
      <c r="C2854" s="6" t="s">
        <v>408</v>
      </c>
      <c r="D2854" s="6" t="s">
        <v>124</v>
      </c>
      <c r="E2854" s="11">
        <v>7.3694705963134766</v>
      </c>
      <c r="F2854" s="11">
        <v>8.4000215530395508</v>
      </c>
    </row>
    <row r="2855" spans="1:6" hidden="1" x14ac:dyDescent="0.3">
      <c r="A2855" s="6">
        <v>21</v>
      </c>
      <c r="B2855" s="6" t="s">
        <v>123</v>
      </c>
      <c r="C2855" s="6" t="s">
        <v>409</v>
      </c>
      <c r="D2855" s="6" t="s">
        <v>124</v>
      </c>
      <c r="E2855" s="11">
        <v>5.2633538246154785</v>
      </c>
      <c r="F2855" s="11">
        <v>8.4000215530395508</v>
      </c>
    </row>
    <row r="2856" spans="1:6" hidden="1" x14ac:dyDescent="0.3">
      <c r="A2856" s="6">
        <v>21</v>
      </c>
      <c r="B2856" s="6" t="s">
        <v>123</v>
      </c>
      <c r="C2856" s="6" t="s">
        <v>410</v>
      </c>
      <c r="D2856" s="6" t="s">
        <v>124</v>
      </c>
      <c r="E2856" s="11">
        <v>13.250624656677246</v>
      </c>
      <c r="F2856" s="11">
        <v>8.4000215530395508</v>
      </c>
    </row>
    <row r="2857" spans="1:6" hidden="1" x14ac:dyDescent="0.3">
      <c r="A2857" s="6">
        <v>21</v>
      </c>
      <c r="B2857" s="6" t="s">
        <v>123</v>
      </c>
      <c r="C2857" s="6" t="s">
        <v>411</v>
      </c>
      <c r="D2857" s="6" t="s">
        <v>124</v>
      </c>
      <c r="E2857" s="11">
        <v>5.1034817695617676</v>
      </c>
      <c r="F2857" s="11">
        <v>8.4000215530395508</v>
      </c>
    </row>
    <row r="2858" spans="1:6" hidden="1" x14ac:dyDescent="0.3">
      <c r="A2858" s="6">
        <v>21</v>
      </c>
      <c r="B2858" s="6" t="s">
        <v>123</v>
      </c>
      <c r="C2858" s="6" t="s">
        <v>412</v>
      </c>
      <c r="D2858" s="6" t="s">
        <v>124</v>
      </c>
      <c r="E2858" s="11">
        <v>12.813356399536133</v>
      </c>
      <c r="F2858" s="11">
        <v>8.4000215530395508</v>
      </c>
    </row>
    <row r="2859" spans="1:6" hidden="1" x14ac:dyDescent="0.3">
      <c r="A2859" s="6">
        <v>21</v>
      </c>
      <c r="B2859" s="6" t="s">
        <v>123</v>
      </c>
      <c r="C2859" s="6" t="s">
        <v>413</v>
      </c>
      <c r="D2859" s="6" t="s">
        <v>124</v>
      </c>
      <c r="E2859" s="11">
        <v>6.9478878974914551</v>
      </c>
      <c r="F2859" s="11">
        <v>8.4000215530395508</v>
      </c>
    </row>
    <row r="2860" spans="1:6" hidden="1" x14ac:dyDescent="0.3">
      <c r="A2860" s="6">
        <v>21</v>
      </c>
      <c r="B2860" s="6" t="s">
        <v>123</v>
      </c>
      <c r="C2860" s="6" t="s">
        <v>414</v>
      </c>
      <c r="D2860" s="6" t="s">
        <v>124</v>
      </c>
      <c r="E2860" s="11">
        <v>4.6173362731933594</v>
      </c>
      <c r="F2860" s="11">
        <v>8.4000215530395508</v>
      </c>
    </row>
    <row r="2861" spans="1:6" hidden="1" x14ac:dyDescent="0.3">
      <c r="A2861" s="6">
        <v>21</v>
      </c>
      <c r="B2861" s="6" t="s">
        <v>123</v>
      </c>
      <c r="C2861" s="6" t="s">
        <v>415</v>
      </c>
      <c r="D2861" s="6" t="s">
        <v>124</v>
      </c>
      <c r="E2861" s="11">
        <v>23.993169784545898</v>
      </c>
      <c r="F2861" s="11">
        <v>8.4000215530395508</v>
      </c>
    </row>
    <row r="2862" spans="1:6" hidden="1" x14ac:dyDescent="0.3">
      <c r="A2862" s="6">
        <v>21</v>
      </c>
      <c r="B2862" s="6" t="s">
        <v>123</v>
      </c>
      <c r="C2862" s="6" t="s">
        <v>416</v>
      </c>
      <c r="D2862" s="6" t="s">
        <v>124</v>
      </c>
      <c r="E2862" s="11">
        <v>4.6967601776123047</v>
      </c>
      <c r="F2862" s="11">
        <v>8.4000215530395508</v>
      </c>
    </row>
    <row r="2863" spans="1:6" hidden="1" x14ac:dyDescent="0.3">
      <c r="A2863" s="6">
        <v>21</v>
      </c>
      <c r="B2863" s="6" t="s">
        <v>123</v>
      </c>
      <c r="C2863" s="6" t="s">
        <v>417</v>
      </c>
      <c r="D2863" s="6" t="s">
        <v>124</v>
      </c>
      <c r="E2863" s="11">
        <v>19.261238098144531</v>
      </c>
      <c r="F2863" s="11">
        <v>8.4000215530395508</v>
      </c>
    </row>
    <row r="2864" spans="1:6" hidden="1" x14ac:dyDescent="0.3">
      <c r="A2864" s="6">
        <v>21</v>
      </c>
      <c r="B2864" s="6" t="s">
        <v>123</v>
      </c>
      <c r="C2864" s="6" t="s">
        <v>418</v>
      </c>
      <c r="D2864" s="6" t="s">
        <v>124</v>
      </c>
      <c r="E2864" s="11">
        <v>161.68376159667969</v>
      </c>
      <c r="F2864" s="11">
        <v>8.4000215530395508</v>
      </c>
    </row>
    <row r="2865" spans="1:6" hidden="1" x14ac:dyDescent="0.3">
      <c r="A2865" s="6">
        <v>21</v>
      </c>
      <c r="B2865" s="6" t="s">
        <v>123</v>
      </c>
      <c r="C2865" s="6" t="s">
        <v>419</v>
      </c>
      <c r="D2865" s="6" t="s">
        <v>124</v>
      </c>
      <c r="E2865" s="11">
        <v>10.251618385314941</v>
      </c>
      <c r="F2865" s="11">
        <v>8.4000215530395508</v>
      </c>
    </row>
    <row r="2866" spans="1:6" hidden="1" x14ac:dyDescent="0.3">
      <c r="A2866" s="6">
        <v>21</v>
      </c>
      <c r="B2866" s="6" t="s">
        <v>123</v>
      </c>
      <c r="C2866" s="6" t="s">
        <v>420</v>
      </c>
      <c r="D2866" s="6" t="s">
        <v>124</v>
      </c>
      <c r="E2866" s="11">
        <v>3.5122132301330566</v>
      </c>
      <c r="F2866" s="11">
        <v>8.4000215530395508</v>
      </c>
    </row>
    <row r="2867" spans="1:6" hidden="1" x14ac:dyDescent="0.3">
      <c r="A2867" s="6">
        <v>21</v>
      </c>
      <c r="B2867" s="6" t="s">
        <v>123</v>
      </c>
      <c r="C2867" s="6" t="s">
        <v>421</v>
      </c>
      <c r="D2867" s="6" t="s">
        <v>124</v>
      </c>
      <c r="E2867" s="11">
        <v>7.5567417144775391</v>
      </c>
      <c r="F2867" s="11">
        <v>8.4000215530395508</v>
      </c>
    </row>
    <row r="2868" spans="1:6" hidden="1" x14ac:dyDescent="0.3">
      <c r="A2868" s="6">
        <v>21</v>
      </c>
      <c r="B2868" s="6" t="s">
        <v>123</v>
      </c>
      <c r="C2868" s="6" t="s">
        <v>422</v>
      </c>
      <c r="D2868" s="6" t="s">
        <v>124</v>
      </c>
      <c r="E2868" s="11">
        <v>4.3334412574768066</v>
      </c>
      <c r="F2868" s="11">
        <v>8.4000215530395508</v>
      </c>
    </row>
    <row r="2869" spans="1:6" hidden="1" x14ac:dyDescent="0.3">
      <c r="A2869" s="6">
        <v>21</v>
      </c>
      <c r="B2869" s="6" t="s">
        <v>123</v>
      </c>
      <c r="C2869" s="6" t="s">
        <v>423</v>
      </c>
      <c r="D2869" s="6" t="s">
        <v>124</v>
      </c>
      <c r="E2869" s="11">
        <v>6.2968077659606934</v>
      </c>
      <c r="F2869" s="11">
        <v>8.4000215530395508</v>
      </c>
    </row>
    <row r="2870" spans="1:6" hidden="1" x14ac:dyDescent="0.3">
      <c r="A2870" s="6">
        <v>21</v>
      </c>
      <c r="B2870" s="6" t="s">
        <v>123</v>
      </c>
      <c r="C2870" s="6" t="s">
        <v>424</v>
      </c>
      <c r="D2870" s="6" t="s">
        <v>124</v>
      </c>
      <c r="E2870" s="11">
        <v>10.76307487487793</v>
      </c>
      <c r="F2870" s="11">
        <v>8.4000215530395508</v>
      </c>
    </row>
    <row r="2871" spans="1:6" hidden="1" x14ac:dyDescent="0.3">
      <c r="A2871" s="6">
        <v>21</v>
      </c>
      <c r="B2871" s="6" t="s">
        <v>123</v>
      </c>
      <c r="C2871" s="6" t="s">
        <v>425</v>
      </c>
      <c r="D2871" s="6" t="s">
        <v>124</v>
      </c>
      <c r="E2871" s="11">
        <v>5.2264595031738281</v>
      </c>
      <c r="F2871" s="11">
        <v>8.4000215530395508</v>
      </c>
    </row>
    <row r="2872" spans="1:6" hidden="1" x14ac:dyDescent="0.3">
      <c r="A2872" s="6">
        <v>21</v>
      </c>
      <c r="B2872" s="6" t="s">
        <v>123</v>
      </c>
      <c r="C2872" s="6" t="s">
        <v>426</v>
      </c>
      <c r="D2872" s="6" t="s">
        <v>124</v>
      </c>
      <c r="E2872" s="11">
        <v>15.748708724975586</v>
      </c>
      <c r="F2872" s="11">
        <v>8.4000215530395508</v>
      </c>
    </row>
    <row r="2873" spans="1:6" hidden="1" x14ac:dyDescent="0.3">
      <c r="A2873" s="6">
        <v>21</v>
      </c>
      <c r="B2873" s="6" t="s">
        <v>123</v>
      </c>
      <c r="C2873" s="6" t="s">
        <v>427</v>
      </c>
      <c r="D2873" s="6" t="s">
        <v>124</v>
      </c>
      <c r="E2873" s="11">
        <v>9.9532318115234375</v>
      </c>
      <c r="F2873" s="11">
        <v>8.4000215530395508</v>
      </c>
    </row>
    <row r="2874" spans="1:6" hidden="1" x14ac:dyDescent="0.3">
      <c r="A2874" s="6">
        <v>21</v>
      </c>
      <c r="B2874" s="6" t="s">
        <v>123</v>
      </c>
      <c r="C2874" s="6" t="s">
        <v>428</v>
      </c>
      <c r="D2874" s="6" t="s">
        <v>124</v>
      </c>
      <c r="E2874" s="11"/>
      <c r="F2874" s="11">
        <v>8.4000215530395508</v>
      </c>
    </row>
    <row r="2875" spans="1:6" hidden="1" x14ac:dyDescent="0.3">
      <c r="A2875" s="6">
        <v>21</v>
      </c>
      <c r="B2875" s="6" t="s">
        <v>123</v>
      </c>
      <c r="C2875" s="6" t="s">
        <v>429</v>
      </c>
      <c r="D2875" s="6" t="s">
        <v>124</v>
      </c>
      <c r="E2875" s="11">
        <v>4.1478567123413086</v>
      </c>
      <c r="F2875" s="11">
        <v>8.4000215530395508</v>
      </c>
    </row>
    <row r="2876" spans="1:6" hidden="1" x14ac:dyDescent="0.3">
      <c r="A2876" s="6">
        <v>21</v>
      </c>
      <c r="B2876" s="6" t="s">
        <v>123</v>
      </c>
      <c r="C2876" s="6" t="s">
        <v>430</v>
      </c>
      <c r="D2876" s="6" t="s">
        <v>124</v>
      </c>
      <c r="E2876" s="11">
        <v>71.052665710449219</v>
      </c>
      <c r="F2876" s="11">
        <v>8.4000215530395508</v>
      </c>
    </row>
    <row r="2877" spans="1:6" hidden="1" x14ac:dyDescent="0.3">
      <c r="A2877" s="6">
        <v>21</v>
      </c>
      <c r="B2877" s="6" t="s">
        <v>123</v>
      </c>
      <c r="C2877" s="6" t="s">
        <v>431</v>
      </c>
      <c r="D2877" s="6" t="s">
        <v>124</v>
      </c>
      <c r="E2877" s="11">
        <v>8.754857063293457</v>
      </c>
      <c r="F2877" s="11">
        <v>8.4000215530395508</v>
      </c>
    </row>
    <row r="2878" spans="1:6" hidden="1" x14ac:dyDescent="0.3">
      <c r="A2878" s="6">
        <v>21</v>
      </c>
      <c r="B2878" s="6" t="s">
        <v>123</v>
      </c>
      <c r="C2878" s="6" t="s">
        <v>432</v>
      </c>
      <c r="D2878" s="6" t="s">
        <v>124</v>
      </c>
      <c r="E2878" s="11">
        <v>13.567214965820313</v>
      </c>
      <c r="F2878" s="11">
        <v>8.4000215530395508</v>
      </c>
    </row>
    <row r="2879" spans="1:6" hidden="1" x14ac:dyDescent="0.3">
      <c r="A2879" s="6">
        <v>21</v>
      </c>
      <c r="B2879" s="6" t="s">
        <v>123</v>
      </c>
      <c r="C2879" s="6" t="s">
        <v>433</v>
      </c>
      <c r="D2879" s="6" t="s">
        <v>124</v>
      </c>
      <c r="E2879" s="11">
        <v>78.493331909179688</v>
      </c>
      <c r="F2879" s="11">
        <v>8.4000215530395508</v>
      </c>
    </row>
    <row r="2880" spans="1:6" hidden="1" x14ac:dyDescent="0.3">
      <c r="A2880" s="6">
        <v>21</v>
      </c>
      <c r="B2880" s="6" t="s">
        <v>123</v>
      </c>
      <c r="C2880" s="6" t="s">
        <v>434</v>
      </c>
      <c r="D2880" s="6" t="s">
        <v>124</v>
      </c>
      <c r="E2880" s="11">
        <v>37.600078582763672</v>
      </c>
      <c r="F2880" s="11">
        <v>8.4000215530395508</v>
      </c>
    </row>
    <row r="2881" spans="1:6" hidden="1" x14ac:dyDescent="0.3">
      <c r="A2881" s="6">
        <v>21</v>
      </c>
      <c r="B2881" s="6" t="s">
        <v>123</v>
      </c>
      <c r="C2881" s="6" t="s">
        <v>435</v>
      </c>
      <c r="D2881" s="6" t="s">
        <v>124</v>
      </c>
      <c r="E2881" s="11">
        <v>13.367038726806641</v>
      </c>
      <c r="F2881" s="11">
        <v>8.4000215530395508</v>
      </c>
    </row>
    <row r="2882" spans="1:6" hidden="1" x14ac:dyDescent="0.3">
      <c r="A2882" s="6">
        <v>21</v>
      </c>
      <c r="B2882" s="6" t="s">
        <v>123</v>
      </c>
      <c r="C2882" s="6" t="s">
        <v>436</v>
      </c>
      <c r="D2882" s="6" t="s">
        <v>124</v>
      </c>
      <c r="E2882" s="11">
        <v>7.3561420440673828</v>
      </c>
      <c r="F2882" s="11">
        <v>8.4000215530395508</v>
      </c>
    </row>
    <row r="2883" spans="1:6" hidden="1" x14ac:dyDescent="0.3">
      <c r="A2883" s="6">
        <v>21</v>
      </c>
      <c r="B2883" s="6" t="s">
        <v>123</v>
      </c>
      <c r="C2883" s="6" t="s">
        <v>437</v>
      </c>
      <c r="D2883" s="6" t="s">
        <v>124</v>
      </c>
      <c r="E2883" s="11">
        <v>31.757040023803711</v>
      </c>
      <c r="F2883" s="11">
        <v>8.4000215530395508</v>
      </c>
    </row>
    <row r="2884" spans="1:6" hidden="1" x14ac:dyDescent="0.3">
      <c r="A2884" s="6">
        <v>21</v>
      </c>
      <c r="B2884" s="6" t="s">
        <v>123</v>
      </c>
      <c r="C2884" s="6" t="s">
        <v>438</v>
      </c>
      <c r="D2884" s="6" t="s">
        <v>124</v>
      </c>
      <c r="E2884" s="11">
        <v>26.809635162353516</v>
      </c>
      <c r="F2884" s="11">
        <v>8.4000215530395508</v>
      </c>
    </row>
    <row r="2885" spans="1:6" hidden="1" x14ac:dyDescent="0.3">
      <c r="A2885" s="6">
        <v>21</v>
      </c>
      <c r="B2885" s="6" t="s">
        <v>123</v>
      </c>
      <c r="C2885" s="6" t="s">
        <v>439</v>
      </c>
      <c r="D2885" s="6" t="s">
        <v>124</v>
      </c>
      <c r="E2885" s="11">
        <v>28.261589050292969</v>
      </c>
      <c r="F2885" s="11">
        <v>8.4000215530395508</v>
      </c>
    </row>
    <row r="2886" spans="1:6" hidden="1" x14ac:dyDescent="0.3">
      <c r="A2886" s="6">
        <v>21</v>
      </c>
      <c r="B2886" s="6" t="s">
        <v>123</v>
      </c>
      <c r="C2886" s="6" t="s">
        <v>440</v>
      </c>
      <c r="D2886" s="6" t="s">
        <v>124</v>
      </c>
      <c r="E2886" s="11">
        <v>8.3409662246704102</v>
      </c>
      <c r="F2886" s="11">
        <v>8.4000215530395508</v>
      </c>
    </row>
    <row r="2887" spans="1:6" hidden="1" x14ac:dyDescent="0.3">
      <c r="A2887" s="6">
        <v>21</v>
      </c>
      <c r="B2887" s="6" t="s">
        <v>123</v>
      </c>
      <c r="C2887" s="6" t="s">
        <v>441</v>
      </c>
      <c r="D2887" s="6" t="s">
        <v>124</v>
      </c>
      <c r="E2887" s="11">
        <v>15.790056228637695</v>
      </c>
      <c r="F2887" s="11">
        <v>8.4000215530395508</v>
      </c>
    </row>
    <row r="2888" spans="1:6" hidden="1" x14ac:dyDescent="0.3">
      <c r="A2888" s="6">
        <v>21</v>
      </c>
      <c r="B2888" s="6" t="s">
        <v>123</v>
      </c>
      <c r="C2888" s="6" t="s">
        <v>442</v>
      </c>
      <c r="D2888" s="6" t="s">
        <v>124</v>
      </c>
      <c r="E2888" s="11">
        <v>30.27296257019043</v>
      </c>
      <c r="F2888" s="11">
        <v>8.4000215530395508</v>
      </c>
    </row>
    <row r="2889" spans="1:6" hidden="1" x14ac:dyDescent="0.3">
      <c r="A2889" s="6">
        <v>21</v>
      </c>
      <c r="B2889" s="6" t="s">
        <v>123</v>
      </c>
      <c r="C2889" s="6" t="s">
        <v>443</v>
      </c>
      <c r="D2889" s="6" t="s">
        <v>124</v>
      </c>
      <c r="E2889" s="11">
        <v>4.9241738319396973</v>
      </c>
      <c r="F2889" s="11">
        <v>8.4000215530395508</v>
      </c>
    </row>
    <row r="2890" spans="1:6" hidden="1" x14ac:dyDescent="0.3">
      <c r="A2890" s="6">
        <v>21</v>
      </c>
      <c r="B2890" s="6" t="s">
        <v>123</v>
      </c>
      <c r="C2890" s="6" t="s">
        <v>444</v>
      </c>
      <c r="D2890" s="6" t="s">
        <v>124</v>
      </c>
      <c r="E2890" s="11">
        <v>5.3371038436889648</v>
      </c>
      <c r="F2890" s="11">
        <v>8.4000215530395508</v>
      </c>
    </row>
    <row r="2891" spans="1:6" hidden="1" x14ac:dyDescent="0.3">
      <c r="A2891" s="6">
        <v>21</v>
      </c>
      <c r="B2891" s="6" t="s">
        <v>123</v>
      </c>
      <c r="C2891" s="6" t="s">
        <v>445</v>
      </c>
      <c r="D2891" s="6" t="s">
        <v>124</v>
      </c>
      <c r="E2891" s="11">
        <v>5.3566908836364746</v>
      </c>
      <c r="F2891" s="11">
        <v>8.4000215530395508</v>
      </c>
    </row>
    <row r="2892" spans="1:6" hidden="1" x14ac:dyDescent="0.3">
      <c r="A2892" s="6">
        <v>21</v>
      </c>
      <c r="B2892" s="6" t="s">
        <v>123</v>
      </c>
      <c r="C2892" s="6" t="s">
        <v>446</v>
      </c>
      <c r="D2892" s="6" t="s">
        <v>124</v>
      </c>
      <c r="E2892" s="11">
        <v>7.1643624305725098</v>
      </c>
      <c r="F2892" s="11">
        <v>8.4000215530395508</v>
      </c>
    </row>
    <row r="2893" spans="1:6" hidden="1" x14ac:dyDescent="0.3">
      <c r="A2893" s="6">
        <v>21</v>
      </c>
      <c r="B2893" s="6" t="s">
        <v>123</v>
      </c>
      <c r="C2893" s="6" t="s">
        <v>447</v>
      </c>
      <c r="D2893" s="6" t="s">
        <v>124</v>
      </c>
      <c r="E2893" s="11">
        <v>12.303718566894531</v>
      </c>
      <c r="F2893" s="11">
        <v>8.4000215530395508</v>
      </c>
    </row>
    <row r="2894" spans="1:6" hidden="1" x14ac:dyDescent="0.3">
      <c r="A2894" s="6">
        <v>21</v>
      </c>
      <c r="B2894" s="6" t="s">
        <v>123</v>
      </c>
      <c r="C2894" s="6" t="s">
        <v>448</v>
      </c>
      <c r="D2894" s="6" t="s">
        <v>124</v>
      </c>
      <c r="E2894" s="11">
        <v>15.495742797851563</v>
      </c>
      <c r="F2894" s="11">
        <v>8.4000215530395508</v>
      </c>
    </row>
    <row r="2895" spans="1:6" hidden="1" x14ac:dyDescent="0.3">
      <c r="A2895" s="6">
        <v>21</v>
      </c>
      <c r="B2895" s="6" t="s">
        <v>123</v>
      </c>
      <c r="C2895" s="6" t="s">
        <v>449</v>
      </c>
      <c r="D2895" s="6" t="s">
        <v>124</v>
      </c>
      <c r="E2895" s="11">
        <v>22.923576354980469</v>
      </c>
      <c r="F2895" s="11">
        <v>8.4000215530395508</v>
      </c>
    </row>
    <row r="2896" spans="1:6" hidden="1" x14ac:dyDescent="0.3">
      <c r="A2896" s="6">
        <v>21</v>
      </c>
      <c r="B2896" s="6" t="s">
        <v>123</v>
      </c>
      <c r="C2896" s="6" t="s">
        <v>450</v>
      </c>
      <c r="D2896" s="6" t="s">
        <v>124</v>
      </c>
      <c r="E2896" s="11">
        <v>3.9825258255004883</v>
      </c>
      <c r="F2896" s="11">
        <v>8.4000215530395508</v>
      </c>
    </row>
    <row r="2897" spans="1:6" hidden="1" x14ac:dyDescent="0.3">
      <c r="A2897" s="6">
        <v>21</v>
      </c>
      <c r="B2897" s="6" t="s">
        <v>123</v>
      </c>
      <c r="C2897" s="6" t="s">
        <v>451</v>
      </c>
      <c r="D2897" s="6" t="s">
        <v>124</v>
      </c>
      <c r="E2897" s="11">
        <v>6.855588436126709</v>
      </c>
      <c r="F2897" s="11">
        <v>8.4000215530395508</v>
      </c>
    </row>
    <row r="2898" spans="1:6" hidden="1" x14ac:dyDescent="0.3">
      <c r="A2898" s="6">
        <v>21</v>
      </c>
      <c r="B2898" s="6" t="s">
        <v>123</v>
      </c>
      <c r="C2898" s="6" t="s">
        <v>452</v>
      </c>
      <c r="D2898" s="6" t="s">
        <v>124</v>
      </c>
      <c r="E2898" s="11">
        <v>3.6429386138916016</v>
      </c>
      <c r="F2898" s="11">
        <v>8.4000215530395508</v>
      </c>
    </row>
    <row r="2899" spans="1:6" hidden="1" x14ac:dyDescent="0.3">
      <c r="A2899" s="6">
        <v>21</v>
      </c>
      <c r="B2899" s="6" t="s">
        <v>123</v>
      </c>
      <c r="C2899" s="6" t="s">
        <v>453</v>
      </c>
      <c r="D2899" s="6" t="s">
        <v>124</v>
      </c>
      <c r="E2899" s="11">
        <v>8.5670881271362305</v>
      </c>
      <c r="F2899" s="11">
        <v>8.4000215530395508</v>
      </c>
    </row>
    <row r="2900" spans="1:6" hidden="1" x14ac:dyDescent="0.3">
      <c r="A2900" s="6">
        <v>21</v>
      </c>
      <c r="B2900" s="6" t="s">
        <v>123</v>
      </c>
      <c r="C2900" s="6" t="s">
        <v>454</v>
      </c>
      <c r="D2900" s="6" t="s">
        <v>124</v>
      </c>
      <c r="E2900" s="11">
        <v>33.580245971679688</v>
      </c>
      <c r="F2900" s="11">
        <v>8.4000215530395508</v>
      </c>
    </row>
    <row r="2901" spans="1:6" hidden="1" x14ac:dyDescent="0.3">
      <c r="A2901" s="6">
        <v>21</v>
      </c>
      <c r="B2901" s="6" t="s">
        <v>123</v>
      </c>
      <c r="C2901" s="6" t="s">
        <v>455</v>
      </c>
      <c r="D2901" s="6" t="s">
        <v>124</v>
      </c>
      <c r="E2901" s="11">
        <v>9.5825386047363281</v>
      </c>
      <c r="F2901" s="11">
        <v>8.4000215530395508</v>
      </c>
    </row>
    <row r="2902" spans="1:6" hidden="1" x14ac:dyDescent="0.3">
      <c r="A2902" s="6">
        <v>21</v>
      </c>
      <c r="B2902" s="6" t="s">
        <v>123</v>
      </c>
      <c r="C2902" s="6" t="s">
        <v>456</v>
      </c>
      <c r="D2902" s="6" t="s">
        <v>124</v>
      </c>
      <c r="E2902" s="11">
        <v>10.353359222412109</v>
      </c>
      <c r="F2902" s="11">
        <v>8.4000215530395508</v>
      </c>
    </row>
    <row r="2903" spans="1:6" hidden="1" x14ac:dyDescent="0.3">
      <c r="A2903" s="6">
        <v>21</v>
      </c>
      <c r="B2903" s="6" t="s">
        <v>123</v>
      </c>
      <c r="C2903" s="6" t="s">
        <v>457</v>
      </c>
      <c r="D2903" s="6" t="s">
        <v>124</v>
      </c>
      <c r="E2903" s="11">
        <v>6.4518613815307617</v>
      </c>
      <c r="F2903" s="11">
        <v>8.4000215530395508</v>
      </c>
    </row>
    <row r="2904" spans="1:6" hidden="1" x14ac:dyDescent="0.3">
      <c r="A2904" s="6">
        <v>21</v>
      </c>
      <c r="B2904" s="6" t="s">
        <v>123</v>
      </c>
      <c r="C2904" s="6" t="s">
        <v>458</v>
      </c>
      <c r="D2904" s="6" t="s">
        <v>124</v>
      </c>
      <c r="E2904" s="11">
        <v>3.4864013195037842</v>
      </c>
      <c r="F2904" s="11">
        <v>8.4000215530395508</v>
      </c>
    </row>
    <row r="2905" spans="1:6" hidden="1" x14ac:dyDescent="0.3">
      <c r="A2905" s="6">
        <v>21</v>
      </c>
      <c r="B2905" s="6" t="s">
        <v>123</v>
      </c>
      <c r="C2905" s="6" t="s">
        <v>459</v>
      </c>
      <c r="D2905" s="6" t="s">
        <v>124</v>
      </c>
      <c r="E2905" s="11">
        <v>8.7793178558349609</v>
      </c>
      <c r="F2905" s="11">
        <v>8.4000215530395508</v>
      </c>
    </row>
    <row r="2906" spans="1:6" hidden="1" x14ac:dyDescent="0.3">
      <c r="A2906" s="6">
        <v>21</v>
      </c>
      <c r="B2906" s="6" t="s">
        <v>123</v>
      </c>
      <c r="C2906" s="6" t="s">
        <v>460</v>
      </c>
      <c r="D2906" s="6" t="s">
        <v>124</v>
      </c>
      <c r="E2906" s="11">
        <v>6.5500836372375488</v>
      </c>
      <c r="F2906" s="11">
        <v>8.4000215530395508</v>
      </c>
    </row>
    <row r="2907" spans="1:6" hidden="1" x14ac:dyDescent="0.3">
      <c r="A2907" s="6">
        <v>21</v>
      </c>
      <c r="B2907" s="6" t="s">
        <v>123</v>
      </c>
      <c r="C2907" s="6" t="s">
        <v>461</v>
      </c>
      <c r="D2907" s="6" t="s">
        <v>124</v>
      </c>
      <c r="E2907" s="11">
        <v>10.074814796447754</v>
      </c>
      <c r="F2907" s="11">
        <v>8.4000215530395508</v>
      </c>
    </row>
    <row r="2908" spans="1:6" hidden="1" x14ac:dyDescent="0.3">
      <c r="A2908" s="6">
        <v>21</v>
      </c>
      <c r="B2908" s="6" t="s">
        <v>123</v>
      </c>
      <c r="C2908" s="6" t="s">
        <v>462</v>
      </c>
      <c r="D2908" s="6" t="s">
        <v>124</v>
      </c>
      <c r="E2908" s="11">
        <v>3.1301932334899902</v>
      </c>
      <c r="F2908" s="11">
        <v>8.4000215530395508</v>
      </c>
    </row>
    <row r="2909" spans="1:6" hidden="1" x14ac:dyDescent="0.3">
      <c r="A2909" s="6">
        <v>21</v>
      </c>
      <c r="B2909" s="6" t="s">
        <v>123</v>
      </c>
      <c r="C2909" s="6" t="s">
        <v>463</v>
      </c>
      <c r="D2909" s="6" t="s">
        <v>124</v>
      </c>
      <c r="E2909" s="11">
        <v>11.507678031921387</v>
      </c>
      <c r="F2909" s="11">
        <v>8.4000215530395508</v>
      </c>
    </row>
    <row r="2910" spans="1:6" hidden="1" x14ac:dyDescent="0.3">
      <c r="A2910" s="6">
        <v>21</v>
      </c>
      <c r="B2910" s="6" t="s">
        <v>123</v>
      </c>
      <c r="C2910" s="6" t="s">
        <v>464</v>
      </c>
      <c r="D2910" s="6" t="s">
        <v>124</v>
      </c>
      <c r="E2910" s="11">
        <v>5.8928318023681641</v>
      </c>
      <c r="F2910" s="11">
        <v>8.4000215530395508</v>
      </c>
    </row>
    <row r="2911" spans="1:6" hidden="1" x14ac:dyDescent="0.3">
      <c r="A2911" s="6">
        <v>21</v>
      </c>
      <c r="B2911" s="6" t="s">
        <v>123</v>
      </c>
      <c r="C2911" s="6" t="s">
        <v>465</v>
      </c>
      <c r="D2911" s="6" t="s">
        <v>124</v>
      </c>
      <c r="E2911" s="11">
        <v>14.788042068481445</v>
      </c>
      <c r="F2911" s="11">
        <v>8.4000215530395508</v>
      </c>
    </row>
    <row r="2912" spans="1:6" hidden="1" x14ac:dyDescent="0.3">
      <c r="A2912" s="6">
        <v>21</v>
      </c>
      <c r="B2912" s="6" t="s">
        <v>123</v>
      </c>
      <c r="C2912" s="6" t="s">
        <v>466</v>
      </c>
      <c r="D2912" s="6" t="s">
        <v>124</v>
      </c>
      <c r="E2912" s="11">
        <v>3.5177090167999268</v>
      </c>
      <c r="F2912" s="11">
        <v>8.4000215530395508</v>
      </c>
    </row>
    <row r="2913" spans="1:6" hidden="1" x14ac:dyDescent="0.3">
      <c r="A2913" s="6">
        <v>21</v>
      </c>
      <c r="B2913" s="6" t="s">
        <v>123</v>
      </c>
      <c r="C2913" s="6" t="s">
        <v>467</v>
      </c>
      <c r="D2913" s="6" t="s">
        <v>124</v>
      </c>
      <c r="E2913" s="11">
        <v>9.4389266967773438</v>
      </c>
      <c r="F2913" s="11">
        <v>8.4000215530395508</v>
      </c>
    </row>
    <row r="2914" spans="1:6" hidden="1" x14ac:dyDescent="0.3">
      <c r="A2914" s="6">
        <v>21</v>
      </c>
      <c r="B2914" s="6" t="s">
        <v>123</v>
      </c>
      <c r="C2914" s="6" t="s">
        <v>468</v>
      </c>
      <c r="D2914" s="6" t="s">
        <v>124</v>
      </c>
      <c r="E2914" s="11">
        <v>11.384495735168457</v>
      </c>
      <c r="F2914" s="11">
        <v>8.4000215530395508</v>
      </c>
    </row>
    <row r="2915" spans="1:6" hidden="1" x14ac:dyDescent="0.3">
      <c r="A2915" s="6">
        <v>21</v>
      </c>
      <c r="B2915" s="6" t="s">
        <v>123</v>
      </c>
      <c r="C2915" s="6" t="s">
        <v>469</v>
      </c>
      <c r="D2915" s="6" t="s">
        <v>124</v>
      </c>
      <c r="E2915" s="11">
        <v>6.9586758613586426</v>
      </c>
      <c r="F2915" s="11">
        <v>8.4000215530395508</v>
      </c>
    </row>
    <row r="2916" spans="1:6" hidden="1" x14ac:dyDescent="0.3">
      <c r="A2916" s="6">
        <v>21</v>
      </c>
      <c r="B2916" s="6" t="s">
        <v>123</v>
      </c>
      <c r="C2916" s="6" t="s">
        <v>470</v>
      </c>
      <c r="D2916" s="6" t="s">
        <v>124</v>
      </c>
      <c r="E2916" s="11">
        <v>14.354373931884766</v>
      </c>
      <c r="F2916" s="11">
        <v>8.4000215530395508</v>
      </c>
    </row>
    <row r="2917" spans="1:6" hidden="1" x14ac:dyDescent="0.3">
      <c r="A2917" s="6">
        <v>21</v>
      </c>
      <c r="B2917" s="6" t="s">
        <v>123</v>
      </c>
      <c r="C2917" s="6" t="s">
        <v>471</v>
      </c>
      <c r="D2917" s="6" t="s">
        <v>124</v>
      </c>
      <c r="E2917" s="11">
        <v>6.1349925994873047</v>
      </c>
      <c r="F2917" s="11">
        <v>8.4000215530395508</v>
      </c>
    </row>
    <row r="2918" spans="1:6" hidden="1" x14ac:dyDescent="0.3">
      <c r="A2918" s="6">
        <v>21</v>
      </c>
      <c r="B2918" s="6" t="s">
        <v>123</v>
      </c>
      <c r="C2918" s="6" t="s">
        <v>472</v>
      </c>
      <c r="D2918" s="6" t="s">
        <v>124</v>
      </c>
      <c r="E2918" s="11">
        <v>4.7723960876464844</v>
      </c>
      <c r="F2918" s="11">
        <v>8.4000215530395508</v>
      </c>
    </row>
    <row r="2919" spans="1:6" hidden="1" x14ac:dyDescent="0.3">
      <c r="A2919" s="6">
        <v>21</v>
      </c>
      <c r="B2919" s="6" t="s">
        <v>123</v>
      </c>
      <c r="C2919" s="6" t="s">
        <v>473</v>
      </c>
      <c r="D2919" s="6" t="s">
        <v>124</v>
      </c>
      <c r="E2919" s="11">
        <v>15.749844551086426</v>
      </c>
      <c r="F2919" s="11">
        <v>8.4000215530395508</v>
      </c>
    </row>
    <row r="2920" spans="1:6" hidden="1" x14ac:dyDescent="0.3">
      <c r="A2920" s="6">
        <v>21</v>
      </c>
      <c r="B2920" s="6" t="s">
        <v>123</v>
      </c>
      <c r="C2920" s="6" t="s">
        <v>474</v>
      </c>
      <c r="D2920" s="6" t="s">
        <v>124</v>
      </c>
      <c r="E2920" s="11">
        <v>9.9936304092407227</v>
      </c>
      <c r="F2920" s="11">
        <v>8.4000215530395508</v>
      </c>
    </row>
    <row r="2921" spans="1:6" hidden="1" x14ac:dyDescent="0.3">
      <c r="A2921" s="6">
        <v>21</v>
      </c>
      <c r="B2921" s="6" t="s">
        <v>123</v>
      </c>
      <c r="C2921" s="6" t="s">
        <v>475</v>
      </c>
      <c r="D2921" s="6" t="s">
        <v>124</v>
      </c>
      <c r="E2921" s="11">
        <v>5.1309537887573242</v>
      </c>
      <c r="F2921" s="11">
        <v>8.4000215530395508</v>
      </c>
    </row>
    <row r="2922" spans="1:6" hidden="1" x14ac:dyDescent="0.3">
      <c r="A2922" s="6">
        <v>21</v>
      </c>
      <c r="B2922" s="6" t="s">
        <v>123</v>
      </c>
      <c r="C2922" s="6" t="s">
        <v>476</v>
      </c>
      <c r="D2922" s="6" t="s">
        <v>124</v>
      </c>
      <c r="E2922" s="11">
        <v>16.693069458007813</v>
      </c>
      <c r="F2922" s="11">
        <v>8.4000215530395508</v>
      </c>
    </row>
    <row r="2923" spans="1:6" hidden="1" x14ac:dyDescent="0.3">
      <c r="A2923" s="6">
        <v>21</v>
      </c>
      <c r="B2923" s="6" t="s">
        <v>123</v>
      </c>
      <c r="C2923" s="6" t="s">
        <v>477</v>
      </c>
      <c r="D2923" s="6" t="s">
        <v>124</v>
      </c>
      <c r="E2923" s="11">
        <v>11.440449714660645</v>
      </c>
      <c r="F2923" s="11">
        <v>8.4000215530395508</v>
      </c>
    </row>
    <row r="2924" spans="1:6" hidden="1" x14ac:dyDescent="0.3">
      <c r="A2924" s="6">
        <v>21</v>
      </c>
      <c r="B2924" s="6" t="s">
        <v>123</v>
      </c>
      <c r="C2924" s="6" t="s">
        <v>478</v>
      </c>
      <c r="D2924" s="6" t="s">
        <v>124</v>
      </c>
      <c r="E2924" s="11">
        <v>7.9659538269042969</v>
      </c>
      <c r="F2924" s="11">
        <v>8.4000215530395508</v>
      </c>
    </row>
    <row r="2925" spans="1:6" hidden="1" x14ac:dyDescent="0.3">
      <c r="A2925" s="6">
        <v>21</v>
      </c>
      <c r="B2925" s="6" t="s">
        <v>123</v>
      </c>
      <c r="C2925" s="6" t="s">
        <v>479</v>
      </c>
      <c r="D2925" s="6" t="s">
        <v>124</v>
      </c>
      <c r="E2925" s="11">
        <v>12.629985809326172</v>
      </c>
      <c r="F2925" s="11">
        <v>8.4000215530395508</v>
      </c>
    </row>
    <row r="2926" spans="1:6" hidden="1" x14ac:dyDescent="0.3">
      <c r="A2926" s="6">
        <v>21</v>
      </c>
      <c r="B2926" s="6" t="s">
        <v>123</v>
      </c>
      <c r="C2926" s="6" t="s">
        <v>480</v>
      </c>
      <c r="D2926" s="6" t="s">
        <v>124</v>
      </c>
      <c r="E2926" s="11">
        <v>5.4764118194580078</v>
      </c>
      <c r="F2926" s="11">
        <v>8.4000215530395508</v>
      </c>
    </row>
    <row r="2927" spans="1:6" hidden="1" x14ac:dyDescent="0.3">
      <c r="A2927" s="6">
        <v>21</v>
      </c>
      <c r="B2927" s="6" t="s">
        <v>123</v>
      </c>
      <c r="C2927" s="6" t="s">
        <v>481</v>
      </c>
      <c r="D2927" s="6" t="s">
        <v>124</v>
      </c>
      <c r="E2927" s="11">
        <v>6.4919042587280273</v>
      </c>
      <c r="F2927" s="11">
        <v>8.4000215530395508</v>
      </c>
    </row>
    <row r="2928" spans="1:6" hidden="1" x14ac:dyDescent="0.3">
      <c r="A2928" s="6">
        <v>21</v>
      </c>
      <c r="B2928" s="6" t="s">
        <v>123</v>
      </c>
      <c r="C2928" s="6" t="s">
        <v>482</v>
      </c>
      <c r="D2928" s="6" t="s">
        <v>124</v>
      </c>
      <c r="E2928" s="11">
        <v>7.7098402976989746</v>
      </c>
      <c r="F2928" s="11">
        <v>8.4000215530395508</v>
      </c>
    </row>
    <row r="2929" spans="1:6" hidden="1" x14ac:dyDescent="0.3">
      <c r="A2929" s="6">
        <v>21</v>
      </c>
      <c r="B2929" s="6" t="s">
        <v>123</v>
      </c>
      <c r="C2929" s="6" t="s">
        <v>483</v>
      </c>
      <c r="D2929" s="6" t="s">
        <v>124</v>
      </c>
      <c r="E2929" s="11">
        <v>10.094903945922852</v>
      </c>
      <c r="F2929" s="11">
        <v>8.4000215530395508</v>
      </c>
    </row>
    <row r="2930" spans="1:6" hidden="1" x14ac:dyDescent="0.3">
      <c r="A2930" s="6">
        <v>21</v>
      </c>
      <c r="B2930" s="6" t="s">
        <v>123</v>
      </c>
      <c r="C2930" s="6" t="s">
        <v>484</v>
      </c>
      <c r="D2930" s="6" t="s">
        <v>124</v>
      </c>
      <c r="E2930" s="11">
        <v>25.018705368041992</v>
      </c>
      <c r="F2930" s="11">
        <v>8.4000215530395508</v>
      </c>
    </row>
    <row r="2931" spans="1:6" hidden="1" x14ac:dyDescent="0.3">
      <c r="A2931" s="6">
        <v>21</v>
      </c>
      <c r="B2931" s="6" t="s">
        <v>123</v>
      </c>
      <c r="C2931" s="6" t="s">
        <v>485</v>
      </c>
      <c r="D2931" s="6" t="s">
        <v>124</v>
      </c>
      <c r="E2931" s="11">
        <v>18.472278594970703</v>
      </c>
      <c r="F2931" s="11">
        <v>8.4000215530395508</v>
      </c>
    </row>
    <row r="2932" spans="1:6" hidden="1" x14ac:dyDescent="0.3">
      <c r="A2932" s="6">
        <v>21</v>
      </c>
      <c r="B2932" s="6" t="s">
        <v>123</v>
      </c>
      <c r="C2932" s="6" t="s">
        <v>486</v>
      </c>
      <c r="D2932" s="6" t="s">
        <v>124</v>
      </c>
      <c r="E2932" s="11">
        <v>5.2278475761413574</v>
      </c>
      <c r="F2932" s="11">
        <v>8.4000215530395508</v>
      </c>
    </row>
    <row r="2933" spans="1:6" hidden="1" x14ac:dyDescent="0.3">
      <c r="A2933" s="6">
        <v>21</v>
      </c>
      <c r="B2933" s="6" t="s">
        <v>123</v>
      </c>
      <c r="C2933" s="6" t="s">
        <v>487</v>
      </c>
      <c r="D2933" s="6" t="s">
        <v>124</v>
      </c>
      <c r="E2933" s="11">
        <v>10.723909378051758</v>
      </c>
      <c r="F2933" s="11">
        <v>8.4000215530395508</v>
      </c>
    </row>
    <row r="2934" spans="1:6" hidden="1" x14ac:dyDescent="0.3">
      <c r="A2934" s="6">
        <v>21</v>
      </c>
      <c r="B2934" s="6" t="s">
        <v>123</v>
      </c>
      <c r="C2934" s="6" t="s">
        <v>488</v>
      </c>
      <c r="D2934" s="6" t="s">
        <v>124</v>
      </c>
      <c r="E2934" s="11">
        <v>4.0977187156677246</v>
      </c>
      <c r="F2934" s="11">
        <v>8.4000215530395508</v>
      </c>
    </row>
    <row r="2935" spans="1:6" hidden="1" x14ac:dyDescent="0.3">
      <c r="A2935" s="6">
        <v>21</v>
      </c>
      <c r="B2935" s="6" t="s">
        <v>123</v>
      </c>
      <c r="C2935" s="6" t="s">
        <v>489</v>
      </c>
      <c r="D2935" s="6" t="s">
        <v>124</v>
      </c>
      <c r="E2935" s="11">
        <v>10.805781364440918</v>
      </c>
      <c r="F2935" s="11">
        <v>8.4000215530395508</v>
      </c>
    </row>
    <row r="2936" spans="1:6" hidden="1" x14ac:dyDescent="0.3">
      <c r="A2936" s="6">
        <v>21</v>
      </c>
      <c r="B2936" s="6" t="s">
        <v>123</v>
      </c>
      <c r="C2936" s="6" t="s">
        <v>490</v>
      </c>
      <c r="D2936" s="6" t="s">
        <v>124</v>
      </c>
      <c r="E2936" s="11">
        <v>8.2860250473022461</v>
      </c>
      <c r="F2936" s="11">
        <v>8.4000215530395508</v>
      </c>
    </row>
    <row r="2937" spans="1:6" hidden="1" x14ac:dyDescent="0.3">
      <c r="A2937" s="6">
        <v>21</v>
      </c>
      <c r="B2937" s="6" t="s">
        <v>123</v>
      </c>
      <c r="C2937" s="6" t="s">
        <v>491</v>
      </c>
      <c r="D2937" s="6" t="s">
        <v>124</v>
      </c>
      <c r="E2937" s="11">
        <v>6.5716114044189453</v>
      </c>
      <c r="F2937" s="11">
        <v>8.4000215530395508</v>
      </c>
    </row>
    <row r="2938" spans="1:6" hidden="1" x14ac:dyDescent="0.3">
      <c r="A2938" s="6">
        <v>21</v>
      </c>
      <c r="B2938" s="6" t="s">
        <v>123</v>
      </c>
      <c r="C2938" s="6" t="s">
        <v>492</v>
      </c>
      <c r="D2938" s="6" t="s">
        <v>124</v>
      </c>
      <c r="E2938" s="11">
        <v>10.713516235351563</v>
      </c>
      <c r="F2938" s="11">
        <v>8.4000215530395508</v>
      </c>
    </row>
    <row r="2939" spans="1:6" hidden="1" x14ac:dyDescent="0.3">
      <c r="A2939" s="6">
        <v>21</v>
      </c>
      <c r="B2939" s="6" t="s">
        <v>123</v>
      </c>
      <c r="C2939" s="6" t="s">
        <v>493</v>
      </c>
      <c r="D2939" s="6" t="s">
        <v>124</v>
      </c>
      <c r="E2939" s="11">
        <v>8.9177017211914063</v>
      </c>
      <c r="F2939" s="11">
        <v>8.4000215530395508</v>
      </c>
    </row>
    <row r="2940" spans="1:6" hidden="1" x14ac:dyDescent="0.3">
      <c r="A2940" s="6">
        <v>21</v>
      </c>
      <c r="B2940" s="6" t="s">
        <v>123</v>
      </c>
      <c r="C2940" s="6" t="s">
        <v>494</v>
      </c>
      <c r="D2940" s="6" t="s">
        <v>124</v>
      </c>
      <c r="E2940" s="11">
        <v>6.4032340049743652</v>
      </c>
      <c r="F2940" s="11">
        <v>8.4000215530395508</v>
      </c>
    </row>
    <row r="2941" spans="1:6" hidden="1" x14ac:dyDescent="0.3">
      <c r="A2941" s="6">
        <v>21</v>
      </c>
      <c r="B2941" s="6" t="s">
        <v>123</v>
      </c>
      <c r="C2941" s="6" t="s">
        <v>495</v>
      </c>
      <c r="D2941" s="6" t="s">
        <v>124</v>
      </c>
      <c r="E2941" s="11">
        <v>4.3584165573120117</v>
      </c>
      <c r="F2941" s="11">
        <v>8.4000215530395508</v>
      </c>
    </row>
    <row r="2942" spans="1:6" hidden="1" x14ac:dyDescent="0.3">
      <c r="A2942" s="6">
        <v>22</v>
      </c>
      <c r="B2942" s="6" t="s">
        <v>125</v>
      </c>
      <c r="C2942" s="6" t="s">
        <v>356</v>
      </c>
      <c r="D2942" s="6" t="s">
        <v>126</v>
      </c>
      <c r="E2942" s="11">
        <v>4.4029865264892578</v>
      </c>
      <c r="F2942" s="11">
        <v>6.9823474884033203</v>
      </c>
    </row>
    <row r="2943" spans="1:6" hidden="1" x14ac:dyDescent="0.3">
      <c r="A2943" s="6">
        <v>22</v>
      </c>
      <c r="B2943" s="6" t="s">
        <v>125</v>
      </c>
      <c r="C2943" s="6" t="s">
        <v>357</v>
      </c>
      <c r="D2943" s="6" t="s">
        <v>126</v>
      </c>
      <c r="E2943" s="11">
        <v>8.8130855560302734</v>
      </c>
      <c r="F2943" s="11">
        <v>6.9823474884033203</v>
      </c>
    </row>
    <row r="2944" spans="1:6" hidden="1" x14ac:dyDescent="0.3">
      <c r="A2944" s="6">
        <v>22</v>
      </c>
      <c r="B2944" s="6" t="s">
        <v>125</v>
      </c>
      <c r="C2944" s="6" t="s">
        <v>358</v>
      </c>
      <c r="D2944" s="6" t="s">
        <v>126</v>
      </c>
      <c r="E2944" s="11">
        <v>9.7894124984741211</v>
      </c>
      <c r="F2944" s="11">
        <v>6.9823474884033203</v>
      </c>
    </row>
    <row r="2945" spans="1:6" hidden="1" x14ac:dyDescent="0.3">
      <c r="A2945" s="6">
        <v>22</v>
      </c>
      <c r="B2945" s="6" t="s">
        <v>125</v>
      </c>
      <c r="C2945" s="6" t="s">
        <v>359</v>
      </c>
      <c r="D2945" s="6" t="s">
        <v>126</v>
      </c>
      <c r="E2945" s="11">
        <v>5.5787625312805176</v>
      </c>
      <c r="F2945" s="11">
        <v>6.9823474884033203</v>
      </c>
    </row>
    <row r="2946" spans="1:6" hidden="1" x14ac:dyDescent="0.3">
      <c r="A2946" s="6">
        <v>22</v>
      </c>
      <c r="B2946" s="6" t="s">
        <v>125</v>
      </c>
      <c r="C2946" s="6" t="s">
        <v>360</v>
      </c>
      <c r="D2946" s="6" t="s">
        <v>126</v>
      </c>
      <c r="E2946" s="11">
        <v>6.3059148788452148</v>
      </c>
      <c r="F2946" s="11">
        <v>6.9823474884033203</v>
      </c>
    </row>
    <row r="2947" spans="1:6" hidden="1" x14ac:dyDescent="0.3">
      <c r="A2947" s="6">
        <v>22</v>
      </c>
      <c r="B2947" s="6" t="s">
        <v>125</v>
      </c>
      <c r="C2947" s="6" t="s">
        <v>361</v>
      </c>
      <c r="D2947" s="6" t="s">
        <v>126</v>
      </c>
      <c r="E2947" s="11">
        <v>9.6932172775268555</v>
      </c>
      <c r="F2947" s="11">
        <v>6.9823474884033203</v>
      </c>
    </row>
    <row r="2948" spans="1:6" hidden="1" x14ac:dyDescent="0.3">
      <c r="A2948" s="6">
        <v>22</v>
      </c>
      <c r="B2948" s="6" t="s">
        <v>125</v>
      </c>
      <c r="C2948" s="6" t="s">
        <v>362</v>
      </c>
      <c r="D2948" s="6" t="s">
        <v>126</v>
      </c>
      <c r="E2948" s="11">
        <v>13.268733024597168</v>
      </c>
      <c r="F2948" s="11">
        <v>6.9823474884033203</v>
      </c>
    </row>
    <row r="2949" spans="1:6" hidden="1" x14ac:dyDescent="0.3">
      <c r="A2949" s="6">
        <v>22</v>
      </c>
      <c r="B2949" s="6" t="s">
        <v>125</v>
      </c>
      <c r="C2949" s="6" t="s">
        <v>363</v>
      </c>
      <c r="D2949" s="6" t="s">
        <v>126</v>
      </c>
      <c r="E2949" s="11">
        <v>7.7058978080749512</v>
      </c>
      <c r="F2949" s="11">
        <v>6.9823474884033203</v>
      </c>
    </row>
    <row r="2950" spans="1:6" hidden="1" x14ac:dyDescent="0.3">
      <c r="A2950" s="6">
        <v>22</v>
      </c>
      <c r="B2950" s="6" t="s">
        <v>125</v>
      </c>
      <c r="C2950" s="6" t="s">
        <v>364</v>
      </c>
      <c r="D2950" s="6" t="s">
        <v>126</v>
      </c>
      <c r="E2950" s="11">
        <v>4.0794110298156738</v>
      </c>
      <c r="F2950" s="11">
        <v>6.9823474884033203</v>
      </c>
    </row>
    <row r="2951" spans="1:6" hidden="1" x14ac:dyDescent="0.3">
      <c r="A2951" s="6">
        <v>22</v>
      </c>
      <c r="B2951" s="6" t="s">
        <v>125</v>
      </c>
      <c r="C2951" s="6" t="s">
        <v>365</v>
      </c>
      <c r="D2951" s="6" t="s">
        <v>126</v>
      </c>
      <c r="E2951" s="11">
        <v>3.5636250972747803</v>
      </c>
      <c r="F2951" s="11">
        <v>6.9823474884033203</v>
      </c>
    </row>
    <row r="2952" spans="1:6" hidden="1" x14ac:dyDescent="0.3">
      <c r="A2952" s="6">
        <v>22</v>
      </c>
      <c r="B2952" s="6" t="s">
        <v>125</v>
      </c>
      <c r="C2952" s="6" t="s">
        <v>366</v>
      </c>
      <c r="D2952" s="6" t="s">
        <v>126</v>
      </c>
      <c r="E2952" s="11">
        <v>8.9866666793823242</v>
      </c>
      <c r="F2952" s="11">
        <v>6.9823474884033203</v>
      </c>
    </row>
    <row r="2953" spans="1:6" hidden="1" x14ac:dyDescent="0.3">
      <c r="A2953" s="6">
        <v>22</v>
      </c>
      <c r="B2953" s="6" t="s">
        <v>125</v>
      </c>
      <c r="C2953" s="6" t="s">
        <v>367</v>
      </c>
      <c r="D2953" s="6" t="s">
        <v>126</v>
      </c>
      <c r="E2953" s="11">
        <v>19.349908828735352</v>
      </c>
      <c r="F2953" s="11">
        <v>6.9823474884033203</v>
      </c>
    </row>
    <row r="2954" spans="1:6" hidden="1" x14ac:dyDescent="0.3">
      <c r="A2954" s="6">
        <v>22</v>
      </c>
      <c r="B2954" s="6" t="s">
        <v>125</v>
      </c>
      <c r="C2954" s="6" t="s">
        <v>368</v>
      </c>
      <c r="D2954" s="6" t="s">
        <v>126</v>
      </c>
      <c r="E2954" s="11">
        <v>5.442171573638916</v>
      </c>
      <c r="F2954" s="11">
        <v>6.9823474884033203</v>
      </c>
    </row>
    <row r="2955" spans="1:6" hidden="1" x14ac:dyDescent="0.3">
      <c r="A2955" s="6">
        <v>22</v>
      </c>
      <c r="B2955" s="6" t="s">
        <v>125</v>
      </c>
      <c r="C2955" s="6" t="s">
        <v>369</v>
      </c>
      <c r="D2955" s="6" t="s">
        <v>126</v>
      </c>
      <c r="E2955" s="11">
        <v>8.2226743698120117</v>
      </c>
      <c r="F2955" s="11">
        <v>6.9823474884033203</v>
      </c>
    </row>
    <row r="2956" spans="1:6" hidden="1" x14ac:dyDescent="0.3">
      <c r="A2956" s="6">
        <v>22</v>
      </c>
      <c r="B2956" s="6" t="s">
        <v>125</v>
      </c>
      <c r="C2956" s="6" t="s">
        <v>370</v>
      </c>
      <c r="D2956" s="6" t="s">
        <v>126</v>
      </c>
      <c r="E2956" s="11">
        <v>4.2346434593200684</v>
      </c>
      <c r="F2956" s="11">
        <v>6.9823474884033203</v>
      </c>
    </row>
    <row r="2957" spans="1:6" hidden="1" x14ac:dyDescent="0.3">
      <c r="A2957" s="6">
        <v>22</v>
      </c>
      <c r="B2957" s="6" t="s">
        <v>125</v>
      </c>
      <c r="C2957" s="6" t="s">
        <v>371</v>
      </c>
      <c r="D2957" s="6" t="s">
        <v>126</v>
      </c>
      <c r="E2957" s="11">
        <v>6.7879958152770996</v>
      </c>
      <c r="F2957" s="11">
        <v>6.9823474884033203</v>
      </c>
    </row>
    <row r="2958" spans="1:6" hidden="1" x14ac:dyDescent="0.3">
      <c r="A2958" s="6">
        <v>22</v>
      </c>
      <c r="B2958" s="6" t="s">
        <v>125</v>
      </c>
      <c r="C2958" s="6" t="s">
        <v>372</v>
      </c>
      <c r="D2958" s="6" t="s">
        <v>126</v>
      </c>
      <c r="E2958" s="11">
        <v>13.533333778381348</v>
      </c>
      <c r="F2958" s="11">
        <v>6.9823474884033203</v>
      </c>
    </row>
    <row r="2959" spans="1:6" hidden="1" x14ac:dyDescent="0.3">
      <c r="A2959" s="6">
        <v>22</v>
      </c>
      <c r="B2959" s="6" t="s">
        <v>125</v>
      </c>
      <c r="C2959" s="6" t="s">
        <v>373</v>
      </c>
      <c r="D2959" s="6" t="s">
        <v>126</v>
      </c>
      <c r="E2959" s="11">
        <v>4.7402734756469727</v>
      </c>
      <c r="F2959" s="11">
        <v>6.9823474884033203</v>
      </c>
    </row>
    <row r="2960" spans="1:6" hidden="1" x14ac:dyDescent="0.3">
      <c r="A2960" s="6">
        <v>22</v>
      </c>
      <c r="B2960" s="6" t="s">
        <v>125</v>
      </c>
      <c r="C2960" s="6" t="s">
        <v>374</v>
      </c>
      <c r="D2960" s="6" t="s">
        <v>126</v>
      </c>
      <c r="E2960" s="11">
        <v>6.7139043807983398</v>
      </c>
      <c r="F2960" s="11">
        <v>6.9823474884033203</v>
      </c>
    </row>
    <row r="2961" spans="1:6" hidden="1" x14ac:dyDescent="0.3">
      <c r="A2961" s="6">
        <v>22</v>
      </c>
      <c r="B2961" s="6" t="s">
        <v>125</v>
      </c>
      <c r="C2961" s="6" t="s">
        <v>375</v>
      </c>
      <c r="D2961" s="6" t="s">
        <v>126</v>
      </c>
      <c r="E2961" s="11">
        <v>7.5172114372253418</v>
      </c>
      <c r="F2961" s="11">
        <v>6.9823474884033203</v>
      </c>
    </row>
    <row r="2962" spans="1:6" hidden="1" x14ac:dyDescent="0.3">
      <c r="A2962" s="6">
        <v>22</v>
      </c>
      <c r="B2962" s="6" t="s">
        <v>125</v>
      </c>
      <c r="C2962" s="6" t="s">
        <v>376</v>
      </c>
      <c r="D2962" s="6" t="s">
        <v>126</v>
      </c>
      <c r="E2962" s="11">
        <v>4.6594204902648926</v>
      </c>
      <c r="F2962" s="11">
        <v>6.9823474884033203</v>
      </c>
    </row>
    <row r="2963" spans="1:6" hidden="1" x14ac:dyDescent="0.3">
      <c r="A2963" s="6">
        <v>22</v>
      </c>
      <c r="B2963" s="6" t="s">
        <v>125</v>
      </c>
      <c r="C2963" s="6" t="s">
        <v>377</v>
      </c>
      <c r="D2963" s="6" t="s">
        <v>126</v>
      </c>
      <c r="E2963" s="11">
        <v>11.069165229797363</v>
      </c>
      <c r="F2963" s="11">
        <v>6.9823474884033203</v>
      </c>
    </row>
    <row r="2964" spans="1:6" hidden="1" x14ac:dyDescent="0.3">
      <c r="A2964" s="6">
        <v>22</v>
      </c>
      <c r="B2964" s="6" t="s">
        <v>125</v>
      </c>
      <c r="C2964" s="6" t="s">
        <v>378</v>
      </c>
      <c r="D2964" s="6" t="s">
        <v>126</v>
      </c>
      <c r="E2964" s="11">
        <v>7.4500107765197754</v>
      </c>
      <c r="F2964" s="11">
        <v>6.9823474884033203</v>
      </c>
    </row>
    <row r="2965" spans="1:6" hidden="1" x14ac:dyDescent="0.3">
      <c r="A2965" s="6">
        <v>22</v>
      </c>
      <c r="B2965" s="6" t="s">
        <v>125</v>
      </c>
      <c r="C2965" s="6" t="s">
        <v>379</v>
      </c>
      <c r="D2965" s="6" t="s">
        <v>126</v>
      </c>
      <c r="E2965" s="11">
        <v>5.7231130599975586</v>
      </c>
      <c r="F2965" s="11">
        <v>6.9823474884033203</v>
      </c>
    </row>
    <row r="2966" spans="1:6" hidden="1" x14ac:dyDescent="0.3">
      <c r="A2966" s="6">
        <v>22</v>
      </c>
      <c r="B2966" s="6" t="s">
        <v>125</v>
      </c>
      <c r="C2966" s="6" t="s">
        <v>380</v>
      </c>
      <c r="D2966" s="6" t="s">
        <v>126</v>
      </c>
      <c r="E2966" s="11">
        <v>5.4477262496948242</v>
      </c>
      <c r="F2966" s="11">
        <v>6.9823474884033203</v>
      </c>
    </row>
    <row r="2967" spans="1:6" hidden="1" x14ac:dyDescent="0.3">
      <c r="A2967" s="6">
        <v>22</v>
      </c>
      <c r="B2967" s="6" t="s">
        <v>125</v>
      </c>
      <c r="C2967" s="6" t="s">
        <v>381</v>
      </c>
      <c r="D2967" s="6" t="s">
        <v>126</v>
      </c>
      <c r="E2967" s="11">
        <v>7.9374823570251465</v>
      </c>
      <c r="F2967" s="11">
        <v>6.9823474884033203</v>
      </c>
    </row>
    <row r="2968" spans="1:6" hidden="1" x14ac:dyDescent="0.3">
      <c r="A2968" s="6">
        <v>22</v>
      </c>
      <c r="B2968" s="6" t="s">
        <v>125</v>
      </c>
      <c r="C2968" s="6" t="s">
        <v>382</v>
      </c>
      <c r="D2968" s="6" t="s">
        <v>126</v>
      </c>
      <c r="E2968" s="11">
        <v>13.264769554138184</v>
      </c>
      <c r="F2968" s="11">
        <v>6.9823474884033203</v>
      </c>
    </row>
    <row r="2969" spans="1:6" hidden="1" x14ac:dyDescent="0.3">
      <c r="A2969" s="6">
        <v>22</v>
      </c>
      <c r="B2969" s="6" t="s">
        <v>125</v>
      </c>
      <c r="C2969" s="6" t="s">
        <v>383</v>
      </c>
      <c r="D2969" s="6" t="s">
        <v>126</v>
      </c>
      <c r="E2969" s="11">
        <v>7.3831691741943359</v>
      </c>
      <c r="F2969" s="11">
        <v>6.9823474884033203</v>
      </c>
    </row>
    <row r="2970" spans="1:6" hidden="1" x14ac:dyDescent="0.3">
      <c r="A2970" s="6">
        <v>22</v>
      </c>
      <c r="B2970" s="6" t="s">
        <v>125</v>
      </c>
      <c r="C2970" s="6" t="s">
        <v>384</v>
      </c>
      <c r="D2970" s="6" t="s">
        <v>126</v>
      </c>
      <c r="E2970" s="11">
        <v>9.9335145950317383</v>
      </c>
      <c r="F2970" s="11">
        <v>6.9823474884033203</v>
      </c>
    </row>
    <row r="2971" spans="1:6" hidden="1" x14ac:dyDescent="0.3">
      <c r="A2971" s="6">
        <v>22</v>
      </c>
      <c r="B2971" s="6" t="s">
        <v>125</v>
      </c>
      <c r="C2971" s="6" t="s">
        <v>385</v>
      </c>
      <c r="D2971" s="6" t="s">
        <v>126</v>
      </c>
      <c r="E2971" s="11">
        <v>6.894538402557373</v>
      </c>
      <c r="F2971" s="11">
        <v>6.9823474884033203</v>
      </c>
    </row>
    <row r="2972" spans="1:6" hidden="1" x14ac:dyDescent="0.3">
      <c r="A2972" s="6">
        <v>22</v>
      </c>
      <c r="B2972" s="6" t="s">
        <v>125</v>
      </c>
      <c r="C2972" s="6" t="s">
        <v>386</v>
      </c>
      <c r="D2972" s="6" t="s">
        <v>126</v>
      </c>
      <c r="E2972" s="11">
        <v>3.7549481391906738</v>
      </c>
      <c r="F2972" s="11">
        <v>6.9823474884033203</v>
      </c>
    </row>
    <row r="2973" spans="1:6" hidden="1" x14ac:dyDescent="0.3">
      <c r="A2973" s="6">
        <v>22</v>
      </c>
      <c r="B2973" s="6" t="s">
        <v>125</v>
      </c>
      <c r="C2973" s="6" t="s">
        <v>387</v>
      </c>
      <c r="D2973" s="6" t="s">
        <v>126</v>
      </c>
      <c r="E2973" s="11">
        <v>5.1886935234069824</v>
      </c>
      <c r="F2973" s="11">
        <v>6.9823474884033203</v>
      </c>
    </row>
    <row r="2974" spans="1:6" hidden="1" x14ac:dyDescent="0.3">
      <c r="A2974" s="6">
        <v>22</v>
      </c>
      <c r="B2974" s="6" t="s">
        <v>125</v>
      </c>
      <c r="C2974" s="6" t="s">
        <v>388</v>
      </c>
      <c r="D2974" s="6" t="s">
        <v>126</v>
      </c>
      <c r="E2974" s="11">
        <v>3.4106388092041016</v>
      </c>
      <c r="F2974" s="11">
        <v>6.9823474884033203</v>
      </c>
    </row>
    <row r="2975" spans="1:6" hidden="1" x14ac:dyDescent="0.3">
      <c r="A2975" s="6">
        <v>22</v>
      </c>
      <c r="B2975" s="6" t="s">
        <v>125</v>
      </c>
      <c r="C2975" s="6" t="s">
        <v>389</v>
      </c>
      <c r="D2975" s="6" t="s">
        <v>126</v>
      </c>
      <c r="E2975" s="11">
        <v>8.0181961059570313</v>
      </c>
      <c r="F2975" s="11">
        <v>6.9823474884033203</v>
      </c>
    </row>
    <row r="2976" spans="1:6" hidden="1" x14ac:dyDescent="0.3">
      <c r="A2976" s="6">
        <v>22</v>
      </c>
      <c r="B2976" s="6" t="s">
        <v>125</v>
      </c>
      <c r="C2976" s="6" t="s">
        <v>390</v>
      </c>
      <c r="D2976" s="6" t="s">
        <v>126</v>
      </c>
      <c r="E2976" s="11">
        <v>8.2625980377197266</v>
      </c>
      <c r="F2976" s="11">
        <v>6.9823474884033203</v>
      </c>
    </row>
    <row r="2977" spans="1:6" hidden="1" x14ac:dyDescent="0.3">
      <c r="A2977" s="6">
        <v>22</v>
      </c>
      <c r="B2977" s="6" t="s">
        <v>125</v>
      </c>
      <c r="C2977" s="6" t="s">
        <v>391</v>
      </c>
      <c r="D2977" s="6" t="s">
        <v>126</v>
      </c>
      <c r="E2977" s="11">
        <v>13.962014198303223</v>
      </c>
      <c r="F2977" s="11">
        <v>6.9823474884033203</v>
      </c>
    </row>
    <row r="2978" spans="1:6" hidden="1" x14ac:dyDescent="0.3">
      <c r="A2978" s="6">
        <v>22</v>
      </c>
      <c r="B2978" s="6" t="s">
        <v>125</v>
      </c>
      <c r="C2978" s="6" t="s">
        <v>392</v>
      </c>
      <c r="D2978" s="6" t="s">
        <v>126</v>
      </c>
      <c r="E2978" s="11">
        <v>11.663211822509766</v>
      </c>
      <c r="F2978" s="11">
        <v>6.9823474884033203</v>
      </c>
    </row>
    <row r="2979" spans="1:6" hidden="1" x14ac:dyDescent="0.3">
      <c r="A2979" s="6">
        <v>22</v>
      </c>
      <c r="B2979" s="6" t="s">
        <v>125</v>
      </c>
      <c r="C2979" s="6" t="s">
        <v>393</v>
      </c>
      <c r="D2979" s="6" t="s">
        <v>126</v>
      </c>
      <c r="E2979" s="11">
        <v>13.760805130004883</v>
      </c>
      <c r="F2979" s="11">
        <v>6.9823474884033203</v>
      </c>
    </row>
    <row r="2980" spans="1:6" hidden="1" x14ac:dyDescent="0.3">
      <c r="A2980" s="6">
        <v>22</v>
      </c>
      <c r="B2980" s="6" t="s">
        <v>125</v>
      </c>
      <c r="C2980" s="6" t="s">
        <v>394</v>
      </c>
      <c r="D2980" s="6" t="s">
        <v>126</v>
      </c>
      <c r="E2980" s="11">
        <v>7.0710139274597168</v>
      </c>
      <c r="F2980" s="11">
        <v>6.9823474884033203</v>
      </c>
    </row>
    <row r="2981" spans="1:6" hidden="1" x14ac:dyDescent="0.3">
      <c r="A2981" s="6">
        <v>22</v>
      </c>
      <c r="B2981" s="6" t="s">
        <v>125</v>
      </c>
      <c r="C2981" s="6" t="s">
        <v>395</v>
      </c>
      <c r="D2981" s="6" t="s">
        <v>126</v>
      </c>
      <c r="E2981" s="11">
        <v>9.7093410491943359</v>
      </c>
      <c r="F2981" s="11">
        <v>6.9823474884033203</v>
      </c>
    </row>
    <row r="2982" spans="1:6" hidden="1" x14ac:dyDescent="0.3">
      <c r="A2982" s="6">
        <v>22</v>
      </c>
      <c r="B2982" s="6" t="s">
        <v>125</v>
      </c>
      <c r="C2982" s="6" t="s">
        <v>396</v>
      </c>
      <c r="D2982" s="6" t="s">
        <v>126</v>
      </c>
      <c r="E2982" s="11">
        <v>3.4363570213317871</v>
      </c>
      <c r="F2982" s="11">
        <v>6.9823474884033203</v>
      </c>
    </row>
    <row r="2983" spans="1:6" hidden="1" x14ac:dyDescent="0.3">
      <c r="A2983" s="6">
        <v>22</v>
      </c>
      <c r="B2983" s="6" t="s">
        <v>125</v>
      </c>
      <c r="C2983" s="6" t="s">
        <v>397</v>
      </c>
      <c r="D2983" s="6" t="s">
        <v>126</v>
      </c>
      <c r="E2983" s="11">
        <v>3.6388368606567383</v>
      </c>
      <c r="F2983" s="11">
        <v>6.9823474884033203</v>
      </c>
    </row>
    <row r="2984" spans="1:6" hidden="1" x14ac:dyDescent="0.3">
      <c r="A2984" s="6">
        <v>22</v>
      </c>
      <c r="B2984" s="6" t="s">
        <v>125</v>
      </c>
      <c r="C2984" s="6" t="s">
        <v>398</v>
      </c>
      <c r="D2984" s="6" t="s">
        <v>126</v>
      </c>
      <c r="E2984" s="11">
        <v>8.9226713180541992</v>
      </c>
      <c r="F2984" s="11">
        <v>6.9823474884033203</v>
      </c>
    </row>
    <row r="2985" spans="1:6" hidden="1" x14ac:dyDescent="0.3">
      <c r="A2985" s="6">
        <v>22</v>
      </c>
      <c r="B2985" s="6" t="s">
        <v>125</v>
      </c>
      <c r="C2985" s="6" t="s">
        <v>399</v>
      </c>
      <c r="D2985" s="6" t="s">
        <v>126</v>
      </c>
      <c r="E2985" s="11">
        <v>4.7168755531311035</v>
      </c>
      <c r="F2985" s="11">
        <v>6.9823474884033203</v>
      </c>
    </row>
    <row r="2986" spans="1:6" hidden="1" x14ac:dyDescent="0.3">
      <c r="A2986" s="6">
        <v>22</v>
      </c>
      <c r="B2986" s="6" t="s">
        <v>125</v>
      </c>
      <c r="C2986" s="6" t="s">
        <v>400</v>
      </c>
      <c r="D2986" s="6" t="s">
        <v>126</v>
      </c>
      <c r="E2986" s="11">
        <v>3.9599010944366455</v>
      </c>
      <c r="F2986" s="11">
        <v>6.9823474884033203</v>
      </c>
    </row>
    <row r="2987" spans="1:6" hidden="1" x14ac:dyDescent="0.3">
      <c r="A2987" s="6">
        <v>22</v>
      </c>
      <c r="B2987" s="6" t="s">
        <v>125</v>
      </c>
      <c r="C2987" s="6" t="s">
        <v>401</v>
      </c>
      <c r="D2987" s="6" t="s">
        <v>126</v>
      </c>
      <c r="E2987" s="11">
        <v>8.1454172134399414</v>
      </c>
      <c r="F2987" s="11">
        <v>6.9823474884033203</v>
      </c>
    </row>
    <row r="2988" spans="1:6" hidden="1" x14ac:dyDescent="0.3">
      <c r="A2988" s="6">
        <v>22</v>
      </c>
      <c r="B2988" s="6" t="s">
        <v>125</v>
      </c>
      <c r="C2988" s="6" t="s">
        <v>402</v>
      </c>
      <c r="D2988" s="6" t="s">
        <v>126</v>
      </c>
      <c r="E2988" s="11">
        <v>9.4246597290039063</v>
      </c>
      <c r="F2988" s="11">
        <v>6.9823474884033203</v>
      </c>
    </row>
    <row r="2989" spans="1:6" hidden="1" x14ac:dyDescent="0.3">
      <c r="A2989" s="6">
        <v>22</v>
      </c>
      <c r="B2989" s="6" t="s">
        <v>125</v>
      </c>
      <c r="C2989" s="6" t="s">
        <v>403</v>
      </c>
      <c r="D2989" s="6" t="s">
        <v>126</v>
      </c>
      <c r="E2989" s="11">
        <v>9.0610151290893555</v>
      </c>
      <c r="F2989" s="11">
        <v>6.9823474884033203</v>
      </c>
    </row>
    <row r="2990" spans="1:6" hidden="1" x14ac:dyDescent="0.3">
      <c r="A2990" s="6">
        <v>22</v>
      </c>
      <c r="B2990" s="6" t="s">
        <v>125</v>
      </c>
      <c r="C2990" s="6" t="s">
        <v>404</v>
      </c>
      <c r="D2990" s="6" t="s">
        <v>126</v>
      </c>
      <c r="E2990" s="11">
        <v>6.0335779190063477</v>
      </c>
      <c r="F2990" s="11">
        <v>6.9823474884033203</v>
      </c>
    </row>
    <row r="2991" spans="1:6" hidden="1" x14ac:dyDescent="0.3">
      <c r="A2991" s="6">
        <v>22</v>
      </c>
      <c r="B2991" s="6" t="s">
        <v>125</v>
      </c>
      <c r="C2991" s="6" t="s">
        <v>405</v>
      </c>
      <c r="D2991" s="6" t="s">
        <v>126</v>
      </c>
      <c r="E2991" s="11">
        <v>9.9740505218505859</v>
      </c>
      <c r="F2991" s="11">
        <v>6.9823474884033203</v>
      </c>
    </row>
    <row r="2992" spans="1:6" hidden="1" x14ac:dyDescent="0.3">
      <c r="A2992" s="6">
        <v>22</v>
      </c>
      <c r="B2992" s="6" t="s">
        <v>125</v>
      </c>
      <c r="C2992" s="6" t="s">
        <v>406</v>
      </c>
      <c r="D2992" s="6" t="s">
        <v>126</v>
      </c>
      <c r="E2992" s="11">
        <v>15.423596382141113</v>
      </c>
      <c r="F2992" s="11">
        <v>6.9823474884033203</v>
      </c>
    </row>
    <row r="2993" spans="1:6" hidden="1" x14ac:dyDescent="0.3">
      <c r="A2993" s="6">
        <v>22</v>
      </c>
      <c r="B2993" s="6" t="s">
        <v>125</v>
      </c>
      <c r="C2993" s="6" t="s">
        <v>407</v>
      </c>
      <c r="D2993" s="6" t="s">
        <v>126</v>
      </c>
      <c r="E2993" s="11">
        <v>14.044270515441895</v>
      </c>
      <c r="F2993" s="11">
        <v>6.9823474884033203</v>
      </c>
    </row>
    <row r="2994" spans="1:6" hidden="1" x14ac:dyDescent="0.3">
      <c r="A2994" s="6">
        <v>22</v>
      </c>
      <c r="B2994" s="6" t="s">
        <v>125</v>
      </c>
      <c r="C2994" s="6" t="s">
        <v>408</v>
      </c>
      <c r="D2994" s="6" t="s">
        <v>126</v>
      </c>
      <c r="E2994" s="11">
        <v>7.0295004844665527</v>
      </c>
      <c r="F2994" s="11">
        <v>6.9823474884033203</v>
      </c>
    </row>
    <row r="2995" spans="1:6" hidden="1" x14ac:dyDescent="0.3">
      <c r="A2995" s="6">
        <v>22</v>
      </c>
      <c r="B2995" s="6" t="s">
        <v>125</v>
      </c>
      <c r="C2995" s="6" t="s">
        <v>409</v>
      </c>
      <c r="D2995" s="6" t="s">
        <v>126</v>
      </c>
      <c r="E2995" s="11">
        <v>8.30743408203125</v>
      </c>
      <c r="F2995" s="11">
        <v>6.9823474884033203</v>
      </c>
    </row>
    <row r="2996" spans="1:6" hidden="1" x14ac:dyDescent="0.3">
      <c r="A2996" s="6">
        <v>22</v>
      </c>
      <c r="B2996" s="6" t="s">
        <v>125</v>
      </c>
      <c r="C2996" s="6" t="s">
        <v>410</v>
      </c>
      <c r="D2996" s="6" t="s">
        <v>126</v>
      </c>
      <c r="E2996" s="11">
        <v>6.6441106796264648</v>
      </c>
      <c r="F2996" s="11">
        <v>6.9823474884033203</v>
      </c>
    </row>
    <row r="2997" spans="1:6" hidden="1" x14ac:dyDescent="0.3">
      <c r="A2997" s="6">
        <v>22</v>
      </c>
      <c r="B2997" s="6" t="s">
        <v>125</v>
      </c>
      <c r="C2997" s="6" t="s">
        <v>411</v>
      </c>
      <c r="D2997" s="6" t="s">
        <v>126</v>
      </c>
      <c r="E2997" s="11">
        <v>4.9486136436462402</v>
      </c>
      <c r="F2997" s="11">
        <v>6.9823474884033203</v>
      </c>
    </row>
    <row r="2998" spans="1:6" hidden="1" x14ac:dyDescent="0.3">
      <c r="A2998" s="6">
        <v>22</v>
      </c>
      <c r="B2998" s="6" t="s">
        <v>125</v>
      </c>
      <c r="C2998" s="6" t="s">
        <v>412</v>
      </c>
      <c r="D2998" s="6" t="s">
        <v>126</v>
      </c>
      <c r="E2998" s="11">
        <v>6.3247323036193848</v>
      </c>
      <c r="F2998" s="11">
        <v>6.9823474884033203</v>
      </c>
    </row>
    <row r="2999" spans="1:6" hidden="1" x14ac:dyDescent="0.3">
      <c r="A2999" s="6">
        <v>22</v>
      </c>
      <c r="B2999" s="6" t="s">
        <v>125</v>
      </c>
      <c r="C2999" s="6" t="s">
        <v>413</v>
      </c>
      <c r="D2999" s="6" t="s">
        <v>126</v>
      </c>
      <c r="E2999" s="11">
        <v>7.2481598854064941</v>
      </c>
      <c r="F2999" s="11">
        <v>6.9823474884033203</v>
      </c>
    </row>
    <row r="3000" spans="1:6" hidden="1" x14ac:dyDescent="0.3">
      <c r="A3000" s="6">
        <v>22</v>
      </c>
      <c r="B3000" s="6" t="s">
        <v>125</v>
      </c>
      <c r="C3000" s="6" t="s">
        <v>414</v>
      </c>
      <c r="D3000" s="6" t="s">
        <v>126</v>
      </c>
      <c r="E3000" s="11">
        <v>4.0645785331726074</v>
      </c>
      <c r="F3000" s="11">
        <v>6.9823474884033203</v>
      </c>
    </row>
    <row r="3001" spans="1:6" hidden="1" x14ac:dyDescent="0.3">
      <c r="A3001" s="6">
        <v>22</v>
      </c>
      <c r="B3001" s="6" t="s">
        <v>125</v>
      </c>
      <c r="C3001" s="6" t="s">
        <v>415</v>
      </c>
      <c r="D3001" s="6" t="s">
        <v>126</v>
      </c>
      <c r="E3001" s="11">
        <v>20.078369140625</v>
      </c>
      <c r="F3001" s="11">
        <v>6.9823474884033203</v>
      </c>
    </row>
    <row r="3002" spans="1:6" hidden="1" x14ac:dyDescent="0.3">
      <c r="A3002" s="6">
        <v>22</v>
      </c>
      <c r="B3002" s="6" t="s">
        <v>125</v>
      </c>
      <c r="C3002" s="6" t="s">
        <v>416</v>
      </c>
      <c r="D3002" s="6" t="s">
        <v>126</v>
      </c>
      <c r="E3002" s="11">
        <v>9.2599000930786133</v>
      </c>
      <c r="F3002" s="11">
        <v>6.9823474884033203</v>
      </c>
    </row>
    <row r="3003" spans="1:6" hidden="1" x14ac:dyDescent="0.3">
      <c r="A3003" s="6">
        <v>22</v>
      </c>
      <c r="B3003" s="6" t="s">
        <v>125</v>
      </c>
      <c r="C3003" s="6" t="s">
        <v>417</v>
      </c>
      <c r="D3003" s="6" t="s">
        <v>126</v>
      </c>
      <c r="E3003" s="11">
        <v>7.3502507209777832</v>
      </c>
      <c r="F3003" s="11">
        <v>6.9823474884033203</v>
      </c>
    </row>
    <row r="3004" spans="1:6" hidden="1" x14ac:dyDescent="0.3">
      <c r="A3004" s="6">
        <v>22</v>
      </c>
      <c r="B3004" s="6" t="s">
        <v>125</v>
      </c>
      <c r="C3004" s="6" t="s">
        <v>418</v>
      </c>
      <c r="D3004" s="6" t="s">
        <v>126</v>
      </c>
      <c r="E3004" s="11">
        <v>6.4876313209533691</v>
      </c>
      <c r="F3004" s="11">
        <v>6.9823474884033203</v>
      </c>
    </row>
    <row r="3005" spans="1:6" hidden="1" x14ac:dyDescent="0.3">
      <c r="A3005" s="6">
        <v>22</v>
      </c>
      <c r="B3005" s="6" t="s">
        <v>125</v>
      </c>
      <c r="C3005" s="6" t="s">
        <v>419</v>
      </c>
      <c r="D3005" s="6" t="s">
        <v>126</v>
      </c>
      <c r="E3005" s="11">
        <v>4.9550361633300781</v>
      </c>
      <c r="F3005" s="11">
        <v>6.9823474884033203</v>
      </c>
    </row>
    <row r="3006" spans="1:6" hidden="1" x14ac:dyDescent="0.3">
      <c r="A3006" s="6">
        <v>22</v>
      </c>
      <c r="B3006" s="6" t="s">
        <v>125</v>
      </c>
      <c r="C3006" s="6" t="s">
        <v>420</v>
      </c>
      <c r="D3006" s="6" t="s">
        <v>126</v>
      </c>
      <c r="E3006" s="11">
        <v>4.0726709365844727</v>
      </c>
      <c r="F3006" s="11">
        <v>6.9823474884033203</v>
      </c>
    </row>
    <row r="3007" spans="1:6" hidden="1" x14ac:dyDescent="0.3">
      <c r="A3007" s="6">
        <v>22</v>
      </c>
      <c r="B3007" s="6" t="s">
        <v>125</v>
      </c>
      <c r="C3007" s="6" t="s">
        <v>421</v>
      </c>
      <c r="D3007" s="6" t="s">
        <v>126</v>
      </c>
      <c r="E3007" s="11">
        <v>8.4629650115966797</v>
      </c>
      <c r="F3007" s="11">
        <v>6.9823474884033203</v>
      </c>
    </row>
    <row r="3008" spans="1:6" hidden="1" x14ac:dyDescent="0.3">
      <c r="A3008" s="6">
        <v>22</v>
      </c>
      <c r="B3008" s="6" t="s">
        <v>125</v>
      </c>
      <c r="C3008" s="6" t="s">
        <v>422</v>
      </c>
      <c r="D3008" s="6" t="s">
        <v>126</v>
      </c>
      <c r="E3008" s="11">
        <v>6.3699159622192383</v>
      </c>
      <c r="F3008" s="11">
        <v>6.9823474884033203</v>
      </c>
    </row>
    <row r="3009" spans="1:6" hidden="1" x14ac:dyDescent="0.3">
      <c r="A3009" s="6">
        <v>22</v>
      </c>
      <c r="B3009" s="6" t="s">
        <v>125</v>
      </c>
      <c r="C3009" s="6" t="s">
        <v>423</v>
      </c>
      <c r="D3009" s="6" t="s">
        <v>126</v>
      </c>
      <c r="E3009" s="11">
        <v>3.4681422710418701</v>
      </c>
      <c r="F3009" s="11">
        <v>6.9823474884033203</v>
      </c>
    </row>
    <row r="3010" spans="1:6" hidden="1" x14ac:dyDescent="0.3">
      <c r="A3010" s="6">
        <v>22</v>
      </c>
      <c r="B3010" s="6" t="s">
        <v>125</v>
      </c>
      <c r="C3010" s="6" t="s">
        <v>424</v>
      </c>
      <c r="D3010" s="6" t="s">
        <v>126</v>
      </c>
      <c r="E3010" s="11">
        <v>3.954301118850708</v>
      </c>
      <c r="F3010" s="11">
        <v>6.9823474884033203</v>
      </c>
    </row>
    <row r="3011" spans="1:6" hidden="1" x14ac:dyDescent="0.3">
      <c r="A3011" s="6">
        <v>22</v>
      </c>
      <c r="B3011" s="6" t="s">
        <v>125</v>
      </c>
      <c r="C3011" s="6" t="s">
        <v>425</v>
      </c>
      <c r="D3011" s="6" t="s">
        <v>126</v>
      </c>
      <c r="E3011" s="11">
        <v>5.0904855728149414</v>
      </c>
      <c r="F3011" s="11">
        <v>6.9823474884033203</v>
      </c>
    </row>
    <row r="3012" spans="1:6" hidden="1" x14ac:dyDescent="0.3">
      <c r="A3012" s="6">
        <v>22</v>
      </c>
      <c r="B3012" s="6" t="s">
        <v>125</v>
      </c>
      <c r="C3012" s="6" t="s">
        <v>426</v>
      </c>
      <c r="D3012" s="6" t="s">
        <v>126</v>
      </c>
      <c r="E3012" s="11">
        <v>4.4197349548339844</v>
      </c>
      <c r="F3012" s="11">
        <v>6.9823474884033203</v>
      </c>
    </row>
    <row r="3013" spans="1:6" hidden="1" x14ac:dyDescent="0.3">
      <c r="A3013" s="6">
        <v>22</v>
      </c>
      <c r="B3013" s="6" t="s">
        <v>125</v>
      </c>
      <c r="C3013" s="6" t="s">
        <v>427</v>
      </c>
      <c r="D3013" s="6" t="s">
        <v>126</v>
      </c>
      <c r="E3013" s="11">
        <v>7.6820225715637207</v>
      </c>
      <c r="F3013" s="11">
        <v>6.9823474884033203</v>
      </c>
    </row>
    <row r="3014" spans="1:6" hidden="1" x14ac:dyDescent="0.3">
      <c r="A3014" s="6">
        <v>22</v>
      </c>
      <c r="B3014" s="6" t="s">
        <v>125</v>
      </c>
      <c r="C3014" s="6" t="s">
        <v>428</v>
      </c>
      <c r="D3014" s="6" t="s">
        <v>126</v>
      </c>
      <c r="E3014" s="11">
        <v>9.7861537933349609</v>
      </c>
      <c r="F3014" s="11">
        <v>6.9823474884033203</v>
      </c>
    </row>
    <row r="3015" spans="1:6" hidden="1" x14ac:dyDescent="0.3">
      <c r="A3015" s="6">
        <v>22</v>
      </c>
      <c r="B3015" s="6" t="s">
        <v>125</v>
      </c>
      <c r="C3015" s="6" t="s">
        <v>429</v>
      </c>
      <c r="D3015" s="6" t="s">
        <v>126</v>
      </c>
      <c r="E3015" s="11">
        <v>4.3596925735473633</v>
      </c>
      <c r="F3015" s="11">
        <v>6.9823474884033203</v>
      </c>
    </row>
    <row r="3016" spans="1:6" hidden="1" x14ac:dyDescent="0.3">
      <c r="A3016" s="6">
        <v>22</v>
      </c>
      <c r="B3016" s="6" t="s">
        <v>125</v>
      </c>
      <c r="C3016" s="6" t="s">
        <v>430</v>
      </c>
      <c r="D3016" s="6" t="s">
        <v>126</v>
      </c>
      <c r="E3016" s="11">
        <v>9.9988479614257813</v>
      </c>
      <c r="F3016" s="11">
        <v>6.9823474884033203</v>
      </c>
    </row>
    <row r="3017" spans="1:6" hidden="1" x14ac:dyDescent="0.3">
      <c r="A3017" s="6">
        <v>22</v>
      </c>
      <c r="B3017" s="6" t="s">
        <v>125</v>
      </c>
      <c r="C3017" s="6" t="s">
        <v>431</v>
      </c>
      <c r="D3017" s="6" t="s">
        <v>126</v>
      </c>
      <c r="E3017" s="11">
        <v>5.4726362228393555</v>
      </c>
      <c r="F3017" s="11">
        <v>6.9823474884033203</v>
      </c>
    </row>
    <row r="3018" spans="1:6" hidden="1" x14ac:dyDescent="0.3">
      <c r="A3018" s="6">
        <v>22</v>
      </c>
      <c r="B3018" s="6" t="s">
        <v>125</v>
      </c>
      <c r="C3018" s="6" t="s">
        <v>432</v>
      </c>
      <c r="D3018" s="6" t="s">
        <v>126</v>
      </c>
      <c r="E3018" s="11">
        <v>8.9598579406738281</v>
      </c>
      <c r="F3018" s="11">
        <v>6.9823474884033203</v>
      </c>
    </row>
    <row r="3019" spans="1:6" hidden="1" x14ac:dyDescent="0.3">
      <c r="A3019" s="6">
        <v>22</v>
      </c>
      <c r="B3019" s="6" t="s">
        <v>125</v>
      </c>
      <c r="C3019" s="6" t="s">
        <v>433</v>
      </c>
      <c r="D3019" s="6" t="s">
        <v>126</v>
      </c>
      <c r="E3019" s="11">
        <v>6.7839145660400391</v>
      </c>
      <c r="F3019" s="11">
        <v>6.9823474884033203</v>
      </c>
    </row>
    <row r="3020" spans="1:6" hidden="1" x14ac:dyDescent="0.3">
      <c r="A3020" s="6">
        <v>22</v>
      </c>
      <c r="B3020" s="6" t="s">
        <v>125</v>
      </c>
      <c r="C3020" s="6" t="s">
        <v>434</v>
      </c>
      <c r="D3020" s="6" t="s">
        <v>126</v>
      </c>
      <c r="E3020" s="11">
        <v>2.7631528377532959</v>
      </c>
      <c r="F3020" s="11">
        <v>6.9823474884033203</v>
      </c>
    </row>
    <row r="3021" spans="1:6" hidden="1" x14ac:dyDescent="0.3">
      <c r="A3021" s="6">
        <v>22</v>
      </c>
      <c r="B3021" s="6" t="s">
        <v>125</v>
      </c>
      <c r="C3021" s="6" t="s">
        <v>435</v>
      </c>
      <c r="D3021" s="6" t="s">
        <v>126</v>
      </c>
      <c r="E3021" s="11">
        <v>5.8978085517883301</v>
      </c>
      <c r="F3021" s="11">
        <v>6.9823474884033203</v>
      </c>
    </row>
    <row r="3022" spans="1:6" hidden="1" x14ac:dyDescent="0.3">
      <c r="A3022" s="6">
        <v>22</v>
      </c>
      <c r="B3022" s="6" t="s">
        <v>125</v>
      </c>
      <c r="C3022" s="6" t="s">
        <v>436</v>
      </c>
      <c r="D3022" s="6" t="s">
        <v>126</v>
      </c>
      <c r="E3022" s="11">
        <v>11.251997947692871</v>
      </c>
      <c r="F3022" s="11">
        <v>6.9823474884033203</v>
      </c>
    </row>
    <row r="3023" spans="1:6" hidden="1" x14ac:dyDescent="0.3">
      <c r="A3023" s="6">
        <v>22</v>
      </c>
      <c r="B3023" s="6" t="s">
        <v>125</v>
      </c>
      <c r="C3023" s="6" t="s">
        <v>437</v>
      </c>
      <c r="D3023" s="6" t="s">
        <v>126</v>
      </c>
      <c r="E3023" s="11">
        <v>6.5599899291992188</v>
      </c>
      <c r="F3023" s="11">
        <v>6.9823474884033203</v>
      </c>
    </row>
    <row r="3024" spans="1:6" hidden="1" x14ac:dyDescent="0.3">
      <c r="A3024" s="6">
        <v>22</v>
      </c>
      <c r="B3024" s="6" t="s">
        <v>125</v>
      </c>
      <c r="C3024" s="6" t="s">
        <v>438</v>
      </c>
      <c r="D3024" s="6" t="s">
        <v>126</v>
      </c>
      <c r="E3024" s="11">
        <v>6.4679007530212402</v>
      </c>
      <c r="F3024" s="11">
        <v>6.9823474884033203</v>
      </c>
    </row>
    <row r="3025" spans="1:6" hidden="1" x14ac:dyDescent="0.3">
      <c r="A3025" s="6">
        <v>22</v>
      </c>
      <c r="B3025" s="6" t="s">
        <v>125</v>
      </c>
      <c r="C3025" s="6" t="s">
        <v>439</v>
      </c>
      <c r="D3025" s="6" t="s">
        <v>126</v>
      </c>
      <c r="E3025" s="11">
        <v>10.987064361572266</v>
      </c>
      <c r="F3025" s="11">
        <v>6.9823474884033203</v>
      </c>
    </row>
    <row r="3026" spans="1:6" hidden="1" x14ac:dyDescent="0.3">
      <c r="A3026" s="6">
        <v>22</v>
      </c>
      <c r="B3026" s="6" t="s">
        <v>125</v>
      </c>
      <c r="C3026" s="6" t="s">
        <v>440</v>
      </c>
      <c r="D3026" s="6" t="s">
        <v>126</v>
      </c>
      <c r="E3026" s="11">
        <v>6.6786222457885742</v>
      </c>
      <c r="F3026" s="11">
        <v>6.9823474884033203</v>
      </c>
    </row>
    <row r="3027" spans="1:6" hidden="1" x14ac:dyDescent="0.3">
      <c r="A3027" s="6">
        <v>22</v>
      </c>
      <c r="B3027" s="6" t="s">
        <v>125</v>
      </c>
      <c r="C3027" s="6" t="s">
        <v>441</v>
      </c>
      <c r="D3027" s="6" t="s">
        <v>126</v>
      </c>
      <c r="E3027" s="11">
        <v>3.1632766723632813</v>
      </c>
      <c r="F3027" s="11">
        <v>6.9823474884033203</v>
      </c>
    </row>
    <row r="3028" spans="1:6" hidden="1" x14ac:dyDescent="0.3">
      <c r="A3028" s="6">
        <v>22</v>
      </c>
      <c r="B3028" s="6" t="s">
        <v>125</v>
      </c>
      <c r="C3028" s="6" t="s">
        <v>442</v>
      </c>
      <c r="D3028" s="6" t="s">
        <v>126</v>
      </c>
      <c r="E3028" s="11">
        <v>6.1390795707702637</v>
      </c>
      <c r="F3028" s="11">
        <v>6.9823474884033203</v>
      </c>
    </row>
    <row r="3029" spans="1:6" hidden="1" x14ac:dyDescent="0.3">
      <c r="A3029" s="6">
        <v>22</v>
      </c>
      <c r="B3029" s="6" t="s">
        <v>125</v>
      </c>
      <c r="C3029" s="6" t="s">
        <v>443</v>
      </c>
      <c r="D3029" s="6" t="s">
        <v>126</v>
      </c>
      <c r="E3029" s="11">
        <v>5.4309344291687012</v>
      </c>
      <c r="F3029" s="11">
        <v>6.9823474884033203</v>
      </c>
    </row>
    <row r="3030" spans="1:6" hidden="1" x14ac:dyDescent="0.3">
      <c r="A3030" s="6">
        <v>22</v>
      </c>
      <c r="B3030" s="6" t="s">
        <v>125</v>
      </c>
      <c r="C3030" s="6" t="s">
        <v>444</v>
      </c>
      <c r="D3030" s="6" t="s">
        <v>126</v>
      </c>
      <c r="E3030" s="11">
        <v>4.8109164237976074</v>
      </c>
      <c r="F3030" s="11">
        <v>6.9823474884033203</v>
      </c>
    </row>
    <row r="3031" spans="1:6" hidden="1" x14ac:dyDescent="0.3">
      <c r="A3031" s="6">
        <v>22</v>
      </c>
      <c r="B3031" s="6" t="s">
        <v>125</v>
      </c>
      <c r="C3031" s="6" t="s">
        <v>445</v>
      </c>
      <c r="D3031" s="6" t="s">
        <v>126</v>
      </c>
      <c r="E3031" s="11">
        <v>5.5871086120605469</v>
      </c>
      <c r="F3031" s="11">
        <v>6.9823474884033203</v>
      </c>
    </row>
    <row r="3032" spans="1:6" hidden="1" x14ac:dyDescent="0.3">
      <c r="A3032" s="6">
        <v>22</v>
      </c>
      <c r="B3032" s="6" t="s">
        <v>125</v>
      </c>
      <c r="C3032" s="6" t="s">
        <v>446</v>
      </c>
      <c r="D3032" s="6" t="s">
        <v>126</v>
      </c>
      <c r="E3032" s="11">
        <v>7.9046931266784668</v>
      </c>
      <c r="F3032" s="11">
        <v>6.9823474884033203</v>
      </c>
    </row>
    <row r="3033" spans="1:6" hidden="1" x14ac:dyDescent="0.3">
      <c r="A3033" s="6">
        <v>22</v>
      </c>
      <c r="B3033" s="6" t="s">
        <v>125</v>
      </c>
      <c r="C3033" s="6" t="s">
        <v>447</v>
      </c>
      <c r="D3033" s="6" t="s">
        <v>126</v>
      </c>
      <c r="E3033" s="11">
        <v>9.8124456405639648</v>
      </c>
      <c r="F3033" s="11">
        <v>6.9823474884033203</v>
      </c>
    </row>
    <row r="3034" spans="1:6" hidden="1" x14ac:dyDescent="0.3">
      <c r="A3034" s="6">
        <v>22</v>
      </c>
      <c r="B3034" s="6" t="s">
        <v>125</v>
      </c>
      <c r="C3034" s="6" t="s">
        <v>448</v>
      </c>
      <c r="D3034" s="6" t="s">
        <v>126</v>
      </c>
      <c r="E3034" s="11">
        <v>9.9389371871948242</v>
      </c>
      <c r="F3034" s="11">
        <v>6.9823474884033203</v>
      </c>
    </row>
    <row r="3035" spans="1:6" hidden="1" x14ac:dyDescent="0.3">
      <c r="A3035" s="6">
        <v>22</v>
      </c>
      <c r="B3035" s="6" t="s">
        <v>125</v>
      </c>
      <c r="C3035" s="6" t="s">
        <v>449</v>
      </c>
      <c r="D3035" s="6" t="s">
        <v>126</v>
      </c>
      <c r="E3035" s="11">
        <v>4.2884011268615723</v>
      </c>
      <c r="F3035" s="11">
        <v>6.9823474884033203</v>
      </c>
    </row>
    <row r="3036" spans="1:6" hidden="1" x14ac:dyDescent="0.3">
      <c r="A3036" s="6">
        <v>22</v>
      </c>
      <c r="B3036" s="6" t="s">
        <v>125</v>
      </c>
      <c r="C3036" s="6" t="s">
        <v>450</v>
      </c>
      <c r="D3036" s="6" t="s">
        <v>126</v>
      </c>
      <c r="E3036" s="11">
        <v>14.251529693603516</v>
      </c>
      <c r="F3036" s="11">
        <v>6.9823474884033203</v>
      </c>
    </row>
    <row r="3037" spans="1:6" hidden="1" x14ac:dyDescent="0.3">
      <c r="A3037" s="6">
        <v>22</v>
      </c>
      <c r="B3037" s="6" t="s">
        <v>125</v>
      </c>
      <c r="C3037" s="6" t="s">
        <v>451</v>
      </c>
      <c r="D3037" s="6" t="s">
        <v>126</v>
      </c>
      <c r="E3037" s="11">
        <v>5.8650646209716797</v>
      </c>
      <c r="F3037" s="11">
        <v>6.9823474884033203</v>
      </c>
    </row>
    <row r="3038" spans="1:6" hidden="1" x14ac:dyDescent="0.3">
      <c r="A3038" s="6">
        <v>22</v>
      </c>
      <c r="B3038" s="6" t="s">
        <v>125</v>
      </c>
      <c r="C3038" s="6" t="s">
        <v>452</v>
      </c>
      <c r="D3038" s="6" t="s">
        <v>126</v>
      </c>
      <c r="E3038" s="11">
        <v>8.4534721374511719</v>
      </c>
      <c r="F3038" s="11">
        <v>6.9823474884033203</v>
      </c>
    </row>
    <row r="3039" spans="1:6" hidden="1" x14ac:dyDescent="0.3">
      <c r="A3039" s="6">
        <v>22</v>
      </c>
      <c r="B3039" s="6" t="s">
        <v>125</v>
      </c>
      <c r="C3039" s="6" t="s">
        <v>453</v>
      </c>
      <c r="D3039" s="6" t="s">
        <v>126</v>
      </c>
      <c r="E3039" s="11">
        <v>25.164972305297852</v>
      </c>
      <c r="F3039" s="11">
        <v>6.9823474884033203</v>
      </c>
    </row>
    <row r="3040" spans="1:6" hidden="1" x14ac:dyDescent="0.3">
      <c r="A3040" s="6">
        <v>22</v>
      </c>
      <c r="B3040" s="6" t="s">
        <v>125</v>
      </c>
      <c r="C3040" s="6" t="s">
        <v>454</v>
      </c>
      <c r="D3040" s="6" t="s">
        <v>126</v>
      </c>
      <c r="E3040" s="11">
        <v>11.969754219055176</v>
      </c>
      <c r="F3040" s="11">
        <v>6.9823474884033203</v>
      </c>
    </row>
    <row r="3041" spans="1:6" hidden="1" x14ac:dyDescent="0.3">
      <c r="A3041" s="6">
        <v>22</v>
      </c>
      <c r="B3041" s="6" t="s">
        <v>125</v>
      </c>
      <c r="C3041" s="6" t="s">
        <v>455</v>
      </c>
      <c r="D3041" s="6" t="s">
        <v>126</v>
      </c>
      <c r="E3041" s="11">
        <v>6.9111700057983398</v>
      </c>
      <c r="F3041" s="11">
        <v>6.9823474884033203</v>
      </c>
    </row>
    <row r="3042" spans="1:6" hidden="1" x14ac:dyDescent="0.3">
      <c r="A3042" s="6">
        <v>22</v>
      </c>
      <c r="B3042" s="6" t="s">
        <v>125</v>
      </c>
      <c r="C3042" s="6" t="s">
        <v>456</v>
      </c>
      <c r="D3042" s="6" t="s">
        <v>126</v>
      </c>
      <c r="E3042" s="11">
        <v>5.4785146713256836</v>
      </c>
      <c r="F3042" s="11">
        <v>6.9823474884033203</v>
      </c>
    </row>
    <row r="3043" spans="1:6" hidden="1" x14ac:dyDescent="0.3">
      <c r="A3043" s="6">
        <v>22</v>
      </c>
      <c r="B3043" s="6" t="s">
        <v>125</v>
      </c>
      <c r="C3043" s="6" t="s">
        <v>457</v>
      </c>
      <c r="D3043" s="6" t="s">
        <v>126</v>
      </c>
      <c r="E3043" s="11">
        <v>8.6527433395385742</v>
      </c>
      <c r="F3043" s="11">
        <v>6.9823474884033203</v>
      </c>
    </row>
    <row r="3044" spans="1:6" hidden="1" x14ac:dyDescent="0.3">
      <c r="A3044" s="6">
        <v>22</v>
      </c>
      <c r="B3044" s="6" t="s">
        <v>125</v>
      </c>
      <c r="C3044" s="6" t="s">
        <v>458</v>
      </c>
      <c r="D3044" s="6" t="s">
        <v>126</v>
      </c>
      <c r="E3044" s="11">
        <v>6.5797638893127441</v>
      </c>
      <c r="F3044" s="11">
        <v>6.9823474884033203</v>
      </c>
    </row>
    <row r="3045" spans="1:6" hidden="1" x14ac:dyDescent="0.3">
      <c r="A3045" s="6">
        <v>22</v>
      </c>
      <c r="B3045" s="6" t="s">
        <v>125</v>
      </c>
      <c r="C3045" s="6" t="s">
        <v>459</v>
      </c>
      <c r="D3045" s="6" t="s">
        <v>126</v>
      </c>
      <c r="E3045" s="11">
        <v>9.7567625045776367</v>
      </c>
      <c r="F3045" s="11">
        <v>6.9823474884033203</v>
      </c>
    </row>
    <row r="3046" spans="1:6" hidden="1" x14ac:dyDescent="0.3">
      <c r="A3046" s="6">
        <v>22</v>
      </c>
      <c r="B3046" s="6" t="s">
        <v>125</v>
      </c>
      <c r="C3046" s="6" t="s">
        <v>460</v>
      </c>
      <c r="D3046" s="6" t="s">
        <v>126</v>
      </c>
      <c r="E3046" s="11">
        <v>7.2613053321838379</v>
      </c>
      <c r="F3046" s="11">
        <v>6.9823474884033203</v>
      </c>
    </row>
    <row r="3047" spans="1:6" hidden="1" x14ac:dyDescent="0.3">
      <c r="A3047" s="6">
        <v>22</v>
      </c>
      <c r="B3047" s="6" t="s">
        <v>125</v>
      </c>
      <c r="C3047" s="6" t="s">
        <v>461</v>
      </c>
      <c r="D3047" s="6" t="s">
        <v>126</v>
      </c>
      <c r="E3047" s="11">
        <v>4.9424271583557129</v>
      </c>
      <c r="F3047" s="11">
        <v>6.9823474884033203</v>
      </c>
    </row>
    <row r="3048" spans="1:6" hidden="1" x14ac:dyDescent="0.3">
      <c r="A3048" s="6">
        <v>22</v>
      </c>
      <c r="B3048" s="6" t="s">
        <v>125</v>
      </c>
      <c r="C3048" s="6" t="s">
        <v>462</v>
      </c>
      <c r="D3048" s="6" t="s">
        <v>126</v>
      </c>
      <c r="E3048" s="11">
        <v>9.8461685180664063</v>
      </c>
      <c r="F3048" s="11">
        <v>6.9823474884033203</v>
      </c>
    </row>
    <row r="3049" spans="1:6" hidden="1" x14ac:dyDescent="0.3">
      <c r="A3049" s="6">
        <v>22</v>
      </c>
      <c r="B3049" s="6" t="s">
        <v>125</v>
      </c>
      <c r="C3049" s="6" t="s">
        <v>463</v>
      </c>
      <c r="D3049" s="6" t="s">
        <v>126</v>
      </c>
      <c r="E3049" s="11">
        <v>24.742168426513672</v>
      </c>
      <c r="F3049" s="11">
        <v>6.9823474884033203</v>
      </c>
    </row>
    <row r="3050" spans="1:6" hidden="1" x14ac:dyDescent="0.3">
      <c r="A3050" s="6">
        <v>22</v>
      </c>
      <c r="B3050" s="6" t="s">
        <v>125</v>
      </c>
      <c r="C3050" s="6" t="s">
        <v>464</v>
      </c>
      <c r="D3050" s="6" t="s">
        <v>126</v>
      </c>
      <c r="E3050" s="11">
        <v>3.8921184539794922</v>
      </c>
      <c r="F3050" s="11">
        <v>6.9823474884033203</v>
      </c>
    </row>
    <row r="3051" spans="1:6" hidden="1" x14ac:dyDescent="0.3">
      <c r="A3051" s="6">
        <v>22</v>
      </c>
      <c r="B3051" s="6" t="s">
        <v>125</v>
      </c>
      <c r="C3051" s="6" t="s">
        <v>465</v>
      </c>
      <c r="D3051" s="6" t="s">
        <v>126</v>
      </c>
      <c r="E3051" s="11">
        <v>8.3302726745605469</v>
      </c>
      <c r="F3051" s="11">
        <v>6.9823474884033203</v>
      </c>
    </row>
    <row r="3052" spans="1:6" hidden="1" x14ac:dyDescent="0.3">
      <c r="A3052" s="6">
        <v>22</v>
      </c>
      <c r="B3052" s="6" t="s">
        <v>125</v>
      </c>
      <c r="C3052" s="6" t="s">
        <v>466</v>
      </c>
      <c r="D3052" s="6" t="s">
        <v>126</v>
      </c>
      <c r="E3052" s="11">
        <v>2.77081298828125</v>
      </c>
      <c r="F3052" s="11">
        <v>6.9823474884033203</v>
      </c>
    </row>
    <row r="3053" spans="1:6" hidden="1" x14ac:dyDescent="0.3">
      <c r="A3053" s="6">
        <v>22</v>
      </c>
      <c r="B3053" s="6" t="s">
        <v>125</v>
      </c>
      <c r="C3053" s="6" t="s">
        <v>467</v>
      </c>
      <c r="D3053" s="6" t="s">
        <v>126</v>
      </c>
      <c r="E3053" s="11">
        <v>22.021244049072266</v>
      </c>
      <c r="F3053" s="11">
        <v>6.9823474884033203</v>
      </c>
    </row>
    <row r="3054" spans="1:6" hidden="1" x14ac:dyDescent="0.3">
      <c r="A3054" s="6">
        <v>22</v>
      </c>
      <c r="B3054" s="6" t="s">
        <v>125</v>
      </c>
      <c r="C3054" s="6" t="s">
        <v>468</v>
      </c>
      <c r="D3054" s="6" t="s">
        <v>126</v>
      </c>
      <c r="E3054" s="11">
        <v>9.3632669448852539</v>
      </c>
      <c r="F3054" s="11">
        <v>6.9823474884033203</v>
      </c>
    </row>
    <row r="3055" spans="1:6" hidden="1" x14ac:dyDescent="0.3">
      <c r="A3055" s="6">
        <v>22</v>
      </c>
      <c r="B3055" s="6" t="s">
        <v>125</v>
      </c>
      <c r="C3055" s="6" t="s">
        <v>469</v>
      </c>
      <c r="D3055" s="6" t="s">
        <v>126</v>
      </c>
      <c r="E3055" s="11">
        <v>4.9160323143005371</v>
      </c>
      <c r="F3055" s="11">
        <v>6.9823474884033203</v>
      </c>
    </row>
    <row r="3056" spans="1:6" hidden="1" x14ac:dyDescent="0.3">
      <c r="A3056" s="6">
        <v>22</v>
      </c>
      <c r="B3056" s="6" t="s">
        <v>125</v>
      </c>
      <c r="C3056" s="6" t="s">
        <v>470</v>
      </c>
      <c r="D3056" s="6" t="s">
        <v>126</v>
      </c>
      <c r="E3056" s="11">
        <v>6.8781733512878418</v>
      </c>
      <c r="F3056" s="11">
        <v>6.9823474884033203</v>
      </c>
    </row>
    <row r="3057" spans="1:6" hidden="1" x14ac:dyDescent="0.3">
      <c r="A3057" s="6">
        <v>22</v>
      </c>
      <c r="B3057" s="6" t="s">
        <v>125</v>
      </c>
      <c r="C3057" s="6" t="s">
        <v>471</v>
      </c>
      <c r="D3057" s="6" t="s">
        <v>126</v>
      </c>
      <c r="E3057" s="11">
        <v>4.8982124328613281</v>
      </c>
      <c r="F3057" s="11">
        <v>6.9823474884033203</v>
      </c>
    </row>
    <row r="3058" spans="1:6" hidden="1" x14ac:dyDescent="0.3">
      <c r="A3058" s="6">
        <v>22</v>
      </c>
      <c r="B3058" s="6" t="s">
        <v>125</v>
      </c>
      <c r="C3058" s="6" t="s">
        <v>472</v>
      </c>
      <c r="D3058" s="6" t="s">
        <v>126</v>
      </c>
      <c r="E3058" s="11">
        <v>6.3706765174865723</v>
      </c>
      <c r="F3058" s="11">
        <v>6.9823474884033203</v>
      </c>
    </row>
    <row r="3059" spans="1:6" hidden="1" x14ac:dyDescent="0.3">
      <c r="A3059" s="6">
        <v>22</v>
      </c>
      <c r="B3059" s="6" t="s">
        <v>125</v>
      </c>
      <c r="C3059" s="6" t="s">
        <v>473</v>
      </c>
      <c r="D3059" s="6" t="s">
        <v>126</v>
      </c>
      <c r="E3059" s="11">
        <v>7.0583338737487793</v>
      </c>
      <c r="F3059" s="11">
        <v>6.9823474884033203</v>
      </c>
    </row>
    <row r="3060" spans="1:6" hidden="1" x14ac:dyDescent="0.3">
      <c r="A3060" s="6">
        <v>22</v>
      </c>
      <c r="B3060" s="6" t="s">
        <v>125</v>
      </c>
      <c r="C3060" s="6" t="s">
        <v>474</v>
      </c>
      <c r="D3060" s="6" t="s">
        <v>126</v>
      </c>
      <c r="E3060" s="11">
        <v>5.5686159133911133</v>
      </c>
      <c r="F3060" s="11">
        <v>6.9823474884033203</v>
      </c>
    </row>
    <row r="3061" spans="1:6" hidden="1" x14ac:dyDescent="0.3">
      <c r="A3061" s="6">
        <v>22</v>
      </c>
      <c r="B3061" s="6" t="s">
        <v>125</v>
      </c>
      <c r="C3061" s="6" t="s">
        <v>475</v>
      </c>
      <c r="D3061" s="6" t="s">
        <v>126</v>
      </c>
      <c r="E3061" s="11">
        <v>5.9547080993652344</v>
      </c>
      <c r="F3061" s="11">
        <v>6.9823474884033203</v>
      </c>
    </row>
    <row r="3062" spans="1:6" hidden="1" x14ac:dyDescent="0.3">
      <c r="A3062" s="6">
        <v>22</v>
      </c>
      <c r="B3062" s="6" t="s">
        <v>125</v>
      </c>
      <c r="C3062" s="6" t="s">
        <v>476</v>
      </c>
      <c r="D3062" s="6" t="s">
        <v>126</v>
      </c>
      <c r="E3062" s="11">
        <v>7.8180665969848633</v>
      </c>
      <c r="F3062" s="11">
        <v>6.9823474884033203</v>
      </c>
    </row>
    <row r="3063" spans="1:6" hidden="1" x14ac:dyDescent="0.3">
      <c r="A3063" s="6">
        <v>22</v>
      </c>
      <c r="B3063" s="6" t="s">
        <v>125</v>
      </c>
      <c r="C3063" s="6" t="s">
        <v>477</v>
      </c>
      <c r="D3063" s="6" t="s">
        <v>126</v>
      </c>
      <c r="E3063" s="11">
        <v>6.5787262916564941</v>
      </c>
      <c r="F3063" s="11">
        <v>6.9823474884033203</v>
      </c>
    </row>
    <row r="3064" spans="1:6" hidden="1" x14ac:dyDescent="0.3">
      <c r="A3064" s="6">
        <v>22</v>
      </c>
      <c r="B3064" s="6" t="s">
        <v>125</v>
      </c>
      <c r="C3064" s="6" t="s">
        <v>478</v>
      </c>
      <c r="D3064" s="6" t="s">
        <v>126</v>
      </c>
      <c r="E3064" s="11">
        <v>8.1358070373535156</v>
      </c>
      <c r="F3064" s="11">
        <v>6.9823474884033203</v>
      </c>
    </row>
    <row r="3065" spans="1:6" hidden="1" x14ac:dyDescent="0.3">
      <c r="A3065" s="6">
        <v>22</v>
      </c>
      <c r="B3065" s="6" t="s">
        <v>125</v>
      </c>
      <c r="C3065" s="6" t="s">
        <v>479</v>
      </c>
      <c r="D3065" s="6" t="s">
        <v>126</v>
      </c>
      <c r="E3065" s="11">
        <v>10.530585289001465</v>
      </c>
      <c r="F3065" s="11">
        <v>6.9823474884033203</v>
      </c>
    </row>
    <row r="3066" spans="1:6" hidden="1" x14ac:dyDescent="0.3">
      <c r="A3066" s="6">
        <v>22</v>
      </c>
      <c r="B3066" s="6" t="s">
        <v>125</v>
      </c>
      <c r="C3066" s="6" t="s">
        <v>480</v>
      </c>
      <c r="D3066" s="6" t="s">
        <v>126</v>
      </c>
      <c r="E3066" s="11">
        <v>9.4534435272216797</v>
      </c>
      <c r="F3066" s="11">
        <v>6.9823474884033203</v>
      </c>
    </row>
    <row r="3067" spans="1:6" hidden="1" x14ac:dyDescent="0.3">
      <c r="A3067" s="6">
        <v>22</v>
      </c>
      <c r="B3067" s="6" t="s">
        <v>125</v>
      </c>
      <c r="C3067" s="6" t="s">
        <v>481</v>
      </c>
      <c r="D3067" s="6" t="s">
        <v>126</v>
      </c>
      <c r="E3067" s="11">
        <v>6.9839034080505371</v>
      </c>
      <c r="F3067" s="11">
        <v>6.9823474884033203</v>
      </c>
    </row>
    <row r="3068" spans="1:6" hidden="1" x14ac:dyDescent="0.3">
      <c r="A3068" s="6">
        <v>22</v>
      </c>
      <c r="B3068" s="6" t="s">
        <v>125</v>
      </c>
      <c r="C3068" s="6" t="s">
        <v>482</v>
      </c>
      <c r="D3068" s="6" t="s">
        <v>126</v>
      </c>
      <c r="E3068" s="11">
        <v>7.5542812347412109</v>
      </c>
      <c r="F3068" s="11">
        <v>6.9823474884033203</v>
      </c>
    </row>
    <row r="3069" spans="1:6" hidden="1" x14ac:dyDescent="0.3">
      <c r="A3069" s="6">
        <v>22</v>
      </c>
      <c r="B3069" s="6" t="s">
        <v>125</v>
      </c>
      <c r="C3069" s="6" t="s">
        <v>483</v>
      </c>
      <c r="D3069" s="6" t="s">
        <v>126</v>
      </c>
      <c r="E3069" s="11">
        <v>29.096786499023438</v>
      </c>
      <c r="F3069" s="11">
        <v>6.9823474884033203</v>
      </c>
    </row>
    <row r="3070" spans="1:6" hidden="1" x14ac:dyDescent="0.3">
      <c r="A3070" s="6">
        <v>22</v>
      </c>
      <c r="B3070" s="6" t="s">
        <v>125</v>
      </c>
      <c r="C3070" s="6" t="s">
        <v>484</v>
      </c>
      <c r="D3070" s="6" t="s">
        <v>126</v>
      </c>
      <c r="E3070" s="11">
        <v>11.843380928039551</v>
      </c>
      <c r="F3070" s="11">
        <v>6.9823474884033203</v>
      </c>
    </row>
    <row r="3071" spans="1:6" hidden="1" x14ac:dyDescent="0.3">
      <c r="A3071" s="6">
        <v>22</v>
      </c>
      <c r="B3071" s="6" t="s">
        <v>125</v>
      </c>
      <c r="C3071" s="6" t="s">
        <v>485</v>
      </c>
      <c r="D3071" s="6" t="s">
        <v>126</v>
      </c>
      <c r="E3071" s="11">
        <v>7.2092370986938477</v>
      </c>
      <c r="F3071" s="11">
        <v>6.9823474884033203</v>
      </c>
    </row>
    <row r="3072" spans="1:6" hidden="1" x14ac:dyDescent="0.3">
      <c r="A3072" s="6">
        <v>22</v>
      </c>
      <c r="B3072" s="6" t="s">
        <v>125</v>
      </c>
      <c r="C3072" s="6" t="s">
        <v>486</v>
      </c>
      <c r="D3072" s="6" t="s">
        <v>126</v>
      </c>
      <c r="E3072" s="11">
        <v>6.7222428321838379</v>
      </c>
      <c r="F3072" s="11">
        <v>6.9823474884033203</v>
      </c>
    </row>
    <row r="3073" spans="1:6" hidden="1" x14ac:dyDescent="0.3">
      <c r="A3073" s="6">
        <v>22</v>
      </c>
      <c r="B3073" s="6" t="s">
        <v>125</v>
      </c>
      <c r="C3073" s="6" t="s">
        <v>487</v>
      </c>
      <c r="D3073" s="6" t="s">
        <v>126</v>
      </c>
      <c r="E3073" s="11">
        <v>5.04278564453125</v>
      </c>
      <c r="F3073" s="11">
        <v>6.9823474884033203</v>
      </c>
    </row>
    <row r="3074" spans="1:6" hidden="1" x14ac:dyDescent="0.3">
      <c r="A3074" s="6">
        <v>22</v>
      </c>
      <c r="B3074" s="6" t="s">
        <v>125</v>
      </c>
      <c r="C3074" s="6" t="s">
        <v>488</v>
      </c>
      <c r="D3074" s="6" t="s">
        <v>126</v>
      </c>
      <c r="E3074" s="11">
        <v>7.2787237167358398</v>
      </c>
      <c r="F3074" s="11">
        <v>6.9823474884033203</v>
      </c>
    </row>
    <row r="3075" spans="1:6" hidden="1" x14ac:dyDescent="0.3">
      <c r="A3075" s="6">
        <v>22</v>
      </c>
      <c r="B3075" s="6" t="s">
        <v>125</v>
      </c>
      <c r="C3075" s="6" t="s">
        <v>489</v>
      </c>
      <c r="D3075" s="6" t="s">
        <v>126</v>
      </c>
      <c r="E3075" s="11">
        <v>12.517526626586914</v>
      </c>
      <c r="F3075" s="11">
        <v>6.9823474884033203</v>
      </c>
    </row>
    <row r="3076" spans="1:6" hidden="1" x14ac:dyDescent="0.3">
      <c r="A3076" s="6">
        <v>22</v>
      </c>
      <c r="B3076" s="6" t="s">
        <v>125</v>
      </c>
      <c r="C3076" s="6" t="s">
        <v>490</v>
      </c>
      <c r="D3076" s="6" t="s">
        <v>126</v>
      </c>
      <c r="E3076" s="11">
        <v>11.68808650970459</v>
      </c>
      <c r="F3076" s="11">
        <v>6.9823474884033203</v>
      </c>
    </row>
    <row r="3077" spans="1:6" hidden="1" x14ac:dyDescent="0.3">
      <c r="A3077" s="6">
        <v>22</v>
      </c>
      <c r="B3077" s="6" t="s">
        <v>125</v>
      </c>
      <c r="C3077" s="6" t="s">
        <v>491</v>
      </c>
      <c r="D3077" s="6" t="s">
        <v>126</v>
      </c>
      <c r="E3077" s="11">
        <v>4.9940156936645508</v>
      </c>
      <c r="F3077" s="11">
        <v>6.9823474884033203</v>
      </c>
    </row>
    <row r="3078" spans="1:6" hidden="1" x14ac:dyDescent="0.3">
      <c r="A3078" s="6">
        <v>22</v>
      </c>
      <c r="B3078" s="6" t="s">
        <v>125</v>
      </c>
      <c r="C3078" s="6" t="s">
        <v>492</v>
      </c>
      <c r="D3078" s="6" t="s">
        <v>126</v>
      </c>
      <c r="E3078" s="11">
        <v>10.552291870117188</v>
      </c>
      <c r="F3078" s="11">
        <v>6.9823474884033203</v>
      </c>
    </row>
    <row r="3079" spans="1:6" hidden="1" x14ac:dyDescent="0.3">
      <c r="A3079" s="6">
        <v>22</v>
      </c>
      <c r="B3079" s="6" t="s">
        <v>125</v>
      </c>
      <c r="C3079" s="6" t="s">
        <v>493</v>
      </c>
      <c r="D3079" s="6" t="s">
        <v>126</v>
      </c>
      <c r="E3079" s="11">
        <v>7.8236222267150879</v>
      </c>
      <c r="F3079" s="11">
        <v>6.9823474884033203</v>
      </c>
    </row>
    <row r="3080" spans="1:6" hidden="1" x14ac:dyDescent="0.3">
      <c r="A3080" s="6">
        <v>22</v>
      </c>
      <c r="B3080" s="6" t="s">
        <v>125</v>
      </c>
      <c r="C3080" s="6" t="s">
        <v>494</v>
      </c>
      <c r="D3080" s="6" t="s">
        <v>126</v>
      </c>
      <c r="E3080" s="11">
        <v>13.978969573974609</v>
      </c>
      <c r="F3080" s="11">
        <v>6.9823474884033203</v>
      </c>
    </row>
    <row r="3081" spans="1:6" hidden="1" x14ac:dyDescent="0.3">
      <c r="A3081" s="6">
        <v>22</v>
      </c>
      <c r="B3081" s="6" t="s">
        <v>125</v>
      </c>
      <c r="C3081" s="6" t="s">
        <v>495</v>
      </c>
      <c r="D3081" s="6" t="s">
        <v>126</v>
      </c>
      <c r="E3081" s="11">
        <v>8.3799228668212891</v>
      </c>
      <c r="F3081" s="11">
        <v>6.9823474884033203</v>
      </c>
    </row>
    <row r="3082" spans="1:6" hidden="1" x14ac:dyDescent="0.3">
      <c r="A3082" s="6">
        <v>23</v>
      </c>
      <c r="B3082" s="6" t="s">
        <v>127</v>
      </c>
      <c r="C3082" s="6" t="s">
        <v>356</v>
      </c>
      <c r="D3082" s="6" t="s">
        <v>128</v>
      </c>
      <c r="E3082" s="11">
        <v>7.1501283645629883</v>
      </c>
      <c r="F3082" s="11">
        <v>7.0484781265258789</v>
      </c>
    </row>
    <row r="3083" spans="1:6" hidden="1" x14ac:dyDescent="0.3">
      <c r="A3083" s="6">
        <v>23</v>
      </c>
      <c r="B3083" s="6" t="s">
        <v>127</v>
      </c>
      <c r="C3083" s="6" t="s">
        <v>357</v>
      </c>
      <c r="D3083" s="6" t="s">
        <v>128</v>
      </c>
      <c r="E3083" s="11">
        <v>4.8662981986999512</v>
      </c>
      <c r="F3083" s="11">
        <v>7.0484781265258789</v>
      </c>
    </row>
    <row r="3084" spans="1:6" hidden="1" x14ac:dyDescent="0.3">
      <c r="A3084" s="6">
        <v>23</v>
      </c>
      <c r="B3084" s="6" t="s">
        <v>127</v>
      </c>
      <c r="C3084" s="6" t="s">
        <v>358</v>
      </c>
      <c r="D3084" s="6" t="s">
        <v>128</v>
      </c>
      <c r="E3084" s="11">
        <v>12.970156669616699</v>
      </c>
      <c r="F3084" s="11">
        <v>7.0484781265258789</v>
      </c>
    </row>
    <row r="3085" spans="1:6" hidden="1" x14ac:dyDescent="0.3">
      <c r="A3085" s="6">
        <v>23</v>
      </c>
      <c r="B3085" s="6" t="s">
        <v>127</v>
      </c>
      <c r="C3085" s="6" t="s">
        <v>359</v>
      </c>
      <c r="D3085" s="6" t="s">
        <v>128</v>
      </c>
      <c r="E3085" s="11"/>
      <c r="F3085" s="11">
        <v>7.0484781265258789</v>
      </c>
    </row>
    <row r="3086" spans="1:6" hidden="1" x14ac:dyDescent="0.3">
      <c r="A3086" s="6">
        <v>23</v>
      </c>
      <c r="B3086" s="6" t="s">
        <v>127</v>
      </c>
      <c r="C3086" s="6" t="s">
        <v>360</v>
      </c>
      <c r="D3086" s="6" t="s">
        <v>128</v>
      </c>
      <c r="E3086" s="11">
        <v>4.5547580718994141</v>
      </c>
      <c r="F3086" s="11">
        <v>7.0484781265258789</v>
      </c>
    </row>
    <row r="3087" spans="1:6" hidden="1" x14ac:dyDescent="0.3">
      <c r="A3087" s="6">
        <v>23</v>
      </c>
      <c r="B3087" s="6" t="s">
        <v>127</v>
      </c>
      <c r="C3087" s="6" t="s">
        <v>361</v>
      </c>
      <c r="D3087" s="6" t="s">
        <v>128</v>
      </c>
      <c r="E3087" s="11">
        <v>13.428499221801758</v>
      </c>
      <c r="F3087" s="11">
        <v>7.0484781265258789</v>
      </c>
    </row>
    <row r="3088" spans="1:6" hidden="1" x14ac:dyDescent="0.3">
      <c r="A3088" s="6">
        <v>23</v>
      </c>
      <c r="B3088" s="6" t="s">
        <v>127</v>
      </c>
      <c r="C3088" s="6" t="s">
        <v>362</v>
      </c>
      <c r="D3088" s="6" t="s">
        <v>128</v>
      </c>
      <c r="E3088" s="11">
        <v>11.007993698120117</v>
      </c>
      <c r="F3088" s="11">
        <v>7.0484781265258789</v>
      </c>
    </row>
    <row r="3089" spans="1:6" hidden="1" x14ac:dyDescent="0.3">
      <c r="A3089" s="6">
        <v>23</v>
      </c>
      <c r="B3089" s="6" t="s">
        <v>127</v>
      </c>
      <c r="C3089" s="6" t="s">
        <v>363</v>
      </c>
      <c r="D3089" s="6" t="s">
        <v>128</v>
      </c>
      <c r="E3089" s="11">
        <v>7.2222127914428711</v>
      </c>
      <c r="F3089" s="11">
        <v>7.0484781265258789</v>
      </c>
    </row>
    <row r="3090" spans="1:6" hidden="1" x14ac:dyDescent="0.3">
      <c r="A3090" s="6">
        <v>23</v>
      </c>
      <c r="B3090" s="6" t="s">
        <v>127</v>
      </c>
      <c r="C3090" s="6" t="s">
        <v>364</v>
      </c>
      <c r="D3090" s="6" t="s">
        <v>128</v>
      </c>
      <c r="E3090" s="11">
        <v>4.7719860076904297</v>
      </c>
      <c r="F3090" s="11">
        <v>7.0484781265258789</v>
      </c>
    </row>
    <row r="3091" spans="1:6" hidden="1" x14ac:dyDescent="0.3">
      <c r="A3091" s="6">
        <v>23</v>
      </c>
      <c r="B3091" s="6" t="s">
        <v>127</v>
      </c>
      <c r="C3091" s="6" t="s">
        <v>365</v>
      </c>
      <c r="D3091" s="6" t="s">
        <v>128</v>
      </c>
      <c r="E3091" s="11">
        <v>19.174812316894531</v>
      </c>
      <c r="F3091" s="11">
        <v>7.0484781265258789</v>
      </c>
    </row>
    <row r="3092" spans="1:6" hidden="1" x14ac:dyDescent="0.3">
      <c r="A3092" s="6">
        <v>23</v>
      </c>
      <c r="B3092" s="6" t="s">
        <v>127</v>
      </c>
      <c r="C3092" s="6" t="s">
        <v>366</v>
      </c>
      <c r="D3092" s="6" t="s">
        <v>128</v>
      </c>
      <c r="E3092" s="11">
        <v>8.3713521957397461</v>
      </c>
      <c r="F3092" s="11">
        <v>7.0484781265258789</v>
      </c>
    </row>
    <row r="3093" spans="1:6" hidden="1" x14ac:dyDescent="0.3">
      <c r="A3093" s="6">
        <v>23</v>
      </c>
      <c r="B3093" s="6" t="s">
        <v>127</v>
      </c>
      <c r="C3093" s="6" t="s">
        <v>367</v>
      </c>
      <c r="D3093" s="6" t="s">
        <v>128</v>
      </c>
      <c r="E3093" s="11">
        <v>5.0807032585144043</v>
      </c>
      <c r="F3093" s="11">
        <v>7.0484781265258789</v>
      </c>
    </row>
    <row r="3094" spans="1:6" hidden="1" x14ac:dyDescent="0.3">
      <c r="A3094" s="6">
        <v>23</v>
      </c>
      <c r="B3094" s="6" t="s">
        <v>127</v>
      </c>
      <c r="C3094" s="6" t="s">
        <v>368</v>
      </c>
      <c r="D3094" s="6" t="s">
        <v>128</v>
      </c>
      <c r="E3094" s="11">
        <v>14.166562080383301</v>
      </c>
      <c r="F3094" s="11">
        <v>7.0484781265258789</v>
      </c>
    </row>
    <row r="3095" spans="1:6" hidden="1" x14ac:dyDescent="0.3">
      <c r="A3095" s="6">
        <v>23</v>
      </c>
      <c r="B3095" s="6" t="s">
        <v>127</v>
      </c>
      <c r="C3095" s="6" t="s">
        <v>369</v>
      </c>
      <c r="D3095" s="6" t="s">
        <v>128</v>
      </c>
      <c r="E3095" s="11"/>
      <c r="F3095" s="11">
        <v>7.0484781265258789</v>
      </c>
    </row>
    <row r="3096" spans="1:6" hidden="1" x14ac:dyDescent="0.3">
      <c r="A3096" s="6">
        <v>23</v>
      </c>
      <c r="B3096" s="6" t="s">
        <v>127</v>
      </c>
      <c r="C3096" s="6" t="s">
        <v>370</v>
      </c>
      <c r="D3096" s="6" t="s">
        <v>128</v>
      </c>
      <c r="E3096" s="11">
        <v>9.4316577911376953</v>
      </c>
      <c r="F3096" s="11">
        <v>7.0484781265258789</v>
      </c>
    </row>
    <row r="3097" spans="1:6" hidden="1" x14ac:dyDescent="0.3">
      <c r="A3097" s="6">
        <v>23</v>
      </c>
      <c r="B3097" s="6" t="s">
        <v>127</v>
      </c>
      <c r="C3097" s="6" t="s">
        <v>371</v>
      </c>
      <c r="D3097" s="6" t="s">
        <v>128</v>
      </c>
      <c r="E3097" s="11">
        <v>4.8199129104614258</v>
      </c>
      <c r="F3097" s="11">
        <v>7.0484781265258789</v>
      </c>
    </row>
    <row r="3098" spans="1:6" hidden="1" x14ac:dyDescent="0.3">
      <c r="A3098" s="6">
        <v>23</v>
      </c>
      <c r="B3098" s="6" t="s">
        <v>127</v>
      </c>
      <c r="C3098" s="6" t="s">
        <v>372</v>
      </c>
      <c r="D3098" s="6" t="s">
        <v>128</v>
      </c>
      <c r="E3098" s="11">
        <v>1266.719970703125</v>
      </c>
      <c r="F3098" s="11">
        <v>7.0484781265258789</v>
      </c>
    </row>
    <row r="3099" spans="1:6" hidden="1" x14ac:dyDescent="0.3">
      <c r="A3099" s="6">
        <v>23</v>
      </c>
      <c r="B3099" s="6" t="s">
        <v>127</v>
      </c>
      <c r="C3099" s="6" t="s">
        <v>373</v>
      </c>
      <c r="D3099" s="6" t="s">
        <v>128</v>
      </c>
      <c r="E3099" s="11">
        <v>7.5520000457763672</v>
      </c>
      <c r="F3099" s="11">
        <v>7.0484781265258789</v>
      </c>
    </row>
    <row r="3100" spans="1:6" hidden="1" x14ac:dyDescent="0.3">
      <c r="A3100" s="6">
        <v>23</v>
      </c>
      <c r="B3100" s="6" t="s">
        <v>127</v>
      </c>
      <c r="C3100" s="6" t="s">
        <v>374</v>
      </c>
      <c r="D3100" s="6" t="s">
        <v>128</v>
      </c>
      <c r="E3100" s="11">
        <v>55.095829010009766</v>
      </c>
      <c r="F3100" s="11">
        <v>7.0484781265258789</v>
      </c>
    </row>
    <row r="3101" spans="1:6" hidden="1" x14ac:dyDescent="0.3">
      <c r="A3101" s="6">
        <v>23</v>
      </c>
      <c r="B3101" s="6" t="s">
        <v>127</v>
      </c>
      <c r="C3101" s="6" t="s">
        <v>375</v>
      </c>
      <c r="D3101" s="6" t="s">
        <v>128</v>
      </c>
      <c r="E3101" s="11">
        <v>55.271144866943359</v>
      </c>
      <c r="F3101" s="11">
        <v>7.0484781265258789</v>
      </c>
    </row>
    <row r="3102" spans="1:6" hidden="1" x14ac:dyDescent="0.3">
      <c r="A3102" s="6">
        <v>23</v>
      </c>
      <c r="B3102" s="6" t="s">
        <v>127</v>
      </c>
      <c r="C3102" s="6" t="s">
        <v>376</v>
      </c>
      <c r="D3102" s="6" t="s">
        <v>128</v>
      </c>
      <c r="E3102" s="11">
        <v>11.267754554748535</v>
      </c>
      <c r="F3102" s="11">
        <v>7.0484781265258789</v>
      </c>
    </row>
    <row r="3103" spans="1:6" hidden="1" x14ac:dyDescent="0.3">
      <c r="A3103" s="6">
        <v>23</v>
      </c>
      <c r="B3103" s="6" t="s">
        <v>127</v>
      </c>
      <c r="C3103" s="6" t="s">
        <v>377</v>
      </c>
      <c r="D3103" s="6" t="s">
        <v>128</v>
      </c>
      <c r="E3103" s="11">
        <v>12.551041603088379</v>
      </c>
      <c r="F3103" s="11">
        <v>7.0484781265258789</v>
      </c>
    </row>
    <row r="3104" spans="1:6" hidden="1" x14ac:dyDescent="0.3">
      <c r="A3104" s="6">
        <v>23</v>
      </c>
      <c r="B3104" s="6" t="s">
        <v>127</v>
      </c>
      <c r="C3104" s="6" t="s">
        <v>378</v>
      </c>
      <c r="D3104" s="6" t="s">
        <v>128</v>
      </c>
      <c r="E3104" s="11">
        <v>13.612401962280273</v>
      </c>
      <c r="F3104" s="11">
        <v>7.0484781265258789</v>
      </c>
    </row>
    <row r="3105" spans="1:6" hidden="1" x14ac:dyDescent="0.3">
      <c r="A3105" s="6">
        <v>23</v>
      </c>
      <c r="B3105" s="6" t="s">
        <v>127</v>
      </c>
      <c r="C3105" s="6" t="s">
        <v>379</v>
      </c>
      <c r="D3105" s="6" t="s">
        <v>128</v>
      </c>
      <c r="E3105" s="11">
        <v>3.6377322673797607</v>
      </c>
      <c r="F3105" s="11">
        <v>7.0484781265258789</v>
      </c>
    </row>
    <row r="3106" spans="1:6" hidden="1" x14ac:dyDescent="0.3">
      <c r="A3106" s="6">
        <v>23</v>
      </c>
      <c r="B3106" s="6" t="s">
        <v>127</v>
      </c>
      <c r="C3106" s="6" t="s">
        <v>380</v>
      </c>
      <c r="D3106" s="6" t="s">
        <v>128</v>
      </c>
      <c r="E3106" s="11">
        <v>5.6143631935119629</v>
      </c>
      <c r="F3106" s="11">
        <v>7.0484781265258789</v>
      </c>
    </row>
    <row r="3107" spans="1:6" hidden="1" x14ac:dyDescent="0.3">
      <c r="A3107" s="6">
        <v>23</v>
      </c>
      <c r="B3107" s="6" t="s">
        <v>127</v>
      </c>
      <c r="C3107" s="6" t="s">
        <v>381</v>
      </c>
      <c r="D3107" s="6" t="s">
        <v>128</v>
      </c>
      <c r="E3107" s="11">
        <v>13.073781967163086</v>
      </c>
      <c r="F3107" s="11">
        <v>7.0484781265258789</v>
      </c>
    </row>
    <row r="3108" spans="1:6" hidden="1" x14ac:dyDescent="0.3">
      <c r="A3108" s="6">
        <v>23</v>
      </c>
      <c r="B3108" s="6" t="s">
        <v>127</v>
      </c>
      <c r="C3108" s="6" t="s">
        <v>382</v>
      </c>
      <c r="D3108" s="6" t="s">
        <v>128</v>
      </c>
      <c r="E3108" s="11">
        <v>6.2017531394958496</v>
      </c>
      <c r="F3108" s="11">
        <v>7.0484781265258789</v>
      </c>
    </row>
    <row r="3109" spans="1:6" hidden="1" x14ac:dyDescent="0.3">
      <c r="A3109" s="6">
        <v>23</v>
      </c>
      <c r="B3109" s="6" t="s">
        <v>127</v>
      </c>
      <c r="C3109" s="6" t="s">
        <v>383</v>
      </c>
      <c r="D3109" s="6" t="s">
        <v>128</v>
      </c>
      <c r="E3109" s="11">
        <v>18.615171432495117</v>
      </c>
      <c r="F3109" s="11">
        <v>7.0484781265258789</v>
      </c>
    </row>
    <row r="3110" spans="1:6" hidden="1" x14ac:dyDescent="0.3">
      <c r="A3110" s="6">
        <v>23</v>
      </c>
      <c r="B3110" s="6" t="s">
        <v>127</v>
      </c>
      <c r="C3110" s="6" t="s">
        <v>384</v>
      </c>
      <c r="D3110" s="6" t="s">
        <v>128</v>
      </c>
      <c r="E3110" s="11">
        <v>3.8259012699127197</v>
      </c>
      <c r="F3110" s="11">
        <v>7.0484781265258789</v>
      </c>
    </row>
    <row r="3111" spans="1:6" hidden="1" x14ac:dyDescent="0.3">
      <c r="A3111" s="6">
        <v>23</v>
      </c>
      <c r="B3111" s="6" t="s">
        <v>127</v>
      </c>
      <c r="C3111" s="6" t="s">
        <v>385</v>
      </c>
      <c r="D3111" s="6" t="s">
        <v>128</v>
      </c>
      <c r="E3111" s="11">
        <v>6.0067334175109863</v>
      </c>
      <c r="F3111" s="11">
        <v>7.0484781265258789</v>
      </c>
    </row>
    <row r="3112" spans="1:6" hidden="1" x14ac:dyDescent="0.3">
      <c r="A3112" s="6">
        <v>23</v>
      </c>
      <c r="B3112" s="6" t="s">
        <v>127</v>
      </c>
      <c r="C3112" s="6" t="s">
        <v>386</v>
      </c>
      <c r="D3112" s="6" t="s">
        <v>128</v>
      </c>
      <c r="E3112" s="11">
        <v>5932.52978515625</v>
      </c>
      <c r="F3112" s="11">
        <v>7.0484781265258789</v>
      </c>
    </row>
    <row r="3113" spans="1:6" hidden="1" x14ac:dyDescent="0.3">
      <c r="A3113" s="6">
        <v>23</v>
      </c>
      <c r="B3113" s="6" t="s">
        <v>127</v>
      </c>
      <c r="C3113" s="6" t="s">
        <v>387</v>
      </c>
      <c r="D3113" s="6" t="s">
        <v>128</v>
      </c>
      <c r="E3113" s="11">
        <v>15.189004898071289</v>
      </c>
      <c r="F3113" s="11">
        <v>7.0484781265258789</v>
      </c>
    </row>
    <row r="3114" spans="1:6" hidden="1" x14ac:dyDescent="0.3">
      <c r="A3114" s="6">
        <v>23</v>
      </c>
      <c r="B3114" s="6" t="s">
        <v>127</v>
      </c>
      <c r="C3114" s="6" t="s">
        <v>388</v>
      </c>
      <c r="D3114" s="6" t="s">
        <v>128</v>
      </c>
      <c r="E3114" s="11">
        <v>22.734310150146484</v>
      </c>
      <c r="F3114" s="11">
        <v>7.0484781265258789</v>
      </c>
    </row>
    <row r="3115" spans="1:6" hidden="1" x14ac:dyDescent="0.3">
      <c r="A3115" s="6">
        <v>23</v>
      </c>
      <c r="B3115" s="6" t="s">
        <v>127</v>
      </c>
      <c r="C3115" s="6" t="s">
        <v>389</v>
      </c>
      <c r="D3115" s="6" t="s">
        <v>128</v>
      </c>
      <c r="E3115" s="11">
        <v>7.0743041038513184</v>
      </c>
      <c r="F3115" s="11">
        <v>7.0484781265258789</v>
      </c>
    </row>
    <row r="3116" spans="1:6" hidden="1" x14ac:dyDescent="0.3">
      <c r="A3116" s="6">
        <v>23</v>
      </c>
      <c r="B3116" s="6" t="s">
        <v>127</v>
      </c>
      <c r="C3116" s="6" t="s">
        <v>390</v>
      </c>
      <c r="D3116" s="6" t="s">
        <v>128</v>
      </c>
      <c r="E3116" s="11">
        <v>4.1295967102050781</v>
      </c>
      <c r="F3116" s="11">
        <v>7.0484781265258789</v>
      </c>
    </row>
    <row r="3117" spans="1:6" hidden="1" x14ac:dyDescent="0.3">
      <c r="A3117" s="6">
        <v>23</v>
      </c>
      <c r="B3117" s="6" t="s">
        <v>127</v>
      </c>
      <c r="C3117" s="6" t="s">
        <v>391</v>
      </c>
      <c r="D3117" s="6" t="s">
        <v>128</v>
      </c>
      <c r="E3117" s="11"/>
      <c r="F3117" s="11">
        <v>7.0484781265258789</v>
      </c>
    </row>
    <row r="3118" spans="1:6" hidden="1" x14ac:dyDescent="0.3">
      <c r="A3118" s="6">
        <v>23</v>
      </c>
      <c r="B3118" s="6" t="s">
        <v>127</v>
      </c>
      <c r="C3118" s="6" t="s">
        <v>392</v>
      </c>
      <c r="D3118" s="6" t="s">
        <v>128</v>
      </c>
      <c r="E3118" s="11">
        <v>5.9597811698913574</v>
      </c>
      <c r="F3118" s="11">
        <v>7.0484781265258789</v>
      </c>
    </row>
    <row r="3119" spans="1:6" hidden="1" x14ac:dyDescent="0.3">
      <c r="A3119" s="6">
        <v>23</v>
      </c>
      <c r="B3119" s="6" t="s">
        <v>127</v>
      </c>
      <c r="C3119" s="6" t="s">
        <v>393</v>
      </c>
      <c r="D3119" s="6" t="s">
        <v>128</v>
      </c>
      <c r="E3119" s="11">
        <v>12.852154731750488</v>
      </c>
      <c r="F3119" s="11">
        <v>7.0484781265258789</v>
      </c>
    </row>
    <row r="3120" spans="1:6" hidden="1" x14ac:dyDescent="0.3">
      <c r="A3120" s="6">
        <v>23</v>
      </c>
      <c r="B3120" s="6" t="s">
        <v>127</v>
      </c>
      <c r="C3120" s="6" t="s">
        <v>394</v>
      </c>
      <c r="D3120" s="6" t="s">
        <v>128</v>
      </c>
      <c r="E3120" s="11">
        <v>11.448384284973145</v>
      </c>
      <c r="F3120" s="11">
        <v>7.0484781265258789</v>
      </c>
    </row>
    <row r="3121" spans="1:6" hidden="1" x14ac:dyDescent="0.3">
      <c r="A3121" s="6">
        <v>23</v>
      </c>
      <c r="B3121" s="6" t="s">
        <v>127</v>
      </c>
      <c r="C3121" s="6" t="s">
        <v>395</v>
      </c>
      <c r="D3121" s="6" t="s">
        <v>128</v>
      </c>
      <c r="E3121" s="11">
        <v>12.880000114440918</v>
      </c>
      <c r="F3121" s="11">
        <v>7.0484781265258789</v>
      </c>
    </row>
    <row r="3122" spans="1:6" hidden="1" x14ac:dyDescent="0.3">
      <c r="A3122" s="6">
        <v>23</v>
      </c>
      <c r="B3122" s="6" t="s">
        <v>127</v>
      </c>
      <c r="C3122" s="6" t="s">
        <v>396</v>
      </c>
      <c r="D3122" s="6" t="s">
        <v>128</v>
      </c>
      <c r="E3122" s="11">
        <v>4.7720751762390137</v>
      </c>
      <c r="F3122" s="11">
        <v>7.0484781265258789</v>
      </c>
    </row>
    <row r="3123" spans="1:6" hidden="1" x14ac:dyDescent="0.3">
      <c r="A3123" s="6">
        <v>23</v>
      </c>
      <c r="B3123" s="6" t="s">
        <v>127</v>
      </c>
      <c r="C3123" s="6" t="s">
        <v>397</v>
      </c>
      <c r="D3123" s="6" t="s">
        <v>128</v>
      </c>
      <c r="E3123" s="11">
        <v>3.3726260662078857</v>
      </c>
      <c r="F3123" s="11">
        <v>7.0484781265258789</v>
      </c>
    </row>
    <row r="3124" spans="1:6" hidden="1" x14ac:dyDescent="0.3">
      <c r="A3124" s="6">
        <v>23</v>
      </c>
      <c r="B3124" s="6" t="s">
        <v>127</v>
      </c>
      <c r="C3124" s="6" t="s">
        <v>398</v>
      </c>
      <c r="D3124" s="6" t="s">
        <v>128</v>
      </c>
      <c r="E3124" s="11">
        <v>3.7212653160095215</v>
      </c>
      <c r="F3124" s="11">
        <v>7.0484781265258789</v>
      </c>
    </row>
    <row r="3125" spans="1:6" hidden="1" x14ac:dyDescent="0.3">
      <c r="A3125" s="6">
        <v>23</v>
      </c>
      <c r="B3125" s="6" t="s">
        <v>127</v>
      </c>
      <c r="C3125" s="6" t="s">
        <v>399</v>
      </c>
      <c r="D3125" s="6" t="s">
        <v>128</v>
      </c>
      <c r="E3125" s="11">
        <v>4.9792251586914063</v>
      </c>
      <c r="F3125" s="11">
        <v>7.0484781265258789</v>
      </c>
    </row>
    <row r="3126" spans="1:6" hidden="1" x14ac:dyDescent="0.3">
      <c r="A3126" s="6">
        <v>23</v>
      </c>
      <c r="B3126" s="6" t="s">
        <v>127</v>
      </c>
      <c r="C3126" s="6" t="s">
        <v>400</v>
      </c>
      <c r="D3126" s="6" t="s">
        <v>128</v>
      </c>
      <c r="E3126" s="11">
        <v>4.8585314750671387</v>
      </c>
      <c r="F3126" s="11">
        <v>7.0484781265258789</v>
      </c>
    </row>
    <row r="3127" spans="1:6" hidden="1" x14ac:dyDescent="0.3">
      <c r="A3127" s="6">
        <v>23</v>
      </c>
      <c r="B3127" s="6" t="s">
        <v>127</v>
      </c>
      <c r="C3127" s="6" t="s">
        <v>401</v>
      </c>
      <c r="D3127" s="6" t="s">
        <v>128</v>
      </c>
      <c r="E3127" s="11">
        <v>7.9305877685546875</v>
      </c>
      <c r="F3127" s="11">
        <v>7.0484781265258789</v>
      </c>
    </row>
    <row r="3128" spans="1:6" hidden="1" x14ac:dyDescent="0.3">
      <c r="A3128" s="6">
        <v>23</v>
      </c>
      <c r="B3128" s="6" t="s">
        <v>127</v>
      </c>
      <c r="C3128" s="6" t="s">
        <v>402</v>
      </c>
      <c r="D3128" s="6" t="s">
        <v>128</v>
      </c>
      <c r="E3128" s="11">
        <v>8.08819580078125</v>
      </c>
      <c r="F3128" s="11">
        <v>7.0484781265258789</v>
      </c>
    </row>
    <row r="3129" spans="1:6" hidden="1" x14ac:dyDescent="0.3">
      <c r="A3129" s="6">
        <v>23</v>
      </c>
      <c r="B3129" s="6" t="s">
        <v>127</v>
      </c>
      <c r="C3129" s="6" t="s">
        <v>403</v>
      </c>
      <c r="D3129" s="6" t="s">
        <v>128</v>
      </c>
      <c r="E3129" s="11">
        <v>4.3087120056152344</v>
      </c>
      <c r="F3129" s="11">
        <v>7.0484781265258789</v>
      </c>
    </row>
    <row r="3130" spans="1:6" hidden="1" x14ac:dyDescent="0.3">
      <c r="A3130" s="6">
        <v>23</v>
      </c>
      <c r="B3130" s="6" t="s">
        <v>127</v>
      </c>
      <c r="C3130" s="6" t="s">
        <v>404</v>
      </c>
      <c r="D3130" s="6" t="s">
        <v>128</v>
      </c>
      <c r="E3130" s="11">
        <v>15.703793525695801</v>
      </c>
      <c r="F3130" s="11">
        <v>7.0484781265258789</v>
      </c>
    </row>
    <row r="3131" spans="1:6" hidden="1" x14ac:dyDescent="0.3">
      <c r="A3131" s="6">
        <v>23</v>
      </c>
      <c r="B3131" s="6" t="s">
        <v>127</v>
      </c>
      <c r="C3131" s="6" t="s">
        <v>405</v>
      </c>
      <c r="D3131" s="6" t="s">
        <v>128</v>
      </c>
      <c r="E3131" s="11">
        <v>6.1148171424865723</v>
      </c>
      <c r="F3131" s="11">
        <v>7.0484781265258789</v>
      </c>
    </row>
    <row r="3132" spans="1:6" hidden="1" x14ac:dyDescent="0.3">
      <c r="A3132" s="6">
        <v>23</v>
      </c>
      <c r="B3132" s="6" t="s">
        <v>127</v>
      </c>
      <c r="C3132" s="6" t="s">
        <v>406</v>
      </c>
      <c r="D3132" s="6" t="s">
        <v>128</v>
      </c>
      <c r="E3132" s="11">
        <v>5.0388388633728027</v>
      </c>
      <c r="F3132" s="11">
        <v>7.0484781265258789</v>
      </c>
    </row>
    <row r="3133" spans="1:6" hidden="1" x14ac:dyDescent="0.3">
      <c r="A3133" s="6">
        <v>23</v>
      </c>
      <c r="B3133" s="6" t="s">
        <v>127</v>
      </c>
      <c r="C3133" s="6" t="s">
        <v>407</v>
      </c>
      <c r="D3133" s="6" t="s">
        <v>128</v>
      </c>
      <c r="E3133" s="11">
        <v>3.6162419319152832</v>
      </c>
      <c r="F3133" s="11">
        <v>7.0484781265258789</v>
      </c>
    </row>
    <row r="3134" spans="1:6" hidden="1" x14ac:dyDescent="0.3">
      <c r="A3134" s="6">
        <v>23</v>
      </c>
      <c r="B3134" s="6" t="s">
        <v>127</v>
      </c>
      <c r="C3134" s="6" t="s">
        <v>408</v>
      </c>
      <c r="D3134" s="6" t="s">
        <v>128</v>
      </c>
      <c r="E3134" s="11">
        <v>36.343238830566406</v>
      </c>
      <c r="F3134" s="11">
        <v>7.0484781265258789</v>
      </c>
    </row>
    <row r="3135" spans="1:6" hidden="1" x14ac:dyDescent="0.3">
      <c r="A3135" s="6">
        <v>23</v>
      </c>
      <c r="B3135" s="6" t="s">
        <v>127</v>
      </c>
      <c r="C3135" s="6" t="s">
        <v>409</v>
      </c>
      <c r="D3135" s="6" t="s">
        <v>128</v>
      </c>
      <c r="E3135" s="11">
        <v>2.6546251773834229</v>
      </c>
      <c r="F3135" s="11">
        <v>7.0484781265258789</v>
      </c>
    </row>
    <row r="3136" spans="1:6" hidden="1" x14ac:dyDescent="0.3">
      <c r="A3136" s="6">
        <v>23</v>
      </c>
      <c r="B3136" s="6" t="s">
        <v>127</v>
      </c>
      <c r="C3136" s="6" t="s">
        <v>410</v>
      </c>
      <c r="D3136" s="6" t="s">
        <v>128</v>
      </c>
      <c r="E3136" s="11">
        <v>219.51998901367188</v>
      </c>
      <c r="F3136" s="11">
        <v>7.0484781265258789</v>
      </c>
    </row>
    <row r="3137" spans="1:6" hidden="1" x14ac:dyDescent="0.3">
      <c r="A3137" s="6">
        <v>23</v>
      </c>
      <c r="B3137" s="6" t="s">
        <v>127</v>
      </c>
      <c r="C3137" s="6" t="s">
        <v>411</v>
      </c>
      <c r="D3137" s="6" t="s">
        <v>128</v>
      </c>
      <c r="E3137" s="11">
        <v>4.1505718231201172</v>
      </c>
      <c r="F3137" s="11">
        <v>7.0484781265258789</v>
      </c>
    </row>
    <row r="3138" spans="1:6" hidden="1" x14ac:dyDescent="0.3">
      <c r="A3138" s="6">
        <v>23</v>
      </c>
      <c r="B3138" s="6" t="s">
        <v>127</v>
      </c>
      <c r="C3138" s="6" t="s">
        <v>412</v>
      </c>
      <c r="D3138" s="6" t="s">
        <v>128</v>
      </c>
      <c r="E3138" s="11">
        <v>8.8855609893798828</v>
      </c>
      <c r="F3138" s="11">
        <v>7.0484781265258789</v>
      </c>
    </row>
    <row r="3139" spans="1:6" hidden="1" x14ac:dyDescent="0.3">
      <c r="A3139" s="6">
        <v>23</v>
      </c>
      <c r="B3139" s="6" t="s">
        <v>127</v>
      </c>
      <c r="C3139" s="6" t="s">
        <v>413</v>
      </c>
      <c r="D3139" s="6" t="s">
        <v>128</v>
      </c>
      <c r="E3139" s="11">
        <v>4.5373950004577637</v>
      </c>
      <c r="F3139" s="11">
        <v>7.0484781265258789</v>
      </c>
    </row>
    <row r="3140" spans="1:6" hidden="1" x14ac:dyDescent="0.3">
      <c r="A3140" s="6">
        <v>23</v>
      </c>
      <c r="B3140" s="6" t="s">
        <v>127</v>
      </c>
      <c r="C3140" s="6" t="s">
        <v>414</v>
      </c>
      <c r="D3140" s="6" t="s">
        <v>128</v>
      </c>
      <c r="E3140" s="11">
        <v>2.8354249000549316</v>
      </c>
      <c r="F3140" s="11">
        <v>7.0484781265258789</v>
      </c>
    </row>
    <row r="3141" spans="1:6" hidden="1" x14ac:dyDescent="0.3">
      <c r="A3141" s="6">
        <v>23</v>
      </c>
      <c r="B3141" s="6" t="s">
        <v>127</v>
      </c>
      <c r="C3141" s="6" t="s">
        <v>415</v>
      </c>
      <c r="D3141" s="6" t="s">
        <v>128</v>
      </c>
      <c r="E3141" s="11">
        <v>4.3750772476196289</v>
      </c>
      <c r="F3141" s="11">
        <v>7.0484781265258789</v>
      </c>
    </row>
    <row r="3142" spans="1:6" hidden="1" x14ac:dyDescent="0.3">
      <c r="A3142" s="6">
        <v>23</v>
      </c>
      <c r="B3142" s="6" t="s">
        <v>127</v>
      </c>
      <c r="C3142" s="6" t="s">
        <v>416</v>
      </c>
      <c r="D3142" s="6" t="s">
        <v>128</v>
      </c>
      <c r="E3142" s="11">
        <v>37.376743316650391</v>
      </c>
      <c r="F3142" s="11">
        <v>7.0484781265258789</v>
      </c>
    </row>
    <row r="3143" spans="1:6" hidden="1" x14ac:dyDescent="0.3">
      <c r="A3143" s="6">
        <v>23</v>
      </c>
      <c r="B3143" s="6" t="s">
        <v>127</v>
      </c>
      <c r="C3143" s="6" t="s">
        <v>417</v>
      </c>
      <c r="D3143" s="6" t="s">
        <v>128</v>
      </c>
      <c r="E3143" s="11">
        <v>61.819015502929688</v>
      </c>
      <c r="F3143" s="11">
        <v>7.0484781265258789</v>
      </c>
    </row>
    <row r="3144" spans="1:6" hidden="1" x14ac:dyDescent="0.3">
      <c r="A3144" s="6">
        <v>23</v>
      </c>
      <c r="B3144" s="6" t="s">
        <v>127</v>
      </c>
      <c r="C3144" s="6" t="s">
        <v>418</v>
      </c>
      <c r="D3144" s="6" t="s">
        <v>128</v>
      </c>
      <c r="E3144" s="11">
        <v>7.6719999313354492</v>
      </c>
      <c r="F3144" s="11">
        <v>7.0484781265258789</v>
      </c>
    </row>
    <row r="3145" spans="1:6" hidden="1" x14ac:dyDescent="0.3">
      <c r="A3145" s="6">
        <v>23</v>
      </c>
      <c r="B3145" s="6" t="s">
        <v>127</v>
      </c>
      <c r="C3145" s="6" t="s">
        <v>419</v>
      </c>
      <c r="D3145" s="6" t="s">
        <v>128</v>
      </c>
      <c r="E3145" s="11">
        <v>5.9843759536743164</v>
      </c>
      <c r="F3145" s="11">
        <v>7.0484781265258789</v>
      </c>
    </row>
    <row r="3146" spans="1:6" hidden="1" x14ac:dyDescent="0.3">
      <c r="A3146" s="6">
        <v>23</v>
      </c>
      <c r="B3146" s="6" t="s">
        <v>127</v>
      </c>
      <c r="C3146" s="6" t="s">
        <v>420</v>
      </c>
      <c r="D3146" s="6" t="s">
        <v>128</v>
      </c>
      <c r="E3146" s="11">
        <v>12.92552661895752</v>
      </c>
      <c r="F3146" s="11">
        <v>7.0484781265258789</v>
      </c>
    </row>
    <row r="3147" spans="1:6" hidden="1" x14ac:dyDescent="0.3">
      <c r="A3147" s="6">
        <v>23</v>
      </c>
      <c r="B3147" s="6" t="s">
        <v>127</v>
      </c>
      <c r="C3147" s="6" t="s">
        <v>421</v>
      </c>
      <c r="D3147" s="6" t="s">
        <v>128</v>
      </c>
      <c r="E3147" s="11">
        <v>7.4443073272705078</v>
      </c>
      <c r="F3147" s="11">
        <v>7.0484781265258789</v>
      </c>
    </row>
    <row r="3148" spans="1:6" hidden="1" x14ac:dyDescent="0.3">
      <c r="A3148" s="6">
        <v>23</v>
      </c>
      <c r="B3148" s="6" t="s">
        <v>127</v>
      </c>
      <c r="C3148" s="6" t="s">
        <v>422</v>
      </c>
      <c r="D3148" s="6" t="s">
        <v>128</v>
      </c>
      <c r="E3148" s="11">
        <v>8.3674192428588867</v>
      </c>
      <c r="F3148" s="11">
        <v>7.0484781265258789</v>
      </c>
    </row>
    <row r="3149" spans="1:6" hidden="1" x14ac:dyDescent="0.3">
      <c r="A3149" s="6">
        <v>23</v>
      </c>
      <c r="B3149" s="6" t="s">
        <v>127</v>
      </c>
      <c r="C3149" s="6" t="s">
        <v>423</v>
      </c>
      <c r="D3149" s="6" t="s">
        <v>128</v>
      </c>
      <c r="E3149" s="11">
        <v>5.973541259765625</v>
      </c>
      <c r="F3149" s="11">
        <v>7.0484781265258789</v>
      </c>
    </row>
    <row r="3150" spans="1:6" hidden="1" x14ac:dyDescent="0.3">
      <c r="A3150" s="6">
        <v>23</v>
      </c>
      <c r="B3150" s="6" t="s">
        <v>127</v>
      </c>
      <c r="C3150" s="6" t="s">
        <v>424</v>
      </c>
      <c r="D3150" s="6" t="s">
        <v>128</v>
      </c>
      <c r="E3150" s="11">
        <v>2.6951286792755127</v>
      </c>
      <c r="F3150" s="11">
        <v>7.0484781265258789</v>
      </c>
    </row>
    <row r="3151" spans="1:6" hidden="1" x14ac:dyDescent="0.3">
      <c r="A3151" s="6">
        <v>23</v>
      </c>
      <c r="B3151" s="6" t="s">
        <v>127</v>
      </c>
      <c r="C3151" s="6" t="s">
        <v>425</v>
      </c>
      <c r="D3151" s="6" t="s">
        <v>128</v>
      </c>
      <c r="E3151" s="11">
        <v>92.5018310546875</v>
      </c>
      <c r="F3151" s="11">
        <v>7.0484781265258789</v>
      </c>
    </row>
    <row r="3152" spans="1:6" hidden="1" x14ac:dyDescent="0.3">
      <c r="A3152" s="6">
        <v>23</v>
      </c>
      <c r="B3152" s="6" t="s">
        <v>127</v>
      </c>
      <c r="C3152" s="6" t="s">
        <v>426</v>
      </c>
      <c r="D3152" s="6" t="s">
        <v>128</v>
      </c>
      <c r="E3152" s="11">
        <v>3.2735195159912109</v>
      </c>
      <c r="F3152" s="11">
        <v>7.0484781265258789</v>
      </c>
    </row>
    <row r="3153" spans="1:6" hidden="1" x14ac:dyDescent="0.3">
      <c r="A3153" s="6">
        <v>23</v>
      </c>
      <c r="B3153" s="6" t="s">
        <v>127</v>
      </c>
      <c r="C3153" s="6" t="s">
        <v>427</v>
      </c>
      <c r="D3153" s="6" t="s">
        <v>128</v>
      </c>
      <c r="E3153" s="11">
        <v>9.9524116516113281</v>
      </c>
      <c r="F3153" s="11">
        <v>7.0484781265258789</v>
      </c>
    </row>
    <row r="3154" spans="1:6" hidden="1" x14ac:dyDescent="0.3">
      <c r="A3154" s="6">
        <v>23</v>
      </c>
      <c r="B3154" s="6" t="s">
        <v>127</v>
      </c>
      <c r="C3154" s="6" t="s">
        <v>428</v>
      </c>
      <c r="D3154" s="6" t="s">
        <v>128</v>
      </c>
      <c r="E3154" s="11"/>
      <c r="F3154" s="11">
        <v>7.0484781265258789</v>
      </c>
    </row>
    <row r="3155" spans="1:6" hidden="1" x14ac:dyDescent="0.3">
      <c r="A3155" s="6">
        <v>23</v>
      </c>
      <c r="B3155" s="6" t="s">
        <v>127</v>
      </c>
      <c r="C3155" s="6" t="s">
        <v>429</v>
      </c>
      <c r="D3155" s="6" t="s">
        <v>128</v>
      </c>
      <c r="E3155" s="11">
        <v>8.6084394454956055</v>
      </c>
      <c r="F3155" s="11">
        <v>7.0484781265258789</v>
      </c>
    </row>
    <row r="3156" spans="1:6" hidden="1" x14ac:dyDescent="0.3">
      <c r="A3156" s="6">
        <v>23</v>
      </c>
      <c r="B3156" s="6" t="s">
        <v>127</v>
      </c>
      <c r="C3156" s="6" t="s">
        <v>430</v>
      </c>
      <c r="D3156" s="6" t="s">
        <v>128</v>
      </c>
      <c r="E3156" s="11">
        <v>40.678417205810547</v>
      </c>
      <c r="F3156" s="11">
        <v>7.0484781265258789</v>
      </c>
    </row>
    <row r="3157" spans="1:6" hidden="1" x14ac:dyDescent="0.3">
      <c r="A3157" s="6">
        <v>23</v>
      </c>
      <c r="B3157" s="6" t="s">
        <v>127</v>
      </c>
      <c r="C3157" s="6" t="s">
        <v>431</v>
      </c>
      <c r="D3157" s="6" t="s">
        <v>128</v>
      </c>
      <c r="E3157" s="11">
        <v>2.793508768081665</v>
      </c>
      <c r="F3157" s="11">
        <v>7.0484781265258789</v>
      </c>
    </row>
    <row r="3158" spans="1:6" hidden="1" x14ac:dyDescent="0.3">
      <c r="A3158" s="6">
        <v>23</v>
      </c>
      <c r="B3158" s="6" t="s">
        <v>127</v>
      </c>
      <c r="C3158" s="6" t="s">
        <v>432</v>
      </c>
      <c r="D3158" s="6" t="s">
        <v>128</v>
      </c>
      <c r="E3158" s="11">
        <v>20.800294876098633</v>
      </c>
      <c r="F3158" s="11">
        <v>7.0484781265258789</v>
      </c>
    </row>
    <row r="3159" spans="1:6" hidden="1" x14ac:dyDescent="0.3">
      <c r="A3159" s="6">
        <v>23</v>
      </c>
      <c r="B3159" s="6" t="s">
        <v>127</v>
      </c>
      <c r="C3159" s="6" t="s">
        <v>433</v>
      </c>
      <c r="D3159" s="6" t="s">
        <v>128</v>
      </c>
      <c r="E3159" s="11">
        <v>14.662044525146484</v>
      </c>
      <c r="F3159" s="11">
        <v>7.0484781265258789</v>
      </c>
    </row>
    <row r="3160" spans="1:6" hidden="1" x14ac:dyDescent="0.3">
      <c r="A3160" s="6">
        <v>23</v>
      </c>
      <c r="B3160" s="6" t="s">
        <v>127</v>
      </c>
      <c r="C3160" s="6" t="s">
        <v>434</v>
      </c>
      <c r="D3160" s="6" t="s">
        <v>128</v>
      </c>
      <c r="E3160" s="11">
        <v>4.3651857376098633</v>
      </c>
      <c r="F3160" s="11">
        <v>7.0484781265258789</v>
      </c>
    </row>
    <row r="3161" spans="1:6" hidden="1" x14ac:dyDescent="0.3">
      <c r="A3161" s="6">
        <v>23</v>
      </c>
      <c r="B3161" s="6" t="s">
        <v>127</v>
      </c>
      <c r="C3161" s="6" t="s">
        <v>435</v>
      </c>
      <c r="D3161" s="6" t="s">
        <v>128</v>
      </c>
      <c r="E3161" s="11">
        <v>1075.5506591796875</v>
      </c>
      <c r="F3161" s="11">
        <v>7.0484781265258789</v>
      </c>
    </row>
    <row r="3162" spans="1:6" hidden="1" x14ac:dyDescent="0.3">
      <c r="A3162" s="6">
        <v>23</v>
      </c>
      <c r="B3162" s="6" t="s">
        <v>127</v>
      </c>
      <c r="C3162" s="6" t="s">
        <v>436</v>
      </c>
      <c r="D3162" s="6" t="s">
        <v>128</v>
      </c>
      <c r="E3162" s="11">
        <v>4.933711051940918</v>
      </c>
      <c r="F3162" s="11">
        <v>7.0484781265258789</v>
      </c>
    </row>
    <row r="3163" spans="1:6" hidden="1" x14ac:dyDescent="0.3">
      <c r="A3163" s="6">
        <v>23</v>
      </c>
      <c r="B3163" s="6" t="s">
        <v>127</v>
      </c>
      <c r="C3163" s="6" t="s">
        <v>437</v>
      </c>
      <c r="D3163" s="6" t="s">
        <v>128</v>
      </c>
      <c r="E3163" s="11">
        <v>12.060409545898438</v>
      </c>
      <c r="F3163" s="11">
        <v>7.0484781265258789</v>
      </c>
    </row>
    <row r="3164" spans="1:6" hidden="1" x14ac:dyDescent="0.3">
      <c r="A3164" s="6">
        <v>23</v>
      </c>
      <c r="B3164" s="6" t="s">
        <v>127</v>
      </c>
      <c r="C3164" s="6" t="s">
        <v>438</v>
      </c>
      <c r="D3164" s="6" t="s">
        <v>128</v>
      </c>
      <c r="E3164" s="11">
        <v>5.5463871955871582</v>
      </c>
      <c r="F3164" s="11">
        <v>7.0484781265258789</v>
      </c>
    </row>
    <row r="3165" spans="1:6" hidden="1" x14ac:dyDescent="0.3">
      <c r="A3165" s="6">
        <v>23</v>
      </c>
      <c r="B3165" s="6" t="s">
        <v>127</v>
      </c>
      <c r="C3165" s="6" t="s">
        <v>439</v>
      </c>
      <c r="D3165" s="6" t="s">
        <v>128</v>
      </c>
      <c r="E3165" s="11">
        <v>333.75823974609375</v>
      </c>
      <c r="F3165" s="11">
        <v>7.0484781265258789</v>
      </c>
    </row>
    <row r="3166" spans="1:6" hidden="1" x14ac:dyDescent="0.3">
      <c r="A3166" s="6">
        <v>23</v>
      </c>
      <c r="B3166" s="6" t="s">
        <v>127</v>
      </c>
      <c r="C3166" s="6" t="s">
        <v>440</v>
      </c>
      <c r="D3166" s="6" t="s">
        <v>128</v>
      </c>
      <c r="E3166" s="11">
        <v>32.789104461669922</v>
      </c>
      <c r="F3166" s="11">
        <v>7.0484781265258789</v>
      </c>
    </row>
    <row r="3167" spans="1:6" hidden="1" x14ac:dyDescent="0.3">
      <c r="A3167" s="6">
        <v>23</v>
      </c>
      <c r="B3167" s="6" t="s">
        <v>127</v>
      </c>
      <c r="C3167" s="6" t="s">
        <v>441</v>
      </c>
      <c r="D3167" s="6" t="s">
        <v>128</v>
      </c>
      <c r="E3167" s="11">
        <v>4.423835277557373</v>
      </c>
      <c r="F3167" s="11">
        <v>7.0484781265258789</v>
      </c>
    </row>
    <row r="3168" spans="1:6" hidden="1" x14ac:dyDescent="0.3">
      <c r="A3168" s="6">
        <v>23</v>
      </c>
      <c r="B3168" s="6" t="s">
        <v>127</v>
      </c>
      <c r="C3168" s="6" t="s">
        <v>442</v>
      </c>
      <c r="D3168" s="6" t="s">
        <v>128</v>
      </c>
      <c r="E3168" s="11">
        <v>6.5835838317871094</v>
      </c>
      <c r="F3168" s="11">
        <v>7.0484781265258789</v>
      </c>
    </row>
    <row r="3169" spans="1:6" hidden="1" x14ac:dyDescent="0.3">
      <c r="A3169" s="6">
        <v>23</v>
      </c>
      <c r="B3169" s="6" t="s">
        <v>127</v>
      </c>
      <c r="C3169" s="6" t="s">
        <v>443</v>
      </c>
      <c r="D3169" s="6" t="s">
        <v>128</v>
      </c>
      <c r="E3169" s="11">
        <v>8.7870321273803711</v>
      </c>
      <c r="F3169" s="11">
        <v>7.0484781265258789</v>
      </c>
    </row>
    <row r="3170" spans="1:6" hidden="1" x14ac:dyDescent="0.3">
      <c r="A3170" s="6">
        <v>23</v>
      </c>
      <c r="B3170" s="6" t="s">
        <v>127</v>
      </c>
      <c r="C3170" s="6" t="s">
        <v>444</v>
      </c>
      <c r="D3170" s="6" t="s">
        <v>128</v>
      </c>
      <c r="E3170" s="11">
        <v>22.530099868774414</v>
      </c>
      <c r="F3170" s="11">
        <v>7.0484781265258789</v>
      </c>
    </row>
    <row r="3171" spans="1:6" hidden="1" x14ac:dyDescent="0.3">
      <c r="A3171" s="6">
        <v>23</v>
      </c>
      <c r="B3171" s="6" t="s">
        <v>127</v>
      </c>
      <c r="C3171" s="6" t="s">
        <v>445</v>
      </c>
      <c r="D3171" s="6" t="s">
        <v>128</v>
      </c>
      <c r="E3171" s="11">
        <v>6.483243465423584</v>
      </c>
      <c r="F3171" s="11">
        <v>7.0484781265258789</v>
      </c>
    </row>
    <row r="3172" spans="1:6" hidden="1" x14ac:dyDescent="0.3">
      <c r="A3172" s="6">
        <v>23</v>
      </c>
      <c r="B3172" s="6" t="s">
        <v>127</v>
      </c>
      <c r="C3172" s="6" t="s">
        <v>446</v>
      </c>
      <c r="D3172" s="6" t="s">
        <v>128</v>
      </c>
      <c r="E3172" s="11">
        <v>9.4558048248291016</v>
      </c>
      <c r="F3172" s="11">
        <v>7.0484781265258789</v>
      </c>
    </row>
    <row r="3173" spans="1:6" hidden="1" x14ac:dyDescent="0.3">
      <c r="A3173" s="6">
        <v>23</v>
      </c>
      <c r="B3173" s="6" t="s">
        <v>127</v>
      </c>
      <c r="C3173" s="6" t="s">
        <v>447</v>
      </c>
      <c r="D3173" s="6" t="s">
        <v>128</v>
      </c>
      <c r="E3173" s="11">
        <v>5.5563411712646484</v>
      </c>
      <c r="F3173" s="11">
        <v>7.0484781265258789</v>
      </c>
    </row>
    <row r="3174" spans="1:6" hidden="1" x14ac:dyDescent="0.3">
      <c r="A3174" s="6">
        <v>23</v>
      </c>
      <c r="B3174" s="6" t="s">
        <v>127</v>
      </c>
      <c r="C3174" s="6" t="s">
        <v>448</v>
      </c>
      <c r="D3174" s="6" t="s">
        <v>128</v>
      </c>
      <c r="E3174" s="11">
        <v>15.437953948974609</v>
      </c>
      <c r="F3174" s="11">
        <v>7.0484781265258789</v>
      </c>
    </row>
    <row r="3175" spans="1:6" hidden="1" x14ac:dyDescent="0.3">
      <c r="A3175" s="6">
        <v>23</v>
      </c>
      <c r="B3175" s="6" t="s">
        <v>127</v>
      </c>
      <c r="C3175" s="6" t="s">
        <v>449</v>
      </c>
      <c r="D3175" s="6" t="s">
        <v>128</v>
      </c>
      <c r="E3175" s="11">
        <v>10.082714080810547</v>
      </c>
      <c r="F3175" s="11">
        <v>7.0484781265258789</v>
      </c>
    </row>
    <row r="3176" spans="1:6" hidden="1" x14ac:dyDescent="0.3">
      <c r="A3176" s="6">
        <v>23</v>
      </c>
      <c r="B3176" s="6" t="s">
        <v>127</v>
      </c>
      <c r="C3176" s="6" t="s">
        <v>450</v>
      </c>
      <c r="D3176" s="6" t="s">
        <v>128</v>
      </c>
      <c r="E3176" s="11">
        <v>7.5863518714904785</v>
      </c>
      <c r="F3176" s="11">
        <v>7.0484781265258789</v>
      </c>
    </row>
    <row r="3177" spans="1:6" hidden="1" x14ac:dyDescent="0.3">
      <c r="A3177" s="6">
        <v>23</v>
      </c>
      <c r="B3177" s="6" t="s">
        <v>127</v>
      </c>
      <c r="C3177" s="6" t="s">
        <v>451</v>
      </c>
      <c r="D3177" s="6" t="s">
        <v>128</v>
      </c>
      <c r="E3177" s="11">
        <v>9.1788101196289063</v>
      </c>
      <c r="F3177" s="11">
        <v>7.0484781265258789</v>
      </c>
    </row>
    <row r="3178" spans="1:6" hidden="1" x14ac:dyDescent="0.3">
      <c r="A3178" s="6">
        <v>23</v>
      </c>
      <c r="B3178" s="6" t="s">
        <v>127</v>
      </c>
      <c r="C3178" s="6" t="s">
        <v>452</v>
      </c>
      <c r="D3178" s="6" t="s">
        <v>128</v>
      </c>
      <c r="E3178" s="11"/>
      <c r="F3178" s="11">
        <v>7.0484781265258789</v>
      </c>
    </row>
    <row r="3179" spans="1:6" hidden="1" x14ac:dyDescent="0.3">
      <c r="A3179" s="6">
        <v>23</v>
      </c>
      <c r="B3179" s="6" t="s">
        <v>127</v>
      </c>
      <c r="C3179" s="6" t="s">
        <v>453</v>
      </c>
      <c r="D3179" s="6" t="s">
        <v>128</v>
      </c>
      <c r="E3179" s="11">
        <v>3.8698742389678955</v>
      </c>
      <c r="F3179" s="11">
        <v>7.0484781265258789</v>
      </c>
    </row>
    <row r="3180" spans="1:6" hidden="1" x14ac:dyDescent="0.3">
      <c r="A3180" s="6">
        <v>23</v>
      </c>
      <c r="B3180" s="6" t="s">
        <v>127</v>
      </c>
      <c r="C3180" s="6" t="s">
        <v>454</v>
      </c>
      <c r="D3180" s="6" t="s">
        <v>128</v>
      </c>
      <c r="E3180" s="11">
        <v>93.813728332519531</v>
      </c>
      <c r="F3180" s="11">
        <v>7.0484781265258789</v>
      </c>
    </row>
    <row r="3181" spans="1:6" hidden="1" x14ac:dyDescent="0.3">
      <c r="A3181" s="6">
        <v>23</v>
      </c>
      <c r="B3181" s="6" t="s">
        <v>127</v>
      </c>
      <c r="C3181" s="6" t="s">
        <v>455</v>
      </c>
      <c r="D3181" s="6" t="s">
        <v>128</v>
      </c>
      <c r="E3181" s="11">
        <v>18.370107650756836</v>
      </c>
      <c r="F3181" s="11">
        <v>7.0484781265258789</v>
      </c>
    </row>
    <row r="3182" spans="1:6" hidden="1" x14ac:dyDescent="0.3">
      <c r="A3182" s="6">
        <v>23</v>
      </c>
      <c r="B3182" s="6" t="s">
        <v>127</v>
      </c>
      <c r="C3182" s="6" t="s">
        <v>456</v>
      </c>
      <c r="D3182" s="6" t="s">
        <v>128</v>
      </c>
      <c r="E3182" s="11">
        <v>4.669196605682373</v>
      </c>
      <c r="F3182" s="11">
        <v>7.0484781265258789</v>
      </c>
    </row>
    <row r="3183" spans="1:6" hidden="1" x14ac:dyDescent="0.3">
      <c r="A3183" s="6">
        <v>23</v>
      </c>
      <c r="B3183" s="6" t="s">
        <v>127</v>
      </c>
      <c r="C3183" s="6" t="s">
        <v>457</v>
      </c>
      <c r="D3183" s="6" t="s">
        <v>128</v>
      </c>
      <c r="E3183" s="11">
        <v>4.3454704284667969</v>
      </c>
      <c r="F3183" s="11">
        <v>7.0484781265258789</v>
      </c>
    </row>
    <row r="3184" spans="1:6" hidden="1" x14ac:dyDescent="0.3">
      <c r="A3184" s="6">
        <v>23</v>
      </c>
      <c r="B3184" s="6" t="s">
        <v>127</v>
      </c>
      <c r="C3184" s="6" t="s">
        <v>458</v>
      </c>
      <c r="D3184" s="6" t="s">
        <v>128</v>
      </c>
      <c r="E3184" s="11">
        <v>3.251011848449707</v>
      </c>
      <c r="F3184" s="11">
        <v>7.0484781265258789</v>
      </c>
    </row>
    <row r="3185" spans="1:6" hidden="1" x14ac:dyDescent="0.3">
      <c r="A3185" s="6">
        <v>23</v>
      </c>
      <c r="B3185" s="6" t="s">
        <v>127</v>
      </c>
      <c r="C3185" s="6" t="s">
        <v>459</v>
      </c>
      <c r="D3185" s="6" t="s">
        <v>128</v>
      </c>
      <c r="E3185" s="11">
        <v>7.8486790657043457</v>
      </c>
      <c r="F3185" s="11">
        <v>7.0484781265258789</v>
      </c>
    </row>
    <row r="3186" spans="1:6" hidden="1" x14ac:dyDescent="0.3">
      <c r="A3186" s="6">
        <v>23</v>
      </c>
      <c r="B3186" s="6" t="s">
        <v>127</v>
      </c>
      <c r="C3186" s="6" t="s">
        <v>460</v>
      </c>
      <c r="D3186" s="6" t="s">
        <v>128</v>
      </c>
      <c r="E3186" s="11">
        <v>311.81332397460938</v>
      </c>
      <c r="F3186" s="11">
        <v>7.0484781265258789</v>
      </c>
    </row>
    <row r="3187" spans="1:6" hidden="1" x14ac:dyDescent="0.3">
      <c r="A3187" s="6">
        <v>23</v>
      </c>
      <c r="B3187" s="6" t="s">
        <v>127</v>
      </c>
      <c r="C3187" s="6" t="s">
        <v>461</v>
      </c>
      <c r="D3187" s="6" t="s">
        <v>128</v>
      </c>
      <c r="E3187" s="11">
        <v>8.890289306640625</v>
      </c>
      <c r="F3187" s="11">
        <v>7.0484781265258789</v>
      </c>
    </row>
    <row r="3188" spans="1:6" hidden="1" x14ac:dyDescent="0.3">
      <c r="A3188" s="6">
        <v>23</v>
      </c>
      <c r="B3188" s="6" t="s">
        <v>127</v>
      </c>
      <c r="C3188" s="6" t="s">
        <v>462</v>
      </c>
      <c r="D3188" s="6" t="s">
        <v>128</v>
      </c>
      <c r="E3188" s="11">
        <v>26.164608001708984</v>
      </c>
      <c r="F3188" s="11">
        <v>7.0484781265258789</v>
      </c>
    </row>
    <row r="3189" spans="1:6" hidden="1" x14ac:dyDescent="0.3">
      <c r="A3189" s="6">
        <v>23</v>
      </c>
      <c r="B3189" s="6" t="s">
        <v>127</v>
      </c>
      <c r="C3189" s="6" t="s">
        <v>463</v>
      </c>
      <c r="D3189" s="6" t="s">
        <v>128</v>
      </c>
      <c r="E3189" s="11">
        <v>10.595921516418457</v>
      </c>
      <c r="F3189" s="11">
        <v>7.0484781265258789</v>
      </c>
    </row>
    <row r="3190" spans="1:6" hidden="1" x14ac:dyDescent="0.3">
      <c r="A3190" s="6">
        <v>23</v>
      </c>
      <c r="B3190" s="6" t="s">
        <v>127</v>
      </c>
      <c r="C3190" s="6" t="s">
        <v>464</v>
      </c>
      <c r="D3190" s="6" t="s">
        <v>128</v>
      </c>
      <c r="E3190" s="11">
        <v>5.9166231155395508</v>
      </c>
      <c r="F3190" s="11">
        <v>7.0484781265258789</v>
      </c>
    </row>
    <row r="3191" spans="1:6" hidden="1" x14ac:dyDescent="0.3">
      <c r="A3191" s="6">
        <v>23</v>
      </c>
      <c r="B3191" s="6" t="s">
        <v>127</v>
      </c>
      <c r="C3191" s="6" t="s">
        <v>465</v>
      </c>
      <c r="D3191" s="6" t="s">
        <v>128</v>
      </c>
      <c r="E3191" s="11">
        <v>10.996135711669922</v>
      </c>
      <c r="F3191" s="11">
        <v>7.0484781265258789</v>
      </c>
    </row>
    <row r="3192" spans="1:6" hidden="1" x14ac:dyDescent="0.3">
      <c r="A3192" s="6">
        <v>23</v>
      </c>
      <c r="B3192" s="6" t="s">
        <v>127</v>
      </c>
      <c r="C3192" s="6" t="s">
        <v>466</v>
      </c>
      <c r="D3192" s="6" t="s">
        <v>128</v>
      </c>
      <c r="E3192" s="11">
        <v>14.627245903015137</v>
      </c>
      <c r="F3192" s="11">
        <v>7.0484781265258789</v>
      </c>
    </row>
    <row r="3193" spans="1:6" hidden="1" x14ac:dyDescent="0.3">
      <c r="A3193" s="6">
        <v>23</v>
      </c>
      <c r="B3193" s="6" t="s">
        <v>127</v>
      </c>
      <c r="C3193" s="6" t="s">
        <v>467</v>
      </c>
      <c r="D3193" s="6" t="s">
        <v>128</v>
      </c>
      <c r="E3193" s="11">
        <v>52.513351440429688</v>
      </c>
      <c r="F3193" s="11">
        <v>7.0484781265258789</v>
      </c>
    </row>
    <row r="3194" spans="1:6" hidden="1" x14ac:dyDescent="0.3">
      <c r="A3194" s="6">
        <v>23</v>
      </c>
      <c r="B3194" s="6" t="s">
        <v>127</v>
      </c>
      <c r="C3194" s="6" t="s">
        <v>468</v>
      </c>
      <c r="D3194" s="6" t="s">
        <v>128</v>
      </c>
      <c r="E3194" s="11">
        <v>10.430917739868164</v>
      </c>
      <c r="F3194" s="11">
        <v>7.0484781265258789</v>
      </c>
    </row>
    <row r="3195" spans="1:6" hidden="1" x14ac:dyDescent="0.3">
      <c r="A3195" s="6">
        <v>23</v>
      </c>
      <c r="B3195" s="6" t="s">
        <v>127</v>
      </c>
      <c r="C3195" s="6" t="s">
        <v>469</v>
      </c>
      <c r="D3195" s="6" t="s">
        <v>128</v>
      </c>
      <c r="E3195" s="11">
        <v>7.4531049728393555</v>
      </c>
      <c r="F3195" s="11">
        <v>7.0484781265258789</v>
      </c>
    </row>
    <row r="3196" spans="1:6" hidden="1" x14ac:dyDescent="0.3">
      <c r="A3196" s="6">
        <v>23</v>
      </c>
      <c r="B3196" s="6" t="s">
        <v>127</v>
      </c>
      <c r="C3196" s="6" t="s">
        <v>470</v>
      </c>
      <c r="D3196" s="6" t="s">
        <v>128</v>
      </c>
      <c r="E3196" s="11">
        <v>7.4501791000366211</v>
      </c>
      <c r="F3196" s="11">
        <v>7.0484781265258789</v>
      </c>
    </row>
    <row r="3197" spans="1:6" hidden="1" x14ac:dyDescent="0.3">
      <c r="A3197" s="6">
        <v>23</v>
      </c>
      <c r="B3197" s="6" t="s">
        <v>127</v>
      </c>
      <c r="C3197" s="6" t="s">
        <v>471</v>
      </c>
      <c r="D3197" s="6" t="s">
        <v>128</v>
      </c>
      <c r="E3197" s="11">
        <v>508.55453491210938</v>
      </c>
      <c r="F3197" s="11">
        <v>7.0484781265258789</v>
      </c>
    </row>
    <row r="3198" spans="1:6" hidden="1" x14ac:dyDescent="0.3">
      <c r="A3198" s="6">
        <v>23</v>
      </c>
      <c r="B3198" s="6" t="s">
        <v>127</v>
      </c>
      <c r="C3198" s="6" t="s">
        <v>472</v>
      </c>
      <c r="D3198" s="6" t="s">
        <v>128</v>
      </c>
      <c r="E3198" s="11">
        <v>14.665233612060547</v>
      </c>
      <c r="F3198" s="11">
        <v>7.0484781265258789</v>
      </c>
    </row>
    <row r="3199" spans="1:6" hidden="1" x14ac:dyDescent="0.3">
      <c r="A3199" s="6">
        <v>23</v>
      </c>
      <c r="B3199" s="6" t="s">
        <v>127</v>
      </c>
      <c r="C3199" s="6" t="s">
        <v>473</v>
      </c>
      <c r="D3199" s="6" t="s">
        <v>128</v>
      </c>
      <c r="E3199" s="11">
        <v>2.9785957336425781</v>
      </c>
      <c r="F3199" s="11">
        <v>7.0484781265258789</v>
      </c>
    </row>
    <row r="3200" spans="1:6" hidden="1" x14ac:dyDescent="0.3">
      <c r="A3200" s="6">
        <v>23</v>
      </c>
      <c r="B3200" s="6" t="s">
        <v>127</v>
      </c>
      <c r="C3200" s="6" t="s">
        <v>474</v>
      </c>
      <c r="D3200" s="6" t="s">
        <v>128</v>
      </c>
      <c r="E3200" s="11">
        <v>14.495925903320313</v>
      </c>
      <c r="F3200" s="11">
        <v>7.0484781265258789</v>
      </c>
    </row>
    <row r="3201" spans="1:6" hidden="1" x14ac:dyDescent="0.3">
      <c r="A3201" s="6">
        <v>23</v>
      </c>
      <c r="B3201" s="6" t="s">
        <v>127</v>
      </c>
      <c r="C3201" s="6" t="s">
        <v>475</v>
      </c>
      <c r="D3201" s="6" t="s">
        <v>128</v>
      </c>
      <c r="E3201" s="11">
        <v>9.9869890213012695</v>
      </c>
      <c r="F3201" s="11">
        <v>7.0484781265258789</v>
      </c>
    </row>
    <row r="3202" spans="1:6" hidden="1" x14ac:dyDescent="0.3">
      <c r="A3202" s="6">
        <v>23</v>
      </c>
      <c r="B3202" s="6" t="s">
        <v>127</v>
      </c>
      <c r="C3202" s="6" t="s">
        <v>476</v>
      </c>
      <c r="D3202" s="6" t="s">
        <v>128</v>
      </c>
      <c r="E3202" s="11">
        <v>54.532299041748047</v>
      </c>
      <c r="F3202" s="11">
        <v>7.0484781265258789</v>
      </c>
    </row>
    <row r="3203" spans="1:6" hidden="1" x14ac:dyDescent="0.3">
      <c r="A3203" s="6">
        <v>23</v>
      </c>
      <c r="B3203" s="6" t="s">
        <v>127</v>
      </c>
      <c r="C3203" s="6" t="s">
        <v>477</v>
      </c>
      <c r="D3203" s="6" t="s">
        <v>128</v>
      </c>
      <c r="E3203" s="11">
        <v>8.7431373596191406</v>
      </c>
      <c r="F3203" s="11">
        <v>7.0484781265258789</v>
      </c>
    </row>
    <row r="3204" spans="1:6" hidden="1" x14ac:dyDescent="0.3">
      <c r="A3204" s="6">
        <v>23</v>
      </c>
      <c r="B3204" s="6" t="s">
        <v>127</v>
      </c>
      <c r="C3204" s="6" t="s">
        <v>478</v>
      </c>
      <c r="D3204" s="6" t="s">
        <v>128</v>
      </c>
      <c r="E3204" s="11">
        <v>6.8056883811950684</v>
      </c>
      <c r="F3204" s="11">
        <v>7.0484781265258789</v>
      </c>
    </row>
    <row r="3205" spans="1:6" hidden="1" x14ac:dyDescent="0.3">
      <c r="A3205" s="6">
        <v>23</v>
      </c>
      <c r="B3205" s="6" t="s">
        <v>127</v>
      </c>
      <c r="C3205" s="6" t="s">
        <v>479</v>
      </c>
      <c r="D3205" s="6" t="s">
        <v>128</v>
      </c>
      <c r="E3205" s="11">
        <v>11.880874633789063</v>
      </c>
      <c r="F3205" s="11">
        <v>7.0484781265258789</v>
      </c>
    </row>
    <row r="3206" spans="1:6" hidden="1" x14ac:dyDescent="0.3">
      <c r="A3206" s="6">
        <v>23</v>
      </c>
      <c r="B3206" s="6" t="s">
        <v>127</v>
      </c>
      <c r="C3206" s="6" t="s">
        <v>480</v>
      </c>
      <c r="D3206" s="6" t="s">
        <v>128</v>
      </c>
      <c r="E3206" s="11">
        <v>8.0337858200073242</v>
      </c>
      <c r="F3206" s="11">
        <v>7.0484781265258789</v>
      </c>
    </row>
    <row r="3207" spans="1:6" hidden="1" x14ac:dyDescent="0.3">
      <c r="A3207" s="6">
        <v>23</v>
      </c>
      <c r="B3207" s="6" t="s">
        <v>127</v>
      </c>
      <c r="C3207" s="6" t="s">
        <v>481</v>
      </c>
      <c r="D3207" s="6" t="s">
        <v>128</v>
      </c>
      <c r="E3207" s="11">
        <v>6.810420036315918</v>
      </c>
      <c r="F3207" s="11">
        <v>7.0484781265258789</v>
      </c>
    </row>
    <row r="3208" spans="1:6" hidden="1" x14ac:dyDescent="0.3">
      <c r="A3208" s="6">
        <v>23</v>
      </c>
      <c r="B3208" s="6" t="s">
        <v>127</v>
      </c>
      <c r="C3208" s="6" t="s">
        <v>482</v>
      </c>
      <c r="D3208" s="6" t="s">
        <v>128</v>
      </c>
      <c r="E3208" s="11">
        <v>12.685295104980469</v>
      </c>
      <c r="F3208" s="11">
        <v>7.0484781265258789</v>
      </c>
    </row>
    <row r="3209" spans="1:6" hidden="1" x14ac:dyDescent="0.3">
      <c r="A3209" s="6">
        <v>23</v>
      </c>
      <c r="B3209" s="6" t="s">
        <v>127</v>
      </c>
      <c r="C3209" s="6" t="s">
        <v>483</v>
      </c>
      <c r="D3209" s="6" t="s">
        <v>128</v>
      </c>
      <c r="E3209" s="11">
        <v>60.753971099853516</v>
      </c>
      <c r="F3209" s="11">
        <v>7.0484781265258789</v>
      </c>
    </row>
    <row r="3210" spans="1:6" hidden="1" x14ac:dyDescent="0.3">
      <c r="A3210" s="6">
        <v>23</v>
      </c>
      <c r="B3210" s="6" t="s">
        <v>127</v>
      </c>
      <c r="C3210" s="6" t="s">
        <v>484</v>
      </c>
      <c r="D3210" s="6" t="s">
        <v>128</v>
      </c>
      <c r="E3210" s="11">
        <v>301.9774169921875</v>
      </c>
      <c r="F3210" s="11">
        <v>7.0484781265258789</v>
      </c>
    </row>
    <row r="3211" spans="1:6" hidden="1" x14ac:dyDescent="0.3">
      <c r="A3211" s="6">
        <v>23</v>
      </c>
      <c r="B3211" s="6" t="s">
        <v>127</v>
      </c>
      <c r="C3211" s="6" t="s">
        <v>485</v>
      </c>
      <c r="D3211" s="6" t="s">
        <v>128</v>
      </c>
      <c r="E3211" s="11">
        <v>5.8393068313598633</v>
      </c>
      <c r="F3211" s="11">
        <v>7.0484781265258789</v>
      </c>
    </row>
    <row r="3212" spans="1:6" hidden="1" x14ac:dyDescent="0.3">
      <c r="A3212" s="6">
        <v>23</v>
      </c>
      <c r="B3212" s="6" t="s">
        <v>127</v>
      </c>
      <c r="C3212" s="6" t="s">
        <v>486</v>
      </c>
      <c r="D3212" s="6" t="s">
        <v>128</v>
      </c>
      <c r="E3212" s="11">
        <v>3.6591565608978271</v>
      </c>
      <c r="F3212" s="11">
        <v>7.0484781265258789</v>
      </c>
    </row>
    <row r="3213" spans="1:6" hidden="1" x14ac:dyDescent="0.3">
      <c r="A3213" s="6">
        <v>23</v>
      </c>
      <c r="B3213" s="6" t="s">
        <v>127</v>
      </c>
      <c r="C3213" s="6" t="s">
        <v>487</v>
      </c>
      <c r="D3213" s="6" t="s">
        <v>128</v>
      </c>
      <c r="E3213" s="11">
        <v>5.9971160888671875</v>
      </c>
      <c r="F3213" s="11">
        <v>7.0484781265258789</v>
      </c>
    </row>
    <row r="3214" spans="1:6" hidden="1" x14ac:dyDescent="0.3">
      <c r="A3214" s="6">
        <v>23</v>
      </c>
      <c r="B3214" s="6" t="s">
        <v>127</v>
      </c>
      <c r="C3214" s="6" t="s">
        <v>488</v>
      </c>
      <c r="D3214" s="6" t="s">
        <v>128</v>
      </c>
      <c r="E3214" s="11">
        <v>7.0411429405212402</v>
      </c>
      <c r="F3214" s="11">
        <v>7.0484781265258789</v>
      </c>
    </row>
    <row r="3215" spans="1:6" hidden="1" x14ac:dyDescent="0.3">
      <c r="A3215" s="6">
        <v>23</v>
      </c>
      <c r="B3215" s="6" t="s">
        <v>127</v>
      </c>
      <c r="C3215" s="6" t="s">
        <v>489</v>
      </c>
      <c r="D3215" s="6" t="s">
        <v>128</v>
      </c>
      <c r="E3215" s="11">
        <v>4.9207577705383301</v>
      </c>
      <c r="F3215" s="11">
        <v>7.0484781265258789</v>
      </c>
    </row>
    <row r="3216" spans="1:6" hidden="1" x14ac:dyDescent="0.3">
      <c r="A3216" s="6">
        <v>23</v>
      </c>
      <c r="B3216" s="6" t="s">
        <v>127</v>
      </c>
      <c r="C3216" s="6" t="s">
        <v>490</v>
      </c>
      <c r="D3216" s="6" t="s">
        <v>128</v>
      </c>
      <c r="E3216" s="11"/>
      <c r="F3216" s="11">
        <v>7.0484781265258789</v>
      </c>
    </row>
    <row r="3217" spans="1:6" hidden="1" x14ac:dyDescent="0.3">
      <c r="A3217" s="6">
        <v>23</v>
      </c>
      <c r="B3217" s="6" t="s">
        <v>127</v>
      </c>
      <c r="C3217" s="6" t="s">
        <v>491</v>
      </c>
      <c r="D3217" s="6" t="s">
        <v>128</v>
      </c>
      <c r="E3217" s="11">
        <v>3.9852066040039063</v>
      </c>
      <c r="F3217" s="11">
        <v>7.0484781265258789</v>
      </c>
    </row>
    <row r="3218" spans="1:6" hidden="1" x14ac:dyDescent="0.3">
      <c r="A3218" s="6">
        <v>23</v>
      </c>
      <c r="B3218" s="6" t="s">
        <v>127</v>
      </c>
      <c r="C3218" s="6" t="s">
        <v>492</v>
      </c>
      <c r="D3218" s="6" t="s">
        <v>128</v>
      </c>
      <c r="E3218" s="11">
        <v>8.8540143966674805</v>
      </c>
      <c r="F3218" s="11">
        <v>7.0484781265258789</v>
      </c>
    </row>
    <row r="3219" spans="1:6" hidden="1" x14ac:dyDescent="0.3">
      <c r="A3219" s="6">
        <v>23</v>
      </c>
      <c r="B3219" s="6" t="s">
        <v>127</v>
      </c>
      <c r="C3219" s="6" t="s">
        <v>493</v>
      </c>
      <c r="D3219" s="6" t="s">
        <v>128</v>
      </c>
      <c r="E3219" s="11">
        <v>42.466732025146484</v>
      </c>
      <c r="F3219" s="11">
        <v>7.0484781265258789</v>
      </c>
    </row>
    <row r="3220" spans="1:6" hidden="1" x14ac:dyDescent="0.3">
      <c r="A3220" s="6">
        <v>23</v>
      </c>
      <c r="B3220" s="6" t="s">
        <v>127</v>
      </c>
      <c r="C3220" s="6" t="s">
        <v>494</v>
      </c>
      <c r="D3220" s="6" t="s">
        <v>128</v>
      </c>
      <c r="E3220" s="11">
        <v>1980.0107421875</v>
      </c>
      <c r="F3220" s="11">
        <v>7.0484781265258789</v>
      </c>
    </row>
    <row r="3221" spans="1:6" hidden="1" x14ac:dyDescent="0.3">
      <c r="A3221" s="6">
        <v>23</v>
      </c>
      <c r="B3221" s="6" t="s">
        <v>127</v>
      </c>
      <c r="C3221" s="6" t="s">
        <v>495</v>
      </c>
      <c r="D3221" s="6" t="s">
        <v>128</v>
      </c>
      <c r="E3221" s="11">
        <v>3.3782985210418701</v>
      </c>
      <c r="F3221" s="11">
        <v>7.0484781265258789</v>
      </c>
    </row>
    <row r="3222" spans="1:6" hidden="1" x14ac:dyDescent="0.3">
      <c r="A3222" s="6">
        <v>24</v>
      </c>
      <c r="B3222" s="6" t="s">
        <v>129</v>
      </c>
      <c r="C3222" s="6" t="s">
        <v>356</v>
      </c>
      <c r="D3222" s="6" t="s">
        <v>130</v>
      </c>
      <c r="E3222" s="11">
        <v>4.8595552444458008</v>
      </c>
      <c r="F3222" s="11">
        <v>6.2697453498840332</v>
      </c>
    </row>
    <row r="3223" spans="1:6" hidden="1" x14ac:dyDescent="0.3">
      <c r="A3223" s="6">
        <v>24</v>
      </c>
      <c r="B3223" s="6" t="s">
        <v>129</v>
      </c>
      <c r="C3223" s="6" t="s">
        <v>357</v>
      </c>
      <c r="D3223" s="6" t="s">
        <v>130</v>
      </c>
      <c r="E3223" s="11">
        <v>4.9281105995178223</v>
      </c>
      <c r="F3223" s="11">
        <v>6.2697453498840332</v>
      </c>
    </row>
    <row r="3224" spans="1:6" hidden="1" x14ac:dyDescent="0.3">
      <c r="A3224" s="6">
        <v>24</v>
      </c>
      <c r="B3224" s="6" t="s">
        <v>129</v>
      </c>
      <c r="C3224" s="6" t="s">
        <v>358</v>
      </c>
      <c r="D3224" s="6" t="s">
        <v>130</v>
      </c>
      <c r="E3224" s="11">
        <v>6.7736754417419434</v>
      </c>
      <c r="F3224" s="11">
        <v>6.2697453498840332</v>
      </c>
    </row>
    <row r="3225" spans="1:6" hidden="1" x14ac:dyDescent="0.3">
      <c r="A3225" s="6">
        <v>24</v>
      </c>
      <c r="B3225" s="6" t="s">
        <v>129</v>
      </c>
      <c r="C3225" s="6" t="s">
        <v>359</v>
      </c>
      <c r="D3225" s="6" t="s">
        <v>130</v>
      </c>
      <c r="E3225" s="11">
        <v>4.1281270980834961</v>
      </c>
      <c r="F3225" s="11">
        <v>6.2697453498840332</v>
      </c>
    </row>
    <row r="3226" spans="1:6" hidden="1" x14ac:dyDescent="0.3">
      <c r="A3226" s="6">
        <v>24</v>
      </c>
      <c r="B3226" s="6" t="s">
        <v>129</v>
      </c>
      <c r="C3226" s="6" t="s">
        <v>360</v>
      </c>
      <c r="D3226" s="6" t="s">
        <v>130</v>
      </c>
      <c r="E3226" s="11">
        <v>5.3657197952270508</v>
      </c>
      <c r="F3226" s="11">
        <v>6.2697453498840332</v>
      </c>
    </row>
    <row r="3227" spans="1:6" hidden="1" x14ac:dyDescent="0.3">
      <c r="A3227" s="6">
        <v>24</v>
      </c>
      <c r="B3227" s="6" t="s">
        <v>129</v>
      </c>
      <c r="C3227" s="6" t="s">
        <v>361</v>
      </c>
      <c r="D3227" s="6" t="s">
        <v>130</v>
      </c>
      <c r="E3227" s="11">
        <v>5.4633903503417969</v>
      </c>
      <c r="F3227" s="11">
        <v>6.2697453498840332</v>
      </c>
    </row>
    <row r="3228" spans="1:6" hidden="1" x14ac:dyDescent="0.3">
      <c r="A3228" s="6">
        <v>24</v>
      </c>
      <c r="B3228" s="6" t="s">
        <v>129</v>
      </c>
      <c r="C3228" s="6" t="s">
        <v>362</v>
      </c>
      <c r="D3228" s="6" t="s">
        <v>130</v>
      </c>
      <c r="E3228" s="11">
        <v>28.07826042175293</v>
      </c>
      <c r="F3228" s="11">
        <v>6.2697453498840332</v>
      </c>
    </row>
    <row r="3229" spans="1:6" hidden="1" x14ac:dyDescent="0.3">
      <c r="A3229" s="6">
        <v>24</v>
      </c>
      <c r="B3229" s="6" t="s">
        <v>129</v>
      </c>
      <c r="C3229" s="6" t="s">
        <v>363</v>
      </c>
      <c r="D3229" s="6" t="s">
        <v>130</v>
      </c>
      <c r="E3229" s="11">
        <v>6.4758129119873047</v>
      </c>
      <c r="F3229" s="11">
        <v>6.2697453498840332</v>
      </c>
    </row>
    <row r="3230" spans="1:6" hidden="1" x14ac:dyDescent="0.3">
      <c r="A3230" s="6">
        <v>24</v>
      </c>
      <c r="B3230" s="6" t="s">
        <v>129</v>
      </c>
      <c r="C3230" s="6" t="s">
        <v>364</v>
      </c>
      <c r="D3230" s="6" t="s">
        <v>130</v>
      </c>
      <c r="E3230" s="11">
        <v>4.7768335342407227</v>
      </c>
      <c r="F3230" s="11">
        <v>6.2697453498840332</v>
      </c>
    </row>
    <row r="3231" spans="1:6" hidden="1" x14ac:dyDescent="0.3">
      <c r="A3231" s="6">
        <v>24</v>
      </c>
      <c r="B3231" s="6" t="s">
        <v>129</v>
      </c>
      <c r="C3231" s="6" t="s">
        <v>365</v>
      </c>
      <c r="D3231" s="6" t="s">
        <v>130</v>
      </c>
      <c r="E3231" s="11">
        <v>4.9060049057006836</v>
      </c>
      <c r="F3231" s="11">
        <v>6.2697453498840332</v>
      </c>
    </row>
    <row r="3232" spans="1:6" hidden="1" x14ac:dyDescent="0.3">
      <c r="A3232" s="6">
        <v>24</v>
      </c>
      <c r="B3232" s="6" t="s">
        <v>129</v>
      </c>
      <c r="C3232" s="6" t="s">
        <v>366</v>
      </c>
      <c r="D3232" s="6" t="s">
        <v>130</v>
      </c>
      <c r="E3232" s="11">
        <v>9.490330696105957</v>
      </c>
      <c r="F3232" s="11">
        <v>6.2697453498840332</v>
      </c>
    </row>
    <row r="3233" spans="1:6" hidden="1" x14ac:dyDescent="0.3">
      <c r="A3233" s="6">
        <v>24</v>
      </c>
      <c r="B3233" s="6" t="s">
        <v>129</v>
      </c>
      <c r="C3233" s="6" t="s">
        <v>367</v>
      </c>
      <c r="D3233" s="6" t="s">
        <v>130</v>
      </c>
      <c r="E3233" s="11">
        <v>2.5197818279266357</v>
      </c>
      <c r="F3233" s="11">
        <v>6.2697453498840332</v>
      </c>
    </row>
    <row r="3234" spans="1:6" hidden="1" x14ac:dyDescent="0.3">
      <c r="A3234" s="6">
        <v>24</v>
      </c>
      <c r="B3234" s="6" t="s">
        <v>129</v>
      </c>
      <c r="C3234" s="6" t="s">
        <v>368</v>
      </c>
      <c r="D3234" s="6" t="s">
        <v>130</v>
      </c>
      <c r="E3234" s="11">
        <v>15.585891723632813</v>
      </c>
      <c r="F3234" s="11">
        <v>6.2697453498840332</v>
      </c>
    </row>
    <row r="3235" spans="1:6" hidden="1" x14ac:dyDescent="0.3">
      <c r="A3235" s="6">
        <v>24</v>
      </c>
      <c r="B3235" s="6" t="s">
        <v>129</v>
      </c>
      <c r="C3235" s="6" t="s">
        <v>369</v>
      </c>
      <c r="D3235" s="6" t="s">
        <v>130</v>
      </c>
      <c r="E3235" s="11">
        <v>1387.875732421875</v>
      </c>
      <c r="F3235" s="11">
        <v>6.2697453498840332</v>
      </c>
    </row>
    <row r="3236" spans="1:6" hidden="1" x14ac:dyDescent="0.3">
      <c r="A3236" s="6">
        <v>24</v>
      </c>
      <c r="B3236" s="6" t="s">
        <v>129</v>
      </c>
      <c r="C3236" s="6" t="s">
        <v>370</v>
      </c>
      <c r="D3236" s="6" t="s">
        <v>130</v>
      </c>
      <c r="E3236" s="11">
        <v>5.4403042793273926</v>
      </c>
      <c r="F3236" s="11">
        <v>6.2697453498840332</v>
      </c>
    </row>
    <row r="3237" spans="1:6" hidden="1" x14ac:dyDescent="0.3">
      <c r="A3237" s="6">
        <v>24</v>
      </c>
      <c r="B3237" s="6" t="s">
        <v>129</v>
      </c>
      <c r="C3237" s="6" t="s">
        <v>371</v>
      </c>
      <c r="D3237" s="6" t="s">
        <v>130</v>
      </c>
      <c r="E3237" s="11">
        <v>7.2042102813720703</v>
      </c>
      <c r="F3237" s="11">
        <v>6.2697453498840332</v>
      </c>
    </row>
    <row r="3238" spans="1:6" hidden="1" x14ac:dyDescent="0.3">
      <c r="A3238" s="6">
        <v>24</v>
      </c>
      <c r="B3238" s="6" t="s">
        <v>129</v>
      </c>
      <c r="C3238" s="6" t="s">
        <v>372</v>
      </c>
      <c r="D3238" s="6" t="s">
        <v>130</v>
      </c>
      <c r="E3238" s="11">
        <v>7.8399996757507324</v>
      </c>
      <c r="F3238" s="11">
        <v>6.2697453498840332</v>
      </c>
    </row>
    <row r="3239" spans="1:6" hidden="1" x14ac:dyDescent="0.3">
      <c r="A3239" s="6">
        <v>24</v>
      </c>
      <c r="B3239" s="6" t="s">
        <v>129</v>
      </c>
      <c r="C3239" s="6" t="s">
        <v>373</v>
      </c>
      <c r="D3239" s="6" t="s">
        <v>130</v>
      </c>
      <c r="E3239" s="11">
        <v>7.4933328628540039</v>
      </c>
      <c r="F3239" s="11">
        <v>6.2697453498840332</v>
      </c>
    </row>
    <row r="3240" spans="1:6" hidden="1" x14ac:dyDescent="0.3">
      <c r="A3240" s="6">
        <v>24</v>
      </c>
      <c r="B3240" s="6" t="s">
        <v>129</v>
      </c>
      <c r="C3240" s="6" t="s">
        <v>374</v>
      </c>
      <c r="D3240" s="6" t="s">
        <v>130</v>
      </c>
      <c r="E3240" s="11">
        <v>7.1544642448425293</v>
      </c>
      <c r="F3240" s="11">
        <v>6.2697453498840332</v>
      </c>
    </row>
    <row r="3241" spans="1:6" hidden="1" x14ac:dyDescent="0.3">
      <c r="A3241" s="6">
        <v>24</v>
      </c>
      <c r="B3241" s="6" t="s">
        <v>129</v>
      </c>
      <c r="C3241" s="6" t="s">
        <v>375</v>
      </c>
      <c r="D3241" s="6" t="s">
        <v>130</v>
      </c>
      <c r="E3241" s="11">
        <v>22.963151931762695</v>
      </c>
      <c r="F3241" s="11">
        <v>6.2697453498840332</v>
      </c>
    </row>
    <row r="3242" spans="1:6" hidden="1" x14ac:dyDescent="0.3">
      <c r="A3242" s="6">
        <v>24</v>
      </c>
      <c r="B3242" s="6" t="s">
        <v>129</v>
      </c>
      <c r="C3242" s="6" t="s">
        <v>376</v>
      </c>
      <c r="D3242" s="6" t="s">
        <v>130</v>
      </c>
      <c r="E3242" s="11">
        <v>4.2091817855834961</v>
      </c>
      <c r="F3242" s="11">
        <v>6.2697453498840332</v>
      </c>
    </row>
    <row r="3243" spans="1:6" hidden="1" x14ac:dyDescent="0.3">
      <c r="A3243" s="6">
        <v>24</v>
      </c>
      <c r="B3243" s="6" t="s">
        <v>129</v>
      </c>
      <c r="C3243" s="6" t="s">
        <v>377</v>
      </c>
      <c r="D3243" s="6" t="s">
        <v>130</v>
      </c>
      <c r="E3243" s="11">
        <v>13.264074325561523</v>
      </c>
      <c r="F3243" s="11">
        <v>6.2697453498840332</v>
      </c>
    </row>
    <row r="3244" spans="1:6" hidden="1" x14ac:dyDescent="0.3">
      <c r="A3244" s="6">
        <v>24</v>
      </c>
      <c r="B3244" s="6" t="s">
        <v>129</v>
      </c>
      <c r="C3244" s="6" t="s">
        <v>378</v>
      </c>
      <c r="D3244" s="6" t="s">
        <v>130</v>
      </c>
      <c r="E3244" s="11">
        <v>17.28619384765625</v>
      </c>
      <c r="F3244" s="11">
        <v>6.2697453498840332</v>
      </c>
    </row>
    <row r="3245" spans="1:6" hidden="1" x14ac:dyDescent="0.3">
      <c r="A3245" s="6">
        <v>24</v>
      </c>
      <c r="B3245" s="6" t="s">
        <v>129</v>
      </c>
      <c r="C3245" s="6" t="s">
        <v>379</v>
      </c>
      <c r="D3245" s="6" t="s">
        <v>130</v>
      </c>
      <c r="E3245" s="11">
        <v>4.5523829460144043</v>
      </c>
      <c r="F3245" s="11">
        <v>6.2697453498840332</v>
      </c>
    </row>
    <row r="3246" spans="1:6" hidden="1" x14ac:dyDescent="0.3">
      <c r="A3246" s="6">
        <v>24</v>
      </c>
      <c r="B3246" s="6" t="s">
        <v>129</v>
      </c>
      <c r="C3246" s="6" t="s">
        <v>380</v>
      </c>
      <c r="D3246" s="6" t="s">
        <v>130</v>
      </c>
      <c r="E3246" s="11">
        <v>3.6665105819702148</v>
      </c>
      <c r="F3246" s="11">
        <v>6.2697453498840332</v>
      </c>
    </row>
    <row r="3247" spans="1:6" hidden="1" x14ac:dyDescent="0.3">
      <c r="A3247" s="6">
        <v>24</v>
      </c>
      <c r="B3247" s="6" t="s">
        <v>129</v>
      </c>
      <c r="C3247" s="6" t="s">
        <v>381</v>
      </c>
      <c r="D3247" s="6" t="s">
        <v>130</v>
      </c>
      <c r="E3247" s="11">
        <v>5.857302188873291</v>
      </c>
      <c r="F3247" s="11">
        <v>6.2697453498840332</v>
      </c>
    </row>
    <row r="3248" spans="1:6" hidden="1" x14ac:dyDescent="0.3">
      <c r="A3248" s="6">
        <v>24</v>
      </c>
      <c r="B3248" s="6" t="s">
        <v>129</v>
      </c>
      <c r="C3248" s="6" t="s">
        <v>382</v>
      </c>
      <c r="D3248" s="6" t="s">
        <v>130</v>
      </c>
      <c r="E3248" s="11">
        <v>6.217832088470459</v>
      </c>
      <c r="F3248" s="11">
        <v>6.2697453498840332</v>
      </c>
    </row>
    <row r="3249" spans="1:6" hidden="1" x14ac:dyDescent="0.3">
      <c r="A3249" s="6">
        <v>24</v>
      </c>
      <c r="B3249" s="6" t="s">
        <v>129</v>
      </c>
      <c r="C3249" s="6" t="s">
        <v>383</v>
      </c>
      <c r="D3249" s="6" t="s">
        <v>130</v>
      </c>
      <c r="E3249" s="11">
        <v>3.3769526481628418</v>
      </c>
      <c r="F3249" s="11">
        <v>6.2697453498840332</v>
      </c>
    </row>
    <row r="3250" spans="1:6" hidden="1" x14ac:dyDescent="0.3">
      <c r="A3250" s="6">
        <v>24</v>
      </c>
      <c r="B3250" s="6" t="s">
        <v>129</v>
      </c>
      <c r="C3250" s="6" t="s">
        <v>384</v>
      </c>
      <c r="D3250" s="6" t="s">
        <v>130</v>
      </c>
      <c r="E3250" s="11">
        <v>5.4822015762329102</v>
      </c>
      <c r="F3250" s="11">
        <v>6.2697453498840332</v>
      </c>
    </row>
    <row r="3251" spans="1:6" hidden="1" x14ac:dyDescent="0.3">
      <c r="A3251" s="6">
        <v>24</v>
      </c>
      <c r="B3251" s="6" t="s">
        <v>129</v>
      </c>
      <c r="C3251" s="6" t="s">
        <v>385</v>
      </c>
      <c r="D3251" s="6" t="s">
        <v>130</v>
      </c>
      <c r="E3251" s="11">
        <v>4.0887947082519531</v>
      </c>
      <c r="F3251" s="11">
        <v>6.2697453498840332</v>
      </c>
    </row>
    <row r="3252" spans="1:6" hidden="1" x14ac:dyDescent="0.3">
      <c r="A3252" s="6">
        <v>24</v>
      </c>
      <c r="B3252" s="6" t="s">
        <v>129</v>
      </c>
      <c r="C3252" s="6" t="s">
        <v>386</v>
      </c>
      <c r="D3252" s="6" t="s">
        <v>130</v>
      </c>
      <c r="E3252" s="11">
        <v>4.9944553375244141</v>
      </c>
      <c r="F3252" s="11">
        <v>6.2697453498840332</v>
      </c>
    </row>
    <row r="3253" spans="1:6" hidden="1" x14ac:dyDescent="0.3">
      <c r="A3253" s="6">
        <v>24</v>
      </c>
      <c r="B3253" s="6" t="s">
        <v>129</v>
      </c>
      <c r="C3253" s="6" t="s">
        <v>387</v>
      </c>
      <c r="D3253" s="6" t="s">
        <v>130</v>
      </c>
      <c r="E3253" s="11">
        <v>3.7379019260406494</v>
      </c>
      <c r="F3253" s="11">
        <v>6.2697453498840332</v>
      </c>
    </row>
    <row r="3254" spans="1:6" hidden="1" x14ac:dyDescent="0.3">
      <c r="A3254" s="6">
        <v>24</v>
      </c>
      <c r="B3254" s="6" t="s">
        <v>129</v>
      </c>
      <c r="C3254" s="6" t="s">
        <v>388</v>
      </c>
      <c r="D3254" s="6" t="s">
        <v>130</v>
      </c>
      <c r="E3254" s="11">
        <v>12.250887870788574</v>
      </c>
      <c r="F3254" s="11">
        <v>6.2697453498840332</v>
      </c>
    </row>
    <row r="3255" spans="1:6" hidden="1" x14ac:dyDescent="0.3">
      <c r="A3255" s="6">
        <v>24</v>
      </c>
      <c r="B3255" s="6" t="s">
        <v>129</v>
      </c>
      <c r="C3255" s="6" t="s">
        <v>389</v>
      </c>
      <c r="D3255" s="6" t="s">
        <v>130</v>
      </c>
      <c r="E3255" s="11">
        <v>3.8666908740997314</v>
      </c>
      <c r="F3255" s="11">
        <v>6.2697453498840332</v>
      </c>
    </row>
    <row r="3256" spans="1:6" hidden="1" x14ac:dyDescent="0.3">
      <c r="A3256" s="6">
        <v>24</v>
      </c>
      <c r="B3256" s="6" t="s">
        <v>129</v>
      </c>
      <c r="C3256" s="6" t="s">
        <v>390</v>
      </c>
      <c r="D3256" s="6" t="s">
        <v>130</v>
      </c>
      <c r="E3256" s="11">
        <v>7.9638361930847168</v>
      </c>
      <c r="F3256" s="11">
        <v>6.2697453498840332</v>
      </c>
    </row>
    <row r="3257" spans="1:6" hidden="1" x14ac:dyDescent="0.3">
      <c r="A3257" s="6">
        <v>24</v>
      </c>
      <c r="B3257" s="6" t="s">
        <v>129</v>
      </c>
      <c r="C3257" s="6" t="s">
        <v>391</v>
      </c>
      <c r="D3257" s="6" t="s">
        <v>130</v>
      </c>
      <c r="E3257" s="11">
        <v>2.9596049785614014</v>
      </c>
      <c r="F3257" s="11">
        <v>6.2697453498840332</v>
      </c>
    </row>
    <row r="3258" spans="1:6" hidden="1" x14ac:dyDescent="0.3">
      <c r="A3258" s="6">
        <v>24</v>
      </c>
      <c r="B3258" s="6" t="s">
        <v>129</v>
      </c>
      <c r="C3258" s="6" t="s">
        <v>392</v>
      </c>
      <c r="D3258" s="6" t="s">
        <v>130</v>
      </c>
      <c r="E3258" s="11">
        <v>4.9480342864990234</v>
      </c>
      <c r="F3258" s="11">
        <v>6.2697453498840332</v>
      </c>
    </row>
    <row r="3259" spans="1:6" hidden="1" x14ac:dyDescent="0.3">
      <c r="A3259" s="6">
        <v>24</v>
      </c>
      <c r="B3259" s="6" t="s">
        <v>129</v>
      </c>
      <c r="C3259" s="6" t="s">
        <v>393</v>
      </c>
      <c r="D3259" s="6" t="s">
        <v>130</v>
      </c>
      <c r="E3259" s="11">
        <v>6.3354377746582031</v>
      </c>
      <c r="F3259" s="11">
        <v>6.2697453498840332</v>
      </c>
    </row>
    <row r="3260" spans="1:6" hidden="1" x14ac:dyDescent="0.3">
      <c r="A3260" s="6">
        <v>24</v>
      </c>
      <c r="B3260" s="6" t="s">
        <v>129</v>
      </c>
      <c r="C3260" s="6" t="s">
        <v>394</v>
      </c>
      <c r="D3260" s="6" t="s">
        <v>130</v>
      </c>
      <c r="E3260" s="11">
        <v>5.2892074584960938</v>
      </c>
      <c r="F3260" s="11">
        <v>6.2697453498840332</v>
      </c>
    </row>
    <row r="3261" spans="1:6" hidden="1" x14ac:dyDescent="0.3">
      <c r="A3261" s="6">
        <v>24</v>
      </c>
      <c r="B3261" s="6" t="s">
        <v>129</v>
      </c>
      <c r="C3261" s="6" t="s">
        <v>395</v>
      </c>
      <c r="D3261" s="6" t="s">
        <v>130</v>
      </c>
      <c r="E3261" s="11">
        <v>3.7657787799835205</v>
      </c>
      <c r="F3261" s="11">
        <v>6.2697453498840332</v>
      </c>
    </row>
    <row r="3262" spans="1:6" hidden="1" x14ac:dyDescent="0.3">
      <c r="A3262" s="6">
        <v>24</v>
      </c>
      <c r="B3262" s="6" t="s">
        <v>129</v>
      </c>
      <c r="C3262" s="6" t="s">
        <v>396</v>
      </c>
      <c r="D3262" s="6" t="s">
        <v>130</v>
      </c>
      <c r="E3262" s="11">
        <v>105.65333557128906</v>
      </c>
      <c r="F3262" s="11">
        <v>6.2697453498840332</v>
      </c>
    </row>
    <row r="3263" spans="1:6" hidden="1" x14ac:dyDescent="0.3">
      <c r="A3263" s="6">
        <v>24</v>
      </c>
      <c r="B3263" s="6" t="s">
        <v>129</v>
      </c>
      <c r="C3263" s="6" t="s">
        <v>397</v>
      </c>
      <c r="D3263" s="6" t="s">
        <v>130</v>
      </c>
      <c r="E3263" s="11">
        <v>2.8336112499237061</v>
      </c>
      <c r="F3263" s="11">
        <v>6.2697453498840332</v>
      </c>
    </row>
    <row r="3264" spans="1:6" hidden="1" x14ac:dyDescent="0.3">
      <c r="A3264" s="6">
        <v>24</v>
      </c>
      <c r="B3264" s="6" t="s">
        <v>129</v>
      </c>
      <c r="C3264" s="6" t="s">
        <v>398</v>
      </c>
      <c r="D3264" s="6" t="s">
        <v>130</v>
      </c>
      <c r="E3264" s="11">
        <v>3.1705281734466553</v>
      </c>
      <c r="F3264" s="11">
        <v>6.2697453498840332</v>
      </c>
    </row>
    <row r="3265" spans="1:6" hidden="1" x14ac:dyDescent="0.3">
      <c r="A3265" s="6">
        <v>24</v>
      </c>
      <c r="B3265" s="6" t="s">
        <v>129</v>
      </c>
      <c r="C3265" s="6" t="s">
        <v>399</v>
      </c>
      <c r="D3265" s="6" t="s">
        <v>130</v>
      </c>
      <c r="E3265" s="11">
        <v>3.9924123287200928</v>
      </c>
      <c r="F3265" s="11">
        <v>6.2697453498840332</v>
      </c>
    </row>
    <row r="3266" spans="1:6" hidden="1" x14ac:dyDescent="0.3">
      <c r="A3266" s="6">
        <v>24</v>
      </c>
      <c r="B3266" s="6" t="s">
        <v>129</v>
      </c>
      <c r="C3266" s="6" t="s">
        <v>400</v>
      </c>
      <c r="D3266" s="6" t="s">
        <v>130</v>
      </c>
      <c r="E3266" s="11">
        <v>30.183433532714844</v>
      </c>
      <c r="F3266" s="11">
        <v>6.2697453498840332</v>
      </c>
    </row>
    <row r="3267" spans="1:6" hidden="1" x14ac:dyDescent="0.3">
      <c r="A3267" s="6">
        <v>24</v>
      </c>
      <c r="B3267" s="6" t="s">
        <v>129</v>
      </c>
      <c r="C3267" s="6" t="s">
        <v>401</v>
      </c>
      <c r="D3267" s="6" t="s">
        <v>130</v>
      </c>
      <c r="E3267" s="11">
        <v>5.5637478828430176</v>
      </c>
      <c r="F3267" s="11">
        <v>6.2697453498840332</v>
      </c>
    </row>
    <row r="3268" spans="1:6" hidden="1" x14ac:dyDescent="0.3">
      <c r="A3268" s="6">
        <v>24</v>
      </c>
      <c r="B3268" s="6" t="s">
        <v>129</v>
      </c>
      <c r="C3268" s="6" t="s">
        <v>402</v>
      </c>
      <c r="D3268" s="6" t="s">
        <v>130</v>
      </c>
      <c r="E3268" s="11">
        <v>16.303218841552734</v>
      </c>
      <c r="F3268" s="11">
        <v>6.2697453498840332</v>
      </c>
    </row>
    <row r="3269" spans="1:6" hidden="1" x14ac:dyDescent="0.3">
      <c r="A3269" s="6">
        <v>24</v>
      </c>
      <c r="B3269" s="6" t="s">
        <v>129</v>
      </c>
      <c r="C3269" s="6" t="s">
        <v>403</v>
      </c>
      <c r="D3269" s="6" t="s">
        <v>130</v>
      </c>
      <c r="E3269" s="11">
        <v>2.9656124114990234</v>
      </c>
      <c r="F3269" s="11">
        <v>6.2697453498840332</v>
      </c>
    </row>
    <row r="3270" spans="1:6" hidden="1" x14ac:dyDescent="0.3">
      <c r="A3270" s="6">
        <v>24</v>
      </c>
      <c r="B3270" s="6" t="s">
        <v>129</v>
      </c>
      <c r="C3270" s="6" t="s">
        <v>404</v>
      </c>
      <c r="D3270" s="6" t="s">
        <v>130</v>
      </c>
      <c r="E3270" s="11">
        <v>6.2671489715576172</v>
      </c>
      <c r="F3270" s="11">
        <v>6.2697453498840332</v>
      </c>
    </row>
    <row r="3271" spans="1:6" hidden="1" x14ac:dyDescent="0.3">
      <c r="A3271" s="6">
        <v>24</v>
      </c>
      <c r="B3271" s="6" t="s">
        <v>129</v>
      </c>
      <c r="C3271" s="6" t="s">
        <v>405</v>
      </c>
      <c r="D3271" s="6" t="s">
        <v>130</v>
      </c>
      <c r="E3271" s="11">
        <v>9.7657794952392578</v>
      </c>
      <c r="F3271" s="11">
        <v>6.2697453498840332</v>
      </c>
    </row>
    <row r="3272" spans="1:6" hidden="1" x14ac:dyDescent="0.3">
      <c r="A3272" s="6">
        <v>24</v>
      </c>
      <c r="B3272" s="6" t="s">
        <v>129</v>
      </c>
      <c r="C3272" s="6" t="s">
        <v>406</v>
      </c>
      <c r="D3272" s="6" t="s">
        <v>130</v>
      </c>
      <c r="E3272" s="11">
        <v>4.5589065551757813</v>
      </c>
      <c r="F3272" s="11">
        <v>6.2697453498840332</v>
      </c>
    </row>
    <row r="3273" spans="1:6" hidden="1" x14ac:dyDescent="0.3">
      <c r="A3273" s="6">
        <v>24</v>
      </c>
      <c r="B3273" s="6" t="s">
        <v>129</v>
      </c>
      <c r="C3273" s="6" t="s">
        <v>407</v>
      </c>
      <c r="D3273" s="6" t="s">
        <v>130</v>
      </c>
      <c r="E3273" s="11">
        <v>37.621784210205078</v>
      </c>
      <c r="F3273" s="11">
        <v>6.2697453498840332</v>
      </c>
    </row>
    <row r="3274" spans="1:6" hidden="1" x14ac:dyDescent="0.3">
      <c r="A3274" s="6">
        <v>24</v>
      </c>
      <c r="B3274" s="6" t="s">
        <v>129</v>
      </c>
      <c r="C3274" s="6" t="s">
        <v>408</v>
      </c>
      <c r="D3274" s="6" t="s">
        <v>130</v>
      </c>
      <c r="E3274" s="11">
        <v>6.8547487258911133</v>
      </c>
      <c r="F3274" s="11">
        <v>6.2697453498840332</v>
      </c>
    </row>
    <row r="3275" spans="1:6" hidden="1" x14ac:dyDescent="0.3">
      <c r="A3275" s="6">
        <v>24</v>
      </c>
      <c r="B3275" s="6" t="s">
        <v>129</v>
      </c>
      <c r="C3275" s="6" t="s">
        <v>409</v>
      </c>
      <c r="D3275" s="6" t="s">
        <v>130</v>
      </c>
      <c r="E3275" s="11">
        <v>2.6926636695861816</v>
      </c>
      <c r="F3275" s="11">
        <v>6.2697453498840332</v>
      </c>
    </row>
    <row r="3276" spans="1:6" hidden="1" x14ac:dyDescent="0.3">
      <c r="A3276" s="6">
        <v>24</v>
      </c>
      <c r="B3276" s="6" t="s">
        <v>129</v>
      </c>
      <c r="C3276" s="6" t="s">
        <v>410</v>
      </c>
      <c r="D3276" s="6" t="s">
        <v>130</v>
      </c>
      <c r="E3276" s="11">
        <v>6.7122211456298828</v>
      </c>
      <c r="F3276" s="11">
        <v>6.2697453498840332</v>
      </c>
    </row>
    <row r="3277" spans="1:6" hidden="1" x14ac:dyDescent="0.3">
      <c r="A3277" s="6">
        <v>24</v>
      </c>
      <c r="B3277" s="6" t="s">
        <v>129</v>
      </c>
      <c r="C3277" s="6" t="s">
        <v>411</v>
      </c>
      <c r="D3277" s="6" t="s">
        <v>130</v>
      </c>
      <c r="E3277" s="11">
        <v>4.6964430809020996</v>
      </c>
      <c r="F3277" s="11">
        <v>6.2697453498840332</v>
      </c>
    </row>
    <row r="3278" spans="1:6" hidden="1" x14ac:dyDescent="0.3">
      <c r="A3278" s="6">
        <v>24</v>
      </c>
      <c r="B3278" s="6" t="s">
        <v>129</v>
      </c>
      <c r="C3278" s="6" t="s">
        <v>412</v>
      </c>
      <c r="D3278" s="6" t="s">
        <v>130</v>
      </c>
      <c r="E3278" s="11">
        <v>4.5206451416015625</v>
      </c>
      <c r="F3278" s="11">
        <v>6.2697453498840332</v>
      </c>
    </row>
    <row r="3279" spans="1:6" hidden="1" x14ac:dyDescent="0.3">
      <c r="A3279" s="6">
        <v>24</v>
      </c>
      <c r="B3279" s="6" t="s">
        <v>129</v>
      </c>
      <c r="C3279" s="6" t="s">
        <v>413</v>
      </c>
      <c r="D3279" s="6" t="s">
        <v>130</v>
      </c>
      <c r="E3279" s="11">
        <v>3.6590714454650879</v>
      </c>
      <c r="F3279" s="11">
        <v>6.2697453498840332</v>
      </c>
    </row>
    <row r="3280" spans="1:6" hidden="1" x14ac:dyDescent="0.3">
      <c r="A3280" s="6">
        <v>24</v>
      </c>
      <c r="B3280" s="6" t="s">
        <v>129</v>
      </c>
      <c r="C3280" s="6" t="s">
        <v>414</v>
      </c>
      <c r="D3280" s="6" t="s">
        <v>130</v>
      </c>
      <c r="E3280" s="11">
        <v>15.638913154602051</v>
      </c>
      <c r="F3280" s="11">
        <v>6.2697453498840332</v>
      </c>
    </row>
    <row r="3281" spans="1:6" hidden="1" x14ac:dyDescent="0.3">
      <c r="A3281" s="6">
        <v>24</v>
      </c>
      <c r="B3281" s="6" t="s">
        <v>129</v>
      </c>
      <c r="C3281" s="6" t="s">
        <v>415</v>
      </c>
      <c r="D3281" s="6" t="s">
        <v>130</v>
      </c>
      <c r="E3281" s="11">
        <v>10.535286903381348</v>
      </c>
      <c r="F3281" s="11">
        <v>6.2697453498840332</v>
      </c>
    </row>
    <row r="3282" spans="1:6" hidden="1" x14ac:dyDescent="0.3">
      <c r="A3282" s="6">
        <v>24</v>
      </c>
      <c r="B3282" s="6" t="s">
        <v>129</v>
      </c>
      <c r="C3282" s="6" t="s">
        <v>416</v>
      </c>
      <c r="D3282" s="6" t="s">
        <v>130</v>
      </c>
      <c r="E3282" s="11">
        <v>5.6835646629333496</v>
      </c>
      <c r="F3282" s="11">
        <v>6.2697453498840332</v>
      </c>
    </row>
    <row r="3283" spans="1:6" hidden="1" x14ac:dyDescent="0.3">
      <c r="A3283" s="6">
        <v>24</v>
      </c>
      <c r="B3283" s="6" t="s">
        <v>129</v>
      </c>
      <c r="C3283" s="6" t="s">
        <v>417</v>
      </c>
      <c r="D3283" s="6" t="s">
        <v>130</v>
      </c>
      <c r="E3283" s="11">
        <v>10.586403846740723</v>
      </c>
      <c r="F3283" s="11">
        <v>6.2697453498840332</v>
      </c>
    </row>
    <row r="3284" spans="1:6" hidden="1" x14ac:dyDescent="0.3">
      <c r="A3284" s="6">
        <v>24</v>
      </c>
      <c r="B3284" s="6" t="s">
        <v>129</v>
      </c>
      <c r="C3284" s="6" t="s">
        <v>418</v>
      </c>
      <c r="D3284" s="6" t="s">
        <v>130</v>
      </c>
      <c r="E3284" s="11">
        <v>7.3546662330627441</v>
      </c>
      <c r="F3284" s="11">
        <v>6.2697453498840332</v>
      </c>
    </row>
    <row r="3285" spans="1:6" hidden="1" x14ac:dyDescent="0.3">
      <c r="A3285" s="6">
        <v>24</v>
      </c>
      <c r="B3285" s="6" t="s">
        <v>129</v>
      </c>
      <c r="C3285" s="6" t="s">
        <v>419</v>
      </c>
      <c r="D3285" s="6" t="s">
        <v>130</v>
      </c>
      <c r="E3285" s="11">
        <v>677.8800048828125</v>
      </c>
      <c r="F3285" s="11">
        <v>6.2697453498840332</v>
      </c>
    </row>
    <row r="3286" spans="1:6" hidden="1" x14ac:dyDescent="0.3">
      <c r="A3286" s="6">
        <v>24</v>
      </c>
      <c r="B3286" s="6" t="s">
        <v>129</v>
      </c>
      <c r="C3286" s="6" t="s">
        <v>420</v>
      </c>
      <c r="D3286" s="6" t="s">
        <v>130</v>
      </c>
      <c r="E3286" s="11">
        <v>20.730014801025391</v>
      </c>
      <c r="F3286" s="11">
        <v>6.2697453498840332</v>
      </c>
    </row>
    <row r="3287" spans="1:6" hidden="1" x14ac:dyDescent="0.3">
      <c r="A3287" s="6">
        <v>24</v>
      </c>
      <c r="B3287" s="6" t="s">
        <v>129</v>
      </c>
      <c r="C3287" s="6" t="s">
        <v>421</v>
      </c>
      <c r="D3287" s="6" t="s">
        <v>130</v>
      </c>
      <c r="E3287" s="11">
        <v>3.7794156074523926</v>
      </c>
      <c r="F3287" s="11">
        <v>6.2697453498840332</v>
      </c>
    </row>
    <row r="3288" spans="1:6" hidden="1" x14ac:dyDescent="0.3">
      <c r="A3288" s="6">
        <v>24</v>
      </c>
      <c r="B3288" s="6" t="s">
        <v>129</v>
      </c>
      <c r="C3288" s="6" t="s">
        <v>422</v>
      </c>
      <c r="D3288" s="6" t="s">
        <v>130</v>
      </c>
      <c r="E3288" s="11">
        <v>2.497180700302124</v>
      </c>
      <c r="F3288" s="11">
        <v>6.2697453498840332</v>
      </c>
    </row>
    <row r="3289" spans="1:6" hidden="1" x14ac:dyDescent="0.3">
      <c r="A3289" s="6">
        <v>24</v>
      </c>
      <c r="B3289" s="6" t="s">
        <v>129</v>
      </c>
      <c r="C3289" s="6" t="s">
        <v>423</v>
      </c>
      <c r="D3289" s="6" t="s">
        <v>130</v>
      </c>
      <c r="E3289" s="11">
        <v>2.5921649932861328</v>
      </c>
      <c r="F3289" s="11">
        <v>6.2697453498840332</v>
      </c>
    </row>
    <row r="3290" spans="1:6" hidden="1" x14ac:dyDescent="0.3">
      <c r="A3290" s="6">
        <v>24</v>
      </c>
      <c r="B3290" s="6" t="s">
        <v>129</v>
      </c>
      <c r="C3290" s="6" t="s">
        <v>424</v>
      </c>
      <c r="D3290" s="6" t="s">
        <v>130</v>
      </c>
      <c r="E3290" s="11">
        <v>7.6705350875854492</v>
      </c>
      <c r="F3290" s="11">
        <v>6.2697453498840332</v>
      </c>
    </row>
    <row r="3291" spans="1:6" hidden="1" x14ac:dyDescent="0.3">
      <c r="A3291" s="6">
        <v>24</v>
      </c>
      <c r="B3291" s="6" t="s">
        <v>129</v>
      </c>
      <c r="C3291" s="6" t="s">
        <v>425</v>
      </c>
      <c r="D3291" s="6" t="s">
        <v>130</v>
      </c>
      <c r="E3291" s="11">
        <v>5.2365131378173828</v>
      </c>
      <c r="F3291" s="11">
        <v>6.2697453498840332</v>
      </c>
    </row>
    <row r="3292" spans="1:6" hidden="1" x14ac:dyDescent="0.3">
      <c r="A3292" s="6">
        <v>24</v>
      </c>
      <c r="B3292" s="6" t="s">
        <v>129</v>
      </c>
      <c r="C3292" s="6" t="s">
        <v>426</v>
      </c>
      <c r="D3292" s="6" t="s">
        <v>130</v>
      </c>
      <c r="E3292" s="11">
        <v>4.6468091011047363</v>
      </c>
      <c r="F3292" s="11">
        <v>6.2697453498840332</v>
      </c>
    </row>
    <row r="3293" spans="1:6" hidden="1" x14ac:dyDescent="0.3">
      <c r="A3293" s="6">
        <v>24</v>
      </c>
      <c r="B3293" s="6" t="s">
        <v>129</v>
      </c>
      <c r="C3293" s="6" t="s">
        <v>427</v>
      </c>
      <c r="D3293" s="6" t="s">
        <v>130</v>
      </c>
      <c r="E3293" s="11">
        <v>10.035693168640137</v>
      </c>
      <c r="F3293" s="11">
        <v>6.2697453498840332</v>
      </c>
    </row>
    <row r="3294" spans="1:6" hidden="1" x14ac:dyDescent="0.3">
      <c r="A3294" s="6">
        <v>24</v>
      </c>
      <c r="B3294" s="6" t="s">
        <v>129</v>
      </c>
      <c r="C3294" s="6" t="s">
        <v>428</v>
      </c>
      <c r="D3294" s="6" t="s">
        <v>130</v>
      </c>
      <c r="E3294" s="11"/>
      <c r="F3294" s="11">
        <v>6.2697453498840332</v>
      </c>
    </row>
    <row r="3295" spans="1:6" hidden="1" x14ac:dyDescent="0.3">
      <c r="A3295" s="6">
        <v>24</v>
      </c>
      <c r="B3295" s="6" t="s">
        <v>129</v>
      </c>
      <c r="C3295" s="6" t="s">
        <v>429</v>
      </c>
      <c r="D3295" s="6" t="s">
        <v>130</v>
      </c>
      <c r="E3295" s="11">
        <v>4.5608186721801758</v>
      </c>
      <c r="F3295" s="11">
        <v>6.2697453498840332</v>
      </c>
    </row>
    <row r="3296" spans="1:6" hidden="1" x14ac:dyDescent="0.3">
      <c r="A3296" s="6">
        <v>24</v>
      </c>
      <c r="B3296" s="6" t="s">
        <v>129</v>
      </c>
      <c r="C3296" s="6" t="s">
        <v>430</v>
      </c>
      <c r="D3296" s="6" t="s">
        <v>130</v>
      </c>
      <c r="E3296" s="11">
        <v>9.4887847900390625</v>
      </c>
      <c r="F3296" s="11">
        <v>6.2697453498840332</v>
      </c>
    </row>
    <row r="3297" spans="1:6" hidden="1" x14ac:dyDescent="0.3">
      <c r="A3297" s="6">
        <v>24</v>
      </c>
      <c r="B3297" s="6" t="s">
        <v>129</v>
      </c>
      <c r="C3297" s="6" t="s">
        <v>431</v>
      </c>
      <c r="D3297" s="6" t="s">
        <v>130</v>
      </c>
      <c r="E3297" s="11">
        <v>8.7330913543701172</v>
      </c>
      <c r="F3297" s="11">
        <v>6.2697453498840332</v>
      </c>
    </row>
    <row r="3298" spans="1:6" hidden="1" x14ac:dyDescent="0.3">
      <c r="A3298" s="6">
        <v>24</v>
      </c>
      <c r="B3298" s="6" t="s">
        <v>129</v>
      </c>
      <c r="C3298" s="6" t="s">
        <v>432</v>
      </c>
      <c r="D3298" s="6" t="s">
        <v>130</v>
      </c>
      <c r="E3298" s="11">
        <v>4844.583984375</v>
      </c>
      <c r="F3298" s="11">
        <v>6.2697453498840332</v>
      </c>
    </row>
    <row r="3299" spans="1:6" hidden="1" x14ac:dyDescent="0.3">
      <c r="A3299" s="6">
        <v>24</v>
      </c>
      <c r="B3299" s="6" t="s">
        <v>129</v>
      </c>
      <c r="C3299" s="6" t="s">
        <v>433</v>
      </c>
      <c r="D3299" s="6" t="s">
        <v>130</v>
      </c>
      <c r="E3299" s="11">
        <v>13.362179756164551</v>
      </c>
      <c r="F3299" s="11">
        <v>6.2697453498840332</v>
      </c>
    </row>
    <row r="3300" spans="1:6" hidden="1" x14ac:dyDescent="0.3">
      <c r="A3300" s="6">
        <v>24</v>
      </c>
      <c r="B3300" s="6" t="s">
        <v>129</v>
      </c>
      <c r="C3300" s="6" t="s">
        <v>434</v>
      </c>
      <c r="D3300" s="6" t="s">
        <v>130</v>
      </c>
      <c r="E3300" s="11">
        <v>2.9840447902679443</v>
      </c>
      <c r="F3300" s="11">
        <v>6.2697453498840332</v>
      </c>
    </row>
    <row r="3301" spans="1:6" hidden="1" x14ac:dyDescent="0.3">
      <c r="A3301" s="6">
        <v>24</v>
      </c>
      <c r="B3301" s="6" t="s">
        <v>129</v>
      </c>
      <c r="C3301" s="6" t="s">
        <v>435</v>
      </c>
      <c r="D3301" s="6" t="s">
        <v>130</v>
      </c>
      <c r="E3301" s="11">
        <v>5.259915828704834</v>
      </c>
      <c r="F3301" s="11">
        <v>6.2697453498840332</v>
      </c>
    </row>
    <row r="3302" spans="1:6" hidden="1" x14ac:dyDescent="0.3">
      <c r="A3302" s="6">
        <v>24</v>
      </c>
      <c r="B3302" s="6" t="s">
        <v>129</v>
      </c>
      <c r="C3302" s="6" t="s">
        <v>436</v>
      </c>
      <c r="D3302" s="6" t="s">
        <v>130</v>
      </c>
      <c r="E3302" s="11">
        <v>3.6340348720550537</v>
      </c>
      <c r="F3302" s="11">
        <v>6.2697453498840332</v>
      </c>
    </row>
    <row r="3303" spans="1:6" hidden="1" x14ac:dyDescent="0.3">
      <c r="A3303" s="6">
        <v>24</v>
      </c>
      <c r="B3303" s="6" t="s">
        <v>129</v>
      </c>
      <c r="C3303" s="6" t="s">
        <v>437</v>
      </c>
      <c r="D3303" s="6" t="s">
        <v>130</v>
      </c>
      <c r="E3303" s="11">
        <v>6.3356094360351563</v>
      </c>
      <c r="F3303" s="11">
        <v>6.2697453498840332</v>
      </c>
    </row>
    <row r="3304" spans="1:6" hidden="1" x14ac:dyDescent="0.3">
      <c r="A3304" s="6">
        <v>24</v>
      </c>
      <c r="B3304" s="6" t="s">
        <v>129</v>
      </c>
      <c r="C3304" s="6" t="s">
        <v>438</v>
      </c>
      <c r="D3304" s="6" t="s">
        <v>130</v>
      </c>
      <c r="E3304" s="11">
        <v>6.4775161743164063</v>
      </c>
      <c r="F3304" s="11">
        <v>6.2697453498840332</v>
      </c>
    </row>
    <row r="3305" spans="1:6" hidden="1" x14ac:dyDescent="0.3">
      <c r="A3305" s="6">
        <v>24</v>
      </c>
      <c r="B3305" s="6" t="s">
        <v>129</v>
      </c>
      <c r="C3305" s="6" t="s">
        <v>439</v>
      </c>
      <c r="D3305" s="6" t="s">
        <v>130</v>
      </c>
      <c r="E3305" s="11">
        <v>3.6300606727600098</v>
      </c>
      <c r="F3305" s="11">
        <v>6.2697453498840332</v>
      </c>
    </row>
    <row r="3306" spans="1:6" hidden="1" x14ac:dyDescent="0.3">
      <c r="A3306" s="6">
        <v>24</v>
      </c>
      <c r="B3306" s="6" t="s">
        <v>129</v>
      </c>
      <c r="C3306" s="6" t="s">
        <v>440</v>
      </c>
      <c r="D3306" s="6" t="s">
        <v>130</v>
      </c>
      <c r="E3306" s="11">
        <v>8.7897109985351563</v>
      </c>
      <c r="F3306" s="11">
        <v>6.2697453498840332</v>
      </c>
    </row>
    <row r="3307" spans="1:6" hidden="1" x14ac:dyDescent="0.3">
      <c r="A3307" s="6">
        <v>24</v>
      </c>
      <c r="B3307" s="6" t="s">
        <v>129</v>
      </c>
      <c r="C3307" s="6" t="s">
        <v>441</v>
      </c>
      <c r="D3307" s="6" t="s">
        <v>130</v>
      </c>
      <c r="E3307" s="11">
        <v>6.3614954948425293</v>
      </c>
      <c r="F3307" s="11">
        <v>6.2697453498840332</v>
      </c>
    </row>
    <row r="3308" spans="1:6" hidden="1" x14ac:dyDescent="0.3">
      <c r="A3308" s="6">
        <v>24</v>
      </c>
      <c r="B3308" s="6" t="s">
        <v>129</v>
      </c>
      <c r="C3308" s="6" t="s">
        <v>442</v>
      </c>
      <c r="D3308" s="6" t="s">
        <v>130</v>
      </c>
      <c r="E3308" s="11">
        <v>49.782207489013672</v>
      </c>
      <c r="F3308" s="11">
        <v>6.2697453498840332</v>
      </c>
    </row>
    <row r="3309" spans="1:6" hidden="1" x14ac:dyDescent="0.3">
      <c r="A3309" s="6">
        <v>24</v>
      </c>
      <c r="B3309" s="6" t="s">
        <v>129</v>
      </c>
      <c r="C3309" s="6" t="s">
        <v>443</v>
      </c>
      <c r="D3309" s="6" t="s">
        <v>130</v>
      </c>
      <c r="E3309" s="11">
        <v>4.6284289360046387</v>
      </c>
      <c r="F3309" s="11">
        <v>6.2697453498840332</v>
      </c>
    </row>
    <row r="3310" spans="1:6" hidden="1" x14ac:dyDescent="0.3">
      <c r="A3310" s="6">
        <v>24</v>
      </c>
      <c r="B3310" s="6" t="s">
        <v>129</v>
      </c>
      <c r="C3310" s="6" t="s">
        <v>444</v>
      </c>
      <c r="D3310" s="6" t="s">
        <v>130</v>
      </c>
      <c r="E3310" s="11">
        <v>6.3164682388305664</v>
      </c>
      <c r="F3310" s="11">
        <v>6.2697453498840332</v>
      </c>
    </row>
    <row r="3311" spans="1:6" hidden="1" x14ac:dyDescent="0.3">
      <c r="A3311" s="6">
        <v>24</v>
      </c>
      <c r="B3311" s="6" t="s">
        <v>129</v>
      </c>
      <c r="C3311" s="6" t="s">
        <v>445</v>
      </c>
      <c r="D3311" s="6" t="s">
        <v>130</v>
      </c>
      <c r="E3311" s="11">
        <v>4.5208830833435059</v>
      </c>
      <c r="F3311" s="11">
        <v>6.2697453498840332</v>
      </c>
    </row>
    <row r="3312" spans="1:6" hidden="1" x14ac:dyDescent="0.3">
      <c r="A3312" s="6">
        <v>24</v>
      </c>
      <c r="B3312" s="6" t="s">
        <v>129</v>
      </c>
      <c r="C3312" s="6" t="s">
        <v>446</v>
      </c>
      <c r="D3312" s="6" t="s">
        <v>130</v>
      </c>
      <c r="E3312" s="11">
        <v>3.1953141689300537</v>
      </c>
      <c r="F3312" s="11">
        <v>6.2697453498840332</v>
      </c>
    </row>
    <row r="3313" spans="1:6" hidden="1" x14ac:dyDescent="0.3">
      <c r="A3313" s="6">
        <v>24</v>
      </c>
      <c r="B3313" s="6" t="s">
        <v>129</v>
      </c>
      <c r="C3313" s="6" t="s">
        <v>447</v>
      </c>
      <c r="D3313" s="6" t="s">
        <v>130</v>
      </c>
      <c r="E3313" s="11">
        <v>4.4276785850524902</v>
      </c>
      <c r="F3313" s="11">
        <v>6.2697453498840332</v>
      </c>
    </row>
    <row r="3314" spans="1:6" hidden="1" x14ac:dyDescent="0.3">
      <c r="A3314" s="6">
        <v>24</v>
      </c>
      <c r="B3314" s="6" t="s">
        <v>129</v>
      </c>
      <c r="C3314" s="6" t="s">
        <v>448</v>
      </c>
      <c r="D3314" s="6" t="s">
        <v>130</v>
      </c>
      <c r="E3314" s="11">
        <v>9.065582275390625</v>
      </c>
      <c r="F3314" s="11">
        <v>6.2697453498840332</v>
      </c>
    </row>
    <row r="3315" spans="1:6" hidden="1" x14ac:dyDescent="0.3">
      <c r="A3315" s="6">
        <v>24</v>
      </c>
      <c r="B3315" s="6" t="s">
        <v>129</v>
      </c>
      <c r="C3315" s="6" t="s">
        <v>449</v>
      </c>
      <c r="D3315" s="6" t="s">
        <v>130</v>
      </c>
      <c r="E3315" s="11">
        <v>17.922924041748047</v>
      </c>
      <c r="F3315" s="11">
        <v>6.2697453498840332</v>
      </c>
    </row>
    <row r="3316" spans="1:6" hidden="1" x14ac:dyDescent="0.3">
      <c r="A3316" s="6">
        <v>24</v>
      </c>
      <c r="B3316" s="6" t="s">
        <v>129</v>
      </c>
      <c r="C3316" s="6" t="s">
        <v>450</v>
      </c>
      <c r="D3316" s="6" t="s">
        <v>130</v>
      </c>
      <c r="E3316" s="11">
        <v>3.8661489486694336</v>
      </c>
      <c r="F3316" s="11">
        <v>6.2697453498840332</v>
      </c>
    </row>
    <row r="3317" spans="1:6" hidden="1" x14ac:dyDescent="0.3">
      <c r="A3317" s="6">
        <v>24</v>
      </c>
      <c r="B3317" s="6" t="s">
        <v>129</v>
      </c>
      <c r="C3317" s="6" t="s">
        <v>451</v>
      </c>
      <c r="D3317" s="6" t="s">
        <v>130</v>
      </c>
      <c r="E3317" s="11">
        <v>13.359580993652344</v>
      </c>
      <c r="F3317" s="11">
        <v>6.2697453498840332</v>
      </c>
    </row>
    <row r="3318" spans="1:6" hidden="1" x14ac:dyDescent="0.3">
      <c r="A3318" s="6">
        <v>24</v>
      </c>
      <c r="B3318" s="6" t="s">
        <v>129</v>
      </c>
      <c r="C3318" s="6" t="s">
        <v>452</v>
      </c>
      <c r="D3318" s="6" t="s">
        <v>130</v>
      </c>
      <c r="E3318" s="11">
        <v>6.2032418251037598</v>
      </c>
      <c r="F3318" s="11">
        <v>6.2697453498840332</v>
      </c>
    </row>
    <row r="3319" spans="1:6" hidden="1" x14ac:dyDescent="0.3">
      <c r="A3319" s="6">
        <v>24</v>
      </c>
      <c r="B3319" s="6" t="s">
        <v>129</v>
      </c>
      <c r="C3319" s="6" t="s">
        <v>453</v>
      </c>
      <c r="D3319" s="6" t="s">
        <v>130</v>
      </c>
      <c r="E3319" s="11">
        <v>3.6858434677124023</v>
      </c>
      <c r="F3319" s="11">
        <v>6.2697453498840332</v>
      </c>
    </row>
    <row r="3320" spans="1:6" hidden="1" x14ac:dyDescent="0.3">
      <c r="A3320" s="6">
        <v>24</v>
      </c>
      <c r="B3320" s="6" t="s">
        <v>129</v>
      </c>
      <c r="C3320" s="6" t="s">
        <v>454</v>
      </c>
      <c r="D3320" s="6" t="s">
        <v>130</v>
      </c>
      <c r="E3320" s="11">
        <v>4.6829042434692383</v>
      </c>
      <c r="F3320" s="11">
        <v>6.2697453498840332</v>
      </c>
    </row>
    <row r="3321" spans="1:6" hidden="1" x14ac:dyDescent="0.3">
      <c r="A3321" s="6">
        <v>24</v>
      </c>
      <c r="B3321" s="6" t="s">
        <v>129</v>
      </c>
      <c r="C3321" s="6" t="s">
        <v>455</v>
      </c>
      <c r="D3321" s="6" t="s">
        <v>130</v>
      </c>
      <c r="E3321" s="11">
        <v>10.446358680725098</v>
      </c>
      <c r="F3321" s="11">
        <v>6.2697453498840332</v>
      </c>
    </row>
    <row r="3322" spans="1:6" hidden="1" x14ac:dyDescent="0.3">
      <c r="A3322" s="6">
        <v>24</v>
      </c>
      <c r="B3322" s="6" t="s">
        <v>129</v>
      </c>
      <c r="C3322" s="6" t="s">
        <v>456</v>
      </c>
      <c r="D3322" s="6" t="s">
        <v>130</v>
      </c>
      <c r="E3322" s="11">
        <v>5.0233068466186523</v>
      </c>
      <c r="F3322" s="11">
        <v>6.2697453498840332</v>
      </c>
    </row>
    <row r="3323" spans="1:6" hidden="1" x14ac:dyDescent="0.3">
      <c r="A3323" s="6">
        <v>24</v>
      </c>
      <c r="B3323" s="6" t="s">
        <v>129</v>
      </c>
      <c r="C3323" s="6" t="s">
        <v>457</v>
      </c>
      <c r="D3323" s="6" t="s">
        <v>130</v>
      </c>
      <c r="E3323" s="11">
        <v>4.5491247177124023</v>
      </c>
      <c r="F3323" s="11">
        <v>6.2697453498840332</v>
      </c>
    </row>
    <row r="3324" spans="1:6" hidden="1" x14ac:dyDescent="0.3">
      <c r="A3324" s="6">
        <v>24</v>
      </c>
      <c r="B3324" s="6" t="s">
        <v>129</v>
      </c>
      <c r="C3324" s="6" t="s">
        <v>458</v>
      </c>
      <c r="D3324" s="6" t="s">
        <v>130</v>
      </c>
      <c r="E3324" s="11">
        <v>3.6284170150756836</v>
      </c>
      <c r="F3324" s="11">
        <v>6.2697453498840332</v>
      </c>
    </row>
    <row r="3325" spans="1:6" hidden="1" x14ac:dyDescent="0.3">
      <c r="A3325" s="6">
        <v>24</v>
      </c>
      <c r="B3325" s="6" t="s">
        <v>129</v>
      </c>
      <c r="C3325" s="6" t="s">
        <v>459</v>
      </c>
      <c r="D3325" s="6" t="s">
        <v>130</v>
      </c>
      <c r="E3325" s="11">
        <v>4.393803596496582</v>
      </c>
      <c r="F3325" s="11">
        <v>6.2697453498840332</v>
      </c>
    </row>
    <row r="3326" spans="1:6" hidden="1" x14ac:dyDescent="0.3">
      <c r="A3326" s="6">
        <v>24</v>
      </c>
      <c r="B3326" s="6" t="s">
        <v>129</v>
      </c>
      <c r="C3326" s="6" t="s">
        <v>460</v>
      </c>
      <c r="D3326" s="6" t="s">
        <v>130</v>
      </c>
      <c r="E3326" s="11">
        <v>308.37332153320313</v>
      </c>
      <c r="F3326" s="11">
        <v>6.2697453498840332</v>
      </c>
    </row>
    <row r="3327" spans="1:6" hidden="1" x14ac:dyDescent="0.3">
      <c r="A3327" s="6">
        <v>24</v>
      </c>
      <c r="B3327" s="6" t="s">
        <v>129</v>
      </c>
      <c r="C3327" s="6" t="s">
        <v>461</v>
      </c>
      <c r="D3327" s="6" t="s">
        <v>130</v>
      </c>
      <c r="E3327" s="11">
        <v>4.0047369003295898</v>
      </c>
      <c r="F3327" s="11">
        <v>6.2697453498840332</v>
      </c>
    </row>
    <row r="3328" spans="1:6" hidden="1" x14ac:dyDescent="0.3">
      <c r="A3328" s="6">
        <v>24</v>
      </c>
      <c r="B3328" s="6" t="s">
        <v>129</v>
      </c>
      <c r="C3328" s="6" t="s">
        <v>462</v>
      </c>
      <c r="D3328" s="6" t="s">
        <v>130</v>
      </c>
      <c r="E3328" s="11">
        <v>2.9511139392852783</v>
      </c>
      <c r="F3328" s="11">
        <v>6.2697453498840332</v>
      </c>
    </row>
    <row r="3329" spans="1:6" hidden="1" x14ac:dyDescent="0.3">
      <c r="A3329" s="6">
        <v>24</v>
      </c>
      <c r="B3329" s="6" t="s">
        <v>129</v>
      </c>
      <c r="C3329" s="6" t="s">
        <v>463</v>
      </c>
      <c r="D3329" s="6" t="s">
        <v>130</v>
      </c>
      <c r="E3329" s="11">
        <v>10.276350021362305</v>
      </c>
      <c r="F3329" s="11">
        <v>6.2697453498840332</v>
      </c>
    </row>
    <row r="3330" spans="1:6" hidden="1" x14ac:dyDescent="0.3">
      <c r="A3330" s="6">
        <v>24</v>
      </c>
      <c r="B3330" s="6" t="s">
        <v>129</v>
      </c>
      <c r="C3330" s="6" t="s">
        <v>464</v>
      </c>
      <c r="D3330" s="6" t="s">
        <v>130</v>
      </c>
      <c r="E3330" s="11">
        <v>6.6132445335388184</v>
      </c>
      <c r="F3330" s="11">
        <v>6.2697453498840332</v>
      </c>
    </row>
    <row r="3331" spans="1:6" hidden="1" x14ac:dyDescent="0.3">
      <c r="A3331" s="6">
        <v>24</v>
      </c>
      <c r="B3331" s="6" t="s">
        <v>129</v>
      </c>
      <c r="C3331" s="6" t="s">
        <v>465</v>
      </c>
      <c r="D3331" s="6" t="s">
        <v>130</v>
      </c>
      <c r="E3331" s="11">
        <v>7.5549273490905762</v>
      </c>
      <c r="F3331" s="11">
        <v>6.2697453498840332</v>
      </c>
    </row>
    <row r="3332" spans="1:6" hidden="1" x14ac:dyDescent="0.3">
      <c r="A3332" s="6">
        <v>24</v>
      </c>
      <c r="B3332" s="6" t="s">
        <v>129</v>
      </c>
      <c r="C3332" s="6" t="s">
        <v>466</v>
      </c>
      <c r="D3332" s="6" t="s">
        <v>130</v>
      </c>
      <c r="E3332" s="11">
        <v>3.521751880645752</v>
      </c>
      <c r="F3332" s="11">
        <v>6.2697453498840332</v>
      </c>
    </row>
    <row r="3333" spans="1:6" hidden="1" x14ac:dyDescent="0.3">
      <c r="A3333" s="6">
        <v>24</v>
      </c>
      <c r="B3333" s="6" t="s">
        <v>129</v>
      </c>
      <c r="C3333" s="6" t="s">
        <v>467</v>
      </c>
      <c r="D3333" s="6" t="s">
        <v>130</v>
      </c>
      <c r="E3333" s="11">
        <v>89.144332885742188</v>
      </c>
      <c r="F3333" s="11">
        <v>6.2697453498840332</v>
      </c>
    </row>
    <row r="3334" spans="1:6" hidden="1" x14ac:dyDescent="0.3">
      <c r="A3334" s="6">
        <v>24</v>
      </c>
      <c r="B3334" s="6" t="s">
        <v>129</v>
      </c>
      <c r="C3334" s="6" t="s">
        <v>468</v>
      </c>
      <c r="D3334" s="6" t="s">
        <v>130</v>
      </c>
      <c r="E3334" s="11">
        <v>10.779206275939941</v>
      </c>
      <c r="F3334" s="11">
        <v>6.2697453498840332</v>
      </c>
    </row>
    <row r="3335" spans="1:6" hidden="1" x14ac:dyDescent="0.3">
      <c r="A3335" s="6">
        <v>24</v>
      </c>
      <c r="B3335" s="6" t="s">
        <v>129</v>
      </c>
      <c r="C3335" s="6" t="s">
        <v>469</v>
      </c>
      <c r="D3335" s="6" t="s">
        <v>130</v>
      </c>
      <c r="E3335" s="11">
        <v>8.0181255340576172</v>
      </c>
      <c r="F3335" s="11">
        <v>6.2697453498840332</v>
      </c>
    </row>
    <row r="3336" spans="1:6" hidden="1" x14ac:dyDescent="0.3">
      <c r="A3336" s="6">
        <v>24</v>
      </c>
      <c r="B3336" s="6" t="s">
        <v>129</v>
      </c>
      <c r="C3336" s="6" t="s">
        <v>470</v>
      </c>
      <c r="D3336" s="6" t="s">
        <v>130</v>
      </c>
      <c r="E3336" s="11">
        <v>9.1926193237304688</v>
      </c>
      <c r="F3336" s="11">
        <v>6.2697453498840332</v>
      </c>
    </row>
    <row r="3337" spans="1:6" hidden="1" x14ac:dyDescent="0.3">
      <c r="A3337" s="6">
        <v>24</v>
      </c>
      <c r="B3337" s="6" t="s">
        <v>129</v>
      </c>
      <c r="C3337" s="6" t="s">
        <v>471</v>
      </c>
      <c r="D3337" s="6" t="s">
        <v>130</v>
      </c>
      <c r="E3337" s="11">
        <v>7.1346192359924316</v>
      </c>
      <c r="F3337" s="11">
        <v>6.2697453498840332</v>
      </c>
    </row>
    <row r="3338" spans="1:6" hidden="1" x14ac:dyDescent="0.3">
      <c r="A3338" s="6">
        <v>24</v>
      </c>
      <c r="B3338" s="6" t="s">
        <v>129</v>
      </c>
      <c r="C3338" s="6" t="s">
        <v>472</v>
      </c>
      <c r="D3338" s="6" t="s">
        <v>130</v>
      </c>
      <c r="E3338" s="11">
        <v>5.9462170600891113</v>
      </c>
      <c r="F3338" s="11">
        <v>6.2697453498840332</v>
      </c>
    </row>
    <row r="3339" spans="1:6" hidden="1" x14ac:dyDescent="0.3">
      <c r="A3339" s="6">
        <v>24</v>
      </c>
      <c r="B3339" s="6" t="s">
        <v>129</v>
      </c>
      <c r="C3339" s="6" t="s">
        <v>473</v>
      </c>
      <c r="D3339" s="6" t="s">
        <v>130</v>
      </c>
      <c r="E3339" s="11">
        <v>8.4838953018188477</v>
      </c>
      <c r="F3339" s="11">
        <v>6.2697453498840332</v>
      </c>
    </row>
    <row r="3340" spans="1:6" hidden="1" x14ac:dyDescent="0.3">
      <c r="A3340" s="6">
        <v>24</v>
      </c>
      <c r="B3340" s="6" t="s">
        <v>129</v>
      </c>
      <c r="C3340" s="6" t="s">
        <v>474</v>
      </c>
      <c r="D3340" s="6" t="s">
        <v>130</v>
      </c>
      <c r="E3340" s="11">
        <v>3.7886877059936523</v>
      </c>
      <c r="F3340" s="11">
        <v>6.2697453498840332</v>
      </c>
    </row>
    <row r="3341" spans="1:6" hidden="1" x14ac:dyDescent="0.3">
      <c r="A3341" s="6">
        <v>24</v>
      </c>
      <c r="B3341" s="6" t="s">
        <v>129</v>
      </c>
      <c r="C3341" s="6" t="s">
        <v>475</v>
      </c>
      <c r="D3341" s="6" t="s">
        <v>130</v>
      </c>
      <c r="E3341" s="11">
        <v>4.7374782562255859</v>
      </c>
      <c r="F3341" s="11">
        <v>6.2697453498840332</v>
      </c>
    </row>
    <row r="3342" spans="1:6" hidden="1" x14ac:dyDescent="0.3">
      <c r="A3342" s="6">
        <v>24</v>
      </c>
      <c r="B3342" s="6" t="s">
        <v>129</v>
      </c>
      <c r="C3342" s="6" t="s">
        <v>476</v>
      </c>
      <c r="D3342" s="6" t="s">
        <v>130</v>
      </c>
      <c r="E3342" s="11">
        <v>8.9897356033325195</v>
      </c>
      <c r="F3342" s="11">
        <v>6.2697453498840332</v>
      </c>
    </row>
    <row r="3343" spans="1:6" hidden="1" x14ac:dyDescent="0.3">
      <c r="A3343" s="6">
        <v>24</v>
      </c>
      <c r="B3343" s="6" t="s">
        <v>129</v>
      </c>
      <c r="C3343" s="6" t="s">
        <v>477</v>
      </c>
      <c r="D3343" s="6" t="s">
        <v>130</v>
      </c>
      <c r="E3343" s="11">
        <v>4.1478404998779297</v>
      </c>
      <c r="F3343" s="11">
        <v>6.2697453498840332</v>
      </c>
    </row>
    <row r="3344" spans="1:6" hidden="1" x14ac:dyDescent="0.3">
      <c r="A3344" s="6">
        <v>24</v>
      </c>
      <c r="B3344" s="6" t="s">
        <v>129</v>
      </c>
      <c r="C3344" s="6" t="s">
        <v>478</v>
      </c>
      <c r="D3344" s="6" t="s">
        <v>130</v>
      </c>
      <c r="E3344" s="11">
        <v>9.3833389282226563</v>
      </c>
      <c r="F3344" s="11">
        <v>6.2697453498840332</v>
      </c>
    </row>
    <row r="3345" spans="1:6" hidden="1" x14ac:dyDescent="0.3">
      <c r="A3345" s="6">
        <v>24</v>
      </c>
      <c r="B3345" s="6" t="s">
        <v>129</v>
      </c>
      <c r="C3345" s="6" t="s">
        <v>479</v>
      </c>
      <c r="D3345" s="6" t="s">
        <v>130</v>
      </c>
      <c r="E3345" s="11">
        <v>12.33980655670166</v>
      </c>
      <c r="F3345" s="11">
        <v>6.2697453498840332</v>
      </c>
    </row>
    <row r="3346" spans="1:6" hidden="1" x14ac:dyDescent="0.3">
      <c r="A3346" s="6">
        <v>24</v>
      </c>
      <c r="B3346" s="6" t="s">
        <v>129</v>
      </c>
      <c r="C3346" s="6" t="s">
        <v>480</v>
      </c>
      <c r="D3346" s="6" t="s">
        <v>130</v>
      </c>
      <c r="E3346" s="11">
        <v>3.9320554733276367</v>
      </c>
      <c r="F3346" s="11">
        <v>6.2697453498840332</v>
      </c>
    </row>
    <row r="3347" spans="1:6" hidden="1" x14ac:dyDescent="0.3">
      <c r="A3347" s="6">
        <v>24</v>
      </c>
      <c r="B3347" s="6" t="s">
        <v>129</v>
      </c>
      <c r="C3347" s="6" t="s">
        <v>481</v>
      </c>
      <c r="D3347" s="6" t="s">
        <v>130</v>
      </c>
      <c r="E3347" s="11">
        <v>4.3979091644287109</v>
      </c>
      <c r="F3347" s="11">
        <v>6.2697453498840332</v>
      </c>
    </row>
    <row r="3348" spans="1:6" hidden="1" x14ac:dyDescent="0.3">
      <c r="A3348" s="6">
        <v>24</v>
      </c>
      <c r="B3348" s="6" t="s">
        <v>129</v>
      </c>
      <c r="C3348" s="6" t="s">
        <v>482</v>
      </c>
      <c r="D3348" s="6" t="s">
        <v>130</v>
      </c>
      <c r="E3348" s="11">
        <v>11.541533470153809</v>
      </c>
      <c r="F3348" s="11">
        <v>6.2697453498840332</v>
      </c>
    </row>
    <row r="3349" spans="1:6" hidden="1" x14ac:dyDescent="0.3">
      <c r="A3349" s="6">
        <v>24</v>
      </c>
      <c r="B3349" s="6" t="s">
        <v>129</v>
      </c>
      <c r="C3349" s="6" t="s">
        <v>483</v>
      </c>
      <c r="D3349" s="6" t="s">
        <v>130</v>
      </c>
      <c r="E3349" s="11">
        <v>10.65201473236084</v>
      </c>
      <c r="F3349" s="11">
        <v>6.2697453498840332</v>
      </c>
    </row>
    <row r="3350" spans="1:6" hidden="1" x14ac:dyDescent="0.3">
      <c r="A3350" s="6">
        <v>24</v>
      </c>
      <c r="B3350" s="6" t="s">
        <v>129</v>
      </c>
      <c r="C3350" s="6" t="s">
        <v>484</v>
      </c>
      <c r="D3350" s="6" t="s">
        <v>130</v>
      </c>
      <c r="E3350" s="11">
        <v>4.021153450012207</v>
      </c>
      <c r="F3350" s="11">
        <v>6.2697453498840332</v>
      </c>
    </row>
    <row r="3351" spans="1:6" hidden="1" x14ac:dyDescent="0.3">
      <c r="A3351" s="6">
        <v>24</v>
      </c>
      <c r="B3351" s="6" t="s">
        <v>129</v>
      </c>
      <c r="C3351" s="6" t="s">
        <v>485</v>
      </c>
      <c r="D3351" s="6" t="s">
        <v>130</v>
      </c>
      <c r="E3351" s="11">
        <v>6.8461670875549316</v>
      </c>
      <c r="F3351" s="11">
        <v>6.2697453498840332</v>
      </c>
    </row>
    <row r="3352" spans="1:6" hidden="1" x14ac:dyDescent="0.3">
      <c r="A3352" s="6">
        <v>24</v>
      </c>
      <c r="B3352" s="6" t="s">
        <v>129</v>
      </c>
      <c r="C3352" s="6" t="s">
        <v>486</v>
      </c>
      <c r="D3352" s="6" t="s">
        <v>130</v>
      </c>
      <c r="E3352" s="11">
        <v>4.5417318344116211</v>
      </c>
      <c r="F3352" s="11">
        <v>6.2697453498840332</v>
      </c>
    </row>
    <row r="3353" spans="1:6" hidden="1" x14ac:dyDescent="0.3">
      <c r="A3353" s="6">
        <v>24</v>
      </c>
      <c r="B3353" s="6" t="s">
        <v>129</v>
      </c>
      <c r="C3353" s="6" t="s">
        <v>487</v>
      </c>
      <c r="D3353" s="6" t="s">
        <v>130</v>
      </c>
      <c r="E3353" s="11">
        <v>7.7826685905456543</v>
      </c>
      <c r="F3353" s="11">
        <v>6.2697453498840332</v>
      </c>
    </row>
    <row r="3354" spans="1:6" hidden="1" x14ac:dyDescent="0.3">
      <c r="A3354" s="6">
        <v>24</v>
      </c>
      <c r="B3354" s="6" t="s">
        <v>129</v>
      </c>
      <c r="C3354" s="6" t="s">
        <v>488</v>
      </c>
      <c r="D3354" s="6" t="s">
        <v>130</v>
      </c>
      <c r="E3354" s="11">
        <v>3.8926665782928467</v>
      </c>
      <c r="F3354" s="11">
        <v>6.2697453498840332</v>
      </c>
    </row>
    <row r="3355" spans="1:6" hidden="1" x14ac:dyDescent="0.3">
      <c r="A3355" s="6">
        <v>24</v>
      </c>
      <c r="B3355" s="6" t="s">
        <v>129</v>
      </c>
      <c r="C3355" s="6" t="s">
        <v>489</v>
      </c>
      <c r="D3355" s="6" t="s">
        <v>130</v>
      </c>
      <c r="E3355" s="11">
        <v>6.9995355606079102</v>
      </c>
      <c r="F3355" s="11">
        <v>6.2697453498840332</v>
      </c>
    </row>
    <row r="3356" spans="1:6" hidden="1" x14ac:dyDescent="0.3">
      <c r="A3356" s="6">
        <v>24</v>
      </c>
      <c r="B3356" s="6" t="s">
        <v>129</v>
      </c>
      <c r="C3356" s="6" t="s">
        <v>490</v>
      </c>
      <c r="D3356" s="6" t="s">
        <v>130</v>
      </c>
      <c r="E3356" s="11">
        <v>5.2080001831054688</v>
      </c>
      <c r="F3356" s="11">
        <v>6.2697453498840332</v>
      </c>
    </row>
    <row r="3357" spans="1:6" hidden="1" x14ac:dyDescent="0.3">
      <c r="A3357" s="6">
        <v>24</v>
      </c>
      <c r="B3357" s="6" t="s">
        <v>129</v>
      </c>
      <c r="C3357" s="6" t="s">
        <v>491</v>
      </c>
      <c r="D3357" s="6" t="s">
        <v>130</v>
      </c>
      <c r="E3357" s="11">
        <v>6.4978747367858887</v>
      </c>
      <c r="F3357" s="11">
        <v>6.2697453498840332</v>
      </c>
    </row>
    <row r="3358" spans="1:6" hidden="1" x14ac:dyDescent="0.3">
      <c r="A3358" s="6">
        <v>24</v>
      </c>
      <c r="B3358" s="6" t="s">
        <v>129</v>
      </c>
      <c r="C3358" s="6" t="s">
        <v>492</v>
      </c>
      <c r="D3358" s="6" t="s">
        <v>130</v>
      </c>
      <c r="E3358" s="11">
        <v>6.9601058959960938</v>
      </c>
      <c r="F3358" s="11">
        <v>6.2697453498840332</v>
      </c>
    </row>
    <row r="3359" spans="1:6" hidden="1" x14ac:dyDescent="0.3">
      <c r="A3359" s="6">
        <v>24</v>
      </c>
      <c r="B3359" s="6" t="s">
        <v>129</v>
      </c>
      <c r="C3359" s="6" t="s">
        <v>493</v>
      </c>
      <c r="D3359" s="6" t="s">
        <v>130</v>
      </c>
      <c r="E3359" s="11">
        <v>7.3539056777954102</v>
      </c>
      <c r="F3359" s="11">
        <v>6.2697453498840332</v>
      </c>
    </row>
    <row r="3360" spans="1:6" hidden="1" x14ac:dyDescent="0.3">
      <c r="A3360" s="6">
        <v>24</v>
      </c>
      <c r="B3360" s="6" t="s">
        <v>129</v>
      </c>
      <c r="C3360" s="6" t="s">
        <v>494</v>
      </c>
      <c r="D3360" s="6" t="s">
        <v>130</v>
      </c>
      <c r="E3360" s="11">
        <v>6.4133529663085938</v>
      </c>
      <c r="F3360" s="11">
        <v>6.2697453498840332</v>
      </c>
    </row>
    <row r="3361" spans="1:6" hidden="1" x14ac:dyDescent="0.3">
      <c r="A3361" s="6">
        <v>24</v>
      </c>
      <c r="B3361" s="6" t="s">
        <v>129</v>
      </c>
      <c r="C3361" s="6" t="s">
        <v>495</v>
      </c>
      <c r="D3361" s="6" t="s">
        <v>130</v>
      </c>
      <c r="E3361" s="11">
        <v>7.3579592704772949</v>
      </c>
      <c r="F3361" s="11">
        <v>6.2697453498840332</v>
      </c>
    </row>
    <row r="3362" spans="1:6" hidden="1" x14ac:dyDescent="0.3">
      <c r="A3362" s="6">
        <v>25</v>
      </c>
      <c r="B3362" s="6" t="s">
        <v>131</v>
      </c>
      <c r="C3362" s="6" t="s">
        <v>356</v>
      </c>
      <c r="D3362" s="6" t="s">
        <v>132</v>
      </c>
      <c r="E3362" s="11">
        <v>8.2169075012207031</v>
      </c>
      <c r="F3362" s="11">
        <v>5.9371981620788574</v>
      </c>
    </row>
    <row r="3363" spans="1:6" hidden="1" x14ac:dyDescent="0.3">
      <c r="A3363" s="6">
        <v>25</v>
      </c>
      <c r="B3363" s="6" t="s">
        <v>131</v>
      </c>
      <c r="C3363" s="6" t="s">
        <v>357</v>
      </c>
      <c r="D3363" s="6" t="s">
        <v>132</v>
      </c>
      <c r="E3363" s="11">
        <v>4.8394017219543457</v>
      </c>
      <c r="F3363" s="11">
        <v>5.9371981620788574</v>
      </c>
    </row>
    <row r="3364" spans="1:6" hidden="1" x14ac:dyDescent="0.3">
      <c r="A3364" s="6">
        <v>25</v>
      </c>
      <c r="B3364" s="6" t="s">
        <v>131</v>
      </c>
      <c r="C3364" s="6" t="s">
        <v>358</v>
      </c>
      <c r="D3364" s="6" t="s">
        <v>132</v>
      </c>
      <c r="E3364" s="11">
        <v>5.3738069534301758</v>
      </c>
      <c r="F3364" s="11">
        <v>5.9371981620788574</v>
      </c>
    </row>
    <row r="3365" spans="1:6" hidden="1" x14ac:dyDescent="0.3">
      <c r="A3365" s="6">
        <v>25</v>
      </c>
      <c r="B3365" s="6" t="s">
        <v>131</v>
      </c>
      <c r="C3365" s="6" t="s">
        <v>359</v>
      </c>
      <c r="D3365" s="6" t="s">
        <v>132</v>
      </c>
      <c r="E3365" s="11">
        <v>5.35015869140625</v>
      </c>
      <c r="F3365" s="11">
        <v>5.9371981620788574</v>
      </c>
    </row>
    <row r="3366" spans="1:6" hidden="1" x14ac:dyDescent="0.3">
      <c r="A3366" s="6">
        <v>25</v>
      </c>
      <c r="B3366" s="6" t="s">
        <v>131</v>
      </c>
      <c r="C3366" s="6" t="s">
        <v>360</v>
      </c>
      <c r="D3366" s="6" t="s">
        <v>132</v>
      </c>
      <c r="E3366" s="11">
        <v>5.2031774520874023</v>
      </c>
      <c r="F3366" s="11">
        <v>5.9371981620788574</v>
      </c>
    </row>
    <row r="3367" spans="1:6" hidden="1" x14ac:dyDescent="0.3">
      <c r="A3367" s="6">
        <v>25</v>
      </c>
      <c r="B3367" s="6" t="s">
        <v>131</v>
      </c>
      <c r="C3367" s="6" t="s">
        <v>361</v>
      </c>
      <c r="D3367" s="6" t="s">
        <v>132</v>
      </c>
      <c r="E3367" s="11">
        <v>4.3465619087219238</v>
      </c>
      <c r="F3367" s="11">
        <v>5.9371981620788574</v>
      </c>
    </row>
    <row r="3368" spans="1:6" hidden="1" x14ac:dyDescent="0.3">
      <c r="A3368" s="6">
        <v>25</v>
      </c>
      <c r="B3368" s="6" t="s">
        <v>131</v>
      </c>
      <c r="C3368" s="6" t="s">
        <v>362</v>
      </c>
      <c r="D3368" s="6" t="s">
        <v>132</v>
      </c>
      <c r="E3368" s="11">
        <v>6.9832606315612793</v>
      </c>
      <c r="F3368" s="11">
        <v>5.9371981620788574</v>
      </c>
    </row>
    <row r="3369" spans="1:6" hidden="1" x14ac:dyDescent="0.3">
      <c r="A3369" s="6">
        <v>25</v>
      </c>
      <c r="B3369" s="6" t="s">
        <v>131</v>
      </c>
      <c r="C3369" s="6" t="s">
        <v>363</v>
      </c>
      <c r="D3369" s="6" t="s">
        <v>132</v>
      </c>
      <c r="E3369" s="11">
        <v>8.4611806869506836</v>
      </c>
      <c r="F3369" s="11">
        <v>5.9371981620788574</v>
      </c>
    </row>
    <row r="3370" spans="1:6" hidden="1" x14ac:dyDescent="0.3">
      <c r="A3370" s="6">
        <v>25</v>
      </c>
      <c r="B3370" s="6" t="s">
        <v>131</v>
      </c>
      <c r="C3370" s="6" t="s">
        <v>364</v>
      </c>
      <c r="D3370" s="6" t="s">
        <v>132</v>
      </c>
      <c r="E3370" s="11">
        <v>5.4007997512817383</v>
      </c>
      <c r="F3370" s="11">
        <v>5.9371981620788574</v>
      </c>
    </row>
    <row r="3371" spans="1:6" hidden="1" x14ac:dyDescent="0.3">
      <c r="A3371" s="6">
        <v>25</v>
      </c>
      <c r="B3371" s="6" t="s">
        <v>131</v>
      </c>
      <c r="C3371" s="6" t="s">
        <v>365</v>
      </c>
      <c r="D3371" s="6" t="s">
        <v>132</v>
      </c>
      <c r="E3371" s="11">
        <v>3.2943358421325684</v>
      </c>
      <c r="F3371" s="11">
        <v>5.9371981620788574</v>
      </c>
    </row>
    <row r="3372" spans="1:6" hidden="1" x14ac:dyDescent="0.3">
      <c r="A3372" s="6">
        <v>25</v>
      </c>
      <c r="B3372" s="6" t="s">
        <v>131</v>
      </c>
      <c r="C3372" s="6" t="s">
        <v>366</v>
      </c>
      <c r="D3372" s="6" t="s">
        <v>132</v>
      </c>
      <c r="E3372" s="11">
        <v>7.403892993927002</v>
      </c>
      <c r="F3372" s="11">
        <v>5.9371981620788574</v>
      </c>
    </row>
    <row r="3373" spans="1:6" hidden="1" x14ac:dyDescent="0.3">
      <c r="A3373" s="6">
        <v>25</v>
      </c>
      <c r="B3373" s="6" t="s">
        <v>131</v>
      </c>
      <c r="C3373" s="6" t="s">
        <v>367</v>
      </c>
      <c r="D3373" s="6" t="s">
        <v>132</v>
      </c>
      <c r="E3373" s="11">
        <v>3.5739142894744873</v>
      </c>
      <c r="F3373" s="11">
        <v>5.9371981620788574</v>
      </c>
    </row>
    <row r="3374" spans="1:6" hidden="1" x14ac:dyDescent="0.3">
      <c r="A3374" s="6">
        <v>25</v>
      </c>
      <c r="B3374" s="6" t="s">
        <v>131</v>
      </c>
      <c r="C3374" s="6" t="s">
        <v>368</v>
      </c>
      <c r="D3374" s="6" t="s">
        <v>132</v>
      </c>
      <c r="E3374" s="11">
        <v>5.5261554718017578</v>
      </c>
      <c r="F3374" s="11">
        <v>5.9371981620788574</v>
      </c>
    </row>
    <row r="3375" spans="1:6" hidden="1" x14ac:dyDescent="0.3">
      <c r="A3375" s="6">
        <v>25</v>
      </c>
      <c r="B3375" s="6" t="s">
        <v>131</v>
      </c>
      <c r="C3375" s="6" t="s">
        <v>369</v>
      </c>
      <c r="D3375" s="6" t="s">
        <v>132</v>
      </c>
      <c r="E3375" s="11">
        <v>11.177021980285645</v>
      </c>
      <c r="F3375" s="11">
        <v>5.9371981620788574</v>
      </c>
    </row>
    <row r="3376" spans="1:6" hidden="1" x14ac:dyDescent="0.3">
      <c r="A3376" s="6">
        <v>25</v>
      </c>
      <c r="B3376" s="6" t="s">
        <v>131</v>
      </c>
      <c r="C3376" s="6" t="s">
        <v>370</v>
      </c>
      <c r="D3376" s="6" t="s">
        <v>132</v>
      </c>
      <c r="E3376" s="11">
        <v>7.2168803215026855</v>
      </c>
      <c r="F3376" s="11">
        <v>5.9371981620788574</v>
      </c>
    </row>
    <row r="3377" spans="1:6" hidden="1" x14ac:dyDescent="0.3">
      <c r="A3377" s="6">
        <v>25</v>
      </c>
      <c r="B3377" s="6" t="s">
        <v>131</v>
      </c>
      <c r="C3377" s="6" t="s">
        <v>371</v>
      </c>
      <c r="D3377" s="6" t="s">
        <v>132</v>
      </c>
      <c r="E3377" s="11">
        <v>6.9816265106201172</v>
      </c>
      <c r="F3377" s="11">
        <v>5.9371981620788574</v>
      </c>
    </row>
    <row r="3378" spans="1:6" hidden="1" x14ac:dyDescent="0.3">
      <c r="A3378" s="6">
        <v>25</v>
      </c>
      <c r="B3378" s="6" t="s">
        <v>131</v>
      </c>
      <c r="C3378" s="6" t="s">
        <v>372</v>
      </c>
      <c r="D3378" s="6" t="s">
        <v>132</v>
      </c>
      <c r="E3378" s="11">
        <v>6.9806985855102539</v>
      </c>
      <c r="F3378" s="11">
        <v>5.9371981620788574</v>
      </c>
    </row>
    <row r="3379" spans="1:6" hidden="1" x14ac:dyDescent="0.3">
      <c r="A3379" s="6">
        <v>25</v>
      </c>
      <c r="B3379" s="6" t="s">
        <v>131</v>
      </c>
      <c r="C3379" s="6" t="s">
        <v>373</v>
      </c>
      <c r="D3379" s="6" t="s">
        <v>132</v>
      </c>
      <c r="E3379" s="11">
        <v>12.175436973571777</v>
      </c>
      <c r="F3379" s="11">
        <v>5.9371981620788574</v>
      </c>
    </row>
    <row r="3380" spans="1:6" hidden="1" x14ac:dyDescent="0.3">
      <c r="A3380" s="6">
        <v>25</v>
      </c>
      <c r="B3380" s="6" t="s">
        <v>131</v>
      </c>
      <c r="C3380" s="6" t="s">
        <v>374</v>
      </c>
      <c r="D3380" s="6" t="s">
        <v>132</v>
      </c>
      <c r="E3380" s="11">
        <v>5.1605520248413086</v>
      </c>
      <c r="F3380" s="11">
        <v>5.9371981620788574</v>
      </c>
    </row>
    <row r="3381" spans="1:6" hidden="1" x14ac:dyDescent="0.3">
      <c r="A3381" s="6">
        <v>25</v>
      </c>
      <c r="B3381" s="6" t="s">
        <v>131</v>
      </c>
      <c r="C3381" s="6" t="s">
        <v>375</v>
      </c>
      <c r="D3381" s="6" t="s">
        <v>132</v>
      </c>
      <c r="E3381" s="11">
        <v>6.4701809883117676</v>
      </c>
      <c r="F3381" s="11">
        <v>5.9371981620788574</v>
      </c>
    </row>
    <row r="3382" spans="1:6" hidden="1" x14ac:dyDescent="0.3">
      <c r="A3382" s="6">
        <v>25</v>
      </c>
      <c r="B3382" s="6" t="s">
        <v>131</v>
      </c>
      <c r="C3382" s="6" t="s">
        <v>376</v>
      </c>
      <c r="D3382" s="6" t="s">
        <v>132</v>
      </c>
      <c r="E3382" s="11">
        <v>4.9634003639221191</v>
      </c>
      <c r="F3382" s="11">
        <v>5.9371981620788574</v>
      </c>
    </row>
    <row r="3383" spans="1:6" hidden="1" x14ac:dyDescent="0.3">
      <c r="A3383" s="6">
        <v>25</v>
      </c>
      <c r="B3383" s="6" t="s">
        <v>131</v>
      </c>
      <c r="C3383" s="6" t="s">
        <v>377</v>
      </c>
      <c r="D3383" s="6" t="s">
        <v>132</v>
      </c>
      <c r="E3383" s="11">
        <v>8.9694976806640625</v>
      </c>
      <c r="F3383" s="11">
        <v>5.9371981620788574</v>
      </c>
    </row>
    <row r="3384" spans="1:6" hidden="1" x14ac:dyDescent="0.3">
      <c r="A3384" s="6">
        <v>25</v>
      </c>
      <c r="B3384" s="6" t="s">
        <v>131</v>
      </c>
      <c r="C3384" s="6" t="s">
        <v>378</v>
      </c>
      <c r="D3384" s="6" t="s">
        <v>132</v>
      </c>
      <c r="E3384" s="11">
        <v>6.0520820617675781</v>
      </c>
      <c r="F3384" s="11">
        <v>5.9371981620788574</v>
      </c>
    </row>
    <row r="3385" spans="1:6" hidden="1" x14ac:dyDescent="0.3">
      <c r="A3385" s="6">
        <v>25</v>
      </c>
      <c r="B3385" s="6" t="s">
        <v>131</v>
      </c>
      <c r="C3385" s="6" t="s">
        <v>379</v>
      </c>
      <c r="D3385" s="6" t="s">
        <v>132</v>
      </c>
      <c r="E3385" s="11">
        <v>5.5309453010559082</v>
      </c>
      <c r="F3385" s="11">
        <v>5.9371981620788574</v>
      </c>
    </row>
    <row r="3386" spans="1:6" hidden="1" x14ac:dyDescent="0.3">
      <c r="A3386" s="6">
        <v>25</v>
      </c>
      <c r="B3386" s="6" t="s">
        <v>131</v>
      </c>
      <c r="C3386" s="6" t="s">
        <v>380</v>
      </c>
      <c r="D3386" s="6" t="s">
        <v>132</v>
      </c>
      <c r="E3386" s="11">
        <v>5.8085646629333496</v>
      </c>
      <c r="F3386" s="11">
        <v>5.9371981620788574</v>
      </c>
    </row>
    <row r="3387" spans="1:6" hidden="1" x14ac:dyDescent="0.3">
      <c r="A3387" s="6">
        <v>25</v>
      </c>
      <c r="B3387" s="6" t="s">
        <v>131</v>
      </c>
      <c r="C3387" s="6" t="s">
        <v>381</v>
      </c>
      <c r="D3387" s="6" t="s">
        <v>132</v>
      </c>
      <c r="E3387" s="11">
        <v>5.9942584037780762</v>
      </c>
      <c r="F3387" s="11">
        <v>5.9371981620788574</v>
      </c>
    </row>
    <row r="3388" spans="1:6" hidden="1" x14ac:dyDescent="0.3">
      <c r="A3388" s="6">
        <v>25</v>
      </c>
      <c r="B3388" s="6" t="s">
        <v>131</v>
      </c>
      <c r="C3388" s="6" t="s">
        <v>382</v>
      </c>
      <c r="D3388" s="6" t="s">
        <v>132</v>
      </c>
      <c r="E3388" s="11">
        <v>7.5702691078186035</v>
      </c>
      <c r="F3388" s="11">
        <v>5.9371981620788574</v>
      </c>
    </row>
    <row r="3389" spans="1:6" hidden="1" x14ac:dyDescent="0.3">
      <c r="A3389" s="6">
        <v>25</v>
      </c>
      <c r="B3389" s="6" t="s">
        <v>131</v>
      </c>
      <c r="C3389" s="6" t="s">
        <v>383</v>
      </c>
      <c r="D3389" s="6" t="s">
        <v>132</v>
      </c>
      <c r="E3389" s="11">
        <v>6.1299405097961426</v>
      </c>
      <c r="F3389" s="11">
        <v>5.9371981620788574</v>
      </c>
    </row>
    <row r="3390" spans="1:6" hidden="1" x14ac:dyDescent="0.3">
      <c r="A3390" s="6">
        <v>25</v>
      </c>
      <c r="B3390" s="6" t="s">
        <v>131</v>
      </c>
      <c r="C3390" s="6" t="s">
        <v>384</v>
      </c>
      <c r="D3390" s="6" t="s">
        <v>132</v>
      </c>
      <c r="E3390" s="11">
        <v>5.3472189903259277</v>
      </c>
      <c r="F3390" s="11">
        <v>5.9371981620788574</v>
      </c>
    </row>
    <row r="3391" spans="1:6" hidden="1" x14ac:dyDescent="0.3">
      <c r="A3391" s="6">
        <v>25</v>
      </c>
      <c r="B3391" s="6" t="s">
        <v>131</v>
      </c>
      <c r="C3391" s="6" t="s">
        <v>385</v>
      </c>
      <c r="D3391" s="6" t="s">
        <v>132</v>
      </c>
      <c r="E3391" s="11">
        <v>5.8682675361633301</v>
      </c>
      <c r="F3391" s="11">
        <v>5.9371981620788574</v>
      </c>
    </row>
    <row r="3392" spans="1:6" hidden="1" x14ac:dyDescent="0.3">
      <c r="A3392" s="6">
        <v>25</v>
      </c>
      <c r="B3392" s="6" t="s">
        <v>131</v>
      </c>
      <c r="C3392" s="6" t="s">
        <v>386</v>
      </c>
      <c r="D3392" s="6" t="s">
        <v>132</v>
      </c>
      <c r="E3392" s="11">
        <v>3.8218920230865479</v>
      </c>
      <c r="F3392" s="11">
        <v>5.9371981620788574</v>
      </c>
    </row>
    <row r="3393" spans="1:6" hidden="1" x14ac:dyDescent="0.3">
      <c r="A3393" s="6">
        <v>25</v>
      </c>
      <c r="B3393" s="6" t="s">
        <v>131</v>
      </c>
      <c r="C3393" s="6" t="s">
        <v>387</v>
      </c>
      <c r="D3393" s="6" t="s">
        <v>132</v>
      </c>
      <c r="E3393" s="11">
        <v>4.5832943916320801</v>
      </c>
      <c r="F3393" s="11">
        <v>5.9371981620788574</v>
      </c>
    </row>
    <row r="3394" spans="1:6" hidden="1" x14ac:dyDescent="0.3">
      <c r="A3394" s="6">
        <v>25</v>
      </c>
      <c r="B3394" s="6" t="s">
        <v>131</v>
      </c>
      <c r="C3394" s="6" t="s">
        <v>388</v>
      </c>
      <c r="D3394" s="6" t="s">
        <v>132</v>
      </c>
      <c r="E3394" s="11">
        <v>12.082512855529785</v>
      </c>
      <c r="F3394" s="11">
        <v>5.9371981620788574</v>
      </c>
    </row>
    <row r="3395" spans="1:6" hidden="1" x14ac:dyDescent="0.3">
      <c r="A3395" s="6">
        <v>25</v>
      </c>
      <c r="B3395" s="6" t="s">
        <v>131</v>
      </c>
      <c r="C3395" s="6" t="s">
        <v>389</v>
      </c>
      <c r="D3395" s="6" t="s">
        <v>132</v>
      </c>
      <c r="E3395" s="11">
        <v>5.6827740669250488</v>
      </c>
      <c r="F3395" s="11">
        <v>5.9371981620788574</v>
      </c>
    </row>
    <row r="3396" spans="1:6" hidden="1" x14ac:dyDescent="0.3">
      <c r="A3396" s="6">
        <v>25</v>
      </c>
      <c r="B3396" s="6" t="s">
        <v>131</v>
      </c>
      <c r="C3396" s="6" t="s">
        <v>390</v>
      </c>
      <c r="D3396" s="6" t="s">
        <v>132</v>
      </c>
      <c r="E3396" s="11">
        <v>12.390905380249023</v>
      </c>
      <c r="F3396" s="11">
        <v>5.9371981620788574</v>
      </c>
    </row>
    <row r="3397" spans="1:6" hidden="1" x14ac:dyDescent="0.3">
      <c r="A3397" s="6">
        <v>25</v>
      </c>
      <c r="B3397" s="6" t="s">
        <v>131</v>
      </c>
      <c r="C3397" s="6" t="s">
        <v>391</v>
      </c>
      <c r="D3397" s="6" t="s">
        <v>132</v>
      </c>
      <c r="E3397" s="11">
        <v>11.865631103515625</v>
      </c>
      <c r="F3397" s="11">
        <v>5.9371981620788574</v>
      </c>
    </row>
    <row r="3398" spans="1:6" hidden="1" x14ac:dyDescent="0.3">
      <c r="A3398" s="6">
        <v>25</v>
      </c>
      <c r="B3398" s="6" t="s">
        <v>131</v>
      </c>
      <c r="C3398" s="6" t="s">
        <v>392</v>
      </c>
      <c r="D3398" s="6" t="s">
        <v>132</v>
      </c>
      <c r="E3398" s="11">
        <v>5.2099037170410156</v>
      </c>
      <c r="F3398" s="11">
        <v>5.9371981620788574</v>
      </c>
    </row>
    <row r="3399" spans="1:6" hidden="1" x14ac:dyDescent="0.3">
      <c r="A3399" s="6">
        <v>25</v>
      </c>
      <c r="B3399" s="6" t="s">
        <v>131</v>
      </c>
      <c r="C3399" s="6" t="s">
        <v>393</v>
      </c>
      <c r="D3399" s="6" t="s">
        <v>132</v>
      </c>
      <c r="E3399" s="11">
        <v>4.9223108291625977</v>
      </c>
      <c r="F3399" s="11">
        <v>5.9371981620788574</v>
      </c>
    </row>
    <row r="3400" spans="1:6" hidden="1" x14ac:dyDescent="0.3">
      <c r="A3400" s="6">
        <v>25</v>
      </c>
      <c r="B3400" s="6" t="s">
        <v>131</v>
      </c>
      <c r="C3400" s="6" t="s">
        <v>394</v>
      </c>
      <c r="D3400" s="6" t="s">
        <v>132</v>
      </c>
      <c r="E3400" s="11">
        <v>4.6433219909667969</v>
      </c>
      <c r="F3400" s="11">
        <v>5.9371981620788574</v>
      </c>
    </row>
    <row r="3401" spans="1:6" hidden="1" x14ac:dyDescent="0.3">
      <c r="A3401" s="6">
        <v>25</v>
      </c>
      <c r="B3401" s="6" t="s">
        <v>131</v>
      </c>
      <c r="C3401" s="6" t="s">
        <v>395</v>
      </c>
      <c r="D3401" s="6" t="s">
        <v>132</v>
      </c>
      <c r="E3401" s="11">
        <v>7.5732412338256836</v>
      </c>
      <c r="F3401" s="11">
        <v>5.9371981620788574</v>
      </c>
    </row>
    <row r="3402" spans="1:6" hidden="1" x14ac:dyDescent="0.3">
      <c r="A3402" s="6">
        <v>25</v>
      </c>
      <c r="B3402" s="6" t="s">
        <v>131</v>
      </c>
      <c r="C3402" s="6" t="s">
        <v>396</v>
      </c>
      <c r="D3402" s="6" t="s">
        <v>132</v>
      </c>
      <c r="E3402" s="11">
        <v>5.7241830825805664</v>
      </c>
      <c r="F3402" s="11">
        <v>5.9371981620788574</v>
      </c>
    </row>
    <row r="3403" spans="1:6" hidden="1" x14ac:dyDescent="0.3">
      <c r="A3403" s="6">
        <v>25</v>
      </c>
      <c r="B3403" s="6" t="s">
        <v>131</v>
      </c>
      <c r="C3403" s="6" t="s">
        <v>397</v>
      </c>
      <c r="D3403" s="6" t="s">
        <v>132</v>
      </c>
      <c r="E3403" s="11">
        <v>2.9419078826904297</v>
      </c>
      <c r="F3403" s="11">
        <v>5.9371981620788574</v>
      </c>
    </row>
    <row r="3404" spans="1:6" hidden="1" x14ac:dyDescent="0.3">
      <c r="A3404" s="6">
        <v>25</v>
      </c>
      <c r="B3404" s="6" t="s">
        <v>131</v>
      </c>
      <c r="C3404" s="6" t="s">
        <v>398</v>
      </c>
      <c r="D3404" s="6" t="s">
        <v>132</v>
      </c>
      <c r="E3404" s="11">
        <v>4.3223862648010254</v>
      </c>
      <c r="F3404" s="11">
        <v>5.9371981620788574</v>
      </c>
    </row>
    <row r="3405" spans="1:6" hidden="1" x14ac:dyDescent="0.3">
      <c r="A3405" s="6">
        <v>25</v>
      </c>
      <c r="B3405" s="6" t="s">
        <v>131</v>
      </c>
      <c r="C3405" s="6" t="s">
        <v>399</v>
      </c>
      <c r="D3405" s="6" t="s">
        <v>132</v>
      </c>
      <c r="E3405" s="11">
        <v>4.2855572700500488</v>
      </c>
      <c r="F3405" s="11">
        <v>5.9371981620788574</v>
      </c>
    </row>
    <row r="3406" spans="1:6" hidden="1" x14ac:dyDescent="0.3">
      <c r="A3406" s="6">
        <v>25</v>
      </c>
      <c r="B3406" s="6" t="s">
        <v>131</v>
      </c>
      <c r="C3406" s="6" t="s">
        <v>400</v>
      </c>
      <c r="D3406" s="6" t="s">
        <v>132</v>
      </c>
      <c r="E3406" s="11">
        <v>4.4051251411437988</v>
      </c>
      <c r="F3406" s="11">
        <v>5.9371981620788574</v>
      </c>
    </row>
    <row r="3407" spans="1:6" hidden="1" x14ac:dyDescent="0.3">
      <c r="A3407" s="6">
        <v>25</v>
      </c>
      <c r="B3407" s="6" t="s">
        <v>131</v>
      </c>
      <c r="C3407" s="6" t="s">
        <v>401</v>
      </c>
      <c r="D3407" s="6" t="s">
        <v>132</v>
      </c>
      <c r="E3407" s="11">
        <v>9.8235387802124023</v>
      </c>
      <c r="F3407" s="11">
        <v>5.9371981620788574</v>
      </c>
    </row>
    <row r="3408" spans="1:6" hidden="1" x14ac:dyDescent="0.3">
      <c r="A3408" s="6">
        <v>25</v>
      </c>
      <c r="B3408" s="6" t="s">
        <v>131</v>
      </c>
      <c r="C3408" s="6" t="s">
        <v>402</v>
      </c>
      <c r="D3408" s="6" t="s">
        <v>132</v>
      </c>
      <c r="E3408" s="11">
        <v>5.1946115493774414</v>
      </c>
      <c r="F3408" s="11">
        <v>5.9371981620788574</v>
      </c>
    </row>
    <row r="3409" spans="1:6" hidden="1" x14ac:dyDescent="0.3">
      <c r="A3409" s="6">
        <v>25</v>
      </c>
      <c r="B3409" s="6" t="s">
        <v>131</v>
      </c>
      <c r="C3409" s="6" t="s">
        <v>403</v>
      </c>
      <c r="D3409" s="6" t="s">
        <v>132</v>
      </c>
      <c r="E3409" s="11">
        <v>8.9618587493896484</v>
      </c>
      <c r="F3409" s="11">
        <v>5.9371981620788574</v>
      </c>
    </row>
    <row r="3410" spans="1:6" hidden="1" x14ac:dyDescent="0.3">
      <c r="A3410" s="6">
        <v>25</v>
      </c>
      <c r="B3410" s="6" t="s">
        <v>131</v>
      </c>
      <c r="C3410" s="6" t="s">
        <v>404</v>
      </c>
      <c r="D3410" s="6" t="s">
        <v>132</v>
      </c>
      <c r="E3410" s="11">
        <v>5.4705376625061035</v>
      </c>
      <c r="F3410" s="11">
        <v>5.9371981620788574</v>
      </c>
    </row>
    <row r="3411" spans="1:6" hidden="1" x14ac:dyDescent="0.3">
      <c r="A3411" s="6">
        <v>25</v>
      </c>
      <c r="B3411" s="6" t="s">
        <v>131</v>
      </c>
      <c r="C3411" s="6" t="s">
        <v>405</v>
      </c>
      <c r="D3411" s="6" t="s">
        <v>132</v>
      </c>
      <c r="E3411" s="11">
        <v>9.7998714447021484</v>
      </c>
      <c r="F3411" s="11">
        <v>5.9371981620788574</v>
      </c>
    </row>
    <row r="3412" spans="1:6" hidden="1" x14ac:dyDescent="0.3">
      <c r="A3412" s="6">
        <v>25</v>
      </c>
      <c r="B3412" s="6" t="s">
        <v>131</v>
      </c>
      <c r="C3412" s="6" t="s">
        <v>406</v>
      </c>
      <c r="D3412" s="6" t="s">
        <v>132</v>
      </c>
      <c r="E3412" s="11">
        <v>5.1188602447509766</v>
      </c>
      <c r="F3412" s="11">
        <v>5.9371981620788574</v>
      </c>
    </row>
    <row r="3413" spans="1:6" hidden="1" x14ac:dyDescent="0.3">
      <c r="A3413" s="6">
        <v>25</v>
      </c>
      <c r="B3413" s="6" t="s">
        <v>131</v>
      </c>
      <c r="C3413" s="6" t="s">
        <v>407</v>
      </c>
      <c r="D3413" s="6" t="s">
        <v>132</v>
      </c>
      <c r="E3413" s="11">
        <v>3.9724061489105225</v>
      </c>
      <c r="F3413" s="11">
        <v>5.9371981620788574</v>
      </c>
    </row>
    <row r="3414" spans="1:6" hidden="1" x14ac:dyDescent="0.3">
      <c r="A3414" s="6">
        <v>25</v>
      </c>
      <c r="B3414" s="6" t="s">
        <v>131</v>
      </c>
      <c r="C3414" s="6" t="s">
        <v>408</v>
      </c>
      <c r="D3414" s="6" t="s">
        <v>132</v>
      </c>
      <c r="E3414" s="11">
        <v>7.8748106956481934</v>
      </c>
      <c r="F3414" s="11">
        <v>5.9371981620788574</v>
      </c>
    </row>
    <row r="3415" spans="1:6" hidden="1" x14ac:dyDescent="0.3">
      <c r="A3415" s="6">
        <v>25</v>
      </c>
      <c r="B3415" s="6" t="s">
        <v>131</v>
      </c>
      <c r="C3415" s="6" t="s">
        <v>409</v>
      </c>
      <c r="D3415" s="6" t="s">
        <v>132</v>
      </c>
      <c r="E3415" s="11">
        <v>8.8114967346191406</v>
      </c>
      <c r="F3415" s="11">
        <v>5.9371981620788574</v>
      </c>
    </row>
    <row r="3416" spans="1:6" hidden="1" x14ac:dyDescent="0.3">
      <c r="A3416" s="6">
        <v>25</v>
      </c>
      <c r="B3416" s="6" t="s">
        <v>131</v>
      </c>
      <c r="C3416" s="6" t="s">
        <v>410</v>
      </c>
      <c r="D3416" s="6" t="s">
        <v>132</v>
      </c>
      <c r="E3416" s="11">
        <v>5.9620151519775391</v>
      </c>
      <c r="F3416" s="11">
        <v>5.9371981620788574</v>
      </c>
    </row>
    <row r="3417" spans="1:6" hidden="1" x14ac:dyDescent="0.3">
      <c r="A3417" s="6">
        <v>25</v>
      </c>
      <c r="B3417" s="6" t="s">
        <v>131</v>
      </c>
      <c r="C3417" s="6" t="s">
        <v>411</v>
      </c>
      <c r="D3417" s="6" t="s">
        <v>132</v>
      </c>
      <c r="E3417" s="11">
        <v>4.7263107299804688</v>
      </c>
      <c r="F3417" s="11">
        <v>5.9371981620788574</v>
      </c>
    </row>
    <row r="3418" spans="1:6" hidden="1" x14ac:dyDescent="0.3">
      <c r="A3418" s="6">
        <v>25</v>
      </c>
      <c r="B3418" s="6" t="s">
        <v>131</v>
      </c>
      <c r="C3418" s="6" t="s">
        <v>412</v>
      </c>
      <c r="D3418" s="6" t="s">
        <v>132</v>
      </c>
      <c r="E3418" s="11">
        <v>5.6030106544494629</v>
      </c>
      <c r="F3418" s="11">
        <v>5.9371981620788574</v>
      </c>
    </row>
    <row r="3419" spans="1:6" hidden="1" x14ac:dyDescent="0.3">
      <c r="A3419" s="6">
        <v>25</v>
      </c>
      <c r="B3419" s="6" t="s">
        <v>131</v>
      </c>
      <c r="C3419" s="6" t="s">
        <v>413</v>
      </c>
      <c r="D3419" s="6" t="s">
        <v>132</v>
      </c>
      <c r="E3419" s="11">
        <v>5.2502536773681641</v>
      </c>
      <c r="F3419" s="11">
        <v>5.9371981620788574</v>
      </c>
    </row>
    <row r="3420" spans="1:6" hidden="1" x14ac:dyDescent="0.3">
      <c r="A3420" s="6">
        <v>25</v>
      </c>
      <c r="B3420" s="6" t="s">
        <v>131</v>
      </c>
      <c r="C3420" s="6" t="s">
        <v>414</v>
      </c>
      <c r="D3420" s="6" t="s">
        <v>132</v>
      </c>
      <c r="E3420" s="11">
        <v>3.9856665134429932</v>
      </c>
      <c r="F3420" s="11">
        <v>5.9371981620788574</v>
      </c>
    </row>
    <row r="3421" spans="1:6" hidden="1" x14ac:dyDescent="0.3">
      <c r="A3421" s="6">
        <v>25</v>
      </c>
      <c r="B3421" s="6" t="s">
        <v>131</v>
      </c>
      <c r="C3421" s="6" t="s">
        <v>415</v>
      </c>
      <c r="D3421" s="6" t="s">
        <v>132</v>
      </c>
      <c r="E3421" s="11">
        <v>12.621260643005371</v>
      </c>
      <c r="F3421" s="11">
        <v>5.9371981620788574</v>
      </c>
    </row>
    <row r="3422" spans="1:6" hidden="1" x14ac:dyDescent="0.3">
      <c r="A3422" s="6">
        <v>25</v>
      </c>
      <c r="B3422" s="6" t="s">
        <v>131</v>
      </c>
      <c r="C3422" s="6" t="s">
        <v>416</v>
      </c>
      <c r="D3422" s="6" t="s">
        <v>132</v>
      </c>
      <c r="E3422" s="11">
        <v>16.067192077636719</v>
      </c>
      <c r="F3422" s="11">
        <v>5.9371981620788574</v>
      </c>
    </row>
    <row r="3423" spans="1:6" hidden="1" x14ac:dyDescent="0.3">
      <c r="A3423" s="6">
        <v>25</v>
      </c>
      <c r="B3423" s="6" t="s">
        <v>131</v>
      </c>
      <c r="C3423" s="6" t="s">
        <v>417</v>
      </c>
      <c r="D3423" s="6" t="s">
        <v>132</v>
      </c>
      <c r="E3423" s="11">
        <v>12.828781127929688</v>
      </c>
      <c r="F3423" s="11">
        <v>5.9371981620788574</v>
      </c>
    </row>
    <row r="3424" spans="1:6" hidden="1" x14ac:dyDescent="0.3">
      <c r="A3424" s="6">
        <v>25</v>
      </c>
      <c r="B3424" s="6" t="s">
        <v>131</v>
      </c>
      <c r="C3424" s="6" t="s">
        <v>418</v>
      </c>
      <c r="D3424" s="6" t="s">
        <v>132</v>
      </c>
      <c r="E3424" s="11">
        <v>5.9134116172790527</v>
      </c>
      <c r="F3424" s="11">
        <v>5.9371981620788574</v>
      </c>
    </row>
    <row r="3425" spans="1:6" hidden="1" x14ac:dyDescent="0.3">
      <c r="A3425" s="6">
        <v>25</v>
      </c>
      <c r="B3425" s="6" t="s">
        <v>131</v>
      </c>
      <c r="C3425" s="6" t="s">
        <v>419</v>
      </c>
      <c r="D3425" s="6" t="s">
        <v>132</v>
      </c>
      <c r="E3425" s="11">
        <v>4.9932599067687988</v>
      </c>
      <c r="F3425" s="11">
        <v>5.9371981620788574</v>
      </c>
    </row>
    <row r="3426" spans="1:6" hidden="1" x14ac:dyDescent="0.3">
      <c r="A3426" s="6">
        <v>25</v>
      </c>
      <c r="B3426" s="6" t="s">
        <v>131</v>
      </c>
      <c r="C3426" s="6" t="s">
        <v>420</v>
      </c>
      <c r="D3426" s="6" t="s">
        <v>132</v>
      </c>
      <c r="E3426" s="11">
        <v>4.1823868751525879</v>
      </c>
      <c r="F3426" s="11">
        <v>5.9371981620788574</v>
      </c>
    </row>
    <row r="3427" spans="1:6" hidden="1" x14ac:dyDescent="0.3">
      <c r="A3427" s="6">
        <v>25</v>
      </c>
      <c r="B3427" s="6" t="s">
        <v>131</v>
      </c>
      <c r="C3427" s="6" t="s">
        <v>421</v>
      </c>
      <c r="D3427" s="6" t="s">
        <v>132</v>
      </c>
      <c r="E3427" s="11">
        <v>3.199993371963501</v>
      </c>
      <c r="F3427" s="11">
        <v>5.9371981620788574</v>
      </c>
    </row>
    <row r="3428" spans="1:6" hidden="1" x14ac:dyDescent="0.3">
      <c r="A3428" s="6">
        <v>25</v>
      </c>
      <c r="B3428" s="6" t="s">
        <v>131</v>
      </c>
      <c r="C3428" s="6" t="s">
        <v>422</v>
      </c>
      <c r="D3428" s="6" t="s">
        <v>132</v>
      </c>
      <c r="E3428" s="11">
        <v>2.7677998542785645</v>
      </c>
      <c r="F3428" s="11">
        <v>5.9371981620788574</v>
      </c>
    </row>
    <row r="3429" spans="1:6" hidden="1" x14ac:dyDescent="0.3">
      <c r="A3429" s="6">
        <v>25</v>
      </c>
      <c r="B3429" s="6" t="s">
        <v>131</v>
      </c>
      <c r="C3429" s="6" t="s">
        <v>423</v>
      </c>
      <c r="D3429" s="6" t="s">
        <v>132</v>
      </c>
      <c r="E3429" s="11">
        <v>2.9222705364227295</v>
      </c>
      <c r="F3429" s="11">
        <v>5.9371981620788574</v>
      </c>
    </row>
    <row r="3430" spans="1:6" hidden="1" x14ac:dyDescent="0.3">
      <c r="A3430" s="6">
        <v>25</v>
      </c>
      <c r="B3430" s="6" t="s">
        <v>131</v>
      </c>
      <c r="C3430" s="6" t="s">
        <v>424</v>
      </c>
      <c r="D3430" s="6" t="s">
        <v>132</v>
      </c>
      <c r="E3430" s="11">
        <v>7.955528736114502</v>
      </c>
      <c r="F3430" s="11">
        <v>5.9371981620788574</v>
      </c>
    </row>
    <row r="3431" spans="1:6" hidden="1" x14ac:dyDescent="0.3">
      <c r="A3431" s="6">
        <v>25</v>
      </c>
      <c r="B3431" s="6" t="s">
        <v>131</v>
      </c>
      <c r="C3431" s="6" t="s">
        <v>425</v>
      </c>
      <c r="D3431" s="6" t="s">
        <v>132</v>
      </c>
      <c r="E3431" s="11">
        <v>5.2679758071899414</v>
      </c>
      <c r="F3431" s="11">
        <v>5.9371981620788574</v>
      </c>
    </row>
    <row r="3432" spans="1:6" hidden="1" x14ac:dyDescent="0.3">
      <c r="A3432" s="6">
        <v>25</v>
      </c>
      <c r="B3432" s="6" t="s">
        <v>131</v>
      </c>
      <c r="C3432" s="6" t="s">
        <v>426</v>
      </c>
      <c r="D3432" s="6" t="s">
        <v>132</v>
      </c>
      <c r="E3432" s="11">
        <v>4.0538115501403809</v>
      </c>
      <c r="F3432" s="11">
        <v>5.9371981620788574</v>
      </c>
    </row>
    <row r="3433" spans="1:6" hidden="1" x14ac:dyDescent="0.3">
      <c r="A3433" s="6">
        <v>25</v>
      </c>
      <c r="B3433" s="6" t="s">
        <v>131</v>
      </c>
      <c r="C3433" s="6" t="s">
        <v>427</v>
      </c>
      <c r="D3433" s="6" t="s">
        <v>132</v>
      </c>
      <c r="E3433" s="11">
        <v>8.3424739837646484</v>
      </c>
      <c r="F3433" s="11">
        <v>5.9371981620788574</v>
      </c>
    </row>
    <row r="3434" spans="1:6" hidden="1" x14ac:dyDescent="0.3">
      <c r="A3434" s="6">
        <v>25</v>
      </c>
      <c r="B3434" s="6" t="s">
        <v>131</v>
      </c>
      <c r="C3434" s="6" t="s">
        <v>428</v>
      </c>
      <c r="D3434" s="6" t="s">
        <v>132</v>
      </c>
      <c r="E3434" s="11">
        <v>4.9097862243652344</v>
      </c>
      <c r="F3434" s="11">
        <v>5.9371981620788574</v>
      </c>
    </row>
    <row r="3435" spans="1:6" hidden="1" x14ac:dyDescent="0.3">
      <c r="A3435" s="6">
        <v>25</v>
      </c>
      <c r="B3435" s="6" t="s">
        <v>131</v>
      </c>
      <c r="C3435" s="6" t="s">
        <v>429</v>
      </c>
      <c r="D3435" s="6" t="s">
        <v>132</v>
      </c>
      <c r="E3435" s="11">
        <v>7.4050021171569824</v>
      </c>
      <c r="F3435" s="11">
        <v>5.9371981620788574</v>
      </c>
    </row>
    <row r="3436" spans="1:6" hidden="1" x14ac:dyDescent="0.3">
      <c r="A3436" s="6">
        <v>25</v>
      </c>
      <c r="B3436" s="6" t="s">
        <v>131</v>
      </c>
      <c r="C3436" s="6" t="s">
        <v>430</v>
      </c>
      <c r="D3436" s="6" t="s">
        <v>132</v>
      </c>
      <c r="E3436" s="11">
        <v>4.8278517723083496</v>
      </c>
      <c r="F3436" s="11">
        <v>5.9371981620788574</v>
      </c>
    </row>
    <row r="3437" spans="1:6" hidden="1" x14ac:dyDescent="0.3">
      <c r="A3437" s="6">
        <v>25</v>
      </c>
      <c r="B3437" s="6" t="s">
        <v>131</v>
      </c>
      <c r="C3437" s="6" t="s">
        <v>431</v>
      </c>
      <c r="D3437" s="6" t="s">
        <v>132</v>
      </c>
      <c r="E3437" s="11">
        <v>3.6148777008056641</v>
      </c>
      <c r="F3437" s="11">
        <v>5.9371981620788574</v>
      </c>
    </row>
    <row r="3438" spans="1:6" hidden="1" x14ac:dyDescent="0.3">
      <c r="A3438" s="6">
        <v>25</v>
      </c>
      <c r="B3438" s="6" t="s">
        <v>131</v>
      </c>
      <c r="C3438" s="6" t="s">
        <v>432</v>
      </c>
      <c r="D3438" s="6" t="s">
        <v>132</v>
      </c>
      <c r="E3438" s="11">
        <v>7.2751336097717285</v>
      </c>
      <c r="F3438" s="11">
        <v>5.9371981620788574</v>
      </c>
    </row>
    <row r="3439" spans="1:6" hidden="1" x14ac:dyDescent="0.3">
      <c r="A3439" s="6">
        <v>25</v>
      </c>
      <c r="B3439" s="6" t="s">
        <v>131</v>
      </c>
      <c r="C3439" s="6" t="s">
        <v>433</v>
      </c>
      <c r="D3439" s="6" t="s">
        <v>132</v>
      </c>
      <c r="E3439" s="11">
        <v>5.4455361366271973</v>
      </c>
      <c r="F3439" s="11">
        <v>5.9371981620788574</v>
      </c>
    </row>
    <row r="3440" spans="1:6" hidden="1" x14ac:dyDescent="0.3">
      <c r="A3440" s="6">
        <v>25</v>
      </c>
      <c r="B3440" s="6" t="s">
        <v>131</v>
      </c>
      <c r="C3440" s="6" t="s">
        <v>434</v>
      </c>
      <c r="D3440" s="6" t="s">
        <v>132</v>
      </c>
      <c r="E3440" s="11">
        <v>4.2749409675598145</v>
      </c>
      <c r="F3440" s="11">
        <v>5.9371981620788574</v>
      </c>
    </row>
    <row r="3441" spans="1:6" hidden="1" x14ac:dyDescent="0.3">
      <c r="A3441" s="6">
        <v>25</v>
      </c>
      <c r="B3441" s="6" t="s">
        <v>131</v>
      </c>
      <c r="C3441" s="6" t="s">
        <v>435</v>
      </c>
      <c r="D3441" s="6" t="s">
        <v>132</v>
      </c>
      <c r="E3441" s="11">
        <v>5.9163761138916016</v>
      </c>
      <c r="F3441" s="11">
        <v>5.9371981620788574</v>
      </c>
    </row>
    <row r="3442" spans="1:6" hidden="1" x14ac:dyDescent="0.3">
      <c r="A3442" s="6">
        <v>25</v>
      </c>
      <c r="B3442" s="6" t="s">
        <v>131</v>
      </c>
      <c r="C3442" s="6" t="s">
        <v>436</v>
      </c>
      <c r="D3442" s="6" t="s">
        <v>132</v>
      </c>
      <c r="E3442" s="11">
        <v>5.4124588966369629</v>
      </c>
      <c r="F3442" s="11">
        <v>5.9371981620788574</v>
      </c>
    </row>
    <row r="3443" spans="1:6" hidden="1" x14ac:dyDescent="0.3">
      <c r="A3443" s="6">
        <v>25</v>
      </c>
      <c r="B3443" s="6" t="s">
        <v>131</v>
      </c>
      <c r="C3443" s="6" t="s">
        <v>437</v>
      </c>
      <c r="D3443" s="6" t="s">
        <v>132</v>
      </c>
      <c r="E3443" s="11">
        <v>6.4224185943603516</v>
      </c>
      <c r="F3443" s="11">
        <v>5.9371981620788574</v>
      </c>
    </row>
    <row r="3444" spans="1:6" hidden="1" x14ac:dyDescent="0.3">
      <c r="A3444" s="6">
        <v>25</v>
      </c>
      <c r="B3444" s="6" t="s">
        <v>131</v>
      </c>
      <c r="C3444" s="6" t="s">
        <v>438</v>
      </c>
      <c r="D3444" s="6" t="s">
        <v>132</v>
      </c>
      <c r="E3444" s="11">
        <v>12.014006614685059</v>
      </c>
      <c r="F3444" s="11">
        <v>5.9371981620788574</v>
      </c>
    </row>
    <row r="3445" spans="1:6" hidden="1" x14ac:dyDescent="0.3">
      <c r="A3445" s="6">
        <v>25</v>
      </c>
      <c r="B3445" s="6" t="s">
        <v>131</v>
      </c>
      <c r="C3445" s="6" t="s">
        <v>439</v>
      </c>
      <c r="D3445" s="6" t="s">
        <v>132</v>
      </c>
      <c r="E3445" s="11">
        <v>5.6963062286376953</v>
      </c>
      <c r="F3445" s="11">
        <v>5.9371981620788574</v>
      </c>
    </row>
    <row r="3446" spans="1:6" hidden="1" x14ac:dyDescent="0.3">
      <c r="A3446" s="6">
        <v>25</v>
      </c>
      <c r="B3446" s="6" t="s">
        <v>131</v>
      </c>
      <c r="C3446" s="6" t="s">
        <v>440</v>
      </c>
      <c r="D3446" s="6" t="s">
        <v>132</v>
      </c>
      <c r="E3446" s="11">
        <v>7.7740230560302734</v>
      </c>
      <c r="F3446" s="11">
        <v>5.9371981620788574</v>
      </c>
    </row>
    <row r="3447" spans="1:6" hidden="1" x14ac:dyDescent="0.3">
      <c r="A3447" s="6">
        <v>25</v>
      </c>
      <c r="B3447" s="6" t="s">
        <v>131</v>
      </c>
      <c r="C3447" s="6" t="s">
        <v>441</v>
      </c>
      <c r="D3447" s="6" t="s">
        <v>132</v>
      </c>
      <c r="E3447" s="11">
        <v>4.8586521148681641</v>
      </c>
      <c r="F3447" s="11">
        <v>5.9371981620788574</v>
      </c>
    </row>
    <row r="3448" spans="1:6" hidden="1" x14ac:dyDescent="0.3">
      <c r="A3448" s="6">
        <v>25</v>
      </c>
      <c r="B3448" s="6" t="s">
        <v>131</v>
      </c>
      <c r="C3448" s="6" t="s">
        <v>442</v>
      </c>
      <c r="D3448" s="6" t="s">
        <v>132</v>
      </c>
      <c r="E3448" s="11">
        <v>42.584480285644531</v>
      </c>
      <c r="F3448" s="11">
        <v>5.9371981620788574</v>
      </c>
    </row>
    <row r="3449" spans="1:6" hidden="1" x14ac:dyDescent="0.3">
      <c r="A3449" s="6">
        <v>25</v>
      </c>
      <c r="B3449" s="6" t="s">
        <v>131</v>
      </c>
      <c r="C3449" s="6" t="s">
        <v>443</v>
      </c>
      <c r="D3449" s="6" t="s">
        <v>132</v>
      </c>
      <c r="E3449" s="11">
        <v>5.6533551216125488</v>
      </c>
      <c r="F3449" s="11">
        <v>5.9371981620788574</v>
      </c>
    </row>
    <row r="3450" spans="1:6" hidden="1" x14ac:dyDescent="0.3">
      <c r="A3450" s="6">
        <v>25</v>
      </c>
      <c r="B3450" s="6" t="s">
        <v>131</v>
      </c>
      <c r="C3450" s="6" t="s">
        <v>444</v>
      </c>
      <c r="D3450" s="6" t="s">
        <v>132</v>
      </c>
      <c r="E3450" s="11">
        <v>4.2586116790771484</v>
      </c>
      <c r="F3450" s="11">
        <v>5.9371981620788574</v>
      </c>
    </row>
    <row r="3451" spans="1:6" hidden="1" x14ac:dyDescent="0.3">
      <c r="A3451" s="6">
        <v>25</v>
      </c>
      <c r="B3451" s="6" t="s">
        <v>131</v>
      </c>
      <c r="C3451" s="6" t="s">
        <v>445</v>
      </c>
      <c r="D3451" s="6" t="s">
        <v>132</v>
      </c>
      <c r="E3451" s="11">
        <v>11.514006614685059</v>
      </c>
      <c r="F3451" s="11">
        <v>5.9371981620788574</v>
      </c>
    </row>
    <row r="3452" spans="1:6" hidden="1" x14ac:dyDescent="0.3">
      <c r="A3452" s="6">
        <v>25</v>
      </c>
      <c r="B3452" s="6" t="s">
        <v>131</v>
      </c>
      <c r="C3452" s="6" t="s">
        <v>446</v>
      </c>
      <c r="D3452" s="6" t="s">
        <v>132</v>
      </c>
      <c r="E3452" s="11">
        <v>5.4170455932617188</v>
      </c>
      <c r="F3452" s="11">
        <v>5.9371981620788574</v>
      </c>
    </row>
    <row r="3453" spans="1:6" hidden="1" x14ac:dyDescent="0.3">
      <c r="A3453" s="6">
        <v>25</v>
      </c>
      <c r="B3453" s="6" t="s">
        <v>131</v>
      </c>
      <c r="C3453" s="6" t="s">
        <v>447</v>
      </c>
      <c r="D3453" s="6" t="s">
        <v>132</v>
      </c>
      <c r="E3453" s="11">
        <v>5.1453776359558105</v>
      </c>
      <c r="F3453" s="11">
        <v>5.9371981620788574</v>
      </c>
    </row>
    <row r="3454" spans="1:6" hidden="1" x14ac:dyDescent="0.3">
      <c r="A3454" s="6">
        <v>25</v>
      </c>
      <c r="B3454" s="6" t="s">
        <v>131</v>
      </c>
      <c r="C3454" s="6" t="s">
        <v>448</v>
      </c>
      <c r="D3454" s="6" t="s">
        <v>132</v>
      </c>
      <c r="E3454" s="11">
        <v>6.7329154014587402</v>
      </c>
      <c r="F3454" s="11">
        <v>5.9371981620788574</v>
      </c>
    </row>
    <row r="3455" spans="1:6" hidden="1" x14ac:dyDescent="0.3">
      <c r="A3455" s="6">
        <v>25</v>
      </c>
      <c r="B3455" s="6" t="s">
        <v>131</v>
      </c>
      <c r="C3455" s="6" t="s">
        <v>449</v>
      </c>
      <c r="D3455" s="6" t="s">
        <v>132</v>
      </c>
      <c r="E3455" s="11">
        <v>4.6519265174865723</v>
      </c>
      <c r="F3455" s="11">
        <v>5.9371981620788574</v>
      </c>
    </row>
    <row r="3456" spans="1:6" hidden="1" x14ac:dyDescent="0.3">
      <c r="A3456" s="6">
        <v>25</v>
      </c>
      <c r="B3456" s="6" t="s">
        <v>131</v>
      </c>
      <c r="C3456" s="6" t="s">
        <v>450</v>
      </c>
      <c r="D3456" s="6" t="s">
        <v>132</v>
      </c>
      <c r="E3456" s="11">
        <v>16.591930389404297</v>
      </c>
      <c r="F3456" s="11">
        <v>5.9371981620788574</v>
      </c>
    </row>
    <row r="3457" spans="1:6" hidden="1" x14ac:dyDescent="0.3">
      <c r="A3457" s="6">
        <v>25</v>
      </c>
      <c r="B3457" s="6" t="s">
        <v>131</v>
      </c>
      <c r="C3457" s="6" t="s">
        <v>451</v>
      </c>
      <c r="D3457" s="6" t="s">
        <v>132</v>
      </c>
      <c r="E3457" s="11">
        <v>5.8850274085998535</v>
      </c>
      <c r="F3457" s="11">
        <v>5.9371981620788574</v>
      </c>
    </row>
    <row r="3458" spans="1:6" hidden="1" x14ac:dyDescent="0.3">
      <c r="A3458" s="6">
        <v>25</v>
      </c>
      <c r="B3458" s="6" t="s">
        <v>131</v>
      </c>
      <c r="C3458" s="6" t="s">
        <v>452</v>
      </c>
      <c r="D3458" s="6" t="s">
        <v>132</v>
      </c>
      <c r="E3458" s="11">
        <v>7.7689213752746582</v>
      </c>
      <c r="F3458" s="11">
        <v>5.9371981620788574</v>
      </c>
    </row>
    <row r="3459" spans="1:6" hidden="1" x14ac:dyDescent="0.3">
      <c r="A3459" s="6">
        <v>25</v>
      </c>
      <c r="B3459" s="6" t="s">
        <v>131</v>
      </c>
      <c r="C3459" s="6" t="s">
        <v>453</v>
      </c>
      <c r="D3459" s="6" t="s">
        <v>132</v>
      </c>
      <c r="E3459" s="11">
        <v>4.0255222320556641</v>
      </c>
      <c r="F3459" s="11">
        <v>5.9371981620788574</v>
      </c>
    </row>
    <row r="3460" spans="1:6" hidden="1" x14ac:dyDescent="0.3">
      <c r="A3460" s="6">
        <v>25</v>
      </c>
      <c r="B3460" s="6" t="s">
        <v>131</v>
      </c>
      <c r="C3460" s="6" t="s">
        <v>454</v>
      </c>
      <c r="D3460" s="6" t="s">
        <v>132</v>
      </c>
      <c r="E3460" s="11">
        <v>5.3073234558105469</v>
      </c>
      <c r="F3460" s="11">
        <v>5.9371981620788574</v>
      </c>
    </row>
    <row r="3461" spans="1:6" hidden="1" x14ac:dyDescent="0.3">
      <c r="A3461" s="6">
        <v>25</v>
      </c>
      <c r="B3461" s="6" t="s">
        <v>131</v>
      </c>
      <c r="C3461" s="6" t="s">
        <v>455</v>
      </c>
      <c r="D3461" s="6" t="s">
        <v>132</v>
      </c>
      <c r="E3461" s="11">
        <v>6.1059889793395996</v>
      </c>
      <c r="F3461" s="11">
        <v>5.9371981620788574</v>
      </c>
    </row>
    <row r="3462" spans="1:6" hidden="1" x14ac:dyDescent="0.3">
      <c r="A3462" s="6">
        <v>25</v>
      </c>
      <c r="B3462" s="6" t="s">
        <v>131</v>
      </c>
      <c r="C3462" s="6" t="s">
        <v>456</v>
      </c>
      <c r="D3462" s="6" t="s">
        <v>132</v>
      </c>
      <c r="E3462" s="11">
        <v>4.0162334442138672</v>
      </c>
      <c r="F3462" s="11">
        <v>5.9371981620788574</v>
      </c>
    </row>
    <row r="3463" spans="1:6" hidden="1" x14ac:dyDescent="0.3">
      <c r="A3463" s="6">
        <v>25</v>
      </c>
      <c r="B3463" s="6" t="s">
        <v>131</v>
      </c>
      <c r="C3463" s="6" t="s">
        <v>457</v>
      </c>
      <c r="D3463" s="6" t="s">
        <v>132</v>
      </c>
      <c r="E3463" s="11">
        <v>10.504700660705566</v>
      </c>
      <c r="F3463" s="11">
        <v>5.9371981620788574</v>
      </c>
    </row>
    <row r="3464" spans="1:6" hidden="1" x14ac:dyDescent="0.3">
      <c r="A3464" s="6">
        <v>25</v>
      </c>
      <c r="B3464" s="6" t="s">
        <v>131</v>
      </c>
      <c r="C3464" s="6" t="s">
        <v>458</v>
      </c>
      <c r="D3464" s="6" t="s">
        <v>132</v>
      </c>
      <c r="E3464" s="11">
        <v>5.9541997909545898</v>
      </c>
      <c r="F3464" s="11">
        <v>5.9371981620788574</v>
      </c>
    </row>
    <row r="3465" spans="1:6" hidden="1" x14ac:dyDescent="0.3">
      <c r="A3465" s="6">
        <v>25</v>
      </c>
      <c r="B3465" s="6" t="s">
        <v>131</v>
      </c>
      <c r="C3465" s="6" t="s">
        <v>459</v>
      </c>
      <c r="D3465" s="6" t="s">
        <v>132</v>
      </c>
      <c r="E3465" s="11">
        <v>5.383063793182373</v>
      </c>
      <c r="F3465" s="11">
        <v>5.9371981620788574</v>
      </c>
    </row>
    <row r="3466" spans="1:6" hidden="1" x14ac:dyDescent="0.3">
      <c r="A3466" s="6">
        <v>25</v>
      </c>
      <c r="B3466" s="6" t="s">
        <v>131</v>
      </c>
      <c r="C3466" s="6" t="s">
        <v>460</v>
      </c>
      <c r="D3466" s="6" t="s">
        <v>132</v>
      </c>
      <c r="E3466" s="11">
        <v>8.403925895690918</v>
      </c>
      <c r="F3466" s="11">
        <v>5.9371981620788574</v>
      </c>
    </row>
    <row r="3467" spans="1:6" hidden="1" x14ac:dyDescent="0.3">
      <c r="A3467" s="6">
        <v>25</v>
      </c>
      <c r="B3467" s="6" t="s">
        <v>131</v>
      </c>
      <c r="C3467" s="6" t="s">
        <v>461</v>
      </c>
      <c r="D3467" s="6" t="s">
        <v>132</v>
      </c>
      <c r="E3467" s="11">
        <v>6.9378228187561035</v>
      </c>
      <c r="F3467" s="11">
        <v>5.9371981620788574</v>
      </c>
    </row>
    <row r="3468" spans="1:6" hidden="1" x14ac:dyDescent="0.3">
      <c r="A3468" s="6">
        <v>25</v>
      </c>
      <c r="B3468" s="6" t="s">
        <v>131</v>
      </c>
      <c r="C3468" s="6" t="s">
        <v>462</v>
      </c>
      <c r="D3468" s="6" t="s">
        <v>132</v>
      </c>
      <c r="E3468" s="11">
        <v>4.2441282272338867</v>
      </c>
      <c r="F3468" s="11">
        <v>5.9371981620788574</v>
      </c>
    </row>
    <row r="3469" spans="1:6" hidden="1" x14ac:dyDescent="0.3">
      <c r="A3469" s="6">
        <v>25</v>
      </c>
      <c r="B3469" s="6" t="s">
        <v>131</v>
      </c>
      <c r="C3469" s="6" t="s">
        <v>463</v>
      </c>
      <c r="D3469" s="6" t="s">
        <v>132</v>
      </c>
      <c r="E3469" s="11">
        <v>10.007712364196777</v>
      </c>
      <c r="F3469" s="11">
        <v>5.9371981620788574</v>
      </c>
    </row>
    <row r="3470" spans="1:6" hidden="1" x14ac:dyDescent="0.3">
      <c r="A3470" s="6">
        <v>25</v>
      </c>
      <c r="B3470" s="6" t="s">
        <v>131</v>
      </c>
      <c r="C3470" s="6" t="s">
        <v>464</v>
      </c>
      <c r="D3470" s="6" t="s">
        <v>132</v>
      </c>
      <c r="E3470" s="11">
        <v>5.6589293479919434</v>
      </c>
      <c r="F3470" s="11">
        <v>5.9371981620788574</v>
      </c>
    </row>
    <row r="3471" spans="1:6" hidden="1" x14ac:dyDescent="0.3">
      <c r="A3471" s="6">
        <v>25</v>
      </c>
      <c r="B3471" s="6" t="s">
        <v>131</v>
      </c>
      <c r="C3471" s="6" t="s">
        <v>465</v>
      </c>
      <c r="D3471" s="6" t="s">
        <v>132</v>
      </c>
      <c r="E3471" s="11">
        <v>8.99835205078125</v>
      </c>
      <c r="F3471" s="11">
        <v>5.9371981620788574</v>
      </c>
    </row>
    <row r="3472" spans="1:6" hidden="1" x14ac:dyDescent="0.3">
      <c r="A3472" s="6">
        <v>25</v>
      </c>
      <c r="B3472" s="6" t="s">
        <v>131</v>
      </c>
      <c r="C3472" s="6" t="s">
        <v>466</v>
      </c>
      <c r="D3472" s="6" t="s">
        <v>132</v>
      </c>
      <c r="E3472" s="11">
        <v>6.2984681129455566</v>
      </c>
      <c r="F3472" s="11">
        <v>5.9371981620788574</v>
      </c>
    </row>
    <row r="3473" spans="1:6" hidden="1" x14ac:dyDescent="0.3">
      <c r="A3473" s="6">
        <v>25</v>
      </c>
      <c r="B3473" s="6" t="s">
        <v>131</v>
      </c>
      <c r="C3473" s="6" t="s">
        <v>467</v>
      </c>
      <c r="D3473" s="6" t="s">
        <v>132</v>
      </c>
      <c r="E3473" s="11">
        <v>6.6571707725524902</v>
      </c>
      <c r="F3473" s="11">
        <v>5.9371981620788574</v>
      </c>
    </row>
    <row r="3474" spans="1:6" hidden="1" x14ac:dyDescent="0.3">
      <c r="A3474" s="6">
        <v>25</v>
      </c>
      <c r="B3474" s="6" t="s">
        <v>131</v>
      </c>
      <c r="C3474" s="6" t="s">
        <v>468</v>
      </c>
      <c r="D3474" s="6" t="s">
        <v>132</v>
      </c>
      <c r="E3474" s="11">
        <v>10.824002265930176</v>
      </c>
      <c r="F3474" s="11">
        <v>5.9371981620788574</v>
      </c>
    </row>
    <row r="3475" spans="1:6" hidden="1" x14ac:dyDescent="0.3">
      <c r="A3475" s="6">
        <v>25</v>
      </c>
      <c r="B3475" s="6" t="s">
        <v>131</v>
      </c>
      <c r="C3475" s="6" t="s">
        <v>469</v>
      </c>
      <c r="D3475" s="6" t="s">
        <v>132</v>
      </c>
      <c r="E3475" s="11">
        <v>4.8157062530517578</v>
      </c>
      <c r="F3475" s="11">
        <v>5.9371981620788574</v>
      </c>
    </row>
    <row r="3476" spans="1:6" hidden="1" x14ac:dyDescent="0.3">
      <c r="A3476" s="6">
        <v>25</v>
      </c>
      <c r="B3476" s="6" t="s">
        <v>131</v>
      </c>
      <c r="C3476" s="6" t="s">
        <v>470</v>
      </c>
      <c r="D3476" s="6" t="s">
        <v>132</v>
      </c>
      <c r="E3476" s="11">
        <v>5.2041435241699219</v>
      </c>
      <c r="F3476" s="11">
        <v>5.9371981620788574</v>
      </c>
    </row>
    <row r="3477" spans="1:6" hidden="1" x14ac:dyDescent="0.3">
      <c r="A3477" s="6">
        <v>25</v>
      </c>
      <c r="B3477" s="6" t="s">
        <v>131</v>
      </c>
      <c r="C3477" s="6" t="s">
        <v>471</v>
      </c>
      <c r="D3477" s="6" t="s">
        <v>132</v>
      </c>
      <c r="E3477" s="11">
        <v>4.7631025314331055</v>
      </c>
      <c r="F3477" s="11">
        <v>5.9371981620788574</v>
      </c>
    </row>
    <row r="3478" spans="1:6" hidden="1" x14ac:dyDescent="0.3">
      <c r="A3478" s="6">
        <v>25</v>
      </c>
      <c r="B3478" s="6" t="s">
        <v>131</v>
      </c>
      <c r="C3478" s="6" t="s">
        <v>472</v>
      </c>
      <c r="D3478" s="6" t="s">
        <v>132</v>
      </c>
      <c r="E3478" s="11">
        <v>9.8309354782104492</v>
      </c>
      <c r="F3478" s="11">
        <v>5.9371981620788574</v>
      </c>
    </row>
    <row r="3479" spans="1:6" hidden="1" x14ac:dyDescent="0.3">
      <c r="A3479" s="6">
        <v>25</v>
      </c>
      <c r="B3479" s="6" t="s">
        <v>131</v>
      </c>
      <c r="C3479" s="6" t="s">
        <v>473</v>
      </c>
      <c r="D3479" s="6" t="s">
        <v>132</v>
      </c>
      <c r="E3479" s="11">
        <v>5.5855169296264648</v>
      </c>
      <c r="F3479" s="11">
        <v>5.9371981620788574</v>
      </c>
    </row>
    <row r="3480" spans="1:6" hidden="1" x14ac:dyDescent="0.3">
      <c r="A3480" s="6">
        <v>25</v>
      </c>
      <c r="B3480" s="6" t="s">
        <v>131</v>
      </c>
      <c r="C3480" s="6" t="s">
        <v>474</v>
      </c>
      <c r="D3480" s="6" t="s">
        <v>132</v>
      </c>
      <c r="E3480" s="11">
        <v>4.9320235252380371</v>
      </c>
      <c r="F3480" s="11">
        <v>5.9371981620788574</v>
      </c>
    </row>
    <row r="3481" spans="1:6" hidden="1" x14ac:dyDescent="0.3">
      <c r="A3481" s="6">
        <v>25</v>
      </c>
      <c r="B3481" s="6" t="s">
        <v>131</v>
      </c>
      <c r="C3481" s="6" t="s">
        <v>475</v>
      </c>
      <c r="D3481" s="6" t="s">
        <v>132</v>
      </c>
      <c r="E3481" s="11">
        <v>5.891150951385498</v>
      </c>
      <c r="F3481" s="11">
        <v>5.9371981620788574</v>
      </c>
    </row>
    <row r="3482" spans="1:6" hidden="1" x14ac:dyDescent="0.3">
      <c r="A3482" s="6">
        <v>25</v>
      </c>
      <c r="B3482" s="6" t="s">
        <v>131</v>
      </c>
      <c r="C3482" s="6" t="s">
        <v>476</v>
      </c>
      <c r="D3482" s="6" t="s">
        <v>132</v>
      </c>
      <c r="E3482" s="11">
        <v>5.2702817916870117</v>
      </c>
      <c r="F3482" s="11">
        <v>5.9371981620788574</v>
      </c>
    </row>
    <row r="3483" spans="1:6" hidden="1" x14ac:dyDescent="0.3">
      <c r="A3483" s="6">
        <v>25</v>
      </c>
      <c r="B3483" s="6" t="s">
        <v>131</v>
      </c>
      <c r="C3483" s="6" t="s">
        <v>477</v>
      </c>
      <c r="D3483" s="6" t="s">
        <v>132</v>
      </c>
      <c r="E3483" s="11">
        <v>5.3440227508544922</v>
      </c>
      <c r="F3483" s="11">
        <v>5.9371981620788574</v>
      </c>
    </row>
    <row r="3484" spans="1:6" hidden="1" x14ac:dyDescent="0.3">
      <c r="A3484" s="6">
        <v>25</v>
      </c>
      <c r="B3484" s="6" t="s">
        <v>131</v>
      </c>
      <c r="C3484" s="6" t="s">
        <v>478</v>
      </c>
      <c r="D3484" s="6" t="s">
        <v>132</v>
      </c>
      <c r="E3484" s="11">
        <v>5.083348274230957</v>
      </c>
      <c r="F3484" s="11">
        <v>5.9371981620788574</v>
      </c>
    </row>
    <row r="3485" spans="1:6" hidden="1" x14ac:dyDescent="0.3">
      <c r="A3485" s="6">
        <v>25</v>
      </c>
      <c r="B3485" s="6" t="s">
        <v>131</v>
      </c>
      <c r="C3485" s="6" t="s">
        <v>479</v>
      </c>
      <c r="D3485" s="6" t="s">
        <v>132</v>
      </c>
      <c r="E3485" s="11">
        <v>11.783871650695801</v>
      </c>
      <c r="F3485" s="11">
        <v>5.9371981620788574</v>
      </c>
    </row>
    <row r="3486" spans="1:6" hidden="1" x14ac:dyDescent="0.3">
      <c r="A3486" s="6">
        <v>25</v>
      </c>
      <c r="B3486" s="6" t="s">
        <v>131</v>
      </c>
      <c r="C3486" s="6" t="s">
        <v>480</v>
      </c>
      <c r="D3486" s="6" t="s">
        <v>132</v>
      </c>
      <c r="E3486" s="11">
        <v>5.0590910911560059</v>
      </c>
      <c r="F3486" s="11">
        <v>5.9371981620788574</v>
      </c>
    </row>
    <row r="3487" spans="1:6" hidden="1" x14ac:dyDescent="0.3">
      <c r="A3487" s="6">
        <v>25</v>
      </c>
      <c r="B3487" s="6" t="s">
        <v>131</v>
      </c>
      <c r="C3487" s="6" t="s">
        <v>481</v>
      </c>
      <c r="D3487" s="6" t="s">
        <v>132</v>
      </c>
      <c r="E3487" s="11">
        <v>4.4055619239807129</v>
      </c>
      <c r="F3487" s="11">
        <v>5.9371981620788574</v>
      </c>
    </row>
    <row r="3488" spans="1:6" hidden="1" x14ac:dyDescent="0.3">
      <c r="A3488" s="6">
        <v>25</v>
      </c>
      <c r="B3488" s="6" t="s">
        <v>131</v>
      </c>
      <c r="C3488" s="6" t="s">
        <v>482</v>
      </c>
      <c r="D3488" s="6" t="s">
        <v>132</v>
      </c>
      <c r="E3488" s="11">
        <v>5.891085147857666</v>
      </c>
      <c r="F3488" s="11">
        <v>5.9371981620788574</v>
      </c>
    </row>
    <row r="3489" spans="1:6" hidden="1" x14ac:dyDescent="0.3">
      <c r="A3489" s="6">
        <v>25</v>
      </c>
      <c r="B3489" s="6" t="s">
        <v>131</v>
      </c>
      <c r="C3489" s="6" t="s">
        <v>483</v>
      </c>
      <c r="D3489" s="6" t="s">
        <v>132</v>
      </c>
      <c r="E3489" s="11">
        <v>12.041979789733887</v>
      </c>
      <c r="F3489" s="11">
        <v>5.9371981620788574</v>
      </c>
    </row>
    <row r="3490" spans="1:6" hidden="1" x14ac:dyDescent="0.3">
      <c r="A3490" s="6">
        <v>25</v>
      </c>
      <c r="B3490" s="6" t="s">
        <v>131</v>
      </c>
      <c r="C3490" s="6" t="s">
        <v>484</v>
      </c>
      <c r="D3490" s="6" t="s">
        <v>132</v>
      </c>
      <c r="E3490" s="11">
        <v>6.5377187728881836</v>
      </c>
      <c r="F3490" s="11">
        <v>5.9371981620788574</v>
      </c>
    </row>
    <row r="3491" spans="1:6" hidden="1" x14ac:dyDescent="0.3">
      <c r="A3491" s="6">
        <v>25</v>
      </c>
      <c r="B3491" s="6" t="s">
        <v>131</v>
      </c>
      <c r="C3491" s="6" t="s">
        <v>485</v>
      </c>
      <c r="D3491" s="6" t="s">
        <v>132</v>
      </c>
      <c r="E3491" s="11">
        <v>7.4557876586914063</v>
      </c>
      <c r="F3491" s="11">
        <v>5.9371981620788574</v>
      </c>
    </row>
    <row r="3492" spans="1:6" hidden="1" x14ac:dyDescent="0.3">
      <c r="A3492" s="6">
        <v>25</v>
      </c>
      <c r="B3492" s="6" t="s">
        <v>131</v>
      </c>
      <c r="C3492" s="6" t="s">
        <v>486</v>
      </c>
      <c r="D3492" s="6" t="s">
        <v>132</v>
      </c>
      <c r="E3492" s="11">
        <v>5.3572063446044922</v>
      </c>
      <c r="F3492" s="11">
        <v>5.9371981620788574</v>
      </c>
    </row>
    <row r="3493" spans="1:6" hidden="1" x14ac:dyDescent="0.3">
      <c r="A3493" s="6">
        <v>25</v>
      </c>
      <c r="B3493" s="6" t="s">
        <v>131</v>
      </c>
      <c r="C3493" s="6" t="s">
        <v>487</v>
      </c>
      <c r="D3493" s="6" t="s">
        <v>132</v>
      </c>
      <c r="E3493" s="11">
        <v>5.0151329040527344</v>
      </c>
      <c r="F3493" s="11">
        <v>5.9371981620788574</v>
      </c>
    </row>
    <row r="3494" spans="1:6" hidden="1" x14ac:dyDescent="0.3">
      <c r="A3494" s="6">
        <v>25</v>
      </c>
      <c r="B3494" s="6" t="s">
        <v>131</v>
      </c>
      <c r="C3494" s="6" t="s">
        <v>488</v>
      </c>
      <c r="D3494" s="6" t="s">
        <v>132</v>
      </c>
      <c r="E3494" s="11">
        <v>4.6200003623962402</v>
      </c>
      <c r="F3494" s="11">
        <v>5.9371981620788574</v>
      </c>
    </row>
    <row r="3495" spans="1:6" hidden="1" x14ac:dyDescent="0.3">
      <c r="A3495" s="6">
        <v>25</v>
      </c>
      <c r="B3495" s="6" t="s">
        <v>131</v>
      </c>
      <c r="C3495" s="6" t="s">
        <v>489</v>
      </c>
      <c r="D3495" s="6" t="s">
        <v>132</v>
      </c>
      <c r="E3495" s="11">
        <v>7.7527294158935547</v>
      </c>
      <c r="F3495" s="11">
        <v>5.9371981620788574</v>
      </c>
    </row>
    <row r="3496" spans="1:6" hidden="1" x14ac:dyDescent="0.3">
      <c r="A3496" s="6">
        <v>25</v>
      </c>
      <c r="B3496" s="6" t="s">
        <v>131</v>
      </c>
      <c r="C3496" s="6" t="s">
        <v>490</v>
      </c>
      <c r="D3496" s="6" t="s">
        <v>132</v>
      </c>
      <c r="E3496" s="11">
        <v>6.0710592269897461</v>
      </c>
      <c r="F3496" s="11">
        <v>5.9371981620788574</v>
      </c>
    </row>
    <row r="3497" spans="1:6" hidden="1" x14ac:dyDescent="0.3">
      <c r="A3497" s="6">
        <v>25</v>
      </c>
      <c r="B3497" s="6" t="s">
        <v>131</v>
      </c>
      <c r="C3497" s="6" t="s">
        <v>491</v>
      </c>
      <c r="D3497" s="6" t="s">
        <v>132</v>
      </c>
      <c r="E3497" s="11">
        <v>5.3426618576049805</v>
      </c>
      <c r="F3497" s="11">
        <v>5.9371981620788574</v>
      </c>
    </row>
    <row r="3498" spans="1:6" hidden="1" x14ac:dyDescent="0.3">
      <c r="A3498" s="6">
        <v>25</v>
      </c>
      <c r="B3498" s="6" t="s">
        <v>131</v>
      </c>
      <c r="C3498" s="6" t="s">
        <v>492</v>
      </c>
      <c r="D3498" s="6" t="s">
        <v>132</v>
      </c>
      <c r="E3498" s="11">
        <v>7.1290359497070313</v>
      </c>
      <c r="F3498" s="11">
        <v>5.9371981620788574</v>
      </c>
    </row>
    <row r="3499" spans="1:6" hidden="1" x14ac:dyDescent="0.3">
      <c r="A3499" s="6">
        <v>25</v>
      </c>
      <c r="B3499" s="6" t="s">
        <v>131</v>
      </c>
      <c r="C3499" s="6" t="s">
        <v>493</v>
      </c>
      <c r="D3499" s="6" t="s">
        <v>132</v>
      </c>
      <c r="E3499" s="11">
        <v>6.3890771865844727</v>
      </c>
      <c r="F3499" s="11">
        <v>5.9371981620788574</v>
      </c>
    </row>
    <row r="3500" spans="1:6" hidden="1" x14ac:dyDescent="0.3">
      <c r="A3500" s="6">
        <v>25</v>
      </c>
      <c r="B3500" s="6" t="s">
        <v>131</v>
      </c>
      <c r="C3500" s="6" t="s">
        <v>494</v>
      </c>
      <c r="D3500" s="6" t="s">
        <v>132</v>
      </c>
      <c r="E3500" s="11">
        <v>8.0199394226074219</v>
      </c>
      <c r="F3500" s="11">
        <v>5.9371981620788574</v>
      </c>
    </row>
    <row r="3501" spans="1:6" hidden="1" x14ac:dyDescent="0.3">
      <c r="A3501" s="6">
        <v>25</v>
      </c>
      <c r="B3501" s="6" t="s">
        <v>131</v>
      </c>
      <c r="C3501" s="6" t="s">
        <v>495</v>
      </c>
      <c r="D3501" s="6" t="s">
        <v>132</v>
      </c>
      <c r="E3501" s="11">
        <v>3.5101325511932373</v>
      </c>
      <c r="F3501" s="11">
        <v>5.9371981620788574</v>
      </c>
    </row>
    <row r="3502" spans="1:6" hidden="1" x14ac:dyDescent="0.3">
      <c r="A3502" s="6">
        <v>26</v>
      </c>
      <c r="B3502" s="6" t="s">
        <v>133</v>
      </c>
      <c r="C3502" s="6" t="s">
        <v>356</v>
      </c>
      <c r="D3502" s="6" t="s">
        <v>134</v>
      </c>
      <c r="E3502" s="11">
        <v>5.6836261749267578</v>
      </c>
      <c r="F3502" s="11">
        <v>5.3327012062072754</v>
      </c>
    </row>
    <row r="3503" spans="1:6" hidden="1" x14ac:dyDescent="0.3">
      <c r="A3503" s="6">
        <v>26</v>
      </c>
      <c r="B3503" s="6" t="s">
        <v>133</v>
      </c>
      <c r="C3503" s="6" t="s">
        <v>357</v>
      </c>
      <c r="D3503" s="6" t="s">
        <v>134</v>
      </c>
      <c r="E3503" s="11">
        <v>8.0056829452514648</v>
      </c>
      <c r="F3503" s="11">
        <v>5.3327012062072754</v>
      </c>
    </row>
    <row r="3504" spans="1:6" hidden="1" x14ac:dyDescent="0.3">
      <c r="A3504" s="6">
        <v>26</v>
      </c>
      <c r="B3504" s="6" t="s">
        <v>133</v>
      </c>
      <c r="C3504" s="6" t="s">
        <v>358</v>
      </c>
      <c r="D3504" s="6" t="s">
        <v>134</v>
      </c>
      <c r="E3504" s="11">
        <v>6.3613162040710449</v>
      </c>
      <c r="F3504" s="11">
        <v>5.3327012062072754</v>
      </c>
    </row>
    <row r="3505" spans="1:6" hidden="1" x14ac:dyDescent="0.3">
      <c r="A3505" s="6">
        <v>26</v>
      </c>
      <c r="B3505" s="6" t="s">
        <v>133</v>
      </c>
      <c r="C3505" s="6" t="s">
        <v>359</v>
      </c>
      <c r="D3505" s="6" t="s">
        <v>134</v>
      </c>
      <c r="E3505" s="11">
        <v>4.2575650215148926</v>
      </c>
      <c r="F3505" s="11">
        <v>5.3327012062072754</v>
      </c>
    </row>
    <row r="3506" spans="1:6" hidden="1" x14ac:dyDescent="0.3">
      <c r="A3506" s="6">
        <v>26</v>
      </c>
      <c r="B3506" s="6" t="s">
        <v>133</v>
      </c>
      <c r="C3506" s="6" t="s">
        <v>360</v>
      </c>
      <c r="D3506" s="6" t="s">
        <v>134</v>
      </c>
      <c r="E3506" s="11">
        <v>4.4817938804626465</v>
      </c>
      <c r="F3506" s="11">
        <v>5.3327012062072754</v>
      </c>
    </row>
    <row r="3507" spans="1:6" hidden="1" x14ac:dyDescent="0.3">
      <c r="A3507" s="6">
        <v>26</v>
      </c>
      <c r="B3507" s="6" t="s">
        <v>133</v>
      </c>
      <c r="C3507" s="6" t="s">
        <v>361</v>
      </c>
      <c r="D3507" s="6" t="s">
        <v>134</v>
      </c>
      <c r="E3507" s="11">
        <v>5.7297444343566895</v>
      </c>
      <c r="F3507" s="11">
        <v>5.3327012062072754</v>
      </c>
    </row>
    <row r="3508" spans="1:6" hidden="1" x14ac:dyDescent="0.3">
      <c r="A3508" s="6">
        <v>26</v>
      </c>
      <c r="B3508" s="6" t="s">
        <v>133</v>
      </c>
      <c r="C3508" s="6" t="s">
        <v>362</v>
      </c>
      <c r="D3508" s="6" t="s">
        <v>134</v>
      </c>
      <c r="E3508" s="11">
        <v>4.050753116607666</v>
      </c>
      <c r="F3508" s="11">
        <v>5.3327012062072754</v>
      </c>
    </row>
    <row r="3509" spans="1:6" hidden="1" x14ac:dyDescent="0.3">
      <c r="A3509" s="6">
        <v>26</v>
      </c>
      <c r="B3509" s="6" t="s">
        <v>133</v>
      </c>
      <c r="C3509" s="6" t="s">
        <v>363</v>
      </c>
      <c r="D3509" s="6" t="s">
        <v>134</v>
      </c>
      <c r="E3509" s="11">
        <v>9.6536417007446289</v>
      </c>
      <c r="F3509" s="11">
        <v>5.3327012062072754</v>
      </c>
    </row>
    <row r="3510" spans="1:6" hidden="1" x14ac:dyDescent="0.3">
      <c r="A3510" s="6">
        <v>26</v>
      </c>
      <c r="B3510" s="6" t="s">
        <v>133</v>
      </c>
      <c r="C3510" s="6" t="s">
        <v>364</v>
      </c>
      <c r="D3510" s="6" t="s">
        <v>134</v>
      </c>
      <c r="E3510" s="11">
        <v>2.6792690753936768</v>
      </c>
      <c r="F3510" s="11">
        <v>5.3327012062072754</v>
      </c>
    </row>
    <row r="3511" spans="1:6" hidden="1" x14ac:dyDescent="0.3">
      <c r="A3511" s="6">
        <v>26</v>
      </c>
      <c r="B3511" s="6" t="s">
        <v>133</v>
      </c>
      <c r="C3511" s="6" t="s">
        <v>365</v>
      </c>
      <c r="D3511" s="6" t="s">
        <v>134</v>
      </c>
      <c r="E3511" s="11">
        <v>3.6912574768066406</v>
      </c>
      <c r="F3511" s="11">
        <v>5.3327012062072754</v>
      </c>
    </row>
    <row r="3512" spans="1:6" hidden="1" x14ac:dyDescent="0.3">
      <c r="A3512" s="6">
        <v>26</v>
      </c>
      <c r="B3512" s="6" t="s">
        <v>133</v>
      </c>
      <c r="C3512" s="6" t="s">
        <v>366</v>
      </c>
      <c r="D3512" s="6" t="s">
        <v>134</v>
      </c>
      <c r="E3512" s="11">
        <v>8.0521755218505859</v>
      </c>
      <c r="F3512" s="11">
        <v>5.3327012062072754</v>
      </c>
    </row>
    <row r="3513" spans="1:6" hidden="1" x14ac:dyDescent="0.3">
      <c r="A3513" s="6">
        <v>26</v>
      </c>
      <c r="B3513" s="6" t="s">
        <v>133</v>
      </c>
      <c r="C3513" s="6" t="s">
        <v>367</v>
      </c>
      <c r="D3513" s="6" t="s">
        <v>134</v>
      </c>
      <c r="E3513" s="11">
        <v>4.3891615867614746</v>
      </c>
      <c r="F3513" s="11">
        <v>5.3327012062072754</v>
      </c>
    </row>
    <row r="3514" spans="1:6" hidden="1" x14ac:dyDescent="0.3">
      <c r="A3514" s="6">
        <v>26</v>
      </c>
      <c r="B3514" s="6" t="s">
        <v>133</v>
      </c>
      <c r="C3514" s="6" t="s">
        <v>368</v>
      </c>
      <c r="D3514" s="6" t="s">
        <v>134</v>
      </c>
      <c r="E3514" s="11">
        <v>6.8083715438842773</v>
      </c>
      <c r="F3514" s="11">
        <v>5.3327012062072754</v>
      </c>
    </row>
    <row r="3515" spans="1:6" hidden="1" x14ac:dyDescent="0.3">
      <c r="A3515" s="6">
        <v>26</v>
      </c>
      <c r="B3515" s="6" t="s">
        <v>133</v>
      </c>
      <c r="C3515" s="6" t="s">
        <v>369</v>
      </c>
      <c r="D3515" s="6" t="s">
        <v>134</v>
      </c>
      <c r="E3515" s="11">
        <v>4.5046701431274414</v>
      </c>
      <c r="F3515" s="11">
        <v>5.3327012062072754</v>
      </c>
    </row>
    <row r="3516" spans="1:6" hidden="1" x14ac:dyDescent="0.3">
      <c r="A3516" s="6">
        <v>26</v>
      </c>
      <c r="B3516" s="6" t="s">
        <v>133</v>
      </c>
      <c r="C3516" s="6" t="s">
        <v>370</v>
      </c>
      <c r="D3516" s="6" t="s">
        <v>134</v>
      </c>
      <c r="E3516" s="11">
        <v>5.1476092338562012</v>
      </c>
      <c r="F3516" s="11">
        <v>5.3327012062072754</v>
      </c>
    </row>
    <row r="3517" spans="1:6" hidden="1" x14ac:dyDescent="0.3">
      <c r="A3517" s="6">
        <v>26</v>
      </c>
      <c r="B3517" s="6" t="s">
        <v>133</v>
      </c>
      <c r="C3517" s="6" t="s">
        <v>371</v>
      </c>
      <c r="D3517" s="6" t="s">
        <v>134</v>
      </c>
      <c r="E3517" s="11">
        <v>6.0560455322265625</v>
      </c>
      <c r="F3517" s="11">
        <v>5.3327012062072754</v>
      </c>
    </row>
    <row r="3518" spans="1:6" hidden="1" x14ac:dyDescent="0.3">
      <c r="A3518" s="6">
        <v>26</v>
      </c>
      <c r="B3518" s="6" t="s">
        <v>133</v>
      </c>
      <c r="C3518" s="6" t="s">
        <v>372</v>
      </c>
      <c r="D3518" s="6" t="s">
        <v>134</v>
      </c>
      <c r="E3518" s="11">
        <v>11.970243453979492</v>
      </c>
      <c r="F3518" s="11">
        <v>5.3327012062072754</v>
      </c>
    </row>
    <row r="3519" spans="1:6" hidden="1" x14ac:dyDescent="0.3">
      <c r="A3519" s="6">
        <v>26</v>
      </c>
      <c r="B3519" s="6" t="s">
        <v>133</v>
      </c>
      <c r="C3519" s="6" t="s">
        <v>373</v>
      </c>
      <c r="D3519" s="6" t="s">
        <v>134</v>
      </c>
      <c r="E3519" s="11">
        <v>5.3525543212890625</v>
      </c>
      <c r="F3519" s="11">
        <v>5.3327012062072754</v>
      </c>
    </row>
    <row r="3520" spans="1:6" hidden="1" x14ac:dyDescent="0.3">
      <c r="A3520" s="6">
        <v>26</v>
      </c>
      <c r="B3520" s="6" t="s">
        <v>133</v>
      </c>
      <c r="C3520" s="6" t="s">
        <v>374</v>
      </c>
      <c r="D3520" s="6" t="s">
        <v>134</v>
      </c>
      <c r="E3520" s="11">
        <v>3.855156421661377</v>
      </c>
      <c r="F3520" s="11">
        <v>5.3327012062072754</v>
      </c>
    </row>
    <row r="3521" spans="1:6" hidden="1" x14ac:dyDescent="0.3">
      <c r="A3521" s="6">
        <v>26</v>
      </c>
      <c r="B3521" s="6" t="s">
        <v>133</v>
      </c>
      <c r="C3521" s="6" t="s">
        <v>375</v>
      </c>
      <c r="D3521" s="6" t="s">
        <v>134</v>
      </c>
      <c r="E3521" s="11">
        <v>6.1327419281005859</v>
      </c>
      <c r="F3521" s="11">
        <v>5.3327012062072754</v>
      </c>
    </row>
    <row r="3522" spans="1:6" hidden="1" x14ac:dyDescent="0.3">
      <c r="A3522" s="6">
        <v>26</v>
      </c>
      <c r="B3522" s="6" t="s">
        <v>133</v>
      </c>
      <c r="C3522" s="6" t="s">
        <v>376</v>
      </c>
      <c r="D3522" s="6" t="s">
        <v>134</v>
      </c>
      <c r="E3522" s="11">
        <v>3.7860062122344971</v>
      </c>
      <c r="F3522" s="11">
        <v>5.3327012062072754</v>
      </c>
    </row>
    <row r="3523" spans="1:6" hidden="1" x14ac:dyDescent="0.3">
      <c r="A3523" s="6">
        <v>26</v>
      </c>
      <c r="B3523" s="6" t="s">
        <v>133</v>
      </c>
      <c r="C3523" s="6" t="s">
        <v>377</v>
      </c>
      <c r="D3523" s="6" t="s">
        <v>134</v>
      </c>
      <c r="E3523" s="11">
        <v>5.820950984954834</v>
      </c>
      <c r="F3523" s="11">
        <v>5.3327012062072754</v>
      </c>
    </row>
    <row r="3524" spans="1:6" hidden="1" x14ac:dyDescent="0.3">
      <c r="A3524" s="6">
        <v>26</v>
      </c>
      <c r="B3524" s="6" t="s">
        <v>133</v>
      </c>
      <c r="C3524" s="6" t="s">
        <v>378</v>
      </c>
      <c r="D3524" s="6" t="s">
        <v>134</v>
      </c>
      <c r="E3524" s="11">
        <v>5.9095664024353027</v>
      </c>
      <c r="F3524" s="11">
        <v>5.3327012062072754</v>
      </c>
    </row>
    <row r="3525" spans="1:6" hidden="1" x14ac:dyDescent="0.3">
      <c r="A3525" s="6">
        <v>26</v>
      </c>
      <c r="B3525" s="6" t="s">
        <v>133</v>
      </c>
      <c r="C3525" s="6" t="s">
        <v>379</v>
      </c>
      <c r="D3525" s="6" t="s">
        <v>134</v>
      </c>
      <c r="E3525" s="11">
        <v>5.6983447074890137</v>
      </c>
      <c r="F3525" s="11">
        <v>5.3327012062072754</v>
      </c>
    </row>
    <row r="3526" spans="1:6" hidden="1" x14ac:dyDescent="0.3">
      <c r="A3526" s="6">
        <v>26</v>
      </c>
      <c r="B3526" s="6" t="s">
        <v>133</v>
      </c>
      <c r="C3526" s="6" t="s">
        <v>380</v>
      </c>
      <c r="D3526" s="6" t="s">
        <v>134</v>
      </c>
      <c r="E3526" s="11">
        <v>3.8304765224456787</v>
      </c>
      <c r="F3526" s="11">
        <v>5.3327012062072754</v>
      </c>
    </row>
    <row r="3527" spans="1:6" hidden="1" x14ac:dyDescent="0.3">
      <c r="A3527" s="6">
        <v>26</v>
      </c>
      <c r="B3527" s="6" t="s">
        <v>133</v>
      </c>
      <c r="C3527" s="6" t="s">
        <v>381</v>
      </c>
      <c r="D3527" s="6" t="s">
        <v>134</v>
      </c>
      <c r="E3527" s="11">
        <v>4.0921335220336914</v>
      </c>
      <c r="F3527" s="11">
        <v>5.3327012062072754</v>
      </c>
    </row>
    <row r="3528" spans="1:6" hidden="1" x14ac:dyDescent="0.3">
      <c r="A3528" s="6">
        <v>26</v>
      </c>
      <c r="B3528" s="6" t="s">
        <v>133</v>
      </c>
      <c r="C3528" s="6" t="s">
        <v>382</v>
      </c>
      <c r="D3528" s="6" t="s">
        <v>134</v>
      </c>
      <c r="E3528" s="11">
        <v>4.9206662178039551</v>
      </c>
      <c r="F3528" s="11">
        <v>5.3327012062072754</v>
      </c>
    </row>
    <row r="3529" spans="1:6" hidden="1" x14ac:dyDescent="0.3">
      <c r="A3529" s="6">
        <v>26</v>
      </c>
      <c r="B3529" s="6" t="s">
        <v>133</v>
      </c>
      <c r="C3529" s="6" t="s">
        <v>383</v>
      </c>
      <c r="D3529" s="6" t="s">
        <v>134</v>
      </c>
      <c r="E3529" s="11">
        <v>6.3464441299438477</v>
      </c>
      <c r="F3529" s="11">
        <v>5.3327012062072754</v>
      </c>
    </row>
    <row r="3530" spans="1:6" hidden="1" x14ac:dyDescent="0.3">
      <c r="A3530" s="6">
        <v>26</v>
      </c>
      <c r="B3530" s="6" t="s">
        <v>133</v>
      </c>
      <c r="C3530" s="6" t="s">
        <v>384</v>
      </c>
      <c r="D3530" s="6" t="s">
        <v>134</v>
      </c>
      <c r="E3530" s="11">
        <v>6.0519795417785645</v>
      </c>
      <c r="F3530" s="11">
        <v>5.3327012062072754</v>
      </c>
    </row>
    <row r="3531" spans="1:6" hidden="1" x14ac:dyDescent="0.3">
      <c r="A3531" s="6">
        <v>26</v>
      </c>
      <c r="B3531" s="6" t="s">
        <v>133</v>
      </c>
      <c r="C3531" s="6" t="s">
        <v>385</v>
      </c>
      <c r="D3531" s="6" t="s">
        <v>134</v>
      </c>
      <c r="E3531" s="11">
        <v>5.6790590286254883</v>
      </c>
      <c r="F3531" s="11">
        <v>5.3327012062072754</v>
      </c>
    </row>
    <row r="3532" spans="1:6" hidden="1" x14ac:dyDescent="0.3">
      <c r="A3532" s="6">
        <v>26</v>
      </c>
      <c r="B3532" s="6" t="s">
        <v>133</v>
      </c>
      <c r="C3532" s="6" t="s">
        <v>386</v>
      </c>
      <c r="D3532" s="6" t="s">
        <v>134</v>
      </c>
      <c r="E3532" s="11">
        <v>3.1786794662475586</v>
      </c>
      <c r="F3532" s="11">
        <v>5.3327012062072754</v>
      </c>
    </row>
    <row r="3533" spans="1:6" hidden="1" x14ac:dyDescent="0.3">
      <c r="A3533" s="6">
        <v>26</v>
      </c>
      <c r="B3533" s="6" t="s">
        <v>133</v>
      </c>
      <c r="C3533" s="6" t="s">
        <v>387</v>
      </c>
      <c r="D3533" s="6" t="s">
        <v>134</v>
      </c>
      <c r="E3533" s="11">
        <v>6.3860116004943848</v>
      </c>
      <c r="F3533" s="11">
        <v>5.3327012062072754</v>
      </c>
    </row>
    <row r="3534" spans="1:6" hidden="1" x14ac:dyDescent="0.3">
      <c r="A3534" s="6">
        <v>26</v>
      </c>
      <c r="B3534" s="6" t="s">
        <v>133</v>
      </c>
      <c r="C3534" s="6" t="s">
        <v>388</v>
      </c>
      <c r="D3534" s="6" t="s">
        <v>134</v>
      </c>
      <c r="E3534" s="11">
        <v>2.9214315414428711</v>
      </c>
      <c r="F3534" s="11">
        <v>5.3327012062072754</v>
      </c>
    </row>
    <row r="3535" spans="1:6" hidden="1" x14ac:dyDescent="0.3">
      <c r="A3535" s="6">
        <v>26</v>
      </c>
      <c r="B3535" s="6" t="s">
        <v>133</v>
      </c>
      <c r="C3535" s="6" t="s">
        <v>389</v>
      </c>
      <c r="D3535" s="6" t="s">
        <v>134</v>
      </c>
      <c r="E3535" s="11">
        <v>6.2958273887634277</v>
      </c>
      <c r="F3535" s="11">
        <v>5.3327012062072754</v>
      </c>
    </row>
    <row r="3536" spans="1:6" hidden="1" x14ac:dyDescent="0.3">
      <c r="A3536" s="6">
        <v>26</v>
      </c>
      <c r="B3536" s="6" t="s">
        <v>133</v>
      </c>
      <c r="C3536" s="6" t="s">
        <v>390</v>
      </c>
      <c r="D3536" s="6" t="s">
        <v>134</v>
      </c>
      <c r="E3536" s="11">
        <v>7.9155831336975098</v>
      </c>
      <c r="F3536" s="11">
        <v>5.3327012062072754</v>
      </c>
    </row>
    <row r="3537" spans="1:6" hidden="1" x14ac:dyDescent="0.3">
      <c r="A3537" s="6">
        <v>26</v>
      </c>
      <c r="B3537" s="6" t="s">
        <v>133</v>
      </c>
      <c r="C3537" s="6" t="s">
        <v>391</v>
      </c>
      <c r="D3537" s="6" t="s">
        <v>134</v>
      </c>
      <c r="E3537" s="11">
        <v>4.2495055198669434</v>
      </c>
      <c r="F3537" s="11">
        <v>5.3327012062072754</v>
      </c>
    </row>
    <row r="3538" spans="1:6" hidden="1" x14ac:dyDescent="0.3">
      <c r="A3538" s="6">
        <v>26</v>
      </c>
      <c r="B3538" s="6" t="s">
        <v>133</v>
      </c>
      <c r="C3538" s="6" t="s">
        <v>392</v>
      </c>
      <c r="D3538" s="6" t="s">
        <v>134</v>
      </c>
      <c r="E3538" s="11">
        <v>6.9180870056152344</v>
      </c>
      <c r="F3538" s="11">
        <v>5.3327012062072754</v>
      </c>
    </row>
    <row r="3539" spans="1:6" hidden="1" x14ac:dyDescent="0.3">
      <c r="A3539" s="6">
        <v>26</v>
      </c>
      <c r="B3539" s="6" t="s">
        <v>133</v>
      </c>
      <c r="C3539" s="6" t="s">
        <v>393</v>
      </c>
      <c r="D3539" s="6" t="s">
        <v>134</v>
      </c>
      <c r="E3539" s="11">
        <v>5.5888805389404297</v>
      </c>
      <c r="F3539" s="11">
        <v>5.3327012062072754</v>
      </c>
    </row>
    <row r="3540" spans="1:6" hidden="1" x14ac:dyDescent="0.3">
      <c r="A3540" s="6">
        <v>26</v>
      </c>
      <c r="B3540" s="6" t="s">
        <v>133</v>
      </c>
      <c r="C3540" s="6" t="s">
        <v>394</v>
      </c>
      <c r="D3540" s="6" t="s">
        <v>134</v>
      </c>
      <c r="E3540" s="11">
        <v>5.34832763671875</v>
      </c>
      <c r="F3540" s="11">
        <v>5.3327012062072754</v>
      </c>
    </row>
    <row r="3541" spans="1:6" hidden="1" x14ac:dyDescent="0.3">
      <c r="A3541" s="6">
        <v>26</v>
      </c>
      <c r="B3541" s="6" t="s">
        <v>133</v>
      </c>
      <c r="C3541" s="6" t="s">
        <v>395</v>
      </c>
      <c r="D3541" s="6" t="s">
        <v>134</v>
      </c>
      <c r="E3541" s="11">
        <v>5.3083224296569824</v>
      </c>
      <c r="F3541" s="11">
        <v>5.3327012062072754</v>
      </c>
    </row>
    <row r="3542" spans="1:6" hidden="1" x14ac:dyDescent="0.3">
      <c r="A3542" s="6">
        <v>26</v>
      </c>
      <c r="B3542" s="6" t="s">
        <v>133</v>
      </c>
      <c r="C3542" s="6" t="s">
        <v>396</v>
      </c>
      <c r="D3542" s="6" t="s">
        <v>134</v>
      </c>
      <c r="E3542" s="11">
        <v>4.5646023750305176</v>
      </c>
      <c r="F3542" s="11">
        <v>5.3327012062072754</v>
      </c>
    </row>
    <row r="3543" spans="1:6" hidden="1" x14ac:dyDescent="0.3">
      <c r="A3543" s="6">
        <v>26</v>
      </c>
      <c r="B3543" s="6" t="s">
        <v>133</v>
      </c>
      <c r="C3543" s="6" t="s">
        <v>397</v>
      </c>
      <c r="D3543" s="6" t="s">
        <v>134</v>
      </c>
      <c r="E3543" s="11">
        <v>5.8024554252624512</v>
      </c>
      <c r="F3543" s="11">
        <v>5.3327012062072754</v>
      </c>
    </row>
    <row r="3544" spans="1:6" hidden="1" x14ac:dyDescent="0.3">
      <c r="A3544" s="6">
        <v>26</v>
      </c>
      <c r="B3544" s="6" t="s">
        <v>133</v>
      </c>
      <c r="C3544" s="6" t="s">
        <v>398</v>
      </c>
      <c r="D3544" s="6" t="s">
        <v>134</v>
      </c>
      <c r="E3544" s="11">
        <v>5.0424108505249023</v>
      </c>
      <c r="F3544" s="11">
        <v>5.3327012062072754</v>
      </c>
    </row>
    <row r="3545" spans="1:6" hidden="1" x14ac:dyDescent="0.3">
      <c r="A3545" s="6">
        <v>26</v>
      </c>
      <c r="B3545" s="6" t="s">
        <v>133</v>
      </c>
      <c r="C3545" s="6" t="s">
        <v>399</v>
      </c>
      <c r="D3545" s="6" t="s">
        <v>134</v>
      </c>
      <c r="E3545" s="11">
        <v>5.1021571159362793</v>
      </c>
      <c r="F3545" s="11">
        <v>5.3327012062072754</v>
      </c>
    </row>
    <row r="3546" spans="1:6" hidden="1" x14ac:dyDescent="0.3">
      <c r="A3546" s="6">
        <v>26</v>
      </c>
      <c r="B3546" s="6" t="s">
        <v>133</v>
      </c>
      <c r="C3546" s="6" t="s">
        <v>400</v>
      </c>
      <c r="D3546" s="6" t="s">
        <v>134</v>
      </c>
      <c r="E3546" s="11">
        <v>3.1951298713684082</v>
      </c>
      <c r="F3546" s="11">
        <v>5.3327012062072754</v>
      </c>
    </row>
    <row r="3547" spans="1:6" hidden="1" x14ac:dyDescent="0.3">
      <c r="A3547" s="6">
        <v>26</v>
      </c>
      <c r="B3547" s="6" t="s">
        <v>133</v>
      </c>
      <c r="C3547" s="6" t="s">
        <v>401</v>
      </c>
      <c r="D3547" s="6" t="s">
        <v>134</v>
      </c>
      <c r="E3547" s="11">
        <v>7.1031866073608398</v>
      </c>
      <c r="F3547" s="11">
        <v>5.3327012062072754</v>
      </c>
    </row>
    <row r="3548" spans="1:6" hidden="1" x14ac:dyDescent="0.3">
      <c r="A3548" s="6">
        <v>26</v>
      </c>
      <c r="B3548" s="6" t="s">
        <v>133</v>
      </c>
      <c r="C3548" s="6" t="s">
        <v>402</v>
      </c>
      <c r="D3548" s="6" t="s">
        <v>134</v>
      </c>
      <c r="E3548" s="11">
        <v>6.5069694519042969</v>
      </c>
      <c r="F3548" s="11">
        <v>5.3327012062072754</v>
      </c>
    </row>
    <row r="3549" spans="1:6" hidden="1" x14ac:dyDescent="0.3">
      <c r="A3549" s="6">
        <v>26</v>
      </c>
      <c r="B3549" s="6" t="s">
        <v>133</v>
      </c>
      <c r="C3549" s="6" t="s">
        <v>403</v>
      </c>
      <c r="D3549" s="6" t="s">
        <v>134</v>
      </c>
      <c r="E3549" s="11">
        <v>8.722564697265625</v>
      </c>
      <c r="F3549" s="11">
        <v>5.3327012062072754</v>
      </c>
    </row>
    <row r="3550" spans="1:6" hidden="1" x14ac:dyDescent="0.3">
      <c r="A3550" s="6">
        <v>26</v>
      </c>
      <c r="B3550" s="6" t="s">
        <v>133</v>
      </c>
      <c r="C3550" s="6" t="s">
        <v>404</v>
      </c>
      <c r="D3550" s="6" t="s">
        <v>134</v>
      </c>
      <c r="E3550" s="11">
        <v>5.2208023071289063</v>
      </c>
      <c r="F3550" s="11">
        <v>5.3327012062072754</v>
      </c>
    </row>
    <row r="3551" spans="1:6" hidden="1" x14ac:dyDescent="0.3">
      <c r="A3551" s="6">
        <v>26</v>
      </c>
      <c r="B3551" s="6" t="s">
        <v>133</v>
      </c>
      <c r="C3551" s="6" t="s">
        <v>405</v>
      </c>
      <c r="D3551" s="6" t="s">
        <v>134</v>
      </c>
      <c r="E3551" s="11">
        <v>5.7048206329345703</v>
      </c>
      <c r="F3551" s="11">
        <v>5.3327012062072754</v>
      </c>
    </row>
    <row r="3552" spans="1:6" hidden="1" x14ac:dyDescent="0.3">
      <c r="A3552" s="6">
        <v>26</v>
      </c>
      <c r="B3552" s="6" t="s">
        <v>133</v>
      </c>
      <c r="C3552" s="6" t="s">
        <v>406</v>
      </c>
      <c r="D3552" s="6" t="s">
        <v>134</v>
      </c>
      <c r="E3552" s="11">
        <v>5.6038188934326172</v>
      </c>
      <c r="F3552" s="11">
        <v>5.3327012062072754</v>
      </c>
    </row>
    <row r="3553" spans="1:6" hidden="1" x14ac:dyDescent="0.3">
      <c r="A3553" s="6">
        <v>26</v>
      </c>
      <c r="B3553" s="6" t="s">
        <v>133</v>
      </c>
      <c r="C3553" s="6" t="s">
        <v>407</v>
      </c>
      <c r="D3553" s="6" t="s">
        <v>134</v>
      </c>
      <c r="E3553" s="11">
        <v>3.9767096042633057</v>
      </c>
      <c r="F3553" s="11">
        <v>5.3327012062072754</v>
      </c>
    </row>
    <row r="3554" spans="1:6" hidden="1" x14ac:dyDescent="0.3">
      <c r="A3554" s="6">
        <v>26</v>
      </c>
      <c r="B3554" s="6" t="s">
        <v>133</v>
      </c>
      <c r="C3554" s="6" t="s">
        <v>408</v>
      </c>
      <c r="D3554" s="6" t="s">
        <v>134</v>
      </c>
      <c r="E3554" s="11">
        <v>8.547602653503418</v>
      </c>
      <c r="F3554" s="11">
        <v>5.3327012062072754</v>
      </c>
    </row>
    <row r="3555" spans="1:6" hidden="1" x14ac:dyDescent="0.3">
      <c r="A3555" s="6">
        <v>26</v>
      </c>
      <c r="B3555" s="6" t="s">
        <v>133</v>
      </c>
      <c r="C3555" s="6" t="s">
        <v>409</v>
      </c>
      <c r="D3555" s="6" t="s">
        <v>134</v>
      </c>
      <c r="E3555" s="11">
        <v>8.7588024139404297</v>
      </c>
      <c r="F3555" s="11">
        <v>5.3327012062072754</v>
      </c>
    </row>
    <row r="3556" spans="1:6" hidden="1" x14ac:dyDescent="0.3">
      <c r="A3556" s="6">
        <v>26</v>
      </c>
      <c r="B3556" s="6" t="s">
        <v>133</v>
      </c>
      <c r="C3556" s="6" t="s">
        <v>410</v>
      </c>
      <c r="D3556" s="6" t="s">
        <v>134</v>
      </c>
      <c r="E3556" s="11">
        <v>4.7060942649841309</v>
      </c>
      <c r="F3556" s="11">
        <v>5.3327012062072754</v>
      </c>
    </row>
    <row r="3557" spans="1:6" hidden="1" x14ac:dyDescent="0.3">
      <c r="A3557" s="6">
        <v>26</v>
      </c>
      <c r="B3557" s="6" t="s">
        <v>133</v>
      </c>
      <c r="C3557" s="6" t="s">
        <v>411</v>
      </c>
      <c r="D3557" s="6" t="s">
        <v>134</v>
      </c>
      <c r="E3557" s="11">
        <v>4.2712726593017578</v>
      </c>
      <c r="F3557" s="11">
        <v>5.3327012062072754</v>
      </c>
    </row>
    <row r="3558" spans="1:6" hidden="1" x14ac:dyDescent="0.3">
      <c r="A3558" s="6">
        <v>26</v>
      </c>
      <c r="B3558" s="6" t="s">
        <v>133</v>
      </c>
      <c r="C3558" s="6" t="s">
        <v>412</v>
      </c>
      <c r="D3558" s="6" t="s">
        <v>134</v>
      </c>
      <c r="E3558" s="11">
        <v>5.5842022895812988</v>
      </c>
      <c r="F3558" s="11">
        <v>5.3327012062072754</v>
      </c>
    </row>
    <row r="3559" spans="1:6" hidden="1" x14ac:dyDescent="0.3">
      <c r="A3559" s="6">
        <v>26</v>
      </c>
      <c r="B3559" s="6" t="s">
        <v>133</v>
      </c>
      <c r="C3559" s="6" t="s">
        <v>413</v>
      </c>
      <c r="D3559" s="6" t="s">
        <v>134</v>
      </c>
      <c r="E3559" s="11">
        <v>7.1786127090454102</v>
      </c>
      <c r="F3559" s="11">
        <v>5.3327012062072754</v>
      </c>
    </row>
    <row r="3560" spans="1:6" hidden="1" x14ac:dyDescent="0.3">
      <c r="A3560" s="6">
        <v>26</v>
      </c>
      <c r="B3560" s="6" t="s">
        <v>133</v>
      </c>
      <c r="C3560" s="6" t="s">
        <v>414</v>
      </c>
      <c r="D3560" s="6" t="s">
        <v>134</v>
      </c>
      <c r="E3560" s="11">
        <v>3.361973762512207</v>
      </c>
      <c r="F3560" s="11">
        <v>5.3327012062072754</v>
      </c>
    </row>
    <row r="3561" spans="1:6" hidden="1" x14ac:dyDescent="0.3">
      <c r="A3561" s="6">
        <v>26</v>
      </c>
      <c r="B3561" s="6" t="s">
        <v>133</v>
      </c>
      <c r="C3561" s="6" t="s">
        <v>415</v>
      </c>
      <c r="D3561" s="6" t="s">
        <v>134</v>
      </c>
      <c r="E3561" s="11">
        <v>6.9868836402893066</v>
      </c>
      <c r="F3561" s="11">
        <v>5.3327012062072754</v>
      </c>
    </row>
    <row r="3562" spans="1:6" hidden="1" x14ac:dyDescent="0.3">
      <c r="A3562" s="6">
        <v>26</v>
      </c>
      <c r="B3562" s="6" t="s">
        <v>133</v>
      </c>
      <c r="C3562" s="6" t="s">
        <v>416</v>
      </c>
      <c r="D3562" s="6" t="s">
        <v>134</v>
      </c>
      <c r="E3562" s="11">
        <v>5.8946695327758789</v>
      </c>
      <c r="F3562" s="11">
        <v>5.3327012062072754</v>
      </c>
    </row>
    <row r="3563" spans="1:6" hidden="1" x14ac:dyDescent="0.3">
      <c r="A3563" s="6">
        <v>26</v>
      </c>
      <c r="B3563" s="6" t="s">
        <v>133</v>
      </c>
      <c r="C3563" s="6" t="s">
        <v>417</v>
      </c>
      <c r="D3563" s="6" t="s">
        <v>134</v>
      </c>
      <c r="E3563" s="11">
        <v>5.1387391090393066</v>
      </c>
      <c r="F3563" s="11">
        <v>5.3327012062072754</v>
      </c>
    </row>
    <row r="3564" spans="1:6" hidden="1" x14ac:dyDescent="0.3">
      <c r="A3564" s="6">
        <v>26</v>
      </c>
      <c r="B3564" s="6" t="s">
        <v>133</v>
      </c>
      <c r="C3564" s="6" t="s">
        <v>418</v>
      </c>
      <c r="D3564" s="6" t="s">
        <v>134</v>
      </c>
      <c r="E3564" s="11">
        <v>10.004545211791992</v>
      </c>
      <c r="F3564" s="11">
        <v>5.3327012062072754</v>
      </c>
    </row>
    <row r="3565" spans="1:6" hidden="1" x14ac:dyDescent="0.3">
      <c r="A3565" s="6">
        <v>26</v>
      </c>
      <c r="B3565" s="6" t="s">
        <v>133</v>
      </c>
      <c r="C3565" s="6" t="s">
        <v>419</v>
      </c>
      <c r="D3565" s="6" t="s">
        <v>134</v>
      </c>
      <c r="E3565" s="11">
        <v>4.5604128837585449</v>
      </c>
      <c r="F3565" s="11">
        <v>5.3327012062072754</v>
      </c>
    </row>
    <row r="3566" spans="1:6" hidden="1" x14ac:dyDescent="0.3">
      <c r="A3566" s="6">
        <v>26</v>
      </c>
      <c r="B3566" s="6" t="s">
        <v>133</v>
      </c>
      <c r="C3566" s="6" t="s">
        <v>420</v>
      </c>
      <c r="D3566" s="6" t="s">
        <v>134</v>
      </c>
      <c r="E3566" s="11">
        <v>2.972149133682251</v>
      </c>
      <c r="F3566" s="11">
        <v>5.3327012062072754</v>
      </c>
    </row>
    <row r="3567" spans="1:6" hidden="1" x14ac:dyDescent="0.3">
      <c r="A3567" s="6">
        <v>26</v>
      </c>
      <c r="B3567" s="6" t="s">
        <v>133</v>
      </c>
      <c r="C3567" s="6" t="s">
        <v>421</v>
      </c>
      <c r="D3567" s="6" t="s">
        <v>134</v>
      </c>
      <c r="E3567" s="11">
        <v>5.4192986488342285</v>
      </c>
      <c r="F3567" s="11">
        <v>5.3327012062072754</v>
      </c>
    </row>
    <row r="3568" spans="1:6" hidden="1" x14ac:dyDescent="0.3">
      <c r="A3568" s="6">
        <v>26</v>
      </c>
      <c r="B3568" s="6" t="s">
        <v>133</v>
      </c>
      <c r="C3568" s="6" t="s">
        <v>422</v>
      </c>
      <c r="D3568" s="6" t="s">
        <v>134</v>
      </c>
      <c r="E3568" s="11">
        <v>5.0484304428100586</v>
      </c>
      <c r="F3568" s="11">
        <v>5.3327012062072754</v>
      </c>
    </row>
    <row r="3569" spans="1:6" hidden="1" x14ac:dyDescent="0.3">
      <c r="A3569" s="6">
        <v>26</v>
      </c>
      <c r="B3569" s="6" t="s">
        <v>133</v>
      </c>
      <c r="C3569" s="6" t="s">
        <v>423</v>
      </c>
      <c r="D3569" s="6" t="s">
        <v>134</v>
      </c>
      <c r="E3569" s="11">
        <v>3.4131889343261719</v>
      </c>
      <c r="F3569" s="11">
        <v>5.3327012062072754</v>
      </c>
    </row>
    <row r="3570" spans="1:6" hidden="1" x14ac:dyDescent="0.3">
      <c r="A3570" s="6">
        <v>26</v>
      </c>
      <c r="B3570" s="6" t="s">
        <v>133</v>
      </c>
      <c r="C3570" s="6" t="s">
        <v>424</v>
      </c>
      <c r="D3570" s="6" t="s">
        <v>134</v>
      </c>
      <c r="E3570" s="11">
        <v>6.0447049140930176</v>
      </c>
      <c r="F3570" s="11">
        <v>5.3327012062072754</v>
      </c>
    </row>
    <row r="3571" spans="1:6" hidden="1" x14ac:dyDescent="0.3">
      <c r="A3571" s="6">
        <v>26</v>
      </c>
      <c r="B3571" s="6" t="s">
        <v>133</v>
      </c>
      <c r="C3571" s="6" t="s">
        <v>425</v>
      </c>
      <c r="D3571" s="6" t="s">
        <v>134</v>
      </c>
      <c r="E3571" s="11">
        <v>5.2483320236206055</v>
      </c>
      <c r="F3571" s="11">
        <v>5.3327012062072754</v>
      </c>
    </row>
    <row r="3572" spans="1:6" hidden="1" x14ac:dyDescent="0.3">
      <c r="A3572" s="6">
        <v>26</v>
      </c>
      <c r="B3572" s="6" t="s">
        <v>133</v>
      </c>
      <c r="C3572" s="6" t="s">
        <v>426</v>
      </c>
      <c r="D3572" s="6" t="s">
        <v>134</v>
      </c>
      <c r="E3572" s="11">
        <v>4.3527178764343262</v>
      </c>
      <c r="F3572" s="11">
        <v>5.3327012062072754</v>
      </c>
    </row>
    <row r="3573" spans="1:6" hidden="1" x14ac:dyDescent="0.3">
      <c r="A3573" s="6">
        <v>26</v>
      </c>
      <c r="B3573" s="6" t="s">
        <v>133</v>
      </c>
      <c r="C3573" s="6" t="s">
        <v>427</v>
      </c>
      <c r="D3573" s="6" t="s">
        <v>134</v>
      </c>
      <c r="E3573" s="11">
        <v>8.4685335159301758</v>
      </c>
      <c r="F3573" s="11">
        <v>5.3327012062072754</v>
      </c>
    </row>
    <row r="3574" spans="1:6" hidden="1" x14ac:dyDescent="0.3">
      <c r="A3574" s="6">
        <v>26</v>
      </c>
      <c r="B3574" s="6" t="s">
        <v>133</v>
      </c>
      <c r="C3574" s="6" t="s">
        <v>428</v>
      </c>
      <c r="D3574" s="6" t="s">
        <v>134</v>
      </c>
      <c r="E3574" s="11">
        <v>9.0786914825439453</v>
      </c>
      <c r="F3574" s="11">
        <v>5.3327012062072754</v>
      </c>
    </row>
    <row r="3575" spans="1:6" hidden="1" x14ac:dyDescent="0.3">
      <c r="A3575" s="6">
        <v>26</v>
      </c>
      <c r="B3575" s="6" t="s">
        <v>133</v>
      </c>
      <c r="C3575" s="6" t="s">
        <v>429</v>
      </c>
      <c r="D3575" s="6" t="s">
        <v>134</v>
      </c>
      <c r="E3575" s="11">
        <v>4.9448909759521484</v>
      </c>
      <c r="F3575" s="11">
        <v>5.3327012062072754</v>
      </c>
    </row>
    <row r="3576" spans="1:6" hidden="1" x14ac:dyDescent="0.3">
      <c r="A3576" s="6">
        <v>26</v>
      </c>
      <c r="B3576" s="6" t="s">
        <v>133</v>
      </c>
      <c r="C3576" s="6" t="s">
        <v>430</v>
      </c>
      <c r="D3576" s="6" t="s">
        <v>134</v>
      </c>
      <c r="E3576" s="11">
        <v>3.0836741924285889</v>
      </c>
      <c r="F3576" s="11">
        <v>5.3327012062072754</v>
      </c>
    </row>
    <row r="3577" spans="1:6" hidden="1" x14ac:dyDescent="0.3">
      <c r="A3577" s="6">
        <v>26</v>
      </c>
      <c r="B3577" s="6" t="s">
        <v>133</v>
      </c>
      <c r="C3577" s="6" t="s">
        <v>431</v>
      </c>
      <c r="D3577" s="6" t="s">
        <v>134</v>
      </c>
      <c r="E3577" s="11">
        <v>8.4149246215820313</v>
      </c>
      <c r="F3577" s="11">
        <v>5.3327012062072754</v>
      </c>
    </row>
    <row r="3578" spans="1:6" hidden="1" x14ac:dyDescent="0.3">
      <c r="A3578" s="6">
        <v>26</v>
      </c>
      <c r="B3578" s="6" t="s">
        <v>133</v>
      </c>
      <c r="C3578" s="6" t="s">
        <v>432</v>
      </c>
      <c r="D3578" s="6" t="s">
        <v>134</v>
      </c>
      <c r="E3578" s="11">
        <v>6.3511385917663574</v>
      </c>
      <c r="F3578" s="11">
        <v>5.3327012062072754</v>
      </c>
    </row>
    <row r="3579" spans="1:6" hidden="1" x14ac:dyDescent="0.3">
      <c r="A3579" s="6">
        <v>26</v>
      </c>
      <c r="B3579" s="6" t="s">
        <v>133</v>
      </c>
      <c r="C3579" s="6" t="s">
        <v>433</v>
      </c>
      <c r="D3579" s="6" t="s">
        <v>134</v>
      </c>
      <c r="E3579" s="11">
        <v>5.188389778137207</v>
      </c>
      <c r="F3579" s="11">
        <v>5.3327012062072754</v>
      </c>
    </row>
    <row r="3580" spans="1:6" hidden="1" x14ac:dyDescent="0.3">
      <c r="A3580" s="6">
        <v>26</v>
      </c>
      <c r="B3580" s="6" t="s">
        <v>133</v>
      </c>
      <c r="C3580" s="6" t="s">
        <v>434</v>
      </c>
      <c r="D3580" s="6" t="s">
        <v>134</v>
      </c>
      <c r="E3580" s="11">
        <v>4.561133861541748</v>
      </c>
      <c r="F3580" s="11">
        <v>5.3327012062072754</v>
      </c>
    </row>
    <row r="3581" spans="1:6" hidden="1" x14ac:dyDescent="0.3">
      <c r="A3581" s="6">
        <v>26</v>
      </c>
      <c r="B3581" s="6" t="s">
        <v>133</v>
      </c>
      <c r="C3581" s="6" t="s">
        <v>435</v>
      </c>
      <c r="D3581" s="6" t="s">
        <v>134</v>
      </c>
      <c r="E3581" s="11">
        <v>4.3654379844665527</v>
      </c>
      <c r="F3581" s="11">
        <v>5.3327012062072754</v>
      </c>
    </row>
    <row r="3582" spans="1:6" hidden="1" x14ac:dyDescent="0.3">
      <c r="A3582" s="6">
        <v>26</v>
      </c>
      <c r="B3582" s="6" t="s">
        <v>133</v>
      </c>
      <c r="C3582" s="6" t="s">
        <v>436</v>
      </c>
      <c r="D3582" s="6" t="s">
        <v>134</v>
      </c>
      <c r="E3582" s="11">
        <v>4.6183414459228516</v>
      </c>
      <c r="F3582" s="11">
        <v>5.3327012062072754</v>
      </c>
    </row>
    <row r="3583" spans="1:6" hidden="1" x14ac:dyDescent="0.3">
      <c r="A3583" s="6">
        <v>26</v>
      </c>
      <c r="B3583" s="6" t="s">
        <v>133</v>
      </c>
      <c r="C3583" s="6" t="s">
        <v>437</v>
      </c>
      <c r="D3583" s="6" t="s">
        <v>134</v>
      </c>
      <c r="E3583" s="11">
        <v>6.9774255752563477</v>
      </c>
      <c r="F3583" s="11">
        <v>5.3327012062072754</v>
      </c>
    </row>
    <row r="3584" spans="1:6" hidden="1" x14ac:dyDescent="0.3">
      <c r="A3584" s="6">
        <v>26</v>
      </c>
      <c r="B3584" s="6" t="s">
        <v>133</v>
      </c>
      <c r="C3584" s="6" t="s">
        <v>438</v>
      </c>
      <c r="D3584" s="6" t="s">
        <v>134</v>
      </c>
      <c r="E3584" s="11">
        <v>10.45755672454834</v>
      </c>
      <c r="F3584" s="11">
        <v>5.3327012062072754</v>
      </c>
    </row>
    <row r="3585" spans="1:6" hidden="1" x14ac:dyDescent="0.3">
      <c r="A3585" s="6">
        <v>26</v>
      </c>
      <c r="B3585" s="6" t="s">
        <v>133</v>
      </c>
      <c r="C3585" s="6" t="s">
        <v>439</v>
      </c>
      <c r="D3585" s="6" t="s">
        <v>134</v>
      </c>
      <c r="E3585" s="11">
        <v>4.754664421081543</v>
      </c>
      <c r="F3585" s="11">
        <v>5.3327012062072754</v>
      </c>
    </row>
    <row r="3586" spans="1:6" hidden="1" x14ac:dyDescent="0.3">
      <c r="A3586" s="6">
        <v>26</v>
      </c>
      <c r="B3586" s="6" t="s">
        <v>133</v>
      </c>
      <c r="C3586" s="6" t="s">
        <v>440</v>
      </c>
      <c r="D3586" s="6" t="s">
        <v>134</v>
      </c>
      <c r="E3586" s="11">
        <v>6.8925762176513672</v>
      </c>
      <c r="F3586" s="11">
        <v>5.3327012062072754</v>
      </c>
    </row>
    <row r="3587" spans="1:6" hidden="1" x14ac:dyDescent="0.3">
      <c r="A3587" s="6">
        <v>26</v>
      </c>
      <c r="B3587" s="6" t="s">
        <v>133</v>
      </c>
      <c r="C3587" s="6" t="s">
        <v>441</v>
      </c>
      <c r="D3587" s="6" t="s">
        <v>134</v>
      </c>
      <c r="E3587" s="11">
        <v>5.3049392700195313</v>
      </c>
      <c r="F3587" s="11">
        <v>5.3327012062072754</v>
      </c>
    </row>
    <row r="3588" spans="1:6" hidden="1" x14ac:dyDescent="0.3">
      <c r="A3588" s="6">
        <v>26</v>
      </c>
      <c r="B3588" s="6" t="s">
        <v>133</v>
      </c>
      <c r="C3588" s="6" t="s">
        <v>442</v>
      </c>
      <c r="D3588" s="6" t="s">
        <v>134</v>
      </c>
      <c r="E3588" s="11">
        <v>9.6411056518554688</v>
      </c>
      <c r="F3588" s="11">
        <v>5.3327012062072754</v>
      </c>
    </row>
    <row r="3589" spans="1:6" hidden="1" x14ac:dyDescent="0.3">
      <c r="A3589" s="6">
        <v>26</v>
      </c>
      <c r="B3589" s="6" t="s">
        <v>133</v>
      </c>
      <c r="C3589" s="6" t="s">
        <v>443</v>
      </c>
      <c r="D3589" s="6" t="s">
        <v>134</v>
      </c>
      <c r="E3589" s="11">
        <v>3.76019287109375</v>
      </c>
      <c r="F3589" s="11">
        <v>5.3327012062072754</v>
      </c>
    </row>
    <row r="3590" spans="1:6" hidden="1" x14ac:dyDescent="0.3">
      <c r="A3590" s="6">
        <v>26</v>
      </c>
      <c r="B3590" s="6" t="s">
        <v>133</v>
      </c>
      <c r="C3590" s="6" t="s">
        <v>444</v>
      </c>
      <c r="D3590" s="6" t="s">
        <v>134</v>
      </c>
      <c r="E3590" s="11">
        <v>4.0467681884765625</v>
      </c>
      <c r="F3590" s="11">
        <v>5.3327012062072754</v>
      </c>
    </row>
    <row r="3591" spans="1:6" hidden="1" x14ac:dyDescent="0.3">
      <c r="A3591" s="6">
        <v>26</v>
      </c>
      <c r="B3591" s="6" t="s">
        <v>133</v>
      </c>
      <c r="C3591" s="6" t="s">
        <v>445</v>
      </c>
      <c r="D3591" s="6" t="s">
        <v>134</v>
      </c>
      <c r="E3591" s="11">
        <v>7.1562542915344238</v>
      </c>
      <c r="F3591" s="11">
        <v>5.3327012062072754</v>
      </c>
    </row>
    <row r="3592" spans="1:6" hidden="1" x14ac:dyDescent="0.3">
      <c r="A3592" s="6">
        <v>26</v>
      </c>
      <c r="B3592" s="6" t="s">
        <v>133</v>
      </c>
      <c r="C3592" s="6" t="s">
        <v>446</v>
      </c>
      <c r="D3592" s="6" t="s">
        <v>134</v>
      </c>
      <c r="E3592" s="11">
        <v>4.1911077499389648</v>
      </c>
      <c r="F3592" s="11">
        <v>5.3327012062072754</v>
      </c>
    </row>
    <row r="3593" spans="1:6" hidden="1" x14ac:dyDescent="0.3">
      <c r="A3593" s="6">
        <v>26</v>
      </c>
      <c r="B3593" s="6" t="s">
        <v>133</v>
      </c>
      <c r="C3593" s="6" t="s">
        <v>447</v>
      </c>
      <c r="D3593" s="6" t="s">
        <v>134</v>
      </c>
      <c r="E3593" s="11">
        <v>5.4904351234436035</v>
      </c>
      <c r="F3593" s="11">
        <v>5.3327012062072754</v>
      </c>
    </row>
    <row r="3594" spans="1:6" hidden="1" x14ac:dyDescent="0.3">
      <c r="A3594" s="6">
        <v>26</v>
      </c>
      <c r="B3594" s="6" t="s">
        <v>133</v>
      </c>
      <c r="C3594" s="6" t="s">
        <v>448</v>
      </c>
      <c r="D3594" s="6" t="s">
        <v>134</v>
      </c>
      <c r="E3594" s="11">
        <v>5.4999308586120605</v>
      </c>
      <c r="F3594" s="11">
        <v>5.3327012062072754</v>
      </c>
    </row>
    <row r="3595" spans="1:6" hidden="1" x14ac:dyDescent="0.3">
      <c r="A3595" s="6">
        <v>26</v>
      </c>
      <c r="B3595" s="6" t="s">
        <v>133</v>
      </c>
      <c r="C3595" s="6" t="s">
        <v>449</v>
      </c>
      <c r="D3595" s="6" t="s">
        <v>134</v>
      </c>
      <c r="E3595" s="11">
        <v>4.0643506050109863</v>
      </c>
      <c r="F3595" s="11">
        <v>5.3327012062072754</v>
      </c>
    </row>
    <row r="3596" spans="1:6" hidden="1" x14ac:dyDescent="0.3">
      <c r="A3596" s="6">
        <v>26</v>
      </c>
      <c r="B3596" s="6" t="s">
        <v>133</v>
      </c>
      <c r="C3596" s="6" t="s">
        <v>450</v>
      </c>
      <c r="D3596" s="6" t="s">
        <v>134</v>
      </c>
      <c r="E3596" s="11">
        <v>13.676244735717773</v>
      </c>
      <c r="F3596" s="11">
        <v>5.3327012062072754</v>
      </c>
    </row>
    <row r="3597" spans="1:6" hidden="1" x14ac:dyDescent="0.3">
      <c r="A3597" s="6">
        <v>26</v>
      </c>
      <c r="B3597" s="6" t="s">
        <v>133</v>
      </c>
      <c r="C3597" s="6" t="s">
        <v>451</v>
      </c>
      <c r="D3597" s="6" t="s">
        <v>134</v>
      </c>
      <c r="E3597" s="11">
        <v>4.3539519309997559</v>
      </c>
      <c r="F3597" s="11">
        <v>5.3327012062072754</v>
      </c>
    </row>
    <row r="3598" spans="1:6" hidden="1" x14ac:dyDescent="0.3">
      <c r="A3598" s="6">
        <v>26</v>
      </c>
      <c r="B3598" s="6" t="s">
        <v>133</v>
      </c>
      <c r="C3598" s="6" t="s">
        <v>452</v>
      </c>
      <c r="D3598" s="6" t="s">
        <v>134</v>
      </c>
      <c r="E3598" s="11">
        <v>4.9569149017333984</v>
      </c>
      <c r="F3598" s="11">
        <v>5.3327012062072754</v>
      </c>
    </row>
    <row r="3599" spans="1:6" hidden="1" x14ac:dyDescent="0.3">
      <c r="A3599" s="6">
        <v>26</v>
      </c>
      <c r="B3599" s="6" t="s">
        <v>133</v>
      </c>
      <c r="C3599" s="6" t="s">
        <v>453</v>
      </c>
      <c r="D3599" s="6" t="s">
        <v>134</v>
      </c>
      <c r="E3599" s="11">
        <v>4.1596918106079102</v>
      </c>
      <c r="F3599" s="11">
        <v>5.3327012062072754</v>
      </c>
    </row>
    <row r="3600" spans="1:6" hidden="1" x14ac:dyDescent="0.3">
      <c r="A3600" s="6">
        <v>26</v>
      </c>
      <c r="B3600" s="6" t="s">
        <v>133</v>
      </c>
      <c r="C3600" s="6" t="s">
        <v>454</v>
      </c>
      <c r="D3600" s="6" t="s">
        <v>134</v>
      </c>
      <c r="E3600" s="11">
        <v>7.6364994049072266</v>
      </c>
      <c r="F3600" s="11">
        <v>5.3327012062072754</v>
      </c>
    </row>
    <row r="3601" spans="1:6" hidden="1" x14ac:dyDescent="0.3">
      <c r="A3601" s="6">
        <v>26</v>
      </c>
      <c r="B3601" s="6" t="s">
        <v>133</v>
      </c>
      <c r="C3601" s="6" t="s">
        <v>455</v>
      </c>
      <c r="D3601" s="6" t="s">
        <v>134</v>
      </c>
      <c r="E3601" s="11">
        <v>6.1584177017211914</v>
      </c>
      <c r="F3601" s="11">
        <v>5.3327012062072754</v>
      </c>
    </row>
    <row r="3602" spans="1:6" hidden="1" x14ac:dyDescent="0.3">
      <c r="A3602" s="6">
        <v>26</v>
      </c>
      <c r="B3602" s="6" t="s">
        <v>133</v>
      </c>
      <c r="C3602" s="6" t="s">
        <v>456</v>
      </c>
      <c r="D3602" s="6" t="s">
        <v>134</v>
      </c>
      <c r="E3602" s="11">
        <v>3.5894131660461426</v>
      </c>
      <c r="F3602" s="11">
        <v>5.3327012062072754</v>
      </c>
    </row>
    <row r="3603" spans="1:6" hidden="1" x14ac:dyDescent="0.3">
      <c r="A3603" s="6">
        <v>26</v>
      </c>
      <c r="B3603" s="6" t="s">
        <v>133</v>
      </c>
      <c r="C3603" s="6" t="s">
        <v>457</v>
      </c>
      <c r="D3603" s="6" t="s">
        <v>134</v>
      </c>
      <c r="E3603" s="11">
        <v>6.7294211387634277</v>
      </c>
      <c r="F3603" s="11">
        <v>5.3327012062072754</v>
      </c>
    </row>
    <row r="3604" spans="1:6" hidden="1" x14ac:dyDescent="0.3">
      <c r="A3604" s="6">
        <v>26</v>
      </c>
      <c r="B3604" s="6" t="s">
        <v>133</v>
      </c>
      <c r="C3604" s="6" t="s">
        <v>458</v>
      </c>
      <c r="D3604" s="6" t="s">
        <v>134</v>
      </c>
      <c r="E3604" s="11">
        <v>6.5090689659118652</v>
      </c>
      <c r="F3604" s="11">
        <v>5.3327012062072754</v>
      </c>
    </row>
    <row r="3605" spans="1:6" hidden="1" x14ac:dyDescent="0.3">
      <c r="A3605" s="6">
        <v>26</v>
      </c>
      <c r="B3605" s="6" t="s">
        <v>133</v>
      </c>
      <c r="C3605" s="6" t="s">
        <v>459</v>
      </c>
      <c r="D3605" s="6" t="s">
        <v>134</v>
      </c>
      <c r="E3605" s="11">
        <v>5.3085465431213379</v>
      </c>
      <c r="F3605" s="11">
        <v>5.3327012062072754</v>
      </c>
    </row>
    <row r="3606" spans="1:6" hidden="1" x14ac:dyDescent="0.3">
      <c r="A3606" s="6">
        <v>26</v>
      </c>
      <c r="B3606" s="6" t="s">
        <v>133</v>
      </c>
      <c r="C3606" s="6" t="s">
        <v>460</v>
      </c>
      <c r="D3606" s="6" t="s">
        <v>134</v>
      </c>
      <c r="E3606" s="11">
        <v>12.736742973327637</v>
      </c>
      <c r="F3606" s="11">
        <v>5.3327012062072754</v>
      </c>
    </row>
    <row r="3607" spans="1:6" hidden="1" x14ac:dyDescent="0.3">
      <c r="A3607" s="6">
        <v>26</v>
      </c>
      <c r="B3607" s="6" t="s">
        <v>133</v>
      </c>
      <c r="C3607" s="6" t="s">
        <v>461</v>
      </c>
      <c r="D3607" s="6" t="s">
        <v>134</v>
      </c>
      <c r="E3607" s="11">
        <v>4.3314509391784668</v>
      </c>
      <c r="F3607" s="11">
        <v>5.3327012062072754</v>
      </c>
    </row>
    <row r="3608" spans="1:6" hidden="1" x14ac:dyDescent="0.3">
      <c r="A3608" s="6">
        <v>26</v>
      </c>
      <c r="B3608" s="6" t="s">
        <v>133</v>
      </c>
      <c r="C3608" s="6" t="s">
        <v>462</v>
      </c>
      <c r="D3608" s="6" t="s">
        <v>134</v>
      </c>
      <c r="E3608" s="11">
        <v>4.9342775344848633</v>
      </c>
      <c r="F3608" s="11">
        <v>5.3327012062072754</v>
      </c>
    </row>
    <row r="3609" spans="1:6" hidden="1" x14ac:dyDescent="0.3">
      <c r="A3609" s="6">
        <v>26</v>
      </c>
      <c r="B3609" s="6" t="s">
        <v>133</v>
      </c>
      <c r="C3609" s="6" t="s">
        <v>463</v>
      </c>
      <c r="D3609" s="6" t="s">
        <v>134</v>
      </c>
      <c r="E3609" s="11">
        <v>4.3042073249816895</v>
      </c>
      <c r="F3609" s="11">
        <v>5.3327012062072754</v>
      </c>
    </row>
    <row r="3610" spans="1:6" hidden="1" x14ac:dyDescent="0.3">
      <c r="A3610" s="6">
        <v>26</v>
      </c>
      <c r="B3610" s="6" t="s">
        <v>133</v>
      </c>
      <c r="C3610" s="6" t="s">
        <v>464</v>
      </c>
      <c r="D3610" s="6" t="s">
        <v>134</v>
      </c>
      <c r="E3610" s="11">
        <v>4.4073886871337891</v>
      </c>
      <c r="F3610" s="11">
        <v>5.3327012062072754</v>
      </c>
    </row>
    <row r="3611" spans="1:6" hidden="1" x14ac:dyDescent="0.3">
      <c r="A3611" s="6">
        <v>26</v>
      </c>
      <c r="B3611" s="6" t="s">
        <v>133</v>
      </c>
      <c r="C3611" s="6" t="s">
        <v>465</v>
      </c>
      <c r="D3611" s="6" t="s">
        <v>134</v>
      </c>
      <c r="E3611" s="11">
        <v>6.3047885894775391</v>
      </c>
      <c r="F3611" s="11">
        <v>5.3327012062072754</v>
      </c>
    </row>
    <row r="3612" spans="1:6" hidden="1" x14ac:dyDescent="0.3">
      <c r="A3612" s="6">
        <v>26</v>
      </c>
      <c r="B3612" s="6" t="s">
        <v>133</v>
      </c>
      <c r="C3612" s="6" t="s">
        <v>466</v>
      </c>
      <c r="D3612" s="6" t="s">
        <v>134</v>
      </c>
      <c r="E3612" s="11">
        <v>4.3887066841125488</v>
      </c>
      <c r="F3612" s="11">
        <v>5.3327012062072754</v>
      </c>
    </row>
    <row r="3613" spans="1:6" hidden="1" x14ac:dyDescent="0.3">
      <c r="A3613" s="6">
        <v>26</v>
      </c>
      <c r="B3613" s="6" t="s">
        <v>133</v>
      </c>
      <c r="C3613" s="6" t="s">
        <v>467</v>
      </c>
      <c r="D3613" s="6" t="s">
        <v>134</v>
      </c>
      <c r="E3613" s="11">
        <v>5.3657622337341309</v>
      </c>
      <c r="F3613" s="11">
        <v>5.3327012062072754</v>
      </c>
    </row>
    <row r="3614" spans="1:6" hidden="1" x14ac:dyDescent="0.3">
      <c r="A3614" s="6">
        <v>26</v>
      </c>
      <c r="B3614" s="6" t="s">
        <v>133</v>
      </c>
      <c r="C3614" s="6" t="s">
        <v>468</v>
      </c>
      <c r="D3614" s="6" t="s">
        <v>134</v>
      </c>
      <c r="E3614" s="11">
        <v>10.307659149169922</v>
      </c>
      <c r="F3614" s="11">
        <v>5.3327012062072754</v>
      </c>
    </row>
    <row r="3615" spans="1:6" hidden="1" x14ac:dyDescent="0.3">
      <c r="A3615" s="6">
        <v>26</v>
      </c>
      <c r="B3615" s="6" t="s">
        <v>133</v>
      </c>
      <c r="C3615" s="6" t="s">
        <v>469</v>
      </c>
      <c r="D3615" s="6" t="s">
        <v>134</v>
      </c>
      <c r="E3615" s="11">
        <v>3.7388882637023926</v>
      </c>
      <c r="F3615" s="11">
        <v>5.3327012062072754</v>
      </c>
    </row>
    <row r="3616" spans="1:6" hidden="1" x14ac:dyDescent="0.3">
      <c r="A3616" s="6">
        <v>26</v>
      </c>
      <c r="B3616" s="6" t="s">
        <v>133</v>
      </c>
      <c r="C3616" s="6" t="s">
        <v>470</v>
      </c>
      <c r="D3616" s="6" t="s">
        <v>134</v>
      </c>
      <c r="E3616" s="11">
        <v>5.0450277328491211</v>
      </c>
      <c r="F3616" s="11">
        <v>5.3327012062072754</v>
      </c>
    </row>
    <row r="3617" spans="1:6" hidden="1" x14ac:dyDescent="0.3">
      <c r="A3617" s="6">
        <v>26</v>
      </c>
      <c r="B3617" s="6" t="s">
        <v>133</v>
      </c>
      <c r="C3617" s="6" t="s">
        <v>471</v>
      </c>
      <c r="D3617" s="6" t="s">
        <v>134</v>
      </c>
      <c r="E3617" s="11">
        <v>4.5833210945129395</v>
      </c>
      <c r="F3617" s="11">
        <v>5.3327012062072754</v>
      </c>
    </row>
    <row r="3618" spans="1:6" hidden="1" x14ac:dyDescent="0.3">
      <c r="A3618" s="6">
        <v>26</v>
      </c>
      <c r="B3618" s="6" t="s">
        <v>133</v>
      </c>
      <c r="C3618" s="6" t="s">
        <v>472</v>
      </c>
      <c r="D3618" s="6" t="s">
        <v>134</v>
      </c>
      <c r="E3618" s="11">
        <v>5.647000789642334</v>
      </c>
      <c r="F3618" s="11">
        <v>5.3327012062072754</v>
      </c>
    </row>
    <row r="3619" spans="1:6" hidden="1" x14ac:dyDescent="0.3">
      <c r="A3619" s="6">
        <v>26</v>
      </c>
      <c r="B3619" s="6" t="s">
        <v>133</v>
      </c>
      <c r="C3619" s="6" t="s">
        <v>473</v>
      </c>
      <c r="D3619" s="6" t="s">
        <v>134</v>
      </c>
      <c r="E3619" s="11">
        <v>5.9072670936584473</v>
      </c>
      <c r="F3619" s="11">
        <v>5.3327012062072754</v>
      </c>
    </row>
    <row r="3620" spans="1:6" hidden="1" x14ac:dyDescent="0.3">
      <c r="A3620" s="6">
        <v>26</v>
      </c>
      <c r="B3620" s="6" t="s">
        <v>133</v>
      </c>
      <c r="C3620" s="6" t="s">
        <v>474</v>
      </c>
      <c r="D3620" s="6" t="s">
        <v>134</v>
      </c>
      <c r="E3620" s="11">
        <v>9.1410140991210938</v>
      </c>
      <c r="F3620" s="11">
        <v>5.3327012062072754</v>
      </c>
    </row>
    <row r="3621" spans="1:6" hidden="1" x14ac:dyDescent="0.3">
      <c r="A3621" s="6">
        <v>26</v>
      </c>
      <c r="B3621" s="6" t="s">
        <v>133</v>
      </c>
      <c r="C3621" s="6" t="s">
        <v>475</v>
      </c>
      <c r="D3621" s="6" t="s">
        <v>134</v>
      </c>
      <c r="E3621" s="11">
        <v>4.2186217308044434</v>
      </c>
      <c r="F3621" s="11">
        <v>5.3327012062072754</v>
      </c>
    </row>
    <row r="3622" spans="1:6" hidden="1" x14ac:dyDescent="0.3">
      <c r="A3622" s="6">
        <v>26</v>
      </c>
      <c r="B3622" s="6" t="s">
        <v>133</v>
      </c>
      <c r="C3622" s="6" t="s">
        <v>476</v>
      </c>
      <c r="D3622" s="6" t="s">
        <v>134</v>
      </c>
      <c r="E3622" s="11">
        <v>3.5712935924530029</v>
      </c>
      <c r="F3622" s="11">
        <v>5.3327012062072754</v>
      </c>
    </row>
    <row r="3623" spans="1:6" hidden="1" x14ac:dyDescent="0.3">
      <c r="A3623" s="6">
        <v>26</v>
      </c>
      <c r="B3623" s="6" t="s">
        <v>133</v>
      </c>
      <c r="C3623" s="6" t="s">
        <v>477</v>
      </c>
      <c r="D3623" s="6" t="s">
        <v>134</v>
      </c>
      <c r="E3623" s="11">
        <v>6.5006265640258789</v>
      </c>
      <c r="F3623" s="11">
        <v>5.3327012062072754</v>
      </c>
    </row>
    <row r="3624" spans="1:6" hidden="1" x14ac:dyDescent="0.3">
      <c r="A3624" s="6">
        <v>26</v>
      </c>
      <c r="B3624" s="6" t="s">
        <v>133</v>
      </c>
      <c r="C3624" s="6" t="s">
        <v>478</v>
      </c>
      <c r="D3624" s="6" t="s">
        <v>134</v>
      </c>
      <c r="E3624" s="11">
        <v>5.485785961151123</v>
      </c>
      <c r="F3624" s="11">
        <v>5.3327012062072754</v>
      </c>
    </row>
    <row r="3625" spans="1:6" hidden="1" x14ac:dyDescent="0.3">
      <c r="A3625" s="6">
        <v>26</v>
      </c>
      <c r="B3625" s="6" t="s">
        <v>133</v>
      </c>
      <c r="C3625" s="6" t="s">
        <v>479</v>
      </c>
      <c r="D3625" s="6" t="s">
        <v>134</v>
      </c>
      <c r="E3625" s="11">
        <v>10.965030670166016</v>
      </c>
      <c r="F3625" s="11">
        <v>5.3327012062072754</v>
      </c>
    </row>
    <row r="3626" spans="1:6" hidden="1" x14ac:dyDescent="0.3">
      <c r="A3626" s="6">
        <v>26</v>
      </c>
      <c r="B3626" s="6" t="s">
        <v>133</v>
      </c>
      <c r="C3626" s="6" t="s">
        <v>480</v>
      </c>
      <c r="D3626" s="6" t="s">
        <v>134</v>
      </c>
      <c r="E3626" s="11">
        <v>6.051842212677002</v>
      </c>
      <c r="F3626" s="11">
        <v>5.3327012062072754</v>
      </c>
    </row>
    <row r="3627" spans="1:6" hidden="1" x14ac:dyDescent="0.3">
      <c r="A3627" s="6">
        <v>26</v>
      </c>
      <c r="B3627" s="6" t="s">
        <v>133</v>
      </c>
      <c r="C3627" s="6" t="s">
        <v>481</v>
      </c>
      <c r="D3627" s="6" t="s">
        <v>134</v>
      </c>
      <c r="E3627" s="11">
        <v>5.1252508163452148</v>
      </c>
      <c r="F3627" s="11">
        <v>5.3327012062072754</v>
      </c>
    </row>
    <row r="3628" spans="1:6" hidden="1" x14ac:dyDescent="0.3">
      <c r="A3628" s="6">
        <v>26</v>
      </c>
      <c r="B3628" s="6" t="s">
        <v>133</v>
      </c>
      <c r="C3628" s="6" t="s">
        <v>482</v>
      </c>
      <c r="D3628" s="6" t="s">
        <v>134</v>
      </c>
      <c r="E3628" s="11">
        <v>4.4729375839233398</v>
      </c>
      <c r="F3628" s="11">
        <v>5.3327012062072754</v>
      </c>
    </row>
    <row r="3629" spans="1:6" hidden="1" x14ac:dyDescent="0.3">
      <c r="A3629" s="6">
        <v>26</v>
      </c>
      <c r="B3629" s="6" t="s">
        <v>133</v>
      </c>
      <c r="C3629" s="6" t="s">
        <v>483</v>
      </c>
      <c r="D3629" s="6" t="s">
        <v>134</v>
      </c>
      <c r="E3629" s="11">
        <v>4.4023528099060059</v>
      </c>
      <c r="F3629" s="11">
        <v>5.3327012062072754</v>
      </c>
    </row>
    <row r="3630" spans="1:6" hidden="1" x14ac:dyDescent="0.3">
      <c r="A3630" s="6">
        <v>26</v>
      </c>
      <c r="B3630" s="6" t="s">
        <v>133</v>
      </c>
      <c r="C3630" s="6" t="s">
        <v>484</v>
      </c>
      <c r="D3630" s="6" t="s">
        <v>134</v>
      </c>
      <c r="E3630" s="11">
        <v>5.7178263664245605</v>
      </c>
      <c r="F3630" s="11">
        <v>5.3327012062072754</v>
      </c>
    </row>
    <row r="3631" spans="1:6" hidden="1" x14ac:dyDescent="0.3">
      <c r="A3631" s="6">
        <v>26</v>
      </c>
      <c r="B3631" s="6" t="s">
        <v>133</v>
      </c>
      <c r="C3631" s="6" t="s">
        <v>485</v>
      </c>
      <c r="D3631" s="6" t="s">
        <v>134</v>
      </c>
      <c r="E3631" s="11">
        <v>6.0521440505981445</v>
      </c>
      <c r="F3631" s="11">
        <v>5.3327012062072754</v>
      </c>
    </row>
    <row r="3632" spans="1:6" hidden="1" x14ac:dyDescent="0.3">
      <c r="A3632" s="6">
        <v>26</v>
      </c>
      <c r="B3632" s="6" t="s">
        <v>133</v>
      </c>
      <c r="C3632" s="6" t="s">
        <v>486</v>
      </c>
      <c r="D3632" s="6" t="s">
        <v>134</v>
      </c>
      <c r="E3632" s="11">
        <v>5.2564373016357422</v>
      </c>
      <c r="F3632" s="11">
        <v>5.3327012062072754</v>
      </c>
    </row>
    <row r="3633" spans="1:6" hidden="1" x14ac:dyDescent="0.3">
      <c r="A3633" s="6">
        <v>26</v>
      </c>
      <c r="B3633" s="6" t="s">
        <v>133</v>
      </c>
      <c r="C3633" s="6" t="s">
        <v>487</v>
      </c>
      <c r="D3633" s="6" t="s">
        <v>134</v>
      </c>
      <c r="E3633" s="11">
        <v>4.4802122116088867</v>
      </c>
      <c r="F3633" s="11">
        <v>5.3327012062072754</v>
      </c>
    </row>
    <row r="3634" spans="1:6" hidden="1" x14ac:dyDescent="0.3">
      <c r="A3634" s="6">
        <v>26</v>
      </c>
      <c r="B3634" s="6" t="s">
        <v>133</v>
      </c>
      <c r="C3634" s="6" t="s">
        <v>488</v>
      </c>
      <c r="D3634" s="6" t="s">
        <v>134</v>
      </c>
      <c r="E3634" s="11">
        <v>4.6647839546203613</v>
      </c>
      <c r="F3634" s="11">
        <v>5.3327012062072754</v>
      </c>
    </row>
    <row r="3635" spans="1:6" hidden="1" x14ac:dyDescent="0.3">
      <c r="A3635" s="6">
        <v>26</v>
      </c>
      <c r="B3635" s="6" t="s">
        <v>133</v>
      </c>
      <c r="C3635" s="6" t="s">
        <v>489</v>
      </c>
      <c r="D3635" s="6" t="s">
        <v>134</v>
      </c>
      <c r="E3635" s="11">
        <v>6.2102694511413574</v>
      </c>
      <c r="F3635" s="11">
        <v>5.3327012062072754</v>
      </c>
    </row>
    <row r="3636" spans="1:6" hidden="1" x14ac:dyDescent="0.3">
      <c r="A3636" s="6">
        <v>26</v>
      </c>
      <c r="B3636" s="6" t="s">
        <v>133</v>
      </c>
      <c r="C3636" s="6" t="s">
        <v>490</v>
      </c>
      <c r="D3636" s="6" t="s">
        <v>134</v>
      </c>
      <c r="E3636" s="11">
        <v>5.1263332366943359</v>
      </c>
      <c r="F3636" s="11">
        <v>5.3327012062072754</v>
      </c>
    </row>
    <row r="3637" spans="1:6" hidden="1" x14ac:dyDescent="0.3">
      <c r="A3637" s="6">
        <v>26</v>
      </c>
      <c r="B3637" s="6" t="s">
        <v>133</v>
      </c>
      <c r="C3637" s="6" t="s">
        <v>491</v>
      </c>
      <c r="D3637" s="6" t="s">
        <v>134</v>
      </c>
      <c r="E3637" s="11">
        <v>3.1441366672515869</v>
      </c>
      <c r="F3637" s="11">
        <v>5.3327012062072754</v>
      </c>
    </row>
    <row r="3638" spans="1:6" hidden="1" x14ac:dyDescent="0.3">
      <c r="A3638" s="6">
        <v>26</v>
      </c>
      <c r="B3638" s="6" t="s">
        <v>133</v>
      </c>
      <c r="C3638" s="6" t="s">
        <v>492</v>
      </c>
      <c r="D3638" s="6" t="s">
        <v>134</v>
      </c>
      <c r="E3638" s="11">
        <v>4.6626091003417969</v>
      </c>
      <c r="F3638" s="11">
        <v>5.3327012062072754</v>
      </c>
    </row>
    <row r="3639" spans="1:6" hidden="1" x14ac:dyDescent="0.3">
      <c r="A3639" s="6">
        <v>26</v>
      </c>
      <c r="B3639" s="6" t="s">
        <v>133</v>
      </c>
      <c r="C3639" s="6" t="s">
        <v>493</v>
      </c>
      <c r="D3639" s="6" t="s">
        <v>134</v>
      </c>
      <c r="E3639" s="11">
        <v>5.8960585594177246</v>
      </c>
      <c r="F3639" s="11">
        <v>5.3327012062072754</v>
      </c>
    </row>
    <row r="3640" spans="1:6" hidden="1" x14ac:dyDescent="0.3">
      <c r="A3640" s="6">
        <v>26</v>
      </c>
      <c r="B3640" s="6" t="s">
        <v>133</v>
      </c>
      <c r="C3640" s="6" t="s">
        <v>494</v>
      </c>
      <c r="D3640" s="6" t="s">
        <v>134</v>
      </c>
      <c r="E3640" s="11">
        <v>5.4590697288513184</v>
      </c>
      <c r="F3640" s="11">
        <v>5.3327012062072754</v>
      </c>
    </row>
    <row r="3641" spans="1:6" hidden="1" x14ac:dyDescent="0.3">
      <c r="A3641" s="6">
        <v>26</v>
      </c>
      <c r="B3641" s="6" t="s">
        <v>133</v>
      </c>
      <c r="C3641" s="6" t="s">
        <v>495</v>
      </c>
      <c r="D3641" s="6" t="s">
        <v>134</v>
      </c>
      <c r="E3641" s="11">
        <v>3.2459120750427246</v>
      </c>
      <c r="F3641" s="11">
        <v>5.3327012062072754</v>
      </c>
    </row>
    <row r="3642" spans="1:6" hidden="1" x14ac:dyDescent="0.3">
      <c r="A3642" s="6">
        <v>27</v>
      </c>
      <c r="B3642" s="6" t="s">
        <v>135</v>
      </c>
      <c r="C3642" s="6" t="s">
        <v>356</v>
      </c>
      <c r="D3642" s="6" t="s">
        <v>136</v>
      </c>
      <c r="E3642" s="11">
        <v>5.7741971015930176</v>
      </c>
      <c r="F3642" s="11">
        <v>7.147453784942627</v>
      </c>
    </row>
    <row r="3643" spans="1:6" hidden="1" x14ac:dyDescent="0.3">
      <c r="A3643" s="6">
        <v>27</v>
      </c>
      <c r="B3643" s="6" t="s">
        <v>135</v>
      </c>
      <c r="C3643" s="6" t="s">
        <v>357</v>
      </c>
      <c r="D3643" s="6" t="s">
        <v>136</v>
      </c>
      <c r="E3643" s="11">
        <v>3.3986475467681885</v>
      </c>
      <c r="F3643" s="11">
        <v>7.147453784942627</v>
      </c>
    </row>
    <row r="3644" spans="1:6" hidden="1" x14ac:dyDescent="0.3">
      <c r="A3644" s="6">
        <v>27</v>
      </c>
      <c r="B3644" s="6" t="s">
        <v>135</v>
      </c>
      <c r="C3644" s="6" t="s">
        <v>358</v>
      </c>
      <c r="D3644" s="6" t="s">
        <v>136</v>
      </c>
      <c r="E3644" s="11">
        <v>7.4270167350769043</v>
      </c>
      <c r="F3644" s="11">
        <v>7.147453784942627</v>
      </c>
    </row>
    <row r="3645" spans="1:6" hidden="1" x14ac:dyDescent="0.3">
      <c r="A3645" s="6">
        <v>27</v>
      </c>
      <c r="B3645" s="6" t="s">
        <v>135</v>
      </c>
      <c r="C3645" s="6" t="s">
        <v>359</v>
      </c>
      <c r="D3645" s="6" t="s">
        <v>136</v>
      </c>
      <c r="E3645" s="11">
        <v>13.221269607543945</v>
      </c>
      <c r="F3645" s="11">
        <v>7.147453784942627</v>
      </c>
    </row>
    <row r="3646" spans="1:6" hidden="1" x14ac:dyDescent="0.3">
      <c r="A3646" s="6">
        <v>27</v>
      </c>
      <c r="B3646" s="6" t="s">
        <v>135</v>
      </c>
      <c r="C3646" s="6" t="s">
        <v>360</v>
      </c>
      <c r="D3646" s="6" t="s">
        <v>136</v>
      </c>
      <c r="E3646" s="11">
        <v>4.2571024894714355</v>
      </c>
      <c r="F3646" s="11">
        <v>7.147453784942627</v>
      </c>
    </row>
    <row r="3647" spans="1:6" hidden="1" x14ac:dyDescent="0.3">
      <c r="A3647" s="6">
        <v>27</v>
      </c>
      <c r="B3647" s="6" t="s">
        <v>135</v>
      </c>
      <c r="C3647" s="6" t="s">
        <v>361</v>
      </c>
      <c r="D3647" s="6" t="s">
        <v>136</v>
      </c>
      <c r="E3647" s="11">
        <v>6.1533746719360352</v>
      </c>
      <c r="F3647" s="11">
        <v>7.147453784942627</v>
      </c>
    </row>
    <row r="3648" spans="1:6" hidden="1" x14ac:dyDescent="0.3">
      <c r="A3648" s="6">
        <v>27</v>
      </c>
      <c r="B3648" s="6" t="s">
        <v>135</v>
      </c>
      <c r="C3648" s="6" t="s">
        <v>362</v>
      </c>
      <c r="D3648" s="6" t="s">
        <v>136</v>
      </c>
      <c r="E3648" s="11">
        <v>7.9011878967285156</v>
      </c>
      <c r="F3648" s="11">
        <v>7.147453784942627</v>
      </c>
    </row>
    <row r="3649" spans="1:6" hidden="1" x14ac:dyDescent="0.3">
      <c r="A3649" s="6">
        <v>27</v>
      </c>
      <c r="B3649" s="6" t="s">
        <v>135</v>
      </c>
      <c r="C3649" s="6" t="s">
        <v>363</v>
      </c>
      <c r="D3649" s="6" t="s">
        <v>136</v>
      </c>
      <c r="E3649" s="11">
        <v>8.8642740249633789</v>
      </c>
      <c r="F3649" s="11">
        <v>7.147453784942627</v>
      </c>
    </row>
    <row r="3650" spans="1:6" hidden="1" x14ac:dyDescent="0.3">
      <c r="A3650" s="6">
        <v>27</v>
      </c>
      <c r="B3650" s="6" t="s">
        <v>135</v>
      </c>
      <c r="C3650" s="6" t="s">
        <v>364</v>
      </c>
      <c r="D3650" s="6" t="s">
        <v>136</v>
      </c>
      <c r="E3650" s="11">
        <v>27.99256706237793</v>
      </c>
      <c r="F3650" s="11">
        <v>7.147453784942627</v>
      </c>
    </row>
    <row r="3651" spans="1:6" hidden="1" x14ac:dyDescent="0.3">
      <c r="A3651" s="6">
        <v>27</v>
      </c>
      <c r="B3651" s="6" t="s">
        <v>135</v>
      </c>
      <c r="C3651" s="6" t="s">
        <v>365</v>
      </c>
      <c r="D3651" s="6" t="s">
        <v>136</v>
      </c>
      <c r="E3651" s="11">
        <v>3.9317471981048584</v>
      </c>
      <c r="F3651" s="11">
        <v>7.147453784942627</v>
      </c>
    </row>
    <row r="3652" spans="1:6" hidden="1" x14ac:dyDescent="0.3">
      <c r="A3652" s="6">
        <v>27</v>
      </c>
      <c r="B3652" s="6" t="s">
        <v>135</v>
      </c>
      <c r="C3652" s="6" t="s">
        <v>366</v>
      </c>
      <c r="D3652" s="6" t="s">
        <v>136</v>
      </c>
      <c r="E3652" s="11">
        <v>6.6116962432861328</v>
      </c>
      <c r="F3652" s="11">
        <v>7.147453784942627</v>
      </c>
    </row>
    <row r="3653" spans="1:6" hidden="1" x14ac:dyDescent="0.3">
      <c r="A3653" s="6">
        <v>27</v>
      </c>
      <c r="B3653" s="6" t="s">
        <v>135</v>
      </c>
      <c r="C3653" s="6" t="s">
        <v>367</v>
      </c>
      <c r="D3653" s="6" t="s">
        <v>136</v>
      </c>
      <c r="E3653" s="11">
        <v>7.9262948036193848</v>
      </c>
      <c r="F3653" s="11">
        <v>7.147453784942627</v>
      </c>
    </row>
    <row r="3654" spans="1:6" hidden="1" x14ac:dyDescent="0.3">
      <c r="A3654" s="6">
        <v>27</v>
      </c>
      <c r="B3654" s="6" t="s">
        <v>135</v>
      </c>
      <c r="C3654" s="6" t="s">
        <v>368</v>
      </c>
      <c r="D3654" s="6" t="s">
        <v>136</v>
      </c>
      <c r="E3654" s="11">
        <v>3.3412601947784424</v>
      </c>
      <c r="F3654" s="11">
        <v>7.147453784942627</v>
      </c>
    </row>
    <row r="3655" spans="1:6" hidden="1" x14ac:dyDescent="0.3">
      <c r="A3655" s="6">
        <v>27</v>
      </c>
      <c r="B3655" s="6" t="s">
        <v>135</v>
      </c>
      <c r="C3655" s="6" t="s">
        <v>369</v>
      </c>
      <c r="D3655" s="6" t="s">
        <v>136</v>
      </c>
      <c r="E3655" s="11">
        <v>7.9765844345092773</v>
      </c>
      <c r="F3655" s="11">
        <v>7.147453784942627</v>
      </c>
    </row>
    <row r="3656" spans="1:6" hidden="1" x14ac:dyDescent="0.3">
      <c r="A3656" s="6">
        <v>27</v>
      </c>
      <c r="B3656" s="6" t="s">
        <v>135</v>
      </c>
      <c r="C3656" s="6" t="s">
        <v>370</v>
      </c>
      <c r="D3656" s="6" t="s">
        <v>136</v>
      </c>
      <c r="E3656" s="11">
        <v>5.8635497093200684</v>
      </c>
      <c r="F3656" s="11">
        <v>7.147453784942627</v>
      </c>
    </row>
    <row r="3657" spans="1:6" hidden="1" x14ac:dyDescent="0.3">
      <c r="A3657" s="6">
        <v>27</v>
      </c>
      <c r="B3657" s="6" t="s">
        <v>135</v>
      </c>
      <c r="C3657" s="6" t="s">
        <v>371</v>
      </c>
      <c r="D3657" s="6" t="s">
        <v>136</v>
      </c>
      <c r="E3657" s="11">
        <v>5.0889892578125</v>
      </c>
      <c r="F3657" s="11">
        <v>7.147453784942627</v>
      </c>
    </row>
    <row r="3658" spans="1:6" hidden="1" x14ac:dyDescent="0.3">
      <c r="A3658" s="6">
        <v>27</v>
      </c>
      <c r="B3658" s="6" t="s">
        <v>135</v>
      </c>
      <c r="C3658" s="6" t="s">
        <v>372</v>
      </c>
      <c r="D3658" s="6" t="s">
        <v>136</v>
      </c>
      <c r="E3658" s="11">
        <v>8.9613256454467773</v>
      </c>
      <c r="F3658" s="11">
        <v>7.147453784942627</v>
      </c>
    </row>
    <row r="3659" spans="1:6" hidden="1" x14ac:dyDescent="0.3">
      <c r="A3659" s="6">
        <v>27</v>
      </c>
      <c r="B3659" s="6" t="s">
        <v>135</v>
      </c>
      <c r="C3659" s="6" t="s">
        <v>373</v>
      </c>
      <c r="D3659" s="6" t="s">
        <v>136</v>
      </c>
      <c r="E3659" s="11">
        <v>8.5433664321899414</v>
      </c>
      <c r="F3659" s="11">
        <v>7.147453784942627</v>
      </c>
    </row>
    <row r="3660" spans="1:6" hidden="1" x14ac:dyDescent="0.3">
      <c r="A3660" s="6">
        <v>27</v>
      </c>
      <c r="B3660" s="6" t="s">
        <v>135</v>
      </c>
      <c r="C3660" s="6" t="s">
        <v>374</v>
      </c>
      <c r="D3660" s="6" t="s">
        <v>136</v>
      </c>
      <c r="E3660" s="11">
        <v>5.2995734214782715</v>
      </c>
      <c r="F3660" s="11">
        <v>7.147453784942627</v>
      </c>
    </row>
    <row r="3661" spans="1:6" hidden="1" x14ac:dyDescent="0.3">
      <c r="A3661" s="6">
        <v>27</v>
      </c>
      <c r="B3661" s="6" t="s">
        <v>135</v>
      </c>
      <c r="C3661" s="6" t="s">
        <v>375</v>
      </c>
      <c r="D3661" s="6" t="s">
        <v>136</v>
      </c>
      <c r="E3661" s="11">
        <v>5.8844714164733887</v>
      </c>
      <c r="F3661" s="11">
        <v>7.147453784942627</v>
      </c>
    </row>
    <row r="3662" spans="1:6" hidden="1" x14ac:dyDescent="0.3">
      <c r="A3662" s="6">
        <v>27</v>
      </c>
      <c r="B3662" s="6" t="s">
        <v>135</v>
      </c>
      <c r="C3662" s="6" t="s">
        <v>376</v>
      </c>
      <c r="D3662" s="6" t="s">
        <v>136</v>
      </c>
      <c r="E3662" s="11">
        <v>6.2825422286987305</v>
      </c>
      <c r="F3662" s="11">
        <v>7.147453784942627</v>
      </c>
    </row>
    <row r="3663" spans="1:6" hidden="1" x14ac:dyDescent="0.3">
      <c r="A3663" s="6">
        <v>27</v>
      </c>
      <c r="B3663" s="6" t="s">
        <v>135</v>
      </c>
      <c r="C3663" s="6" t="s">
        <v>377</v>
      </c>
      <c r="D3663" s="6" t="s">
        <v>136</v>
      </c>
      <c r="E3663" s="11">
        <v>8.965153694152832</v>
      </c>
      <c r="F3663" s="11">
        <v>7.147453784942627</v>
      </c>
    </row>
    <row r="3664" spans="1:6" hidden="1" x14ac:dyDescent="0.3">
      <c r="A3664" s="6">
        <v>27</v>
      </c>
      <c r="B3664" s="6" t="s">
        <v>135</v>
      </c>
      <c r="C3664" s="6" t="s">
        <v>378</v>
      </c>
      <c r="D3664" s="6" t="s">
        <v>136</v>
      </c>
      <c r="E3664" s="11">
        <v>6.39190673828125</v>
      </c>
      <c r="F3664" s="11">
        <v>7.147453784942627</v>
      </c>
    </row>
    <row r="3665" spans="1:6" hidden="1" x14ac:dyDescent="0.3">
      <c r="A3665" s="6">
        <v>27</v>
      </c>
      <c r="B3665" s="6" t="s">
        <v>135</v>
      </c>
      <c r="C3665" s="6" t="s">
        <v>379</v>
      </c>
      <c r="D3665" s="6" t="s">
        <v>136</v>
      </c>
      <c r="E3665" s="11">
        <v>9.2352437973022461</v>
      </c>
      <c r="F3665" s="11">
        <v>7.147453784942627</v>
      </c>
    </row>
    <row r="3666" spans="1:6" hidden="1" x14ac:dyDescent="0.3">
      <c r="A3666" s="6">
        <v>27</v>
      </c>
      <c r="B3666" s="6" t="s">
        <v>135</v>
      </c>
      <c r="C3666" s="6" t="s">
        <v>380</v>
      </c>
      <c r="D3666" s="6" t="s">
        <v>136</v>
      </c>
      <c r="E3666" s="11">
        <v>5.1422572135925293</v>
      </c>
      <c r="F3666" s="11">
        <v>7.147453784942627</v>
      </c>
    </row>
    <row r="3667" spans="1:6" hidden="1" x14ac:dyDescent="0.3">
      <c r="A3667" s="6">
        <v>27</v>
      </c>
      <c r="B3667" s="6" t="s">
        <v>135</v>
      </c>
      <c r="C3667" s="6" t="s">
        <v>381</v>
      </c>
      <c r="D3667" s="6" t="s">
        <v>136</v>
      </c>
      <c r="E3667" s="11">
        <v>7.8415641784667969</v>
      </c>
      <c r="F3667" s="11">
        <v>7.147453784942627</v>
      </c>
    </row>
    <row r="3668" spans="1:6" hidden="1" x14ac:dyDescent="0.3">
      <c r="A3668" s="6">
        <v>27</v>
      </c>
      <c r="B3668" s="6" t="s">
        <v>135</v>
      </c>
      <c r="C3668" s="6" t="s">
        <v>382</v>
      </c>
      <c r="D3668" s="6" t="s">
        <v>136</v>
      </c>
      <c r="E3668" s="11">
        <v>4.7820682525634766</v>
      </c>
      <c r="F3668" s="11">
        <v>7.147453784942627</v>
      </c>
    </row>
    <row r="3669" spans="1:6" hidden="1" x14ac:dyDescent="0.3">
      <c r="A3669" s="6">
        <v>27</v>
      </c>
      <c r="B3669" s="6" t="s">
        <v>135</v>
      </c>
      <c r="C3669" s="6" t="s">
        <v>383</v>
      </c>
      <c r="D3669" s="6" t="s">
        <v>136</v>
      </c>
      <c r="E3669" s="11">
        <v>7.3178806304931641</v>
      </c>
      <c r="F3669" s="11">
        <v>7.147453784942627</v>
      </c>
    </row>
    <row r="3670" spans="1:6" hidden="1" x14ac:dyDescent="0.3">
      <c r="A3670" s="6">
        <v>27</v>
      </c>
      <c r="B3670" s="6" t="s">
        <v>135</v>
      </c>
      <c r="C3670" s="6" t="s">
        <v>384</v>
      </c>
      <c r="D3670" s="6" t="s">
        <v>136</v>
      </c>
      <c r="E3670" s="11">
        <v>6.9515571594238281</v>
      </c>
      <c r="F3670" s="11">
        <v>7.147453784942627</v>
      </c>
    </row>
    <row r="3671" spans="1:6" hidden="1" x14ac:dyDescent="0.3">
      <c r="A3671" s="6">
        <v>27</v>
      </c>
      <c r="B3671" s="6" t="s">
        <v>135</v>
      </c>
      <c r="C3671" s="6" t="s">
        <v>385</v>
      </c>
      <c r="D3671" s="6" t="s">
        <v>136</v>
      </c>
      <c r="E3671" s="11">
        <v>6.1156005859375</v>
      </c>
      <c r="F3671" s="11">
        <v>7.147453784942627</v>
      </c>
    </row>
    <row r="3672" spans="1:6" hidden="1" x14ac:dyDescent="0.3">
      <c r="A3672" s="6">
        <v>27</v>
      </c>
      <c r="B3672" s="6" t="s">
        <v>135</v>
      </c>
      <c r="C3672" s="6" t="s">
        <v>386</v>
      </c>
      <c r="D3672" s="6" t="s">
        <v>136</v>
      </c>
      <c r="E3672" s="11">
        <v>5.3295102119445801</v>
      </c>
      <c r="F3672" s="11">
        <v>7.147453784942627</v>
      </c>
    </row>
    <row r="3673" spans="1:6" hidden="1" x14ac:dyDescent="0.3">
      <c r="A3673" s="6">
        <v>27</v>
      </c>
      <c r="B3673" s="6" t="s">
        <v>135</v>
      </c>
      <c r="C3673" s="6" t="s">
        <v>387</v>
      </c>
      <c r="D3673" s="6" t="s">
        <v>136</v>
      </c>
      <c r="E3673" s="11">
        <v>5.115048885345459</v>
      </c>
      <c r="F3673" s="11">
        <v>7.147453784942627</v>
      </c>
    </row>
    <row r="3674" spans="1:6" hidden="1" x14ac:dyDescent="0.3">
      <c r="A3674" s="6">
        <v>27</v>
      </c>
      <c r="B3674" s="6" t="s">
        <v>135</v>
      </c>
      <c r="C3674" s="6" t="s">
        <v>388</v>
      </c>
      <c r="D3674" s="6" t="s">
        <v>136</v>
      </c>
      <c r="E3674" s="11">
        <v>4.7275390625</v>
      </c>
      <c r="F3674" s="11">
        <v>7.147453784942627</v>
      </c>
    </row>
    <row r="3675" spans="1:6" hidden="1" x14ac:dyDescent="0.3">
      <c r="A3675" s="6">
        <v>27</v>
      </c>
      <c r="B3675" s="6" t="s">
        <v>135</v>
      </c>
      <c r="C3675" s="6" t="s">
        <v>389</v>
      </c>
      <c r="D3675" s="6" t="s">
        <v>136</v>
      </c>
      <c r="E3675" s="11">
        <v>6.7799849510192871</v>
      </c>
      <c r="F3675" s="11">
        <v>7.147453784942627</v>
      </c>
    </row>
    <row r="3676" spans="1:6" hidden="1" x14ac:dyDescent="0.3">
      <c r="A3676" s="6">
        <v>27</v>
      </c>
      <c r="B3676" s="6" t="s">
        <v>135</v>
      </c>
      <c r="C3676" s="6" t="s">
        <v>390</v>
      </c>
      <c r="D3676" s="6" t="s">
        <v>136</v>
      </c>
      <c r="E3676" s="11">
        <v>7.8355522155761719</v>
      </c>
      <c r="F3676" s="11">
        <v>7.147453784942627</v>
      </c>
    </row>
    <row r="3677" spans="1:6" hidden="1" x14ac:dyDescent="0.3">
      <c r="A3677" s="6">
        <v>27</v>
      </c>
      <c r="B3677" s="6" t="s">
        <v>135</v>
      </c>
      <c r="C3677" s="6" t="s">
        <v>391</v>
      </c>
      <c r="D3677" s="6" t="s">
        <v>136</v>
      </c>
      <c r="E3677" s="11">
        <v>10.375771522521973</v>
      </c>
      <c r="F3677" s="11">
        <v>7.147453784942627</v>
      </c>
    </row>
    <row r="3678" spans="1:6" hidden="1" x14ac:dyDescent="0.3">
      <c r="A3678" s="6">
        <v>27</v>
      </c>
      <c r="B3678" s="6" t="s">
        <v>135</v>
      </c>
      <c r="C3678" s="6" t="s">
        <v>392</v>
      </c>
      <c r="D3678" s="6" t="s">
        <v>136</v>
      </c>
      <c r="E3678" s="11">
        <v>5.5555672645568848</v>
      </c>
      <c r="F3678" s="11">
        <v>7.147453784942627</v>
      </c>
    </row>
    <row r="3679" spans="1:6" hidden="1" x14ac:dyDescent="0.3">
      <c r="A3679" s="6">
        <v>27</v>
      </c>
      <c r="B3679" s="6" t="s">
        <v>135</v>
      </c>
      <c r="C3679" s="6" t="s">
        <v>393</v>
      </c>
      <c r="D3679" s="6" t="s">
        <v>136</v>
      </c>
      <c r="E3679" s="11">
        <v>7.8171677589416504</v>
      </c>
      <c r="F3679" s="11">
        <v>7.147453784942627</v>
      </c>
    </row>
    <row r="3680" spans="1:6" hidden="1" x14ac:dyDescent="0.3">
      <c r="A3680" s="6">
        <v>27</v>
      </c>
      <c r="B3680" s="6" t="s">
        <v>135</v>
      </c>
      <c r="C3680" s="6" t="s">
        <v>394</v>
      </c>
      <c r="D3680" s="6" t="s">
        <v>136</v>
      </c>
      <c r="E3680" s="11">
        <v>5.4850878715515137</v>
      </c>
      <c r="F3680" s="11">
        <v>7.147453784942627</v>
      </c>
    </row>
    <row r="3681" spans="1:6" hidden="1" x14ac:dyDescent="0.3">
      <c r="A3681" s="6">
        <v>27</v>
      </c>
      <c r="B3681" s="6" t="s">
        <v>135</v>
      </c>
      <c r="C3681" s="6" t="s">
        <v>395</v>
      </c>
      <c r="D3681" s="6" t="s">
        <v>136</v>
      </c>
      <c r="E3681" s="11">
        <v>11.053393363952637</v>
      </c>
      <c r="F3681" s="11">
        <v>7.147453784942627</v>
      </c>
    </row>
    <row r="3682" spans="1:6" hidden="1" x14ac:dyDescent="0.3">
      <c r="A3682" s="6">
        <v>27</v>
      </c>
      <c r="B3682" s="6" t="s">
        <v>135</v>
      </c>
      <c r="C3682" s="6" t="s">
        <v>396</v>
      </c>
      <c r="D3682" s="6" t="s">
        <v>136</v>
      </c>
      <c r="E3682" s="11">
        <v>5.2916383743286133</v>
      </c>
      <c r="F3682" s="11">
        <v>7.147453784942627</v>
      </c>
    </row>
    <row r="3683" spans="1:6" hidden="1" x14ac:dyDescent="0.3">
      <c r="A3683" s="6">
        <v>27</v>
      </c>
      <c r="B3683" s="6" t="s">
        <v>135</v>
      </c>
      <c r="C3683" s="6" t="s">
        <v>397</v>
      </c>
      <c r="D3683" s="6" t="s">
        <v>136</v>
      </c>
      <c r="E3683" s="11">
        <v>8.2609386444091797</v>
      </c>
      <c r="F3683" s="11">
        <v>7.147453784942627</v>
      </c>
    </row>
    <row r="3684" spans="1:6" hidden="1" x14ac:dyDescent="0.3">
      <c r="A3684" s="6">
        <v>27</v>
      </c>
      <c r="B3684" s="6" t="s">
        <v>135</v>
      </c>
      <c r="C3684" s="6" t="s">
        <v>398</v>
      </c>
      <c r="D3684" s="6" t="s">
        <v>136</v>
      </c>
      <c r="E3684" s="11">
        <v>4.3498201370239258</v>
      </c>
      <c r="F3684" s="11">
        <v>7.147453784942627</v>
      </c>
    </row>
    <row r="3685" spans="1:6" hidden="1" x14ac:dyDescent="0.3">
      <c r="A3685" s="6">
        <v>27</v>
      </c>
      <c r="B3685" s="6" t="s">
        <v>135</v>
      </c>
      <c r="C3685" s="6" t="s">
        <v>399</v>
      </c>
      <c r="D3685" s="6" t="s">
        <v>136</v>
      </c>
      <c r="E3685" s="11">
        <v>8.2226343154907227</v>
      </c>
      <c r="F3685" s="11">
        <v>7.147453784942627</v>
      </c>
    </row>
    <row r="3686" spans="1:6" hidden="1" x14ac:dyDescent="0.3">
      <c r="A3686" s="6">
        <v>27</v>
      </c>
      <c r="B3686" s="6" t="s">
        <v>135</v>
      </c>
      <c r="C3686" s="6" t="s">
        <v>400</v>
      </c>
      <c r="D3686" s="6" t="s">
        <v>136</v>
      </c>
      <c r="E3686" s="11">
        <v>8.1555852890014648</v>
      </c>
      <c r="F3686" s="11">
        <v>7.147453784942627</v>
      </c>
    </row>
    <row r="3687" spans="1:6" hidden="1" x14ac:dyDescent="0.3">
      <c r="A3687" s="6">
        <v>27</v>
      </c>
      <c r="B3687" s="6" t="s">
        <v>135</v>
      </c>
      <c r="C3687" s="6" t="s">
        <v>401</v>
      </c>
      <c r="D3687" s="6" t="s">
        <v>136</v>
      </c>
      <c r="E3687" s="11">
        <v>8.2934989929199219</v>
      </c>
      <c r="F3687" s="11">
        <v>7.147453784942627</v>
      </c>
    </row>
    <row r="3688" spans="1:6" hidden="1" x14ac:dyDescent="0.3">
      <c r="A3688" s="6">
        <v>27</v>
      </c>
      <c r="B3688" s="6" t="s">
        <v>135</v>
      </c>
      <c r="C3688" s="6" t="s">
        <v>402</v>
      </c>
      <c r="D3688" s="6" t="s">
        <v>136</v>
      </c>
      <c r="E3688" s="11">
        <v>7.5184416770935059</v>
      </c>
      <c r="F3688" s="11">
        <v>7.147453784942627</v>
      </c>
    </row>
    <row r="3689" spans="1:6" hidden="1" x14ac:dyDescent="0.3">
      <c r="A3689" s="6">
        <v>27</v>
      </c>
      <c r="B3689" s="6" t="s">
        <v>135</v>
      </c>
      <c r="C3689" s="6" t="s">
        <v>403</v>
      </c>
      <c r="D3689" s="6" t="s">
        <v>136</v>
      </c>
      <c r="E3689" s="11">
        <v>7.6179556846618652</v>
      </c>
      <c r="F3689" s="11">
        <v>7.147453784942627</v>
      </c>
    </row>
    <row r="3690" spans="1:6" hidden="1" x14ac:dyDescent="0.3">
      <c r="A3690" s="6">
        <v>27</v>
      </c>
      <c r="B3690" s="6" t="s">
        <v>135</v>
      </c>
      <c r="C3690" s="6" t="s">
        <v>404</v>
      </c>
      <c r="D3690" s="6" t="s">
        <v>136</v>
      </c>
      <c r="E3690" s="11">
        <v>6.3639116287231445</v>
      </c>
      <c r="F3690" s="11">
        <v>7.147453784942627</v>
      </c>
    </row>
    <row r="3691" spans="1:6" hidden="1" x14ac:dyDescent="0.3">
      <c r="A3691" s="6">
        <v>27</v>
      </c>
      <c r="B3691" s="6" t="s">
        <v>135</v>
      </c>
      <c r="C3691" s="6" t="s">
        <v>405</v>
      </c>
      <c r="D3691" s="6" t="s">
        <v>136</v>
      </c>
      <c r="E3691" s="11">
        <v>7.5617728233337402</v>
      </c>
      <c r="F3691" s="11">
        <v>7.147453784942627</v>
      </c>
    </row>
    <row r="3692" spans="1:6" hidden="1" x14ac:dyDescent="0.3">
      <c r="A3692" s="6">
        <v>27</v>
      </c>
      <c r="B3692" s="6" t="s">
        <v>135</v>
      </c>
      <c r="C3692" s="6" t="s">
        <v>406</v>
      </c>
      <c r="D3692" s="6" t="s">
        <v>136</v>
      </c>
      <c r="E3692" s="11">
        <v>6.5815887451171875</v>
      </c>
      <c r="F3692" s="11">
        <v>7.147453784942627</v>
      </c>
    </row>
    <row r="3693" spans="1:6" hidden="1" x14ac:dyDescent="0.3">
      <c r="A3693" s="6">
        <v>27</v>
      </c>
      <c r="B3693" s="6" t="s">
        <v>135</v>
      </c>
      <c r="C3693" s="6" t="s">
        <v>407</v>
      </c>
      <c r="D3693" s="6" t="s">
        <v>136</v>
      </c>
      <c r="E3693" s="11">
        <v>9.3994312286376953</v>
      </c>
      <c r="F3693" s="11">
        <v>7.147453784942627</v>
      </c>
    </row>
    <row r="3694" spans="1:6" hidden="1" x14ac:dyDescent="0.3">
      <c r="A3694" s="6">
        <v>27</v>
      </c>
      <c r="B3694" s="6" t="s">
        <v>135</v>
      </c>
      <c r="C3694" s="6" t="s">
        <v>408</v>
      </c>
      <c r="D3694" s="6" t="s">
        <v>136</v>
      </c>
      <c r="E3694" s="11">
        <v>8.1276626586914063</v>
      </c>
      <c r="F3694" s="11">
        <v>7.147453784942627</v>
      </c>
    </row>
    <row r="3695" spans="1:6" hidden="1" x14ac:dyDescent="0.3">
      <c r="A3695" s="6">
        <v>27</v>
      </c>
      <c r="B3695" s="6" t="s">
        <v>135</v>
      </c>
      <c r="C3695" s="6" t="s">
        <v>409</v>
      </c>
      <c r="D3695" s="6" t="s">
        <v>136</v>
      </c>
      <c r="E3695" s="11">
        <v>7.4823794364929199</v>
      </c>
      <c r="F3695" s="11">
        <v>7.147453784942627</v>
      </c>
    </row>
    <row r="3696" spans="1:6" hidden="1" x14ac:dyDescent="0.3">
      <c r="A3696" s="6">
        <v>27</v>
      </c>
      <c r="B3696" s="6" t="s">
        <v>135</v>
      </c>
      <c r="C3696" s="6" t="s">
        <v>410</v>
      </c>
      <c r="D3696" s="6" t="s">
        <v>136</v>
      </c>
      <c r="E3696" s="11">
        <v>6.1452360153198242</v>
      </c>
      <c r="F3696" s="11">
        <v>7.147453784942627</v>
      </c>
    </row>
    <row r="3697" spans="1:6" hidden="1" x14ac:dyDescent="0.3">
      <c r="A3697" s="6">
        <v>27</v>
      </c>
      <c r="B3697" s="6" t="s">
        <v>135</v>
      </c>
      <c r="C3697" s="6" t="s">
        <v>411</v>
      </c>
      <c r="D3697" s="6" t="s">
        <v>136</v>
      </c>
      <c r="E3697" s="11">
        <v>5.1724672317504883</v>
      </c>
      <c r="F3697" s="11">
        <v>7.147453784942627</v>
      </c>
    </row>
    <row r="3698" spans="1:6" hidden="1" x14ac:dyDescent="0.3">
      <c r="A3698" s="6">
        <v>27</v>
      </c>
      <c r="B3698" s="6" t="s">
        <v>135</v>
      </c>
      <c r="C3698" s="6" t="s">
        <v>412</v>
      </c>
      <c r="D3698" s="6" t="s">
        <v>136</v>
      </c>
      <c r="E3698" s="11">
        <v>8.578883171081543</v>
      </c>
      <c r="F3698" s="11">
        <v>7.147453784942627</v>
      </c>
    </row>
    <row r="3699" spans="1:6" hidden="1" x14ac:dyDescent="0.3">
      <c r="A3699" s="6">
        <v>27</v>
      </c>
      <c r="B3699" s="6" t="s">
        <v>135</v>
      </c>
      <c r="C3699" s="6" t="s">
        <v>413</v>
      </c>
      <c r="D3699" s="6" t="s">
        <v>136</v>
      </c>
      <c r="E3699" s="11">
        <v>9.2928972244262695</v>
      </c>
      <c r="F3699" s="11">
        <v>7.147453784942627</v>
      </c>
    </row>
    <row r="3700" spans="1:6" hidden="1" x14ac:dyDescent="0.3">
      <c r="A3700" s="6">
        <v>27</v>
      </c>
      <c r="B3700" s="6" t="s">
        <v>135</v>
      </c>
      <c r="C3700" s="6" t="s">
        <v>414</v>
      </c>
      <c r="D3700" s="6" t="s">
        <v>136</v>
      </c>
      <c r="E3700" s="11">
        <v>10.290959358215332</v>
      </c>
      <c r="F3700" s="11">
        <v>7.147453784942627</v>
      </c>
    </row>
    <row r="3701" spans="1:6" hidden="1" x14ac:dyDescent="0.3">
      <c r="A3701" s="6">
        <v>27</v>
      </c>
      <c r="B3701" s="6" t="s">
        <v>135</v>
      </c>
      <c r="C3701" s="6" t="s">
        <v>415</v>
      </c>
      <c r="D3701" s="6" t="s">
        <v>136</v>
      </c>
      <c r="E3701" s="11">
        <v>43.588737487792969</v>
      </c>
      <c r="F3701" s="11">
        <v>7.147453784942627</v>
      </c>
    </row>
    <row r="3702" spans="1:6" hidden="1" x14ac:dyDescent="0.3">
      <c r="A3702" s="6">
        <v>27</v>
      </c>
      <c r="B3702" s="6" t="s">
        <v>135</v>
      </c>
      <c r="C3702" s="6" t="s">
        <v>416</v>
      </c>
      <c r="D3702" s="6" t="s">
        <v>136</v>
      </c>
      <c r="E3702" s="11">
        <v>8.9122228622436523</v>
      </c>
      <c r="F3702" s="11">
        <v>7.147453784942627</v>
      </c>
    </row>
    <row r="3703" spans="1:6" hidden="1" x14ac:dyDescent="0.3">
      <c r="A3703" s="6">
        <v>27</v>
      </c>
      <c r="B3703" s="6" t="s">
        <v>135</v>
      </c>
      <c r="C3703" s="6" t="s">
        <v>417</v>
      </c>
      <c r="D3703" s="6" t="s">
        <v>136</v>
      </c>
      <c r="E3703" s="11">
        <v>7.9722108840942383</v>
      </c>
      <c r="F3703" s="11">
        <v>7.147453784942627</v>
      </c>
    </row>
    <row r="3704" spans="1:6" hidden="1" x14ac:dyDescent="0.3">
      <c r="A3704" s="6">
        <v>27</v>
      </c>
      <c r="B3704" s="6" t="s">
        <v>135</v>
      </c>
      <c r="C3704" s="6" t="s">
        <v>418</v>
      </c>
      <c r="D3704" s="6" t="s">
        <v>136</v>
      </c>
      <c r="E3704" s="11">
        <v>3.2723515033721924</v>
      </c>
      <c r="F3704" s="11">
        <v>7.147453784942627</v>
      </c>
    </row>
    <row r="3705" spans="1:6" hidden="1" x14ac:dyDescent="0.3">
      <c r="A3705" s="6">
        <v>27</v>
      </c>
      <c r="B3705" s="6" t="s">
        <v>135</v>
      </c>
      <c r="C3705" s="6" t="s">
        <v>419</v>
      </c>
      <c r="D3705" s="6" t="s">
        <v>136</v>
      </c>
      <c r="E3705" s="11">
        <v>4.5452122688293457</v>
      </c>
      <c r="F3705" s="11">
        <v>7.147453784942627</v>
      </c>
    </row>
    <row r="3706" spans="1:6" hidden="1" x14ac:dyDescent="0.3">
      <c r="A3706" s="6">
        <v>27</v>
      </c>
      <c r="B3706" s="6" t="s">
        <v>135</v>
      </c>
      <c r="C3706" s="6" t="s">
        <v>420</v>
      </c>
      <c r="D3706" s="6" t="s">
        <v>136</v>
      </c>
      <c r="E3706" s="11">
        <v>4.2418417930603027</v>
      </c>
      <c r="F3706" s="11">
        <v>7.147453784942627</v>
      </c>
    </row>
    <row r="3707" spans="1:6" hidden="1" x14ac:dyDescent="0.3">
      <c r="A3707" s="6">
        <v>27</v>
      </c>
      <c r="B3707" s="6" t="s">
        <v>135</v>
      </c>
      <c r="C3707" s="6" t="s">
        <v>421</v>
      </c>
      <c r="D3707" s="6" t="s">
        <v>136</v>
      </c>
      <c r="E3707" s="11">
        <v>6.3953404426574707</v>
      </c>
      <c r="F3707" s="11">
        <v>7.147453784942627</v>
      </c>
    </row>
    <row r="3708" spans="1:6" hidden="1" x14ac:dyDescent="0.3">
      <c r="A3708" s="6">
        <v>27</v>
      </c>
      <c r="B3708" s="6" t="s">
        <v>135</v>
      </c>
      <c r="C3708" s="6" t="s">
        <v>422</v>
      </c>
      <c r="D3708" s="6" t="s">
        <v>136</v>
      </c>
      <c r="E3708" s="11">
        <v>5.890284538269043</v>
      </c>
      <c r="F3708" s="11">
        <v>7.147453784942627</v>
      </c>
    </row>
    <row r="3709" spans="1:6" hidden="1" x14ac:dyDescent="0.3">
      <c r="A3709" s="6">
        <v>27</v>
      </c>
      <c r="B3709" s="6" t="s">
        <v>135</v>
      </c>
      <c r="C3709" s="6" t="s">
        <v>423</v>
      </c>
      <c r="D3709" s="6" t="s">
        <v>136</v>
      </c>
      <c r="E3709" s="11">
        <v>7.3741931915283203</v>
      </c>
      <c r="F3709" s="11">
        <v>7.147453784942627</v>
      </c>
    </row>
    <row r="3710" spans="1:6" hidden="1" x14ac:dyDescent="0.3">
      <c r="A3710" s="6">
        <v>27</v>
      </c>
      <c r="B3710" s="6" t="s">
        <v>135</v>
      </c>
      <c r="C3710" s="6" t="s">
        <v>424</v>
      </c>
      <c r="D3710" s="6" t="s">
        <v>136</v>
      </c>
      <c r="E3710" s="11">
        <v>9.4525184631347656</v>
      </c>
      <c r="F3710" s="11">
        <v>7.147453784942627</v>
      </c>
    </row>
    <row r="3711" spans="1:6" hidden="1" x14ac:dyDescent="0.3">
      <c r="A3711" s="6">
        <v>27</v>
      </c>
      <c r="B3711" s="6" t="s">
        <v>135</v>
      </c>
      <c r="C3711" s="6" t="s">
        <v>425</v>
      </c>
      <c r="D3711" s="6" t="s">
        <v>136</v>
      </c>
      <c r="E3711" s="11">
        <v>6.3632211685180664</v>
      </c>
      <c r="F3711" s="11">
        <v>7.147453784942627</v>
      </c>
    </row>
    <row r="3712" spans="1:6" hidden="1" x14ac:dyDescent="0.3">
      <c r="A3712" s="6">
        <v>27</v>
      </c>
      <c r="B3712" s="6" t="s">
        <v>135</v>
      </c>
      <c r="C3712" s="6" t="s">
        <v>426</v>
      </c>
      <c r="D3712" s="6" t="s">
        <v>136</v>
      </c>
      <c r="E3712" s="11">
        <v>5.9655618667602539</v>
      </c>
      <c r="F3712" s="11">
        <v>7.147453784942627</v>
      </c>
    </row>
    <row r="3713" spans="1:6" hidden="1" x14ac:dyDescent="0.3">
      <c r="A3713" s="6">
        <v>27</v>
      </c>
      <c r="B3713" s="6" t="s">
        <v>135</v>
      </c>
      <c r="C3713" s="6" t="s">
        <v>427</v>
      </c>
      <c r="D3713" s="6" t="s">
        <v>136</v>
      </c>
      <c r="E3713" s="11">
        <v>5.9978170394897461</v>
      </c>
      <c r="F3713" s="11">
        <v>7.147453784942627</v>
      </c>
    </row>
    <row r="3714" spans="1:6" hidden="1" x14ac:dyDescent="0.3">
      <c r="A3714" s="6">
        <v>27</v>
      </c>
      <c r="B3714" s="6" t="s">
        <v>135</v>
      </c>
      <c r="C3714" s="6" t="s">
        <v>428</v>
      </c>
      <c r="D3714" s="6" t="s">
        <v>136</v>
      </c>
      <c r="E3714" s="11">
        <v>6.752281665802002</v>
      </c>
      <c r="F3714" s="11">
        <v>7.147453784942627</v>
      </c>
    </row>
    <row r="3715" spans="1:6" hidden="1" x14ac:dyDescent="0.3">
      <c r="A3715" s="6">
        <v>27</v>
      </c>
      <c r="B3715" s="6" t="s">
        <v>135</v>
      </c>
      <c r="C3715" s="6" t="s">
        <v>429</v>
      </c>
      <c r="D3715" s="6" t="s">
        <v>136</v>
      </c>
      <c r="E3715" s="11">
        <v>7.9290313720703125</v>
      </c>
      <c r="F3715" s="11">
        <v>7.147453784942627</v>
      </c>
    </row>
    <row r="3716" spans="1:6" hidden="1" x14ac:dyDescent="0.3">
      <c r="A3716" s="6">
        <v>27</v>
      </c>
      <c r="B3716" s="6" t="s">
        <v>135</v>
      </c>
      <c r="C3716" s="6" t="s">
        <v>430</v>
      </c>
      <c r="D3716" s="6" t="s">
        <v>136</v>
      </c>
      <c r="E3716" s="11">
        <v>4.6896109580993652</v>
      </c>
      <c r="F3716" s="11">
        <v>7.147453784942627</v>
      </c>
    </row>
    <row r="3717" spans="1:6" hidden="1" x14ac:dyDescent="0.3">
      <c r="A3717" s="6">
        <v>27</v>
      </c>
      <c r="B3717" s="6" t="s">
        <v>135</v>
      </c>
      <c r="C3717" s="6" t="s">
        <v>431</v>
      </c>
      <c r="D3717" s="6" t="s">
        <v>136</v>
      </c>
      <c r="E3717" s="11">
        <v>5.4981045722961426</v>
      </c>
      <c r="F3717" s="11">
        <v>7.147453784942627</v>
      </c>
    </row>
    <row r="3718" spans="1:6" hidden="1" x14ac:dyDescent="0.3">
      <c r="A3718" s="6">
        <v>27</v>
      </c>
      <c r="B3718" s="6" t="s">
        <v>135</v>
      </c>
      <c r="C3718" s="6" t="s">
        <v>432</v>
      </c>
      <c r="D3718" s="6" t="s">
        <v>136</v>
      </c>
      <c r="E3718" s="11">
        <v>8.5457353591918945</v>
      </c>
      <c r="F3718" s="11">
        <v>7.147453784942627</v>
      </c>
    </row>
    <row r="3719" spans="1:6" hidden="1" x14ac:dyDescent="0.3">
      <c r="A3719" s="6">
        <v>27</v>
      </c>
      <c r="B3719" s="6" t="s">
        <v>135</v>
      </c>
      <c r="C3719" s="6" t="s">
        <v>433</v>
      </c>
      <c r="D3719" s="6" t="s">
        <v>136</v>
      </c>
      <c r="E3719" s="11">
        <v>3.6810474395751953</v>
      </c>
      <c r="F3719" s="11">
        <v>7.147453784942627</v>
      </c>
    </row>
    <row r="3720" spans="1:6" hidden="1" x14ac:dyDescent="0.3">
      <c r="A3720" s="6">
        <v>27</v>
      </c>
      <c r="B3720" s="6" t="s">
        <v>135</v>
      </c>
      <c r="C3720" s="6" t="s">
        <v>434</v>
      </c>
      <c r="D3720" s="6" t="s">
        <v>136</v>
      </c>
      <c r="E3720" s="11">
        <v>4.8278918266296387</v>
      </c>
      <c r="F3720" s="11">
        <v>7.147453784942627</v>
      </c>
    </row>
    <row r="3721" spans="1:6" hidden="1" x14ac:dyDescent="0.3">
      <c r="A3721" s="6">
        <v>27</v>
      </c>
      <c r="B3721" s="6" t="s">
        <v>135</v>
      </c>
      <c r="C3721" s="6" t="s">
        <v>435</v>
      </c>
      <c r="D3721" s="6" t="s">
        <v>136</v>
      </c>
      <c r="E3721" s="11">
        <v>6.5755953788757324</v>
      </c>
      <c r="F3721" s="11">
        <v>7.147453784942627</v>
      </c>
    </row>
    <row r="3722" spans="1:6" hidden="1" x14ac:dyDescent="0.3">
      <c r="A3722" s="6">
        <v>27</v>
      </c>
      <c r="B3722" s="6" t="s">
        <v>135</v>
      </c>
      <c r="C3722" s="6" t="s">
        <v>436</v>
      </c>
      <c r="D3722" s="6" t="s">
        <v>136</v>
      </c>
      <c r="E3722" s="11">
        <v>6.7117748260498047</v>
      </c>
      <c r="F3722" s="11">
        <v>7.147453784942627</v>
      </c>
    </row>
    <row r="3723" spans="1:6" hidden="1" x14ac:dyDescent="0.3">
      <c r="A3723" s="6">
        <v>27</v>
      </c>
      <c r="B3723" s="6" t="s">
        <v>135</v>
      </c>
      <c r="C3723" s="6" t="s">
        <v>437</v>
      </c>
      <c r="D3723" s="6" t="s">
        <v>136</v>
      </c>
      <c r="E3723" s="11">
        <v>5.3865580558776855</v>
      </c>
      <c r="F3723" s="11">
        <v>7.147453784942627</v>
      </c>
    </row>
    <row r="3724" spans="1:6" hidden="1" x14ac:dyDescent="0.3">
      <c r="A3724" s="6">
        <v>27</v>
      </c>
      <c r="B3724" s="6" t="s">
        <v>135</v>
      </c>
      <c r="C3724" s="6" t="s">
        <v>438</v>
      </c>
      <c r="D3724" s="6" t="s">
        <v>136</v>
      </c>
      <c r="E3724" s="11">
        <v>12.350783348083496</v>
      </c>
      <c r="F3724" s="11">
        <v>7.147453784942627</v>
      </c>
    </row>
    <row r="3725" spans="1:6" hidden="1" x14ac:dyDescent="0.3">
      <c r="A3725" s="6">
        <v>27</v>
      </c>
      <c r="B3725" s="6" t="s">
        <v>135</v>
      </c>
      <c r="C3725" s="6" t="s">
        <v>439</v>
      </c>
      <c r="D3725" s="6" t="s">
        <v>136</v>
      </c>
      <c r="E3725" s="11">
        <v>6.2276473045349121</v>
      </c>
      <c r="F3725" s="11">
        <v>7.147453784942627</v>
      </c>
    </row>
    <row r="3726" spans="1:6" hidden="1" x14ac:dyDescent="0.3">
      <c r="A3726" s="6">
        <v>27</v>
      </c>
      <c r="B3726" s="6" t="s">
        <v>135</v>
      </c>
      <c r="C3726" s="6" t="s">
        <v>440</v>
      </c>
      <c r="D3726" s="6" t="s">
        <v>136</v>
      </c>
      <c r="E3726" s="11">
        <v>3.8072764873504639</v>
      </c>
      <c r="F3726" s="11">
        <v>7.147453784942627</v>
      </c>
    </row>
    <row r="3727" spans="1:6" hidden="1" x14ac:dyDescent="0.3">
      <c r="A3727" s="6">
        <v>27</v>
      </c>
      <c r="B3727" s="6" t="s">
        <v>135</v>
      </c>
      <c r="C3727" s="6" t="s">
        <v>441</v>
      </c>
      <c r="D3727" s="6" t="s">
        <v>136</v>
      </c>
      <c r="E3727" s="11">
        <v>6.87554931640625</v>
      </c>
      <c r="F3727" s="11">
        <v>7.147453784942627</v>
      </c>
    </row>
    <row r="3728" spans="1:6" hidden="1" x14ac:dyDescent="0.3">
      <c r="A3728" s="6">
        <v>27</v>
      </c>
      <c r="B3728" s="6" t="s">
        <v>135</v>
      </c>
      <c r="C3728" s="6" t="s">
        <v>442</v>
      </c>
      <c r="D3728" s="6" t="s">
        <v>136</v>
      </c>
      <c r="E3728" s="11">
        <v>7.9069614410400391</v>
      </c>
      <c r="F3728" s="11">
        <v>7.147453784942627</v>
      </c>
    </row>
    <row r="3729" spans="1:6" hidden="1" x14ac:dyDescent="0.3">
      <c r="A3729" s="6">
        <v>27</v>
      </c>
      <c r="B3729" s="6" t="s">
        <v>135</v>
      </c>
      <c r="C3729" s="6" t="s">
        <v>443</v>
      </c>
      <c r="D3729" s="6" t="s">
        <v>136</v>
      </c>
      <c r="E3729" s="11">
        <v>4.9938163757324219</v>
      </c>
      <c r="F3729" s="11">
        <v>7.147453784942627</v>
      </c>
    </row>
    <row r="3730" spans="1:6" hidden="1" x14ac:dyDescent="0.3">
      <c r="A3730" s="6">
        <v>27</v>
      </c>
      <c r="B3730" s="6" t="s">
        <v>135</v>
      </c>
      <c r="C3730" s="6" t="s">
        <v>444</v>
      </c>
      <c r="D3730" s="6" t="s">
        <v>136</v>
      </c>
      <c r="E3730" s="11">
        <v>5.1385717391967773</v>
      </c>
      <c r="F3730" s="11">
        <v>7.147453784942627</v>
      </c>
    </row>
    <row r="3731" spans="1:6" hidden="1" x14ac:dyDescent="0.3">
      <c r="A3731" s="6">
        <v>27</v>
      </c>
      <c r="B3731" s="6" t="s">
        <v>135</v>
      </c>
      <c r="C3731" s="6" t="s">
        <v>445</v>
      </c>
      <c r="D3731" s="6" t="s">
        <v>136</v>
      </c>
      <c r="E3731" s="11">
        <v>6.7190661430358887</v>
      </c>
      <c r="F3731" s="11">
        <v>7.147453784942627</v>
      </c>
    </row>
    <row r="3732" spans="1:6" hidden="1" x14ac:dyDescent="0.3">
      <c r="A3732" s="6">
        <v>27</v>
      </c>
      <c r="B3732" s="6" t="s">
        <v>135</v>
      </c>
      <c r="C3732" s="6" t="s">
        <v>446</v>
      </c>
      <c r="D3732" s="6" t="s">
        <v>136</v>
      </c>
      <c r="E3732" s="11">
        <v>3.8766779899597168</v>
      </c>
      <c r="F3732" s="11">
        <v>7.147453784942627</v>
      </c>
    </row>
    <row r="3733" spans="1:6" hidden="1" x14ac:dyDescent="0.3">
      <c r="A3733" s="6">
        <v>27</v>
      </c>
      <c r="B3733" s="6" t="s">
        <v>135</v>
      </c>
      <c r="C3733" s="6" t="s">
        <v>447</v>
      </c>
      <c r="D3733" s="6" t="s">
        <v>136</v>
      </c>
      <c r="E3733" s="11">
        <v>5.9977803230285645</v>
      </c>
      <c r="F3733" s="11">
        <v>7.147453784942627</v>
      </c>
    </row>
    <row r="3734" spans="1:6" hidden="1" x14ac:dyDescent="0.3">
      <c r="A3734" s="6">
        <v>27</v>
      </c>
      <c r="B3734" s="6" t="s">
        <v>135</v>
      </c>
      <c r="C3734" s="6" t="s">
        <v>448</v>
      </c>
      <c r="D3734" s="6" t="s">
        <v>136</v>
      </c>
      <c r="E3734" s="11">
        <v>5.9620862007141113</v>
      </c>
      <c r="F3734" s="11">
        <v>7.147453784942627</v>
      </c>
    </row>
    <row r="3735" spans="1:6" hidden="1" x14ac:dyDescent="0.3">
      <c r="A3735" s="6">
        <v>27</v>
      </c>
      <c r="B3735" s="6" t="s">
        <v>135</v>
      </c>
      <c r="C3735" s="6" t="s">
        <v>449</v>
      </c>
      <c r="D3735" s="6" t="s">
        <v>136</v>
      </c>
      <c r="E3735" s="11">
        <v>3.1074748039245605</v>
      </c>
      <c r="F3735" s="11">
        <v>7.147453784942627</v>
      </c>
    </row>
    <row r="3736" spans="1:6" hidden="1" x14ac:dyDescent="0.3">
      <c r="A3736" s="6">
        <v>27</v>
      </c>
      <c r="B3736" s="6" t="s">
        <v>135</v>
      </c>
      <c r="C3736" s="6" t="s">
        <v>450</v>
      </c>
      <c r="D3736" s="6" t="s">
        <v>136</v>
      </c>
      <c r="E3736" s="11">
        <v>8.2050437927246094</v>
      </c>
      <c r="F3736" s="11">
        <v>7.147453784942627</v>
      </c>
    </row>
    <row r="3737" spans="1:6" hidden="1" x14ac:dyDescent="0.3">
      <c r="A3737" s="6">
        <v>27</v>
      </c>
      <c r="B3737" s="6" t="s">
        <v>135</v>
      </c>
      <c r="C3737" s="6" t="s">
        <v>451</v>
      </c>
      <c r="D3737" s="6" t="s">
        <v>136</v>
      </c>
      <c r="E3737" s="11">
        <v>11.328052520751953</v>
      </c>
      <c r="F3737" s="11">
        <v>7.147453784942627</v>
      </c>
    </row>
    <row r="3738" spans="1:6" hidden="1" x14ac:dyDescent="0.3">
      <c r="A3738" s="6">
        <v>27</v>
      </c>
      <c r="B3738" s="6" t="s">
        <v>135</v>
      </c>
      <c r="C3738" s="6" t="s">
        <v>452</v>
      </c>
      <c r="D3738" s="6" t="s">
        <v>136</v>
      </c>
      <c r="E3738" s="11">
        <v>7.6403465270996094</v>
      </c>
      <c r="F3738" s="11">
        <v>7.147453784942627</v>
      </c>
    </row>
    <row r="3739" spans="1:6" hidden="1" x14ac:dyDescent="0.3">
      <c r="A3739" s="6">
        <v>27</v>
      </c>
      <c r="B3739" s="6" t="s">
        <v>135</v>
      </c>
      <c r="C3739" s="6" t="s">
        <v>453</v>
      </c>
      <c r="D3739" s="6" t="s">
        <v>136</v>
      </c>
      <c r="E3739" s="11">
        <v>3.3538277149200439</v>
      </c>
      <c r="F3739" s="11">
        <v>7.147453784942627</v>
      </c>
    </row>
    <row r="3740" spans="1:6" hidden="1" x14ac:dyDescent="0.3">
      <c r="A3740" s="6">
        <v>27</v>
      </c>
      <c r="B3740" s="6" t="s">
        <v>135</v>
      </c>
      <c r="C3740" s="6" t="s">
        <v>454</v>
      </c>
      <c r="D3740" s="6" t="s">
        <v>136</v>
      </c>
      <c r="E3740" s="11">
        <v>5.1311635971069336</v>
      </c>
      <c r="F3740" s="11">
        <v>7.147453784942627</v>
      </c>
    </row>
    <row r="3741" spans="1:6" hidden="1" x14ac:dyDescent="0.3">
      <c r="A3741" s="6">
        <v>27</v>
      </c>
      <c r="B3741" s="6" t="s">
        <v>135</v>
      </c>
      <c r="C3741" s="6" t="s">
        <v>455</v>
      </c>
      <c r="D3741" s="6" t="s">
        <v>136</v>
      </c>
      <c r="E3741" s="11">
        <v>7.0588212013244629</v>
      </c>
      <c r="F3741" s="11">
        <v>7.147453784942627</v>
      </c>
    </row>
    <row r="3742" spans="1:6" hidden="1" x14ac:dyDescent="0.3">
      <c r="A3742" s="6">
        <v>27</v>
      </c>
      <c r="B3742" s="6" t="s">
        <v>135</v>
      </c>
      <c r="C3742" s="6" t="s">
        <v>456</v>
      </c>
      <c r="D3742" s="6" t="s">
        <v>136</v>
      </c>
      <c r="E3742" s="11">
        <v>5.7231602668762207</v>
      </c>
      <c r="F3742" s="11">
        <v>7.147453784942627</v>
      </c>
    </row>
    <row r="3743" spans="1:6" hidden="1" x14ac:dyDescent="0.3">
      <c r="A3743" s="6">
        <v>27</v>
      </c>
      <c r="B3743" s="6" t="s">
        <v>135</v>
      </c>
      <c r="C3743" s="6" t="s">
        <v>457</v>
      </c>
      <c r="D3743" s="6" t="s">
        <v>136</v>
      </c>
      <c r="E3743" s="11">
        <v>7.486689567565918</v>
      </c>
      <c r="F3743" s="11">
        <v>7.147453784942627</v>
      </c>
    </row>
    <row r="3744" spans="1:6" hidden="1" x14ac:dyDescent="0.3">
      <c r="A3744" s="6">
        <v>27</v>
      </c>
      <c r="B3744" s="6" t="s">
        <v>135</v>
      </c>
      <c r="C3744" s="6" t="s">
        <v>458</v>
      </c>
      <c r="D3744" s="6" t="s">
        <v>136</v>
      </c>
      <c r="E3744" s="11">
        <v>7.4069876670837402</v>
      </c>
      <c r="F3744" s="11">
        <v>7.147453784942627</v>
      </c>
    </row>
    <row r="3745" spans="1:6" hidden="1" x14ac:dyDescent="0.3">
      <c r="A3745" s="6">
        <v>27</v>
      </c>
      <c r="B3745" s="6" t="s">
        <v>135</v>
      </c>
      <c r="C3745" s="6" t="s">
        <v>459</v>
      </c>
      <c r="D3745" s="6" t="s">
        <v>136</v>
      </c>
      <c r="E3745" s="11">
        <v>7.6289033889770508</v>
      </c>
      <c r="F3745" s="11">
        <v>7.147453784942627</v>
      </c>
    </row>
    <row r="3746" spans="1:6" hidden="1" x14ac:dyDescent="0.3">
      <c r="A3746" s="6">
        <v>27</v>
      </c>
      <c r="B3746" s="6" t="s">
        <v>135</v>
      </c>
      <c r="C3746" s="6" t="s">
        <v>460</v>
      </c>
      <c r="D3746" s="6" t="s">
        <v>136</v>
      </c>
      <c r="E3746" s="11">
        <v>28.115911483764648</v>
      </c>
      <c r="F3746" s="11">
        <v>7.147453784942627</v>
      </c>
    </row>
    <row r="3747" spans="1:6" hidden="1" x14ac:dyDescent="0.3">
      <c r="A3747" s="6">
        <v>27</v>
      </c>
      <c r="B3747" s="6" t="s">
        <v>135</v>
      </c>
      <c r="C3747" s="6" t="s">
        <v>461</v>
      </c>
      <c r="D3747" s="6" t="s">
        <v>136</v>
      </c>
      <c r="E3747" s="11">
        <v>5.449854850769043</v>
      </c>
      <c r="F3747" s="11">
        <v>7.147453784942627</v>
      </c>
    </row>
    <row r="3748" spans="1:6" hidden="1" x14ac:dyDescent="0.3">
      <c r="A3748" s="6">
        <v>27</v>
      </c>
      <c r="B3748" s="6" t="s">
        <v>135</v>
      </c>
      <c r="C3748" s="6" t="s">
        <v>462</v>
      </c>
      <c r="D3748" s="6" t="s">
        <v>136</v>
      </c>
      <c r="E3748" s="11">
        <v>4.3307642936706543</v>
      </c>
      <c r="F3748" s="11">
        <v>7.147453784942627</v>
      </c>
    </row>
    <row r="3749" spans="1:6" hidden="1" x14ac:dyDescent="0.3">
      <c r="A3749" s="6">
        <v>27</v>
      </c>
      <c r="B3749" s="6" t="s">
        <v>135</v>
      </c>
      <c r="C3749" s="6" t="s">
        <v>463</v>
      </c>
      <c r="D3749" s="6" t="s">
        <v>136</v>
      </c>
      <c r="E3749" s="11">
        <v>7.2365589141845703</v>
      </c>
      <c r="F3749" s="11">
        <v>7.147453784942627</v>
      </c>
    </row>
    <row r="3750" spans="1:6" hidden="1" x14ac:dyDescent="0.3">
      <c r="A3750" s="6">
        <v>27</v>
      </c>
      <c r="B3750" s="6" t="s">
        <v>135</v>
      </c>
      <c r="C3750" s="6" t="s">
        <v>464</v>
      </c>
      <c r="D3750" s="6" t="s">
        <v>136</v>
      </c>
      <c r="E3750" s="11">
        <v>6.5982871055603027</v>
      </c>
      <c r="F3750" s="11">
        <v>7.147453784942627</v>
      </c>
    </row>
    <row r="3751" spans="1:6" hidden="1" x14ac:dyDescent="0.3">
      <c r="A3751" s="6">
        <v>27</v>
      </c>
      <c r="B3751" s="6" t="s">
        <v>135</v>
      </c>
      <c r="C3751" s="6" t="s">
        <v>465</v>
      </c>
      <c r="D3751" s="6" t="s">
        <v>136</v>
      </c>
      <c r="E3751" s="11">
        <v>8.4593982696533203</v>
      </c>
      <c r="F3751" s="11">
        <v>7.147453784942627</v>
      </c>
    </row>
    <row r="3752" spans="1:6" hidden="1" x14ac:dyDescent="0.3">
      <c r="A3752" s="6">
        <v>27</v>
      </c>
      <c r="B3752" s="6" t="s">
        <v>135</v>
      </c>
      <c r="C3752" s="6" t="s">
        <v>466</v>
      </c>
      <c r="D3752" s="6" t="s">
        <v>136</v>
      </c>
      <c r="E3752" s="11">
        <v>5.7650871276855469</v>
      </c>
      <c r="F3752" s="11">
        <v>7.147453784942627</v>
      </c>
    </row>
    <row r="3753" spans="1:6" hidden="1" x14ac:dyDescent="0.3">
      <c r="A3753" s="6">
        <v>27</v>
      </c>
      <c r="B3753" s="6" t="s">
        <v>135</v>
      </c>
      <c r="C3753" s="6" t="s">
        <v>467</v>
      </c>
      <c r="D3753" s="6" t="s">
        <v>136</v>
      </c>
      <c r="E3753" s="11">
        <v>6.4639167785644531</v>
      </c>
      <c r="F3753" s="11">
        <v>7.147453784942627</v>
      </c>
    </row>
    <row r="3754" spans="1:6" hidden="1" x14ac:dyDescent="0.3">
      <c r="A3754" s="6">
        <v>27</v>
      </c>
      <c r="B3754" s="6" t="s">
        <v>135</v>
      </c>
      <c r="C3754" s="6" t="s">
        <v>468</v>
      </c>
      <c r="D3754" s="6" t="s">
        <v>136</v>
      </c>
      <c r="E3754" s="11">
        <v>6.5282292366027832</v>
      </c>
      <c r="F3754" s="11">
        <v>7.147453784942627</v>
      </c>
    </row>
    <row r="3755" spans="1:6" hidden="1" x14ac:dyDescent="0.3">
      <c r="A3755" s="6">
        <v>27</v>
      </c>
      <c r="B3755" s="6" t="s">
        <v>135</v>
      </c>
      <c r="C3755" s="6" t="s">
        <v>469</v>
      </c>
      <c r="D3755" s="6" t="s">
        <v>136</v>
      </c>
      <c r="E3755" s="11">
        <v>5.351475715637207</v>
      </c>
      <c r="F3755" s="11">
        <v>7.147453784942627</v>
      </c>
    </row>
    <row r="3756" spans="1:6" hidden="1" x14ac:dyDescent="0.3">
      <c r="A3756" s="6">
        <v>27</v>
      </c>
      <c r="B3756" s="6" t="s">
        <v>135</v>
      </c>
      <c r="C3756" s="6" t="s">
        <v>470</v>
      </c>
      <c r="D3756" s="6" t="s">
        <v>136</v>
      </c>
      <c r="E3756" s="11">
        <v>6.3856024742126465</v>
      </c>
      <c r="F3756" s="11">
        <v>7.147453784942627</v>
      </c>
    </row>
    <row r="3757" spans="1:6" hidden="1" x14ac:dyDescent="0.3">
      <c r="A3757" s="6">
        <v>27</v>
      </c>
      <c r="B3757" s="6" t="s">
        <v>135</v>
      </c>
      <c r="C3757" s="6" t="s">
        <v>471</v>
      </c>
      <c r="D3757" s="6" t="s">
        <v>136</v>
      </c>
      <c r="E3757" s="11">
        <v>5.5276427268981934</v>
      </c>
      <c r="F3757" s="11">
        <v>7.147453784942627</v>
      </c>
    </row>
    <row r="3758" spans="1:6" hidden="1" x14ac:dyDescent="0.3">
      <c r="A3758" s="6">
        <v>27</v>
      </c>
      <c r="B3758" s="6" t="s">
        <v>135</v>
      </c>
      <c r="C3758" s="6" t="s">
        <v>472</v>
      </c>
      <c r="D3758" s="6" t="s">
        <v>136</v>
      </c>
      <c r="E3758" s="11">
        <v>9.0714454650878906</v>
      </c>
      <c r="F3758" s="11">
        <v>7.147453784942627</v>
      </c>
    </row>
    <row r="3759" spans="1:6" hidden="1" x14ac:dyDescent="0.3">
      <c r="A3759" s="6">
        <v>27</v>
      </c>
      <c r="B3759" s="6" t="s">
        <v>135</v>
      </c>
      <c r="C3759" s="6" t="s">
        <v>473</v>
      </c>
      <c r="D3759" s="6" t="s">
        <v>136</v>
      </c>
      <c r="E3759" s="11">
        <v>3.8461053371429443</v>
      </c>
      <c r="F3759" s="11">
        <v>7.147453784942627</v>
      </c>
    </row>
    <row r="3760" spans="1:6" hidden="1" x14ac:dyDescent="0.3">
      <c r="A3760" s="6">
        <v>27</v>
      </c>
      <c r="B3760" s="6" t="s">
        <v>135</v>
      </c>
      <c r="C3760" s="6" t="s">
        <v>474</v>
      </c>
      <c r="D3760" s="6" t="s">
        <v>136</v>
      </c>
      <c r="E3760" s="11">
        <v>5.911339282989502</v>
      </c>
      <c r="F3760" s="11">
        <v>7.147453784942627</v>
      </c>
    </row>
    <row r="3761" spans="1:6" hidden="1" x14ac:dyDescent="0.3">
      <c r="A3761" s="6">
        <v>27</v>
      </c>
      <c r="B3761" s="6" t="s">
        <v>135</v>
      </c>
      <c r="C3761" s="6" t="s">
        <v>475</v>
      </c>
      <c r="D3761" s="6" t="s">
        <v>136</v>
      </c>
      <c r="E3761" s="11">
        <v>5.346766471862793</v>
      </c>
      <c r="F3761" s="11">
        <v>7.147453784942627</v>
      </c>
    </row>
    <row r="3762" spans="1:6" hidden="1" x14ac:dyDescent="0.3">
      <c r="A3762" s="6">
        <v>27</v>
      </c>
      <c r="B3762" s="6" t="s">
        <v>135</v>
      </c>
      <c r="C3762" s="6" t="s">
        <v>476</v>
      </c>
      <c r="D3762" s="6" t="s">
        <v>136</v>
      </c>
      <c r="E3762" s="11">
        <v>4.1812911033630371</v>
      </c>
      <c r="F3762" s="11">
        <v>7.147453784942627</v>
      </c>
    </row>
    <row r="3763" spans="1:6" hidden="1" x14ac:dyDescent="0.3">
      <c r="A3763" s="6">
        <v>27</v>
      </c>
      <c r="B3763" s="6" t="s">
        <v>135</v>
      </c>
      <c r="C3763" s="6" t="s">
        <v>477</v>
      </c>
      <c r="D3763" s="6" t="s">
        <v>136</v>
      </c>
      <c r="E3763" s="11">
        <v>5.9756722450256348</v>
      </c>
      <c r="F3763" s="11">
        <v>7.147453784942627</v>
      </c>
    </row>
    <row r="3764" spans="1:6" hidden="1" x14ac:dyDescent="0.3">
      <c r="A3764" s="6">
        <v>27</v>
      </c>
      <c r="B3764" s="6" t="s">
        <v>135</v>
      </c>
      <c r="C3764" s="6" t="s">
        <v>478</v>
      </c>
      <c r="D3764" s="6" t="s">
        <v>136</v>
      </c>
      <c r="E3764" s="11">
        <v>5.3576984405517578</v>
      </c>
      <c r="F3764" s="11">
        <v>7.147453784942627</v>
      </c>
    </row>
    <row r="3765" spans="1:6" hidden="1" x14ac:dyDescent="0.3">
      <c r="A3765" s="6">
        <v>27</v>
      </c>
      <c r="B3765" s="6" t="s">
        <v>135</v>
      </c>
      <c r="C3765" s="6" t="s">
        <v>479</v>
      </c>
      <c r="D3765" s="6" t="s">
        <v>136</v>
      </c>
      <c r="E3765" s="11">
        <v>6.8495082855224609</v>
      </c>
      <c r="F3765" s="11">
        <v>7.147453784942627</v>
      </c>
    </row>
    <row r="3766" spans="1:6" hidden="1" x14ac:dyDescent="0.3">
      <c r="A3766" s="6">
        <v>27</v>
      </c>
      <c r="B3766" s="6" t="s">
        <v>135</v>
      </c>
      <c r="C3766" s="6" t="s">
        <v>480</v>
      </c>
      <c r="D3766" s="6" t="s">
        <v>136</v>
      </c>
      <c r="E3766" s="11">
        <v>6.3889718055725098</v>
      </c>
      <c r="F3766" s="11">
        <v>7.147453784942627</v>
      </c>
    </row>
    <row r="3767" spans="1:6" hidden="1" x14ac:dyDescent="0.3">
      <c r="A3767" s="6">
        <v>27</v>
      </c>
      <c r="B3767" s="6" t="s">
        <v>135</v>
      </c>
      <c r="C3767" s="6" t="s">
        <v>481</v>
      </c>
      <c r="D3767" s="6" t="s">
        <v>136</v>
      </c>
      <c r="E3767" s="11">
        <v>6.6937146186828613</v>
      </c>
      <c r="F3767" s="11">
        <v>7.147453784942627</v>
      </c>
    </row>
    <row r="3768" spans="1:6" hidden="1" x14ac:dyDescent="0.3">
      <c r="A3768" s="6">
        <v>27</v>
      </c>
      <c r="B3768" s="6" t="s">
        <v>135</v>
      </c>
      <c r="C3768" s="6" t="s">
        <v>482</v>
      </c>
      <c r="D3768" s="6" t="s">
        <v>136</v>
      </c>
      <c r="E3768" s="11">
        <v>6.5485963821411133</v>
      </c>
      <c r="F3768" s="11">
        <v>7.147453784942627</v>
      </c>
    </row>
    <row r="3769" spans="1:6" hidden="1" x14ac:dyDescent="0.3">
      <c r="A3769" s="6">
        <v>27</v>
      </c>
      <c r="B3769" s="6" t="s">
        <v>135</v>
      </c>
      <c r="C3769" s="6" t="s">
        <v>483</v>
      </c>
      <c r="D3769" s="6" t="s">
        <v>136</v>
      </c>
      <c r="E3769" s="11">
        <v>6.4279766082763672</v>
      </c>
      <c r="F3769" s="11">
        <v>7.147453784942627</v>
      </c>
    </row>
    <row r="3770" spans="1:6" hidden="1" x14ac:dyDescent="0.3">
      <c r="A3770" s="6">
        <v>27</v>
      </c>
      <c r="B3770" s="6" t="s">
        <v>135</v>
      </c>
      <c r="C3770" s="6" t="s">
        <v>484</v>
      </c>
      <c r="D3770" s="6" t="s">
        <v>136</v>
      </c>
      <c r="E3770" s="11">
        <v>7.0638599395751953</v>
      </c>
      <c r="F3770" s="11">
        <v>7.147453784942627</v>
      </c>
    </row>
    <row r="3771" spans="1:6" hidden="1" x14ac:dyDescent="0.3">
      <c r="A3771" s="6">
        <v>27</v>
      </c>
      <c r="B3771" s="6" t="s">
        <v>135</v>
      </c>
      <c r="C3771" s="6" t="s">
        <v>485</v>
      </c>
      <c r="D3771" s="6" t="s">
        <v>136</v>
      </c>
      <c r="E3771" s="11">
        <v>10.989465713500977</v>
      </c>
      <c r="F3771" s="11">
        <v>7.147453784942627</v>
      </c>
    </row>
    <row r="3772" spans="1:6" hidden="1" x14ac:dyDescent="0.3">
      <c r="A3772" s="6">
        <v>27</v>
      </c>
      <c r="B3772" s="6" t="s">
        <v>135</v>
      </c>
      <c r="C3772" s="6" t="s">
        <v>486</v>
      </c>
      <c r="D3772" s="6" t="s">
        <v>136</v>
      </c>
      <c r="E3772" s="11">
        <v>4.7372760772705078</v>
      </c>
      <c r="F3772" s="11">
        <v>7.147453784942627</v>
      </c>
    </row>
    <row r="3773" spans="1:6" hidden="1" x14ac:dyDescent="0.3">
      <c r="A3773" s="6">
        <v>27</v>
      </c>
      <c r="B3773" s="6" t="s">
        <v>135</v>
      </c>
      <c r="C3773" s="6" t="s">
        <v>487</v>
      </c>
      <c r="D3773" s="6" t="s">
        <v>136</v>
      </c>
      <c r="E3773" s="11">
        <v>4.4875087738037109</v>
      </c>
      <c r="F3773" s="11">
        <v>7.147453784942627</v>
      </c>
    </row>
    <row r="3774" spans="1:6" hidden="1" x14ac:dyDescent="0.3">
      <c r="A3774" s="6">
        <v>27</v>
      </c>
      <c r="B3774" s="6" t="s">
        <v>135</v>
      </c>
      <c r="C3774" s="6" t="s">
        <v>488</v>
      </c>
      <c r="D3774" s="6" t="s">
        <v>136</v>
      </c>
      <c r="E3774" s="11">
        <v>7.8340110778808594</v>
      </c>
      <c r="F3774" s="11">
        <v>7.147453784942627</v>
      </c>
    </row>
    <row r="3775" spans="1:6" hidden="1" x14ac:dyDescent="0.3">
      <c r="A3775" s="6">
        <v>27</v>
      </c>
      <c r="B3775" s="6" t="s">
        <v>135</v>
      </c>
      <c r="C3775" s="6" t="s">
        <v>489</v>
      </c>
      <c r="D3775" s="6" t="s">
        <v>136</v>
      </c>
      <c r="E3775" s="11">
        <v>16.248231887817383</v>
      </c>
      <c r="F3775" s="11">
        <v>7.147453784942627</v>
      </c>
    </row>
    <row r="3776" spans="1:6" hidden="1" x14ac:dyDescent="0.3">
      <c r="A3776" s="6">
        <v>27</v>
      </c>
      <c r="B3776" s="6" t="s">
        <v>135</v>
      </c>
      <c r="C3776" s="6" t="s">
        <v>490</v>
      </c>
      <c r="D3776" s="6" t="s">
        <v>136</v>
      </c>
      <c r="E3776" s="11">
        <v>6.9717950820922852</v>
      </c>
      <c r="F3776" s="11">
        <v>7.147453784942627</v>
      </c>
    </row>
    <row r="3777" spans="1:6" hidden="1" x14ac:dyDescent="0.3">
      <c r="A3777" s="6">
        <v>27</v>
      </c>
      <c r="B3777" s="6" t="s">
        <v>135</v>
      </c>
      <c r="C3777" s="6" t="s">
        <v>491</v>
      </c>
      <c r="D3777" s="6" t="s">
        <v>136</v>
      </c>
      <c r="E3777" s="11">
        <v>9.3846492767333984</v>
      </c>
      <c r="F3777" s="11">
        <v>7.147453784942627</v>
      </c>
    </row>
    <row r="3778" spans="1:6" hidden="1" x14ac:dyDescent="0.3">
      <c r="A3778" s="6">
        <v>27</v>
      </c>
      <c r="B3778" s="6" t="s">
        <v>135</v>
      </c>
      <c r="C3778" s="6" t="s">
        <v>492</v>
      </c>
      <c r="D3778" s="6" t="s">
        <v>136</v>
      </c>
      <c r="E3778" s="11">
        <v>7.5896925926208496</v>
      </c>
      <c r="F3778" s="11">
        <v>7.147453784942627</v>
      </c>
    </row>
    <row r="3779" spans="1:6" hidden="1" x14ac:dyDescent="0.3">
      <c r="A3779" s="6">
        <v>27</v>
      </c>
      <c r="B3779" s="6" t="s">
        <v>135</v>
      </c>
      <c r="C3779" s="6" t="s">
        <v>493</v>
      </c>
      <c r="D3779" s="6" t="s">
        <v>136</v>
      </c>
      <c r="E3779" s="11">
        <v>8.4315462112426758</v>
      </c>
      <c r="F3779" s="11">
        <v>7.147453784942627</v>
      </c>
    </row>
    <row r="3780" spans="1:6" hidden="1" x14ac:dyDescent="0.3">
      <c r="A3780" s="6">
        <v>27</v>
      </c>
      <c r="B3780" s="6" t="s">
        <v>135</v>
      </c>
      <c r="C3780" s="6" t="s">
        <v>494</v>
      </c>
      <c r="D3780" s="6" t="s">
        <v>136</v>
      </c>
      <c r="E3780" s="11">
        <v>9.1918230056762695</v>
      </c>
      <c r="F3780" s="11">
        <v>7.147453784942627</v>
      </c>
    </row>
    <row r="3781" spans="1:6" hidden="1" x14ac:dyDescent="0.3">
      <c r="A3781" s="6">
        <v>27</v>
      </c>
      <c r="B3781" s="6" t="s">
        <v>135</v>
      </c>
      <c r="C3781" s="6" t="s">
        <v>495</v>
      </c>
      <c r="D3781" s="6" t="s">
        <v>136</v>
      </c>
      <c r="E3781" s="11">
        <v>5.1649899482727051</v>
      </c>
      <c r="F3781" s="11">
        <v>7.147453784942627</v>
      </c>
    </row>
    <row r="3782" spans="1:6" hidden="1" x14ac:dyDescent="0.3">
      <c r="A3782" s="6">
        <v>28</v>
      </c>
      <c r="B3782" s="6" t="s">
        <v>137</v>
      </c>
      <c r="C3782" s="6" t="s">
        <v>356</v>
      </c>
      <c r="D3782" s="6" t="s">
        <v>138</v>
      </c>
      <c r="E3782" s="11">
        <v>6.7550477981567383</v>
      </c>
      <c r="F3782" s="11">
        <v>7.089597225189209</v>
      </c>
    </row>
    <row r="3783" spans="1:6" hidden="1" x14ac:dyDescent="0.3">
      <c r="A3783" s="6">
        <v>28</v>
      </c>
      <c r="B3783" s="6" t="s">
        <v>137</v>
      </c>
      <c r="C3783" s="6" t="s">
        <v>357</v>
      </c>
      <c r="D3783" s="6" t="s">
        <v>138</v>
      </c>
      <c r="E3783" s="11">
        <v>4.9715428352355957</v>
      </c>
      <c r="F3783" s="11">
        <v>7.089597225189209</v>
      </c>
    </row>
    <row r="3784" spans="1:6" hidden="1" x14ac:dyDescent="0.3">
      <c r="A3784" s="6">
        <v>28</v>
      </c>
      <c r="B3784" s="6" t="s">
        <v>137</v>
      </c>
      <c r="C3784" s="6" t="s">
        <v>358</v>
      </c>
      <c r="D3784" s="6" t="s">
        <v>138</v>
      </c>
      <c r="E3784" s="11">
        <v>5.0792160034179688</v>
      </c>
      <c r="F3784" s="11">
        <v>7.089597225189209</v>
      </c>
    </row>
    <row r="3785" spans="1:6" hidden="1" x14ac:dyDescent="0.3">
      <c r="A3785" s="6">
        <v>28</v>
      </c>
      <c r="B3785" s="6" t="s">
        <v>137</v>
      </c>
      <c r="C3785" s="6" t="s">
        <v>359</v>
      </c>
      <c r="D3785" s="6" t="s">
        <v>138</v>
      </c>
      <c r="E3785" s="11">
        <v>11.729730606079102</v>
      </c>
      <c r="F3785" s="11">
        <v>7.089597225189209</v>
      </c>
    </row>
    <row r="3786" spans="1:6" hidden="1" x14ac:dyDescent="0.3">
      <c r="A3786" s="6">
        <v>28</v>
      </c>
      <c r="B3786" s="6" t="s">
        <v>137</v>
      </c>
      <c r="C3786" s="6" t="s">
        <v>360</v>
      </c>
      <c r="D3786" s="6" t="s">
        <v>138</v>
      </c>
      <c r="E3786" s="11">
        <v>4.6514406204223633</v>
      </c>
      <c r="F3786" s="11">
        <v>7.089597225189209</v>
      </c>
    </row>
    <row r="3787" spans="1:6" hidden="1" x14ac:dyDescent="0.3">
      <c r="A3787" s="6">
        <v>28</v>
      </c>
      <c r="B3787" s="6" t="s">
        <v>137</v>
      </c>
      <c r="C3787" s="6" t="s">
        <v>361</v>
      </c>
      <c r="D3787" s="6" t="s">
        <v>138</v>
      </c>
      <c r="E3787" s="11">
        <v>7.0945687294006348</v>
      </c>
      <c r="F3787" s="11">
        <v>7.089597225189209</v>
      </c>
    </row>
    <row r="3788" spans="1:6" hidden="1" x14ac:dyDescent="0.3">
      <c r="A3788" s="6">
        <v>28</v>
      </c>
      <c r="B3788" s="6" t="s">
        <v>137</v>
      </c>
      <c r="C3788" s="6" t="s">
        <v>362</v>
      </c>
      <c r="D3788" s="6" t="s">
        <v>138</v>
      </c>
      <c r="E3788" s="11">
        <v>9.2925148010253906</v>
      </c>
      <c r="F3788" s="11">
        <v>7.089597225189209</v>
      </c>
    </row>
    <row r="3789" spans="1:6" hidden="1" x14ac:dyDescent="0.3">
      <c r="A3789" s="6">
        <v>28</v>
      </c>
      <c r="B3789" s="6" t="s">
        <v>137</v>
      </c>
      <c r="C3789" s="6" t="s">
        <v>363</v>
      </c>
      <c r="D3789" s="6" t="s">
        <v>138</v>
      </c>
      <c r="E3789" s="11">
        <v>12.309107780456543</v>
      </c>
      <c r="F3789" s="11">
        <v>7.089597225189209</v>
      </c>
    </row>
    <row r="3790" spans="1:6" hidden="1" x14ac:dyDescent="0.3">
      <c r="A3790" s="6">
        <v>28</v>
      </c>
      <c r="B3790" s="6" t="s">
        <v>137</v>
      </c>
      <c r="C3790" s="6" t="s">
        <v>364</v>
      </c>
      <c r="D3790" s="6" t="s">
        <v>138</v>
      </c>
      <c r="E3790" s="11">
        <v>17.306385040283203</v>
      </c>
      <c r="F3790" s="11">
        <v>7.089597225189209</v>
      </c>
    </row>
    <row r="3791" spans="1:6" hidden="1" x14ac:dyDescent="0.3">
      <c r="A3791" s="6">
        <v>28</v>
      </c>
      <c r="B3791" s="6" t="s">
        <v>137</v>
      </c>
      <c r="C3791" s="6" t="s">
        <v>365</v>
      </c>
      <c r="D3791" s="6" t="s">
        <v>138</v>
      </c>
      <c r="E3791" s="11">
        <v>4.0318636894226074</v>
      </c>
      <c r="F3791" s="11">
        <v>7.089597225189209</v>
      </c>
    </row>
    <row r="3792" spans="1:6" hidden="1" x14ac:dyDescent="0.3">
      <c r="A3792" s="6">
        <v>28</v>
      </c>
      <c r="B3792" s="6" t="s">
        <v>137</v>
      </c>
      <c r="C3792" s="6" t="s">
        <v>366</v>
      </c>
      <c r="D3792" s="6" t="s">
        <v>138</v>
      </c>
      <c r="E3792" s="11">
        <v>9.3887872695922852</v>
      </c>
      <c r="F3792" s="11">
        <v>7.089597225189209</v>
      </c>
    </row>
    <row r="3793" spans="1:6" hidden="1" x14ac:dyDescent="0.3">
      <c r="A3793" s="6">
        <v>28</v>
      </c>
      <c r="B3793" s="6" t="s">
        <v>137</v>
      </c>
      <c r="C3793" s="6" t="s">
        <v>367</v>
      </c>
      <c r="D3793" s="6" t="s">
        <v>138</v>
      </c>
      <c r="E3793" s="11">
        <v>5.7871708869934082</v>
      </c>
      <c r="F3793" s="11">
        <v>7.089597225189209</v>
      </c>
    </row>
    <row r="3794" spans="1:6" hidden="1" x14ac:dyDescent="0.3">
      <c r="A3794" s="6">
        <v>28</v>
      </c>
      <c r="B3794" s="6" t="s">
        <v>137</v>
      </c>
      <c r="C3794" s="6" t="s">
        <v>368</v>
      </c>
      <c r="D3794" s="6" t="s">
        <v>138</v>
      </c>
      <c r="E3794" s="11">
        <v>4.9373369216918945</v>
      </c>
      <c r="F3794" s="11">
        <v>7.089597225189209</v>
      </c>
    </row>
    <row r="3795" spans="1:6" hidden="1" x14ac:dyDescent="0.3">
      <c r="A3795" s="6">
        <v>28</v>
      </c>
      <c r="B3795" s="6" t="s">
        <v>137</v>
      </c>
      <c r="C3795" s="6" t="s">
        <v>369</v>
      </c>
      <c r="D3795" s="6" t="s">
        <v>138</v>
      </c>
      <c r="E3795" s="11">
        <v>6.9056000709533691</v>
      </c>
      <c r="F3795" s="11">
        <v>7.089597225189209</v>
      </c>
    </row>
    <row r="3796" spans="1:6" hidden="1" x14ac:dyDescent="0.3">
      <c r="A3796" s="6">
        <v>28</v>
      </c>
      <c r="B3796" s="6" t="s">
        <v>137</v>
      </c>
      <c r="C3796" s="6" t="s">
        <v>370</v>
      </c>
      <c r="D3796" s="6" t="s">
        <v>138</v>
      </c>
      <c r="E3796" s="11">
        <v>5.8389511108398438</v>
      </c>
      <c r="F3796" s="11">
        <v>7.089597225189209</v>
      </c>
    </row>
    <row r="3797" spans="1:6" hidden="1" x14ac:dyDescent="0.3">
      <c r="A3797" s="6">
        <v>28</v>
      </c>
      <c r="B3797" s="6" t="s">
        <v>137</v>
      </c>
      <c r="C3797" s="6" t="s">
        <v>371</v>
      </c>
      <c r="D3797" s="6" t="s">
        <v>138</v>
      </c>
      <c r="E3797" s="11">
        <v>5.4701104164123535</v>
      </c>
      <c r="F3797" s="11">
        <v>7.089597225189209</v>
      </c>
    </row>
    <row r="3798" spans="1:6" hidden="1" x14ac:dyDescent="0.3">
      <c r="A3798" s="6">
        <v>28</v>
      </c>
      <c r="B3798" s="6" t="s">
        <v>137</v>
      </c>
      <c r="C3798" s="6" t="s">
        <v>372</v>
      </c>
      <c r="D3798" s="6" t="s">
        <v>138</v>
      </c>
      <c r="E3798" s="11">
        <v>9.9922771453857422</v>
      </c>
      <c r="F3798" s="11">
        <v>7.089597225189209</v>
      </c>
    </row>
    <row r="3799" spans="1:6" hidden="1" x14ac:dyDescent="0.3">
      <c r="A3799" s="6">
        <v>28</v>
      </c>
      <c r="B3799" s="6" t="s">
        <v>137</v>
      </c>
      <c r="C3799" s="6" t="s">
        <v>373</v>
      </c>
      <c r="D3799" s="6" t="s">
        <v>138</v>
      </c>
      <c r="E3799" s="11">
        <v>8.3949308395385742</v>
      </c>
      <c r="F3799" s="11">
        <v>7.089597225189209</v>
      </c>
    </row>
    <row r="3800" spans="1:6" hidden="1" x14ac:dyDescent="0.3">
      <c r="A3800" s="6">
        <v>28</v>
      </c>
      <c r="B3800" s="6" t="s">
        <v>137</v>
      </c>
      <c r="C3800" s="6" t="s">
        <v>374</v>
      </c>
      <c r="D3800" s="6" t="s">
        <v>138</v>
      </c>
      <c r="E3800" s="11">
        <v>4.9702701568603516</v>
      </c>
      <c r="F3800" s="11">
        <v>7.089597225189209</v>
      </c>
    </row>
    <row r="3801" spans="1:6" hidden="1" x14ac:dyDescent="0.3">
      <c r="A3801" s="6">
        <v>28</v>
      </c>
      <c r="B3801" s="6" t="s">
        <v>137</v>
      </c>
      <c r="C3801" s="6" t="s">
        <v>375</v>
      </c>
      <c r="D3801" s="6" t="s">
        <v>138</v>
      </c>
      <c r="E3801" s="11">
        <v>6.6653046607971191</v>
      </c>
      <c r="F3801" s="11">
        <v>7.089597225189209</v>
      </c>
    </row>
    <row r="3802" spans="1:6" hidden="1" x14ac:dyDescent="0.3">
      <c r="A3802" s="6">
        <v>28</v>
      </c>
      <c r="B3802" s="6" t="s">
        <v>137</v>
      </c>
      <c r="C3802" s="6" t="s">
        <v>376</v>
      </c>
      <c r="D3802" s="6" t="s">
        <v>138</v>
      </c>
      <c r="E3802" s="11">
        <v>6.1379408836364746</v>
      </c>
      <c r="F3802" s="11">
        <v>7.089597225189209</v>
      </c>
    </row>
    <row r="3803" spans="1:6" hidden="1" x14ac:dyDescent="0.3">
      <c r="A3803" s="6">
        <v>28</v>
      </c>
      <c r="B3803" s="6" t="s">
        <v>137</v>
      </c>
      <c r="C3803" s="6" t="s">
        <v>377</v>
      </c>
      <c r="D3803" s="6" t="s">
        <v>138</v>
      </c>
      <c r="E3803" s="11">
        <v>8.9950923919677734</v>
      </c>
      <c r="F3803" s="11">
        <v>7.089597225189209</v>
      </c>
    </row>
    <row r="3804" spans="1:6" hidden="1" x14ac:dyDescent="0.3">
      <c r="A3804" s="6">
        <v>28</v>
      </c>
      <c r="B3804" s="6" t="s">
        <v>137</v>
      </c>
      <c r="C3804" s="6" t="s">
        <v>378</v>
      </c>
      <c r="D3804" s="6" t="s">
        <v>138</v>
      </c>
      <c r="E3804" s="11">
        <v>5.3857622146606445</v>
      </c>
      <c r="F3804" s="11">
        <v>7.089597225189209</v>
      </c>
    </row>
    <row r="3805" spans="1:6" hidden="1" x14ac:dyDescent="0.3">
      <c r="A3805" s="6">
        <v>28</v>
      </c>
      <c r="B3805" s="6" t="s">
        <v>137</v>
      </c>
      <c r="C3805" s="6" t="s">
        <v>379</v>
      </c>
      <c r="D3805" s="6" t="s">
        <v>138</v>
      </c>
      <c r="E3805" s="11">
        <v>4.6095004081726074</v>
      </c>
      <c r="F3805" s="11">
        <v>7.089597225189209</v>
      </c>
    </row>
    <row r="3806" spans="1:6" hidden="1" x14ac:dyDescent="0.3">
      <c r="A3806" s="6">
        <v>28</v>
      </c>
      <c r="B3806" s="6" t="s">
        <v>137</v>
      </c>
      <c r="C3806" s="6" t="s">
        <v>380</v>
      </c>
      <c r="D3806" s="6" t="s">
        <v>138</v>
      </c>
      <c r="E3806" s="11">
        <v>5.2735347747802734</v>
      </c>
      <c r="F3806" s="11">
        <v>7.089597225189209</v>
      </c>
    </row>
    <row r="3807" spans="1:6" hidden="1" x14ac:dyDescent="0.3">
      <c r="A3807" s="6">
        <v>28</v>
      </c>
      <c r="B3807" s="6" t="s">
        <v>137</v>
      </c>
      <c r="C3807" s="6" t="s">
        <v>381</v>
      </c>
      <c r="D3807" s="6" t="s">
        <v>138</v>
      </c>
      <c r="E3807" s="11">
        <v>8.1026124954223633</v>
      </c>
      <c r="F3807" s="11">
        <v>7.089597225189209</v>
      </c>
    </row>
    <row r="3808" spans="1:6" hidden="1" x14ac:dyDescent="0.3">
      <c r="A3808" s="6">
        <v>28</v>
      </c>
      <c r="B3808" s="6" t="s">
        <v>137</v>
      </c>
      <c r="C3808" s="6" t="s">
        <v>382</v>
      </c>
      <c r="D3808" s="6" t="s">
        <v>138</v>
      </c>
      <c r="E3808" s="11">
        <v>5.1192159652709961</v>
      </c>
      <c r="F3808" s="11">
        <v>7.089597225189209</v>
      </c>
    </row>
    <row r="3809" spans="1:6" hidden="1" x14ac:dyDescent="0.3">
      <c r="A3809" s="6">
        <v>28</v>
      </c>
      <c r="B3809" s="6" t="s">
        <v>137</v>
      </c>
      <c r="C3809" s="6" t="s">
        <v>383</v>
      </c>
      <c r="D3809" s="6" t="s">
        <v>138</v>
      </c>
      <c r="E3809" s="11">
        <v>6.6024494171142578</v>
      </c>
      <c r="F3809" s="11">
        <v>7.089597225189209</v>
      </c>
    </row>
    <row r="3810" spans="1:6" hidden="1" x14ac:dyDescent="0.3">
      <c r="A3810" s="6">
        <v>28</v>
      </c>
      <c r="B3810" s="6" t="s">
        <v>137</v>
      </c>
      <c r="C3810" s="6" t="s">
        <v>384</v>
      </c>
      <c r="D3810" s="6" t="s">
        <v>138</v>
      </c>
      <c r="E3810" s="11">
        <v>8.1475715637207031</v>
      </c>
      <c r="F3810" s="11">
        <v>7.089597225189209</v>
      </c>
    </row>
    <row r="3811" spans="1:6" hidden="1" x14ac:dyDescent="0.3">
      <c r="A3811" s="6">
        <v>28</v>
      </c>
      <c r="B3811" s="6" t="s">
        <v>137</v>
      </c>
      <c r="C3811" s="6" t="s">
        <v>385</v>
      </c>
      <c r="D3811" s="6" t="s">
        <v>138</v>
      </c>
      <c r="E3811" s="11">
        <v>9.0971193313598633</v>
      </c>
      <c r="F3811" s="11">
        <v>7.089597225189209</v>
      </c>
    </row>
    <row r="3812" spans="1:6" hidden="1" x14ac:dyDescent="0.3">
      <c r="A3812" s="6">
        <v>28</v>
      </c>
      <c r="B3812" s="6" t="s">
        <v>137</v>
      </c>
      <c r="C3812" s="6" t="s">
        <v>386</v>
      </c>
      <c r="D3812" s="6" t="s">
        <v>138</v>
      </c>
      <c r="E3812" s="11">
        <v>5.7535824775695801</v>
      </c>
      <c r="F3812" s="11">
        <v>7.089597225189209</v>
      </c>
    </row>
    <row r="3813" spans="1:6" hidden="1" x14ac:dyDescent="0.3">
      <c r="A3813" s="6">
        <v>28</v>
      </c>
      <c r="B3813" s="6" t="s">
        <v>137</v>
      </c>
      <c r="C3813" s="6" t="s">
        <v>387</v>
      </c>
      <c r="D3813" s="6" t="s">
        <v>138</v>
      </c>
      <c r="E3813" s="11">
        <v>5.1157574653625488</v>
      </c>
      <c r="F3813" s="11">
        <v>7.089597225189209</v>
      </c>
    </row>
    <row r="3814" spans="1:6" hidden="1" x14ac:dyDescent="0.3">
      <c r="A3814" s="6">
        <v>28</v>
      </c>
      <c r="B3814" s="6" t="s">
        <v>137</v>
      </c>
      <c r="C3814" s="6" t="s">
        <v>388</v>
      </c>
      <c r="D3814" s="6" t="s">
        <v>138</v>
      </c>
      <c r="E3814" s="11">
        <v>4.3180122375488281</v>
      </c>
      <c r="F3814" s="11">
        <v>7.089597225189209</v>
      </c>
    </row>
    <row r="3815" spans="1:6" hidden="1" x14ac:dyDescent="0.3">
      <c r="A3815" s="6">
        <v>28</v>
      </c>
      <c r="B3815" s="6" t="s">
        <v>137</v>
      </c>
      <c r="C3815" s="6" t="s">
        <v>389</v>
      </c>
      <c r="D3815" s="6" t="s">
        <v>138</v>
      </c>
      <c r="E3815" s="11">
        <v>6.6036233901977539</v>
      </c>
      <c r="F3815" s="11">
        <v>7.089597225189209</v>
      </c>
    </row>
    <row r="3816" spans="1:6" hidden="1" x14ac:dyDescent="0.3">
      <c r="A3816" s="6">
        <v>28</v>
      </c>
      <c r="B3816" s="6" t="s">
        <v>137</v>
      </c>
      <c r="C3816" s="6" t="s">
        <v>390</v>
      </c>
      <c r="D3816" s="6" t="s">
        <v>138</v>
      </c>
      <c r="E3816" s="11">
        <v>9.1753568649291992</v>
      </c>
      <c r="F3816" s="11">
        <v>7.089597225189209</v>
      </c>
    </row>
    <row r="3817" spans="1:6" hidden="1" x14ac:dyDescent="0.3">
      <c r="A3817" s="6">
        <v>28</v>
      </c>
      <c r="B3817" s="6" t="s">
        <v>137</v>
      </c>
      <c r="C3817" s="6" t="s">
        <v>391</v>
      </c>
      <c r="D3817" s="6" t="s">
        <v>138</v>
      </c>
      <c r="E3817" s="11">
        <v>53.730949401855469</v>
      </c>
      <c r="F3817" s="11">
        <v>7.089597225189209</v>
      </c>
    </row>
    <row r="3818" spans="1:6" hidden="1" x14ac:dyDescent="0.3">
      <c r="A3818" s="6">
        <v>28</v>
      </c>
      <c r="B3818" s="6" t="s">
        <v>137</v>
      </c>
      <c r="C3818" s="6" t="s">
        <v>392</v>
      </c>
      <c r="D3818" s="6" t="s">
        <v>138</v>
      </c>
      <c r="E3818" s="11">
        <v>6.9632935523986816</v>
      </c>
      <c r="F3818" s="11">
        <v>7.089597225189209</v>
      </c>
    </row>
    <row r="3819" spans="1:6" hidden="1" x14ac:dyDescent="0.3">
      <c r="A3819" s="6">
        <v>28</v>
      </c>
      <c r="B3819" s="6" t="s">
        <v>137</v>
      </c>
      <c r="C3819" s="6" t="s">
        <v>393</v>
      </c>
      <c r="D3819" s="6" t="s">
        <v>138</v>
      </c>
      <c r="E3819" s="11">
        <v>8.0651264190673828</v>
      </c>
      <c r="F3819" s="11">
        <v>7.089597225189209</v>
      </c>
    </row>
    <row r="3820" spans="1:6" hidden="1" x14ac:dyDescent="0.3">
      <c r="A3820" s="6">
        <v>28</v>
      </c>
      <c r="B3820" s="6" t="s">
        <v>137</v>
      </c>
      <c r="C3820" s="6" t="s">
        <v>394</v>
      </c>
      <c r="D3820" s="6" t="s">
        <v>138</v>
      </c>
      <c r="E3820" s="11">
        <v>5.5243129730224609</v>
      </c>
      <c r="F3820" s="11">
        <v>7.089597225189209</v>
      </c>
    </row>
    <row r="3821" spans="1:6" hidden="1" x14ac:dyDescent="0.3">
      <c r="A3821" s="6">
        <v>28</v>
      </c>
      <c r="B3821" s="6" t="s">
        <v>137</v>
      </c>
      <c r="C3821" s="6" t="s">
        <v>395</v>
      </c>
      <c r="D3821" s="6" t="s">
        <v>138</v>
      </c>
      <c r="E3821" s="11">
        <v>7.7909994125366211</v>
      </c>
      <c r="F3821" s="11">
        <v>7.089597225189209</v>
      </c>
    </row>
    <row r="3822" spans="1:6" hidden="1" x14ac:dyDescent="0.3">
      <c r="A3822" s="6">
        <v>28</v>
      </c>
      <c r="B3822" s="6" t="s">
        <v>137</v>
      </c>
      <c r="C3822" s="6" t="s">
        <v>396</v>
      </c>
      <c r="D3822" s="6" t="s">
        <v>138</v>
      </c>
      <c r="E3822" s="11">
        <v>3.5582382678985596</v>
      </c>
      <c r="F3822" s="11">
        <v>7.089597225189209</v>
      </c>
    </row>
    <row r="3823" spans="1:6" hidden="1" x14ac:dyDescent="0.3">
      <c r="A3823" s="6">
        <v>28</v>
      </c>
      <c r="B3823" s="6" t="s">
        <v>137</v>
      </c>
      <c r="C3823" s="6" t="s">
        <v>397</v>
      </c>
      <c r="D3823" s="6" t="s">
        <v>138</v>
      </c>
      <c r="E3823" s="11">
        <v>7.217566967010498</v>
      </c>
      <c r="F3823" s="11">
        <v>7.089597225189209</v>
      </c>
    </row>
    <row r="3824" spans="1:6" hidden="1" x14ac:dyDescent="0.3">
      <c r="A3824" s="6">
        <v>28</v>
      </c>
      <c r="B3824" s="6" t="s">
        <v>137</v>
      </c>
      <c r="C3824" s="6" t="s">
        <v>398</v>
      </c>
      <c r="D3824" s="6" t="s">
        <v>138</v>
      </c>
      <c r="E3824" s="11">
        <v>4.5212540626525879</v>
      </c>
      <c r="F3824" s="11">
        <v>7.089597225189209</v>
      </c>
    </row>
    <row r="3825" spans="1:6" hidden="1" x14ac:dyDescent="0.3">
      <c r="A3825" s="6">
        <v>28</v>
      </c>
      <c r="B3825" s="6" t="s">
        <v>137</v>
      </c>
      <c r="C3825" s="6" t="s">
        <v>399</v>
      </c>
      <c r="D3825" s="6" t="s">
        <v>138</v>
      </c>
      <c r="E3825" s="11">
        <v>7.6401686668395996</v>
      </c>
      <c r="F3825" s="11">
        <v>7.089597225189209</v>
      </c>
    </row>
    <row r="3826" spans="1:6" hidden="1" x14ac:dyDescent="0.3">
      <c r="A3826" s="6">
        <v>28</v>
      </c>
      <c r="B3826" s="6" t="s">
        <v>137</v>
      </c>
      <c r="C3826" s="6" t="s">
        <v>400</v>
      </c>
      <c r="D3826" s="6" t="s">
        <v>138</v>
      </c>
      <c r="E3826" s="11">
        <v>5.588496208190918</v>
      </c>
      <c r="F3826" s="11">
        <v>7.089597225189209</v>
      </c>
    </row>
    <row r="3827" spans="1:6" hidden="1" x14ac:dyDescent="0.3">
      <c r="A3827" s="6">
        <v>28</v>
      </c>
      <c r="B3827" s="6" t="s">
        <v>137</v>
      </c>
      <c r="C3827" s="6" t="s">
        <v>401</v>
      </c>
      <c r="D3827" s="6" t="s">
        <v>138</v>
      </c>
      <c r="E3827" s="11">
        <v>10.910089492797852</v>
      </c>
      <c r="F3827" s="11">
        <v>7.089597225189209</v>
      </c>
    </row>
    <row r="3828" spans="1:6" hidden="1" x14ac:dyDescent="0.3">
      <c r="A3828" s="6">
        <v>28</v>
      </c>
      <c r="B3828" s="6" t="s">
        <v>137</v>
      </c>
      <c r="C3828" s="6" t="s">
        <v>402</v>
      </c>
      <c r="D3828" s="6" t="s">
        <v>138</v>
      </c>
      <c r="E3828" s="11">
        <v>5.9146146774291992</v>
      </c>
      <c r="F3828" s="11">
        <v>7.089597225189209</v>
      </c>
    </row>
    <row r="3829" spans="1:6" hidden="1" x14ac:dyDescent="0.3">
      <c r="A3829" s="6">
        <v>28</v>
      </c>
      <c r="B3829" s="6" t="s">
        <v>137</v>
      </c>
      <c r="C3829" s="6" t="s">
        <v>403</v>
      </c>
      <c r="D3829" s="6" t="s">
        <v>138</v>
      </c>
      <c r="E3829" s="11">
        <v>7.0612645149230957</v>
      </c>
      <c r="F3829" s="11">
        <v>7.089597225189209</v>
      </c>
    </row>
    <row r="3830" spans="1:6" hidden="1" x14ac:dyDescent="0.3">
      <c r="A3830" s="6">
        <v>28</v>
      </c>
      <c r="B3830" s="6" t="s">
        <v>137</v>
      </c>
      <c r="C3830" s="6" t="s">
        <v>404</v>
      </c>
      <c r="D3830" s="6" t="s">
        <v>138</v>
      </c>
      <c r="E3830" s="11">
        <v>6.004814624786377</v>
      </c>
      <c r="F3830" s="11">
        <v>7.089597225189209</v>
      </c>
    </row>
    <row r="3831" spans="1:6" hidden="1" x14ac:dyDescent="0.3">
      <c r="A3831" s="6">
        <v>28</v>
      </c>
      <c r="B3831" s="6" t="s">
        <v>137</v>
      </c>
      <c r="C3831" s="6" t="s">
        <v>405</v>
      </c>
      <c r="D3831" s="6" t="s">
        <v>138</v>
      </c>
      <c r="E3831" s="11">
        <v>7.7521357536315918</v>
      </c>
      <c r="F3831" s="11">
        <v>7.089597225189209</v>
      </c>
    </row>
    <row r="3832" spans="1:6" hidden="1" x14ac:dyDescent="0.3">
      <c r="A3832" s="6">
        <v>28</v>
      </c>
      <c r="B3832" s="6" t="s">
        <v>137</v>
      </c>
      <c r="C3832" s="6" t="s">
        <v>406</v>
      </c>
      <c r="D3832" s="6" t="s">
        <v>138</v>
      </c>
      <c r="E3832" s="11">
        <v>6.7960696220397949</v>
      </c>
      <c r="F3832" s="11">
        <v>7.089597225189209</v>
      </c>
    </row>
    <row r="3833" spans="1:6" hidden="1" x14ac:dyDescent="0.3">
      <c r="A3833" s="6">
        <v>28</v>
      </c>
      <c r="B3833" s="6" t="s">
        <v>137</v>
      </c>
      <c r="C3833" s="6" t="s">
        <v>407</v>
      </c>
      <c r="D3833" s="6" t="s">
        <v>138</v>
      </c>
      <c r="E3833" s="11">
        <v>5.6082625389099121</v>
      </c>
      <c r="F3833" s="11">
        <v>7.089597225189209</v>
      </c>
    </row>
    <row r="3834" spans="1:6" hidden="1" x14ac:dyDescent="0.3">
      <c r="A3834" s="6">
        <v>28</v>
      </c>
      <c r="B3834" s="6" t="s">
        <v>137</v>
      </c>
      <c r="C3834" s="6" t="s">
        <v>408</v>
      </c>
      <c r="D3834" s="6" t="s">
        <v>138</v>
      </c>
      <c r="E3834" s="11">
        <v>6.7914209365844727</v>
      </c>
      <c r="F3834" s="11">
        <v>7.089597225189209</v>
      </c>
    </row>
    <row r="3835" spans="1:6" hidden="1" x14ac:dyDescent="0.3">
      <c r="A3835" s="6">
        <v>28</v>
      </c>
      <c r="B3835" s="6" t="s">
        <v>137</v>
      </c>
      <c r="C3835" s="6" t="s">
        <v>409</v>
      </c>
      <c r="D3835" s="6" t="s">
        <v>138</v>
      </c>
      <c r="E3835" s="11">
        <v>7.1808075904846191</v>
      </c>
      <c r="F3835" s="11">
        <v>7.089597225189209</v>
      </c>
    </row>
    <row r="3836" spans="1:6" hidden="1" x14ac:dyDescent="0.3">
      <c r="A3836" s="6">
        <v>28</v>
      </c>
      <c r="B3836" s="6" t="s">
        <v>137</v>
      </c>
      <c r="C3836" s="6" t="s">
        <v>410</v>
      </c>
      <c r="D3836" s="6" t="s">
        <v>138</v>
      </c>
      <c r="E3836" s="11">
        <v>5.0341386795043945</v>
      </c>
      <c r="F3836" s="11">
        <v>7.089597225189209</v>
      </c>
    </row>
    <row r="3837" spans="1:6" hidden="1" x14ac:dyDescent="0.3">
      <c r="A3837" s="6">
        <v>28</v>
      </c>
      <c r="B3837" s="6" t="s">
        <v>137</v>
      </c>
      <c r="C3837" s="6" t="s">
        <v>411</v>
      </c>
      <c r="D3837" s="6" t="s">
        <v>138</v>
      </c>
      <c r="E3837" s="11">
        <v>5.2874746322631836</v>
      </c>
      <c r="F3837" s="11">
        <v>7.089597225189209</v>
      </c>
    </row>
    <row r="3838" spans="1:6" hidden="1" x14ac:dyDescent="0.3">
      <c r="A3838" s="6">
        <v>28</v>
      </c>
      <c r="B3838" s="6" t="s">
        <v>137</v>
      </c>
      <c r="C3838" s="6" t="s">
        <v>412</v>
      </c>
      <c r="D3838" s="6" t="s">
        <v>138</v>
      </c>
      <c r="E3838" s="11">
        <v>8.0523605346679688</v>
      </c>
      <c r="F3838" s="11">
        <v>7.089597225189209</v>
      </c>
    </row>
    <row r="3839" spans="1:6" hidden="1" x14ac:dyDescent="0.3">
      <c r="A3839" s="6">
        <v>28</v>
      </c>
      <c r="B3839" s="6" t="s">
        <v>137</v>
      </c>
      <c r="C3839" s="6" t="s">
        <v>413</v>
      </c>
      <c r="D3839" s="6" t="s">
        <v>138</v>
      </c>
      <c r="E3839" s="11">
        <v>10.557772636413574</v>
      </c>
      <c r="F3839" s="11">
        <v>7.089597225189209</v>
      </c>
    </row>
    <row r="3840" spans="1:6" hidden="1" x14ac:dyDescent="0.3">
      <c r="A3840" s="6">
        <v>28</v>
      </c>
      <c r="B3840" s="6" t="s">
        <v>137</v>
      </c>
      <c r="C3840" s="6" t="s">
        <v>414</v>
      </c>
      <c r="D3840" s="6" t="s">
        <v>138</v>
      </c>
      <c r="E3840" s="11">
        <v>10.977030754089355</v>
      </c>
      <c r="F3840" s="11">
        <v>7.089597225189209</v>
      </c>
    </row>
    <row r="3841" spans="1:6" hidden="1" x14ac:dyDescent="0.3">
      <c r="A3841" s="6">
        <v>28</v>
      </c>
      <c r="B3841" s="6" t="s">
        <v>137</v>
      </c>
      <c r="C3841" s="6" t="s">
        <v>415</v>
      </c>
      <c r="D3841" s="6" t="s">
        <v>138</v>
      </c>
      <c r="E3841" s="11">
        <v>56.443519592285156</v>
      </c>
      <c r="F3841" s="11">
        <v>7.089597225189209</v>
      </c>
    </row>
    <row r="3842" spans="1:6" hidden="1" x14ac:dyDescent="0.3">
      <c r="A3842" s="6">
        <v>28</v>
      </c>
      <c r="B3842" s="6" t="s">
        <v>137</v>
      </c>
      <c r="C3842" s="6" t="s">
        <v>416</v>
      </c>
      <c r="D3842" s="6" t="s">
        <v>138</v>
      </c>
      <c r="E3842" s="11">
        <v>5.748079776763916</v>
      </c>
      <c r="F3842" s="11">
        <v>7.089597225189209</v>
      </c>
    </row>
    <row r="3843" spans="1:6" hidden="1" x14ac:dyDescent="0.3">
      <c r="A3843" s="6">
        <v>28</v>
      </c>
      <c r="B3843" s="6" t="s">
        <v>137</v>
      </c>
      <c r="C3843" s="6" t="s">
        <v>417</v>
      </c>
      <c r="D3843" s="6" t="s">
        <v>138</v>
      </c>
      <c r="E3843" s="11">
        <v>7.7929935455322266</v>
      </c>
      <c r="F3843" s="11">
        <v>7.089597225189209</v>
      </c>
    </row>
    <row r="3844" spans="1:6" hidden="1" x14ac:dyDescent="0.3">
      <c r="A3844" s="6">
        <v>28</v>
      </c>
      <c r="B3844" s="6" t="s">
        <v>137</v>
      </c>
      <c r="C3844" s="6" t="s">
        <v>418</v>
      </c>
      <c r="D3844" s="6" t="s">
        <v>138</v>
      </c>
      <c r="E3844" s="11">
        <v>4.6109018325805664</v>
      </c>
      <c r="F3844" s="11">
        <v>7.089597225189209</v>
      </c>
    </row>
    <row r="3845" spans="1:6" hidden="1" x14ac:dyDescent="0.3">
      <c r="A3845" s="6">
        <v>28</v>
      </c>
      <c r="B3845" s="6" t="s">
        <v>137</v>
      </c>
      <c r="C3845" s="6" t="s">
        <v>419</v>
      </c>
      <c r="D3845" s="6" t="s">
        <v>138</v>
      </c>
      <c r="E3845" s="11">
        <v>4.4722580909729004</v>
      </c>
      <c r="F3845" s="11">
        <v>7.089597225189209</v>
      </c>
    </row>
    <row r="3846" spans="1:6" hidden="1" x14ac:dyDescent="0.3">
      <c r="A3846" s="6">
        <v>28</v>
      </c>
      <c r="B3846" s="6" t="s">
        <v>137</v>
      </c>
      <c r="C3846" s="6" t="s">
        <v>420</v>
      </c>
      <c r="D3846" s="6" t="s">
        <v>138</v>
      </c>
      <c r="E3846" s="11">
        <v>4.8917074203491211</v>
      </c>
      <c r="F3846" s="11">
        <v>7.089597225189209</v>
      </c>
    </row>
    <row r="3847" spans="1:6" hidden="1" x14ac:dyDescent="0.3">
      <c r="A3847" s="6">
        <v>28</v>
      </c>
      <c r="B3847" s="6" t="s">
        <v>137</v>
      </c>
      <c r="C3847" s="6" t="s">
        <v>421</v>
      </c>
      <c r="D3847" s="6" t="s">
        <v>138</v>
      </c>
      <c r="E3847" s="11">
        <v>4.8196921348571777</v>
      </c>
      <c r="F3847" s="11">
        <v>7.089597225189209</v>
      </c>
    </row>
    <row r="3848" spans="1:6" hidden="1" x14ac:dyDescent="0.3">
      <c r="A3848" s="6">
        <v>28</v>
      </c>
      <c r="B3848" s="6" t="s">
        <v>137</v>
      </c>
      <c r="C3848" s="6" t="s">
        <v>422</v>
      </c>
      <c r="D3848" s="6" t="s">
        <v>138</v>
      </c>
      <c r="E3848" s="11">
        <v>7.4583563804626465</v>
      </c>
      <c r="F3848" s="11">
        <v>7.089597225189209</v>
      </c>
    </row>
    <row r="3849" spans="1:6" hidden="1" x14ac:dyDescent="0.3">
      <c r="A3849" s="6">
        <v>28</v>
      </c>
      <c r="B3849" s="6" t="s">
        <v>137</v>
      </c>
      <c r="C3849" s="6" t="s">
        <v>423</v>
      </c>
      <c r="D3849" s="6" t="s">
        <v>138</v>
      </c>
      <c r="E3849" s="11">
        <v>7.389132022857666</v>
      </c>
      <c r="F3849" s="11">
        <v>7.089597225189209</v>
      </c>
    </row>
    <row r="3850" spans="1:6" hidden="1" x14ac:dyDescent="0.3">
      <c r="A3850" s="6">
        <v>28</v>
      </c>
      <c r="B3850" s="6" t="s">
        <v>137</v>
      </c>
      <c r="C3850" s="6" t="s">
        <v>424</v>
      </c>
      <c r="D3850" s="6" t="s">
        <v>138</v>
      </c>
      <c r="E3850" s="11">
        <v>5.6944704055786133</v>
      </c>
      <c r="F3850" s="11">
        <v>7.089597225189209</v>
      </c>
    </row>
    <row r="3851" spans="1:6" hidden="1" x14ac:dyDescent="0.3">
      <c r="A3851" s="6">
        <v>28</v>
      </c>
      <c r="B3851" s="6" t="s">
        <v>137</v>
      </c>
      <c r="C3851" s="6" t="s">
        <v>425</v>
      </c>
      <c r="D3851" s="6" t="s">
        <v>138</v>
      </c>
      <c r="E3851" s="11">
        <v>6.1221580505371094</v>
      </c>
      <c r="F3851" s="11">
        <v>7.089597225189209</v>
      </c>
    </row>
    <row r="3852" spans="1:6" hidden="1" x14ac:dyDescent="0.3">
      <c r="A3852" s="6">
        <v>28</v>
      </c>
      <c r="B3852" s="6" t="s">
        <v>137</v>
      </c>
      <c r="C3852" s="6" t="s">
        <v>426</v>
      </c>
      <c r="D3852" s="6" t="s">
        <v>138</v>
      </c>
      <c r="E3852" s="11">
        <v>5.2129473686218262</v>
      </c>
      <c r="F3852" s="11">
        <v>7.089597225189209</v>
      </c>
    </row>
    <row r="3853" spans="1:6" hidden="1" x14ac:dyDescent="0.3">
      <c r="A3853" s="6">
        <v>28</v>
      </c>
      <c r="B3853" s="6" t="s">
        <v>137</v>
      </c>
      <c r="C3853" s="6" t="s">
        <v>427</v>
      </c>
      <c r="D3853" s="6" t="s">
        <v>138</v>
      </c>
      <c r="E3853" s="11">
        <v>4.9030532836914063</v>
      </c>
      <c r="F3853" s="11">
        <v>7.089597225189209</v>
      </c>
    </row>
    <row r="3854" spans="1:6" hidden="1" x14ac:dyDescent="0.3">
      <c r="A3854" s="6">
        <v>28</v>
      </c>
      <c r="B3854" s="6" t="s">
        <v>137</v>
      </c>
      <c r="C3854" s="6" t="s">
        <v>428</v>
      </c>
      <c r="D3854" s="6" t="s">
        <v>138</v>
      </c>
      <c r="E3854" s="11">
        <v>23.709352493286133</v>
      </c>
      <c r="F3854" s="11">
        <v>7.089597225189209</v>
      </c>
    </row>
    <row r="3855" spans="1:6" hidden="1" x14ac:dyDescent="0.3">
      <c r="A3855" s="6">
        <v>28</v>
      </c>
      <c r="B3855" s="6" t="s">
        <v>137</v>
      </c>
      <c r="C3855" s="6" t="s">
        <v>429</v>
      </c>
      <c r="D3855" s="6" t="s">
        <v>138</v>
      </c>
      <c r="E3855" s="11">
        <v>6.5387134552001953</v>
      </c>
      <c r="F3855" s="11">
        <v>7.089597225189209</v>
      </c>
    </row>
    <row r="3856" spans="1:6" hidden="1" x14ac:dyDescent="0.3">
      <c r="A3856" s="6">
        <v>28</v>
      </c>
      <c r="B3856" s="6" t="s">
        <v>137</v>
      </c>
      <c r="C3856" s="6" t="s">
        <v>430</v>
      </c>
      <c r="D3856" s="6" t="s">
        <v>138</v>
      </c>
      <c r="E3856" s="11">
        <v>5.3462953567504883</v>
      </c>
      <c r="F3856" s="11">
        <v>7.089597225189209</v>
      </c>
    </row>
    <row r="3857" spans="1:6" hidden="1" x14ac:dyDescent="0.3">
      <c r="A3857" s="6">
        <v>28</v>
      </c>
      <c r="B3857" s="6" t="s">
        <v>137</v>
      </c>
      <c r="C3857" s="6" t="s">
        <v>431</v>
      </c>
      <c r="D3857" s="6" t="s">
        <v>138</v>
      </c>
      <c r="E3857" s="11">
        <v>5.0335273742675781</v>
      </c>
      <c r="F3857" s="11">
        <v>7.089597225189209</v>
      </c>
    </row>
    <row r="3858" spans="1:6" hidden="1" x14ac:dyDescent="0.3">
      <c r="A3858" s="6">
        <v>28</v>
      </c>
      <c r="B3858" s="6" t="s">
        <v>137</v>
      </c>
      <c r="C3858" s="6" t="s">
        <v>432</v>
      </c>
      <c r="D3858" s="6" t="s">
        <v>138</v>
      </c>
      <c r="E3858" s="11">
        <v>5.4010438919067383</v>
      </c>
      <c r="F3858" s="11">
        <v>7.089597225189209</v>
      </c>
    </row>
    <row r="3859" spans="1:6" hidden="1" x14ac:dyDescent="0.3">
      <c r="A3859" s="6">
        <v>28</v>
      </c>
      <c r="B3859" s="6" t="s">
        <v>137</v>
      </c>
      <c r="C3859" s="6" t="s">
        <v>433</v>
      </c>
      <c r="D3859" s="6" t="s">
        <v>138</v>
      </c>
      <c r="E3859" s="11">
        <v>9.5819807052612305</v>
      </c>
      <c r="F3859" s="11">
        <v>7.089597225189209</v>
      </c>
    </row>
    <row r="3860" spans="1:6" hidden="1" x14ac:dyDescent="0.3">
      <c r="A3860" s="6">
        <v>28</v>
      </c>
      <c r="B3860" s="6" t="s">
        <v>137</v>
      </c>
      <c r="C3860" s="6" t="s">
        <v>434</v>
      </c>
      <c r="D3860" s="6" t="s">
        <v>138</v>
      </c>
      <c r="E3860" s="11">
        <v>3.3084094524383545</v>
      </c>
      <c r="F3860" s="11">
        <v>7.089597225189209</v>
      </c>
    </row>
    <row r="3861" spans="1:6" hidden="1" x14ac:dyDescent="0.3">
      <c r="A3861" s="6">
        <v>28</v>
      </c>
      <c r="B3861" s="6" t="s">
        <v>137</v>
      </c>
      <c r="C3861" s="6" t="s">
        <v>435</v>
      </c>
      <c r="D3861" s="6" t="s">
        <v>138</v>
      </c>
      <c r="E3861" s="11">
        <v>6.5699477195739746</v>
      </c>
      <c r="F3861" s="11">
        <v>7.089597225189209</v>
      </c>
    </row>
    <row r="3862" spans="1:6" hidden="1" x14ac:dyDescent="0.3">
      <c r="A3862" s="6">
        <v>28</v>
      </c>
      <c r="B3862" s="6" t="s">
        <v>137</v>
      </c>
      <c r="C3862" s="6" t="s">
        <v>436</v>
      </c>
      <c r="D3862" s="6" t="s">
        <v>138</v>
      </c>
      <c r="E3862" s="11">
        <v>10.69141960144043</v>
      </c>
      <c r="F3862" s="11">
        <v>7.089597225189209</v>
      </c>
    </row>
    <row r="3863" spans="1:6" hidden="1" x14ac:dyDescent="0.3">
      <c r="A3863" s="6">
        <v>28</v>
      </c>
      <c r="B3863" s="6" t="s">
        <v>137</v>
      </c>
      <c r="C3863" s="6" t="s">
        <v>437</v>
      </c>
      <c r="D3863" s="6" t="s">
        <v>138</v>
      </c>
      <c r="E3863" s="11">
        <v>4.6972823143005371</v>
      </c>
      <c r="F3863" s="11">
        <v>7.089597225189209</v>
      </c>
    </row>
    <row r="3864" spans="1:6" hidden="1" x14ac:dyDescent="0.3">
      <c r="A3864" s="6">
        <v>28</v>
      </c>
      <c r="B3864" s="6" t="s">
        <v>137</v>
      </c>
      <c r="C3864" s="6" t="s">
        <v>438</v>
      </c>
      <c r="D3864" s="6" t="s">
        <v>138</v>
      </c>
      <c r="E3864" s="11">
        <v>7.6082558631896973</v>
      </c>
      <c r="F3864" s="11">
        <v>7.089597225189209</v>
      </c>
    </row>
    <row r="3865" spans="1:6" hidden="1" x14ac:dyDescent="0.3">
      <c r="A3865" s="6">
        <v>28</v>
      </c>
      <c r="B3865" s="6" t="s">
        <v>137</v>
      </c>
      <c r="C3865" s="6" t="s">
        <v>439</v>
      </c>
      <c r="D3865" s="6" t="s">
        <v>138</v>
      </c>
      <c r="E3865" s="11">
        <v>4.8947997093200684</v>
      </c>
      <c r="F3865" s="11">
        <v>7.089597225189209</v>
      </c>
    </row>
    <row r="3866" spans="1:6" hidden="1" x14ac:dyDescent="0.3">
      <c r="A3866" s="6">
        <v>28</v>
      </c>
      <c r="B3866" s="6" t="s">
        <v>137</v>
      </c>
      <c r="C3866" s="6" t="s">
        <v>440</v>
      </c>
      <c r="D3866" s="6" t="s">
        <v>138</v>
      </c>
      <c r="E3866" s="11">
        <v>5.4946646690368652</v>
      </c>
      <c r="F3866" s="11">
        <v>7.089597225189209</v>
      </c>
    </row>
    <row r="3867" spans="1:6" hidden="1" x14ac:dyDescent="0.3">
      <c r="A3867" s="6">
        <v>28</v>
      </c>
      <c r="B3867" s="6" t="s">
        <v>137</v>
      </c>
      <c r="C3867" s="6" t="s">
        <v>441</v>
      </c>
      <c r="D3867" s="6" t="s">
        <v>138</v>
      </c>
      <c r="E3867" s="11">
        <v>31.473197937011719</v>
      </c>
      <c r="F3867" s="11">
        <v>7.089597225189209</v>
      </c>
    </row>
    <row r="3868" spans="1:6" hidden="1" x14ac:dyDescent="0.3">
      <c r="A3868" s="6">
        <v>28</v>
      </c>
      <c r="B3868" s="6" t="s">
        <v>137</v>
      </c>
      <c r="C3868" s="6" t="s">
        <v>442</v>
      </c>
      <c r="D3868" s="6" t="s">
        <v>138</v>
      </c>
      <c r="E3868" s="11">
        <v>5.1903471946716309</v>
      </c>
      <c r="F3868" s="11">
        <v>7.089597225189209</v>
      </c>
    </row>
    <row r="3869" spans="1:6" hidden="1" x14ac:dyDescent="0.3">
      <c r="A3869" s="6">
        <v>28</v>
      </c>
      <c r="B3869" s="6" t="s">
        <v>137</v>
      </c>
      <c r="C3869" s="6" t="s">
        <v>443</v>
      </c>
      <c r="D3869" s="6" t="s">
        <v>138</v>
      </c>
      <c r="E3869" s="11">
        <v>6.4679660797119141</v>
      </c>
      <c r="F3869" s="11">
        <v>7.089597225189209</v>
      </c>
    </row>
    <row r="3870" spans="1:6" hidden="1" x14ac:dyDescent="0.3">
      <c r="A3870" s="6">
        <v>28</v>
      </c>
      <c r="B3870" s="6" t="s">
        <v>137</v>
      </c>
      <c r="C3870" s="6" t="s">
        <v>444</v>
      </c>
      <c r="D3870" s="6" t="s">
        <v>138</v>
      </c>
      <c r="E3870" s="11">
        <v>4.5398974418640137</v>
      </c>
      <c r="F3870" s="11">
        <v>7.089597225189209</v>
      </c>
    </row>
    <row r="3871" spans="1:6" hidden="1" x14ac:dyDescent="0.3">
      <c r="A3871" s="6">
        <v>28</v>
      </c>
      <c r="B3871" s="6" t="s">
        <v>137</v>
      </c>
      <c r="C3871" s="6" t="s">
        <v>445</v>
      </c>
      <c r="D3871" s="6" t="s">
        <v>138</v>
      </c>
      <c r="E3871" s="11">
        <v>7.502479076385498</v>
      </c>
      <c r="F3871" s="11">
        <v>7.089597225189209</v>
      </c>
    </row>
    <row r="3872" spans="1:6" hidden="1" x14ac:dyDescent="0.3">
      <c r="A3872" s="6">
        <v>28</v>
      </c>
      <c r="B3872" s="6" t="s">
        <v>137</v>
      </c>
      <c r="C3872" s="6" t="s">
        <v>446</v>
      </c>
      <c r="D3872" s="6" t="s">
        <v>138</v>
      </c>
      <c r="E3872" s="11">
        <v>5.0611481666564941</v>
      </c>
      <c r="F3872" s="11">
        <v>7.089597225189209</v>
      </c>
    </row>
    <row r="3873" spans="1:6" hidden="1" x14ac:dyDescent="0.3">
      <c r="A3873" s="6">
        <v>28</v>
      </c>
      <c r="B3873" s="6" t="s">
        <v>137</v>
      </c>
      <c r="C3873" s="6" t="s">
        <v>447</v>
      </c>
      <c r="D3873" s="6" t="s">
        <v>138</v>
      </c>
      <c r="E3873" s="11">
        <v>8.3871450424194336</v>
      </c>
      <c r="F3873" s="11">
        <v>7.089597225189209</v>
      </c>
    </row>
    <row r="3874" spans="1:6" hidden="1" x14ac:dyDescent="0.3">
      <c r="A3874" s="6">
        <v>28</v>
      </c>
      <c r="B3874" s="6" t="s">
        <v>137</v>
      </c>
      <c r="C3874" s="6" t="s">
        <v>448</v>
      </c>
      <c r="D3874" s="6" t="s">
        <v>138</v>
      </c>
      <c r="E3874" s="11">
        <v>5.3936433792114258</v>
      </c>
      <c r="F3874" s="11">
        <v>7.089597225189209</v>
      </c>
    </row>
    <row r="3875" spans="1:6" hidden="1" x14ac:dyDescent="0.3">
      <c r="A3875" s="6">
        <v>28</v>
      </c>
      <c r="B3875" s="6" t="s">
        <v>137</v>
      </c>
      <c r="C3875" s="6" t="s">
        <v>449</v>
      </c>
      <c r="D3875" s="6" t="s">
        <v>138</v>
      </c>
      <c r="E3875" s="11">
        <v>4.744138240814209</v>
      </c>
      <c r="F3875" s="11">
        <v>7.089597225189209</v>
      </c>
    </row>
    <row r="3876" spans="1:6" hidden="1" x14ac:dyDescent="0.3">
      <c r="A3876" s="6">
        <v>28</v>
      </c>
      <c r="B3876" s="6" t="s">
        <v>137</v>
      </c>
      <c r="C3876" s="6" t="s">
        <v>450</v>
      </c>
      <c r="D3876" s="6" t="s">
        <v>138</v>
      </c>
      <c r="E3876" s="11">
        <v>6.1997451782226563</v>
      </c>
      <c r="F3876" s="11">
        <v>7.089597225189209</v>
      </c>
    </row>
    <row r="3877" spans="1:6" hidden="1" x14ac:dyDescent="0.3">
      <c r="A3877" s="6">
        <v>28</v>
      </c>
      <c r="B3877" s="6" t="s">
        <v>137</v>
      </c>
      <c r="C3877" s="6" t="s">
        <v>451</v>
      </c>
      <c r="D3877" s="6" t="s">
        <v>138</v>
      </c>
      <c r="E3877" s="11">
        <v>5.4641413688659668</v>
      </c>
      <c r="F3877" s="11">
        <v>7.089597225189209</v>
      </c>
    </row>
    <row r="3878" spans="1:6" hidden="1" x14ac:dyDescent="0.3">
      <c r="A3878" s="6">
        <v>28</v>
      </c>
      <c r="B3878" s="6" t="s">
        <v>137</v>
      </c>
      <c r="C3878" s="6" t="s">
        <v>452</v>
      </c>
      <c r="D3878" s="6" t="s">
        <v>138</v>
      </c>
      <c r="E3878" s="11">
        <v>7.5060548782348633</v>
      </c>
      <c r="F3878" s="11">
        <v>7.089597225189209</v>
      </c>
    </row>
    <row r="3879" spans="1:6" hidden="1" x14ac:dyDescent="0.3">
      <c r="A3879" s="6">
        <v>28</v>
      </c>
      <c r="B3879" s="6" t="s">
        <v>137</v>
      </c>
      <c r="C3879" s="6" t="s">
        <v>453</v>
      </c>
      <c r="D3879" s="6" t="s">
        <v>138</v>
      </c>
      <c r="E3879" s="11">
        <v>4.8368926048278809</v>
      </c>
      <c r="F3879" s="11">
        <v>7.089597225189209</v>
      </c>
    </row>
    <row r="3880" spans="1:6" hidden="1" x14ac:dyDescent="0.3">
      <c r="A3880" s="6">
        <v>28</v>
      </c>
      <c r="B3880" s="6" t="s">
        <v>137</v>
      </c>
      <c r="C3880" s="6" t="s">
        <v>454</v>
      </c>
      <c r="D3880" s="6" t="s">
        <v>138</v>
      </c>
      <c r="E3880" s="11">
        <v>5.062680721282959</v>
      </c>
      <c r="F3880" s="11">
        <v>7.089597225189209</v>
      </c>
    </row>
    <row r="3881" spans="1:6" hidden="1" x14ac:dyDescent="0.3">
      <c r="A3881" s="6">
        <v>28</v>
      </c>
      <c r="B3881" s="6" t="s">
        <v>137</v>
      </c>
      <c r="C3881" s="6" t="s">
        <v>455</v>
      </c>
      <c r="D3881" s="6" t="s">
        <v>138</v>
      </c>
      <c r="E3881" s="11">
        <v>6.0358633995056152</v>
      </c>
      <c r="F3881" s="11">
        <v>7.089597225189209</v>
      </c>
    </row>
    <row r="3882" spans="1:6" hidden="1" x14ac:dyDescent="0.3">
      <c r="A3882" s="6">
        <v>28</v>
      </c>
      <c r="B3882" s="6" t="s">
        <v>137</v>
      </c>
      <c r="C3882" s="6" t="s">
        <v>456</v>
      </c>
      <c r="D3882" s="6" t="s">
        <v>138</v>
      </c>
      <c r="E3882" s="11">
        <v>4.4255180358886719</v>
      </c>
      <c r="F3882" s="11">
        <v>7.089597225189209</v>
      </c>
    </row>
    <row r="3883" spans="1:6" hidden="1" x14ac:dyDescent="0.3">
      <c r="A3883" s="6">
        <v>28</v>
      </c>
      <c r="B3883" s="6" t="s">
        <v>137</v>
      </c>
      <c r="C3883" s="6" t="s">
        <v>457</v>
      </c>
      <c r="D3883" s="6" t="s">
        <v>138</v>
      </c>
      <c r="E3883" s="11">
        <v>5.819922924041748</v>
      </c>
      <c r="F3883" s="11">
        <v>7.089597225189209</v>
      </c>
    </row>
    <row r="3884" spans="1:6" hidden="1" x14ac:dyDescent="0.3">
      <c r="A3884" s="6">
        <v>28</v>
      </c>
      <c r="B3884" s="6" t="s">
        <v>137</v>
      </c>
      <c r="C3884" s="6" t="s">
        <v>458</v>
      </c>
      <c r="D3884" s="6" t="s">
        <v>138</v>
      </c>
      <c r="E3884" s="11">
        <v>12.08534049987793</v>
      </c>
      <c r="F3884" s="11">
        <v>7.089597225189209</v>
      </c>
    </row>
    <row r="3885" spans="1:6" hidden="1" x14ac:dyDescent="0.3">
      <c r="A3885" s="6">
        <v>28</v>
      </c>
      <c r="B3885" s="6" t="s">
        <v>137</v>
      </c>
      <c r="C3885" s="6" t="s">
        <v>459</v>
      </c>
      <c r="D3885" s="6" t="s">
        <v>138</v>
      </c>
      <c r="E3885" s="11">
        <v>13.258234977722168</v>
      </c>
      <c r="F3885" s="11">
        <v>7.089597225189209</v>
      </c>
    </row>
    <row r="3886" spans="1:6" hidden="1" x14ac:dyDescent="0.3">
      <c r="A3886" s="6">
        <v>28</v>
      </c>
      <c r="B3886" s="6" t="s">
        <v>137</v>
      </c>
      <c r="C3886" s="6" t="s">
        <v>460</v>
      </c>
      <c r="D3886" s="6" t="s">
        <v>138</v>
      </c>
      <c r="E3886" s="11">
        <v>20.284673690795898</v>
      </c>
      <c r="F3886" s="11">
        <v>7.089597225189209</v>
      </c>
    </row>
    <row r="3887" spans="1:6" hidden="1" x14ac:dyDescent="0.3">
      <c r="A3887" s="6">
        <v>28</v>
      </c>
      <c r="B3887" s="6" t="s">
        <v>137</v>
      </c>
      <c r="C3887" s="6" t="s">
        <v>461</v>
      </c>
      <c r="D3887" s="6" t="s">
        <v>138</v>
      </c>
      <c r="E3887" s="11">
        <v>5.9830074310302734</v>
      </c>
      <c r="F3887" s="11">
        <v>7.089597225189209</v>
      </c>
    </row>
    <row r="3888" spans="1:6" hidden="1" x14ac:dyDescent="0.3">
      <c r="A3888" s="6">
        <v>28</v>
      </c>
      <c r="B3888" s="6" t="s">
        <v>137</v>
      </c>
      <c r="C3888" s="6" t="s">
        <v>462</v>
      </c>
      <c r="D3888" s="6" t="s">
        <v>138</v>
      </c>
      <c r="E3888" s="11">
        <v>4.3555774688720703</v>
      </c>
      <c r="F3888" s="11">
        <v>7.089597225189209</v>
      </c>
    </row>
    <row r="3889" spans="1:6" hidden="1" x14ac:dyDescent="0.3">
      <c r="A3889" s="6">
        <v>28</v>
      </c>
      <c r="B3889" s="6" t="s">
        <v>137</v>
      </c>
      <c r="C3889" s="6" t="s">
        <v>463</v>
      </c>
      <c r="D3889" s="6" t="s">
        <v>138</v>
      </c>
      <c r="E3889" s="11">
        <v>7.1170806884765625</v>
      </c>
      <c r="F3889" s="11">
        <v>7.089597225189209</v>
      </c>
    </row>
    <row r="3890" spans="1:6" hidden="1" x14ac:dyDescent="0.3">
      <c r="A3890" s="6">
        <v>28</v>
      </c>
      <c r="B3890" s="6" t="s">
        <v>137</v>
      </c>
      <c r="C3890" s="6" t="s">
        <v>464</v>
      </c>
      <c r="D3890" s="6" t="s">
        <v>138</v>
      </c>
      <c r="E3890" s="11">
        <v>6.416996955871582</v>
      </c>
      <c r="F3890" s="11">
        <v>7.089597225189209</v>
      </c>
    </row>
    <row r="3891" spans="1:6" hidden="1" x14ac:dyDescent="0.3">
      <c r="A3891" s="6">
        <v>28</v>
      </c>
      <c r="B3891" s="6" t="s">
        <v>137</v>
      </c>
      <c r="C3891" s="6" t="s">
        <v>465</v>
      </c>
      <c r="D3891" s="6" t="s">
        <v>138</v>
      </c>
      <c r="E3891" s="11">
        <v>7.7542819976806641</v>
      </c>
      <c r="F3891" s="11">
        <v>7.089597225189209</v>
      </c>
    </row>
    <row r="3892" spans="1:6" hidden="1" x14ac:dyDescent="0.3">
      <c r="A3892" s="6">
        <v>28</v>
      </c>
      <c r="B3892" s="6" t="s">
        <v>137</v>
      </c>
      <c r="C3892" s="6" t="s">
        <v>466</v>
      </c>
      <c r="D3892" s="6" t="s">
        <v>138</v>
      </c>
      <c r="E3892" s="11">
        <v>4.4878897666931152</v>
      </c>
      <c r="F3892" s="11">
        <v>7.089597225189209</v>
      </c>
    </row>
    <row r="3893" spans="1:6" hidden="1" x14ac:dyDescent="0.3">
      <c r="A3893" s="6">
        <v>28</v>
      </c>
      <c r="B3893" s="6" t="s">
        <v>137</v>
      </c>
      <c r="C3893" s="6" t="s">
        <v>467</v>
      </c>
      <c r="D3893" s="6" t="s">
        <v>138</v>
      </c>
      <c r="E3893" s="11">
        <v>6.1577367782592773</v>
      </c>
      <c r="F3893" s="11">
        <v>7.089597225189209</v>
      </c>
    </row>
    <row r="3894" spans="1:6" hidden="1" x14ac:dyDescent="0.3">
      <c r="A3894" s="6">
        <v>28</v>
      </c>
      <c r="B3894" s="6" t="s">
        <v>137</v>
      </c>
      <c r="C3894" s="6" t="s">
        <v>468</v>
      </c>
      <c r="D3894" s="6" t="s">
        <v>138</v>
      </c>
      <c r="E3894" s="11">
        <v>6.8264341354370117</v>
      </c>
      <c r="F3894" s="11">
        <v>7.089597225189209</v>
      </c>
    </row>
    <row r="3895" spans="1:6" hidden="1" x14ac:dyDescent="0.3">
      <c r="A3895" s="6">
        <v>28</v>
      </c>
      <c r="B3895" s="6" t="s">
        <v>137</v>
      </c>
      <c r="C3895" s="6" t="s">
        <v>469</v>
      </c>
      <c r="D3895" s="6" t="s">
        <v>138</v>
      </c>
      <c r="E3895" s="11">
        <v>5.1131420135498047</v>
      </c>
      <c r="F3895" s="11">
        <v>7.089597225189209</v>
      </c>
    </row>
    <row r="3896" spans="1:6" hidden="1" x14ac:dyDescent="0.3">
      <c r="A3896" s="6">
        <v>28</v>
      </c>
      <c r="B3896" s="6" t="s">
        <v>137</v>
      </c>
      <c r="C3896" s="6" t="s">
        <v>470</v>
      </c>
      <c r="D3896" s="6" t="s">
        <v>138</v>
      </c>
      <c r="E3896" s="11">
        <v>8.2001848220825195</v>
      </c>
      <c r="F3896" s="11">
        <v>7.089597225189209</v>
      </c>
    </row>
    <row r="3897" spans="1:6" hidden="1" x14ac:dyDescent="0.3">
      <c r="A3897" s="6">
        <v>28</v>
      </c>
      <c r="B3897" s="6" t="s">
        <v>137</v>
      </c>
      <c r="C3897" s="6" t="s">
        <v>471</v>
      </c>
      <c r="D3897" s="6" t="s">
        <v>138</v>
      </c>
      <c r="E3897" s="11">
        <v>4.9814300537109375</v>
      </c>
      <c r="F3897" s="11">
        <v>7.089597225189209</v>
      </c>
    </row>
    <row r="3898" spans="1:6" hidden="1" x14ac:dyDescent="0.3">
      <c r="A3898" s="6">
        <v>28</v>
      </c>
      <c r="B3898" s="6" t="s">
        <v>137</v>
      </c>
      <c r="C3898" s="6" t="s">
        <v>472</v>
      </c>
      <c r="D3898" s="6" t="s">
        <v>138</v>
      </c>
      <c r="E3898" s="11">
        <v>12.134316444396973</v>
      </c>
      <c r="F3898" s="11">
        <v>7.089597225189209</v>
      </c>
    </row>
    <row r="3899" spans="1:6" hidden="1" x14ac:dyDescent="0.3">
      <c r="A3899" s="6">
        <v>28</v>
      </c>
      <c r="B3899" s="6" t="s">
        <v>137</v>
      </c>
      <c r="C3899" s="6" t="s">
        <v>473</v>
      </c>
      <c r="D3899" s="6" t="s">
        <v>138</v>
      </c>
      <c r="E3899" s="11">
        <v>6.8136482238769531</v>
      </c>
      <c r="F3899" s="11">
        <v>7.089597225189209</v>
      </c>
    </row>
    <row r="3900" spans="1:6" hidden="1" x14ac:dyDescent="0.3">
      <c r="A3900" s="6">
        <v>28</v>
      </c>
      <c r="B3900" s="6" t="s">
        <v>137</v>
      </c>
      <c r="C3900" s="6" t="s">
        <v>474</v>
      </c>
      <c r="D3900" s="6" t="s">
        <v>138</v>
      </c>
      <c r="E3900" s="11">
        <v>5.8954720497131348</v>
      </c>
      <c r="F3900" s="11">
        <v>7.089597225189209</v>
      </c>
    </row>
    <row r="3901" spans="1:6" hidden="1" x14ac:dyDescent="0.3">
      <c r="A3901" s="6">
        <v>28</v>
      </c>
      <c r="B3901" s="6" t="s">
        <v>137</v>
      </c>
      <c r="C3901" s="6" t="s">
        <v>475</v>
      </c>
      <c r="D3901" s="6" t="s">
        <v>138</v>
      </c>
      <c r="E3901" s="11">
        <v>6.4506607055664063</v>
      </c>
      <c r="F3901" s="11">
        <v>7.089597225189209</v>
      </c>
    </row>
    <row r="3902" spans="1:6" hidden="1" x14ac:dyDescent="0.3">
      <c r="A3902" s="6">
        <v>28</v>
      </c>
      <c r="B3902" s="6" t="s">
        <v>137</v>
      </c>
      <c r="C3902" s="6" t="s">
        <v>476</v>
      </c>
      <c r="D3902" s="6" t="s">
        <v>138</v>
      </c>
      <c r="E3902" s="11">
        <v>5.0711188316345215</v>
      </c>
      <c r="F3902" s="11">
        <v>7.089597225189209</v>
      </c>
    </row>
    <row r="3903" spans="1:6" hidden="1" x14ac:dyDescent="0.3">
      <c r="A3903" s="6">
        <v>28</v>
      </c>
      <c r="B3903" s="6" t="s">
        <v>137</v>
      </c>
      <c r="C3903" s="6" t="s">
        <v>477</v>
      </c>
      <c r="D3903" s="6" t="s">
        <v>138</v>
      </c>
      <c r="E3903" s="11">
        <v>12.084709167480469</v>
      </c>
      <c r="F3903" s="11">
        <v>7.089597225189209</v>
      </c>
    </row>
    <row r="3904" spans="1:6" hidden="1" x14ac:dyDescent="0.3">
      <c r="A3904" s="6">
        <v>28</v>
      </c>
      <c r="B3904" s="6" t="s">
        <v>137</v>
      </c>
      <c r="C3904" s="6" t="s">
        <v>478</v>
      </c>
      <c r="D3904" s="6" t="s">
        <v>138</v>
      </c>
      <c r="E3904" s="11">
        <v>5.1562595367431641</v>
      </c>
      <c r="F3904" s="11">
        <v>7.089597225189209</v>
      </c>
    </row>
    <row r="3905" spans="1:6" hidden="1" x14ac:dyDescent="0.3">
      <c r="A3905" s="6">
        <v>28</v>
      </c>
      <c r="B3905" s="6" t="s">
        <v>137</v>
      </c>
      <c r="C3905" s="6" t="s">
        <v>479</v>
      </c>
      <c r="D3905" s="6" t="s">
        <v>138</v>
      </c>
      <c r="E3905" s="11">
        <v>7.348839282989502</v>
      </c>
      <c r="F3905" s="11">
        <v>7.089597225189209</v>
      </c>
    </row>
    <row r="3906" spans="1:6" hidden="1" x14ac:dyDescent="0.3">
      <c r="A3906" s="6">
        <v>28</v>
      </c>
      <c r="B3906" s="6" t="s">
        <v>137</v>
      </c>
      <c r="C3906" s="6" t="s">
        <v>480</v>
      </c>
      <c r="D3906" s="6" t="s">
        <v>138</v>
      </c>
      <c r="E3906" s="11">
        <v>8.1251707077026367</v>
      </c>
      <c r="F3906" s="11">
        <v>7.089597225189209</v>
      </c>
    </row>
    <row r="3907" spans="1:6" hidden="1" x14ac:dyDescent="0.3">
      <c r="A3907" s="6">
        <v>28</v>
      </c>
      <c r="B3907" s="6" t="s">
        <v>137</v>
      </c>
      <c r="C3907" s="6" t="s">
        <v>481</v>
      </c>
      <c r="D3907" s="6" t="s">
        <v>138</v>
      </c>
      <c r="E3907" s="11">
        <v>5.4559226036071777</v>
      </c>
      <c r="F3907" s="11">
        <v>7.089597225189209</v>
      </c>
    </row>
    <row r="3908" spans="1:6" hidden="1" x14ac:dyDescent="0.3">
      <c r="A3908" s="6">
        <v>28</v>
      </c>
      <c r="B3908" s="6" t="s">
        <v>137</v>
      </c>
      <c r="C3908" s="6" t="s">
        <v>482</v>
      </c>
      <c r="D3908" s="6" t="s">
        <v>138</v>
      </c>
      <c r="E3908" s="11">
        <v>6.7666459083557129</v>
      </c>
      <c r="F3908" s="11">
        <v>7.089597225189209</v>
      </c>
    </row>
    <row r="3909" spans="1:6" hidden="1" x14ac:dyDescent="0.3">
      <c r="A3909" s="6">
        <v>28</v>
      </c>
      <c r="B3909" s="6" t="s">
        <v>137</v>
      </c>
      <c r="C3909" s="6" t="s">
        <v>483</v>
      </c>
      <c r="D3909" s="6" t="s">
        <v>138</v>
      </c>
      <c r="E3909" s="11">
        <v>6.1013269424438477</v>
      </c>
      <c r="F3909" s="11">
        <v>7.089597225189209</v>
      </c>
    </row>
    <row r="3910" spans="1:6" hidden="1" x14ac:dyDescent="0.3">
      <c r="A3910" s="6">
        <v>28</v>
      </c>
      <c r="B3910" s="6" t="s">
        <v>137</v>
      </c>
      <c r="C3910" s="6" t="s">
        <v>484</v>
      </c>
      <c r="D3910" s="6" t="s">
        <v>138</v>
      </c>
      <c r="E3910" s="11">
        <v>5.6619205474853516</v>
      </c>
      <c r="F3910" s="11">
        <v>7.089597225189209</v>
      </c>
    </row>
    <row r="3911" spans="1:6" hidden="1" x14ac:dyDescent="0.3">
      <c r="A3911" s="6">
        <v>28</v>
      </c>
      <c r="B3911" s="6" t="s">
        <v>137</v>
      </c>
      <c r="C3911" s="6" t="s">
        <v>485</v>
      </c>
      <c r="D3911" s="6" t="s">
        <v>138</v>
      </c>
      <c r="E3911" s="11">
        <v>7.8730735778808594</v>
      </c>
      <c r="F3911" s="11">
        <v>7.089597225189209</v>
      </c>
    </row>
    <row r="3912" spans="1:6" hidden="1" x14ac:dyDescent="0.3">
      <c r="A3912" s="6">
        <v>28</v>
      </c>
      <c r="B3912" s="6" t="s">
        <v>137</v>
      </c>
      <c r="C3912" s="6" t="s">
        <v>486</v>
      </c>
      <c r="D3912" s="6" t="s">
        <v>138</v>
      </c>
      <c r="E3912" s="11">
        <v>5.1300158500671387</v>
      </c>
      <c r="F3912" s="11">
        <v>7.089597225189209</v>
      </c>
    </row>
    <row r="3913" spans="1:6" hidden="1" x14ac:dyDescent="0.3">
      <c r="A3913" s="6">
        <v>28</v>
      </c>
      <c r="B3913" s="6" t="s">
        <v>137</v>
      </c>
      <c r="C3913" s="6" t="s">
        <v>487</v>
      </c>
      <c r="D3913" s="6" t="s">
        <v>138</v>
      </c>
      <c r="E3913" s="11">
        <v>5.8251781463623047</v>
      </c>
      <c r="F3913" s="11">
        <v>7.089597225189209</v>
      </c>
    </row>
    <row r="3914" spans="1:6" hidden="1" x14ac:dyDescent="0.3">
      <c r="A3914" s="6">
        <v>28</v>
      </c>
      <c r="B3914" s="6" t="s">
        <v>137</v>
      </c>
      <c r="C3914" s="6" t="s">
        <v>488</v>
      </c>
      <c r="D3914" s="6" t="s">
        <v>138</v>
      </c>
      <c r="E3914" s="11">
        <v>7.1020526885986328</v>
      </c>
      <c r="F3914" s="11">
        <v>7.089597225189209</v>
      </c>
    </row>
    <row r="3915" spans="1:6" hidden="1" x14ac:dyDescent="0.3">
      <c r="A3915" s="6">
        <v>28</v>
      </c>
      <c r="B3915" s="6" t="s">
        <v>137</v>
      </c>
      <c r="C3915" s="6" t="s">
        <v>489</v>
      </c>
      <c r="D3915" s="6" t="s">
        <v>138</v>
      </c>
      <c r="E3915" s="11">
        <v>10.46281909942627</v>
      </c>
      <c r="F3915" s="11">
        <v>7.089597225189209</v>
      </c>
    </row>
    <row r="3916" spans="1:6" hidden="1" x14ac:dyDescent="0.3">
      <c r="A3916" s="6">
        <v>28</v>
      </c>
      <c r="B3916" s="6" t="s">
        <v>137</v>
      </c>
      <c r="C3916" s="6" t="s">
        <v>490</v>
      </c>
      <c r="D3916" s="6" t="s">
        <v>138</v>
      </c>
      <c r="E3916" s="11">
        <v>5.4409141540527344</v>
      </c>
      <c r="F3916" s="11">
        <v>7.089597225189209</v>
      </c>
    </row>
    <row r="3917" spans="1:6" hidden="1" x14ac:dyDescent="0.3">
      <c r="A3917" s="6">
        <v>28</v>
      </c>
      <c r="B3917" s="6" t="s">
        <v>137</v>
      </c>
      <c r="C3917" s="6" t="s">
        <v>491</v>
      </c>
      <c r="D3917" s="6" t="s">
        <v>138</v>
      </c>
      <c r="E3917" s="11">
        <v>5.5949254035949707</v>
      </c>
      <c r="F3917" s="11">
        <v>7.089597225189209</v>
      </c>
    </row>
    <row r="3918" spans="1:6" hidden="1" x14ac:dyDescent="0.3">
      <c r="A3918" s="6">
        <v>28</v>
      </c>
      <c r="B3918" s="6" t="s">
        <v>137</v>
      </c>
      <c r="C3918" s="6" t="s">
        <v>492</v>
      </c>
      <c r="D3918" s="6" t="s">
        <v>138</v>
      </c>
      <c r="E3918" s="11">
        <v>7.1051716804504395</v>
      </c>
      <c r="F3918" s="11">
        <v>7.089597225189209</v>
      </c>
    </row>
    <row r="3919" spans="1:6" hidden="1" x14ac:dyDescent="0.3">
      <c r="A3919" s="6">
        <v>28</v>
      </c>
      <c r="B3919" s="6" t="s">
        <v>137</v>
      </c>
      <c r="C3919" s="6" t="s">
        <v>493</v>
      </c>
      <c r="D3919" s="6" t="s">
        <v>138</v>
      </c>
      <c r="E3919" s="11">
        <v>8.3336372375488281</v>
      </c>
      <c r="F3919" s="11">
        <v>7.089597225189209</v>
      </c>
    </row>
    <row r="3920" spans="1:6" hidden="1" x14ac:dyDescent="0.3">
      <c r="A3920" s="6">
        <v>28</v>
      </c>
      <c r="B3920" s="6" t="s">
        <v>137</v>
      </c>
      <c r="C3920" s="6" t="s">
        <v>494</v>
      </c>
      <c r="D3920" s="6" t="s">
        <v>138</v>
      </c>
      <c r="E3920" s="11">
        <v>6.8735337257385254</v>
      </c>
      <c r="F3920" s="11">
        <v>7.089597225189209</v>
      </c>
    </row>
    <row r="3921" spans="1:6" hidden="1" x14ac:dyDescent="0.3">
      <c r="A3921" s="6">
        <v>28</v>
      </c>
      <c r="B3921" s="6" t="s">
        <v>137</v>
      </c>
      <c r="C3921" s="6" t="s">
        <v>495</v>
      </c>
      <c r="D3921" s="6" t="s">
        <v>138</v>
      </c>
      <c r="E3921" s="11">
        <v>6.0471901893615723</v>
      </c>
      <c r="F3921" s="11">
        <v>7.089597225189209</v>
      </c>
    </row>
    <row r="3922" spans="1:6" hidden="1" x14ac:dyDescent="0.3">
      <c r="A3922" s="6">
        <v>29</v>
      </c>
      <c r="B3922" s="6" t="s">
        <v>139</v>
      </c>
      <c r="C3922" s="6" t="s">
        <v>356</v>
      </c>
      <c r="D3922" s="6" t="s">
        <v>140</v>
      </c>
      <c r="E3922" s="11">
        <v>5.7437577247619629</v>
      </c>
      <c r="F3922" s="11">
        <v>7.7698092460632324</v>
      </c>
    </row>
    <row r="3923" spans="1:6" hidden="1" x14ac:dyDescent="0.3">
      <c r="A3923" s="6">
        <v>29</v>
      </c>
      <c r="B3923" s="6" t="s">
        <v>139</v>
      </c>
      <c r="C3923" s="6" t="s">
        <v>357</v>
      </c>
      <c r="D3923" s="6" t="s">
        <v>140</v>
      </c>
      <c r="E3923" s="11">
        <v>4.6065006256103516</v>
      </c>
      <c r="F3923" s="11">
        <v>7.7698092460632324</v>
      </c>
    </row>
    <row r="3924" spans="1:6" hidden="1" x14ac:dyDescent="0.3">
      <c r="A3924" s="6">
        <v>29</v>
      </c>
      <c r="B3924" s="6" t="s">
        <v>139</v>
      </c>
      <c r="C3924" s="6" t="s">
        <v>358</v>
      </c>
      <c r="D3924" s="6" t="s">
        <v>140</v>
      </c>
      <c r="E3924" s="11">
        <v>6.2558732032775879</v>
      </c>
      <c r="F3924" s="11">
        <v>7.7698092460632324</v>
      </c>
    </row>
    <row r="3925" spans="1:6" hidden="1" x14ac:dyDescent="0.3">
      <c r="A3925" s="6">
        <v>29</v>
      </c>
      <c r="B3925" s="6" t="s">
        <v>139</v>
      </c>
      <c r="C3925" s="6" t="s">
        <v>359</v>
      </c>
      <c r="D3925" s="6" t="s">
        <v>140</v>
      </c>
      <c r="E3925" s="11">
        <v>14.168585777282715</v>
      </c>
      <c r="F3925" s="11">
        <v>7.7698092460632324</v>
      </c>
    </row>
    <row r="3926" spans="1:6" hidden="1" x14ac:dyDescent="0.3">
      <c r="A3926" s="6">
        <v>29</v>
      </c>
      <c r="B3926" s="6" t="s">
        <v>139</v>
      </c>
      <c r="C3926" s="6" t="s">
        <v>360</v>
      </c>
      <c r="D3926" s="6" t="s">
        <v>140</v>
      </c>
      <c r="E3926" s="11">
        <v>4.7894883155822754</v>
      </c>
      <c r="F3926" s="11">
        <v>7.7698092460632324</v>
      </c>
    </row>
    <row r="3927" spans="1:6" hidden="1" x14ac:dyDescent="0.3">
      <c r="A3927" s="6">
        <v>29</v>
      </c>
      <c r="B3927" s="6" t="s">
        <v>139</v>
      </c>
      <c r="C3927" s="6" t="s">
        <v>361</v>
      </c>
      <c r="D3927" s="6" t="s">
        <v>140</v>
      </c>
      <c r="E3927" s="11">
        <v>7.941960334777832</v>
      </c>
      <c r="F3927" s="11">
        <v>7.7698092460632324</v>
      </c>
    </row>
    <row r="3928" spans="1:6" hidden="1" x14ac:dyDescent="0.3">
      <c r="A3928" s="6">
        <v>29</v>
      </c>
      <c r="B3928" s="6" t="s">
        <v>139</v>
      </c>
      <c r="C3928" s="6" t="s">
        <v>362</v>
      </c>
      <c r="D3928" s="6" t="s">
        <v>140</v>
      </c>
      <c r="E3928" s="11">
        <v>8.0902957916259766</v>
      </c>
      <c r="F3928" s="11">
        <v>7.7698092460632324</v>
      </c>
    </row>
    <row r="3929" spans="1:6" hidden="1" x14ac:dyDescent="0.3">
      <c r="A3929" s="6">
        <v>29</v>
      </c>
      <c r="B3929" s="6" t="s">
        <v>139</v>
      </c>
      <c r="C3929" s="6" t="s">
        <v>363</v>
      </c>
      <c r="D3929" s="6" t="s">
        <v>140</v>
      </c>
      <c r="E3929" s="11">
        <v>13.791659355163574</v>
      </c>
      <c r="F3929" s="11">
        <v>7.7698092460632324</v>
      </c>
    </row>
    <row r="3930" spans="1:6" hidden="1" x14ac:dyDescent="0.3">
      <c r="A3930" s="6">
        <v>29</v>
      </c>
      <c r="B3930" s="6" t="s">
        <v>139</v>
      </c>
      <c r="C3930" s="6" t="s">
        <v>364</v>
      </c>
      <c r="D3930" s="6" t="s">
        <v>140</v>
      </c>
      <c r="E3930" s="11"/>
      <c r="F3930" s="11">
        <v>7.7698092460632324</v>
      </c>
    </row>
    <row r="3931" spans="1:6" hidden="1" x14ac:dyDescent="0.3">
      <c r="A3931" s="6">
        <v>29</v>
      </c>
      <c r="B3931" s="6" t="s">
        <v>139</v>
      </c>
      <c r="C3931" s="6" t="s">
        <v>365</v>
      </c>
      <c r="D3931" s="6" t="s">
        <v>140</v>
      </c>
      <c r="E3931" s="11">
        <v>5.0046343803405762</v>
      </c>
      <c r="F3931" s="11">
        <v>7.7698092460632324</v>
      </c>
    </row>
    <row r="3932" spans="1:6" hidden="1" x14ac:dyDescent="0.3">
      <c r="A3932" s="6">
        <v>29</v>
      </c>
      <c r="B3932" s="6" t="s">
        <v>139</v>
      </c>
      <c r="C3932" s="6" t="s">
        <v>366</v>
      </c>
      <c r="D3932" s="6" t="s">
        <v>140</v>
      </c>
      <c r="E3932" s="11">
        <v>11.487861633300781</v>
      </c>
      <c r="F3932" s="11">
        <v>7.7698092460632324</v>
      </c>
    </row>
    <row r="3933" spans="1:6" hidden="1" x14ac:dyDescent="0.3">
      <c r="A3933" s="6">
        <v>29</v>
      </c>
      <c r="B3933" s="6" t="s">
        <v>139</v>
      </c>
      <c r="C3933" s="6" t="s">
        <v>367</v>
      </c>
      <c r="D3933" s="6" t="s">
        <v>140</v>
      </c>
      <c r="E3933" s="11">
        <v>8.2192726135253906</v>
      </c>
      <c r="F3933" s="11">
        <v>7.7698092460632324</v>
      </c>
    </row>
    <row r="3934" spans="1:6" hidden="1" x14ac:dyDescent="0.3">
      <c r="A3934" s="6">
        <v>29</v>
      </c>
      <c r="B3934" s="6" t="s">
        <v>139</v>
      </c>
      <c r="C3934" s="6" t="s">
        <v>368</v>
      </c>
      <c r="D3934" s="6" t="s">
        <v>140</v>
      </c>
      <c r="E3934" s="11">
        <v>5.2269802093505859</v>
      </c>
      <c r="F3934" s="11">
        <v>7.7698092460632324</v>
      </c>
    </row>
    <row r="3935" spans="1:6" hidden="1" x14ac:dyDescent="0.3">
      <c r="A3935" s="6">
        <v>29</v>
      </c>
      <c r="B3935" s="6" t="s">
        <v>139</v>
      </c>
      <c r="C3935" s="6" t="s">
        <v>369</v>
      </c>
      <c r="D3935" s="6" t="s">
        <v>140</v>
      </c>
      <c r="E3935" s="11">
        <v>6.5978255271911621</v>
      </c>
      <c r="F3935" s="11">
        <v>7.7698092460632324</v>
      </c>
    </row>
    <row r="3936" spans="1:6" hidden="1" x14ac:dyDescent="0.3">
      <c r="A3936" s="6">
        <v>29</v>
      </c>
      <c r="B3936" s="6" t="s">
        <v>139</v>
      </c>
      <c r="C3936" s="6" t="s">
        <v>370</v>
      </c>
      <c r="D3936" s="6" t="s">
        <v>140</v>
      </c>
      <c r="E3936" s="11">
        <v>5.8510122299194336</v>
      </c>
      <c r="F3936" s="11">
        <v>7.7698092460632324</v>
      </c>
    </row>
    <row r="3937" spans="1:6" hidden="1" x14ac:dyDescent="0.3">
      <c r="A3937" s="6">
        <v>29</v>
      </c>
      <c r="B3937" s="6" t="s">
        <v>139</v>
      </c>
      <c r="C3937" s="6" t="s">
        <v>371</v>
      </c>
      <c r="D3937" s="6" t="s">
        <v>140</v>
      </c>
      <c r="E3937" s="11">
        <v>6.4487004280090332</v>
      </c>
      <c r="F3937" s="11">
        <v>7.7698092460632324</v>
      </c>
    </row>
    <row r="3938" spans="1:6" hidden="1" x14ac:dyDescent="0.3">
      <c r="A3938" s="6">
        <v>29</v>
      </c>
      <c r="B3938" s="6" t="s">
        <v>139</v>
      </c>
      <c r="C3938" s="6" t="s">
        <v>372</v>
      </c>
      <c r="D3938" s="6" t="s">
        <v>140</v>
      </c>
      <c r="E3938" s="11">
        <v>9.3509817123413086</v>
      </c>
      <c r="F3938" s="11">
        <v>7.7698092460632324</v>
      </c>
    </row>
    <row r="3939" spans="1:6" hidden="1" x14ac:dyDescent="0.3">
      <c r="A3939" s="6">
        <v>29</v>
      </c>
      <c r="B3939" s="6" t="s">
        <v>139</v>
      </c>
      <c r="C3939" s="6" t="s">
        <v>373</v>
      </c>
      <c r="D3939" s="6" t="s">
        <v>140</v>
      </c>
      <c r="E3939" s="11">
        <v>4.7567553520202637</v>
      </c>
      <c r="F3939" s="11">
        <v>7.7698092460632324</v>
      </c>
    </row>
    <row r="3940" spans="1:6" hidden="1" x14ac:dyDescent="0.3">
      <c r="A3940" s="6">
        <v>29</v>
      </c>
      <c r="B3940" s="6" t="s">
        <v>139</v>
      </c>
      <c r="C3940" s="6" t="s">
        <v>374</v>
      </c>
      <c r="D3940" s="6" t="s">
        <v>140</v>
      </c>
      <c r="E3940" s="11">
        <v>5.3588881492614746</v>
      </c>
      <c r="F3940" s="11">
        <v>7.7698092460632324</v>
      </c>
    </row>
    <row r="3941" spans="1:6" hidden="1" x14ac:dyDescent="0.3">
      <c r="A3941" s="6">
        <v>29</v>
      </c>
      <c r="B3941" s="6" t="s">
        <v>139</v>
      </c>
      <c r="C3941" s="6" t="s">
        <v>375</v>
      </c>
      <c r="D3941" s="6" t="s">
        <v>140</v>
      </c>
      <c r="E3941" s="11">
        <v>7.2770605087280273</v>
      </c>
      <c r="F3941" s="11">
        <v>7.7698092460632324</v>
      </c>
    </row>
    <row r="3942" spans="1:6" hidden="1" x14ac:dyDescent="0.3">
      <c r="A3942" s="6">
        <v>29</v>
      </c>
      <c r="B3942" s="6" t="s">
        <v>139</v>
      </c>
      <c r="C3942" s="6" t="s">
        <v>376</v>
      </c>
      <c r="D3942" s="6" t="s">
        <v>140</v>
      </c>
      <c r="E3942" s="11">
        <v>4.7181830406188965</v>
      </c>
      <c r="F3942" s="11">
        <v>7.7698092460632324</v>
      </c>
    </row>
    <row r="3943" spans="1:6" hidden="1" x14ac:dyDescent="0.3">
      <c r="A3943" s="6">
        <v>29</v>
      </c>
      <c r="B3943" s="6" t="s">
        <v>139</v>
      </c>
      <c r="C3943" s="6" t="s">
        <v>377</v>
      </c>
      <c r="D3943" s="6" t="s">
        <v>140</v>
      </c>
      <c r="E3943" s="11">
        <v>10.235118865966797</v>
      </c>
      <c r="F3943" s="11">
        <v>7.7698092460632324</v>
      </c>
    </row>
    <row r="3944" spans="1:6" hidden="1" x14ac:dyDescent="0.3">
      <c r="A3944" s="6">
        <v>29</v>
      </c>
      <c r="B3944" s="6" t="s">
        <v>139</v>
      </c>
      <c r="C3944" s="6" t="s">
        <v>378</v>
      </c>
      <c r="D3944" s="6" t="s">
        <v>140</v>
      </c>
      <c r="E3944" s="11">
        <v>5.419762134552002</v>
      </c>
      <c r="F3944" s="11">
        <v>7.7698092460632324</v>
      </c>
    </row>
    <row r="3945" spans="1:6" hidden="1" x14ac:dyDescent="0.3">
      <c r="A3945" s="6">
        <v>29</v>
      </c>
      <c r="B3945" s="6" t="s">
        <v>139</v>
      </c>
      <c r="C3945" s="6" t="s">
        <v>379</v>
      </c>
      <c r="D3945" s="6" t="s">
        <v>140</v>
      </c>
      <c r="E3945" s="11">
        <v>14.647341728210449</v>
      </c>
      <c r="F3945" s="11">
        <v>7.7698092460632324</v>
      </c>
    </row>
    <row r="3946" spans="1:6" hidden="1" x14ac:dyDescent="0.3">
      <c r="A3946" s="6">
        <v>29</v>
      </c>
      <c r="B3946" s="6" t="s">
        <v>139</v>
      </c>
      <c r="C3946" s="6" t="s">
        <v>380</v>
      </c>
      <c r="D3946" s="6" t="s">
        <v>140</v>
      </c>
      <c r="E3946" s="11">
        <v>4.9911088943481445</v>
      </c>
      <c r="F3946" s="11">
        <v>7.7698092460632324</v>
      </c>
    </row>
    <row r="3947" spans="1:6" hidden="1" x14ac:dyDescent="0.3">
      <c r="A3947" s="6">
        <v>29</v>
      </c>
      <c r="B3947" s="6" t="s">
        <v>139</v>
      </c>
      <c r="C3947" s="6" t="s">
        <v>381</v>
      </c>
      <c r="D3947" s="6" t="s">
        <v>140</v>
      </c>
      <c r="E3947" s="11">
        <v>19.954799652099609</v>
      </c>
      <c r="F3947" s="11">
        <v>7.7698092460632324</v>
      </c>
    </row>
    <row r="3948" spans="1:6" hidden="1" x14ac:dyDescent="0.3">
      <c r="A3948" s="6">
        <v>29</v>
      </c>
      <c r="B3948" s="6" t="s">
        <v>139</v>
      </c>
      <c r="C3948" s="6" t="s">
        <v>382</v>
      </c>
      <c r="D3948" s="6" t="s">
        <v>140</v>
      </c>
      <c r="E3948" s="11">
        <v>5.2937111854553223</v>
      </c>
      <c r="F3948" s="11">
        <v>7.7698092460632324</v>
      </c>
    </row>
    <row r="3949" spans="1:6" hidden="1" x14ac:dyDescent="0.3">
      <c r="A3949" s="6">
        <v>29</v>
      </c>
      <c r="B3949" s="6" t="s">
        <v>139</v>
      </c>
      <c r="C3949" s="6" t="s">
        <v>383</v>
      </c>
      <c r="D3949" s="6" t="s">
        <v>140</v>
      </c>
      <c r="E3949" s="11">
        <v>10.556839942932129</v>
      </c>
      <c r="F3949" s="11">
        <v>7.7698092460632324</v>
      </c>
    </row>
    <row r="3950" spans="1:6" hidden="1" x14ac:dyDescent="0.3">
      <c r="A3950" s="6">
        <v>29</v>
      </c>
      <c r="B3950" s="6" t="s">
        <v>139</v>
      </c>
      <c r="C3950" s="6" t="s">
        <v>384</v>
      </c>
      <c r="D3950" s="6" t="s">
        <v>140</v>
      </c>
      <c r="E3950" s="11">
        <v>8.3525171279907227</v>
      </c>
      <c r="F3950" s="11">
        <v>7.7698092460632324</v>
      </c>
    </row>
    <row r="3951" spans="1:6" hidden="1" x14ac:dyDescent="0.3">
      <c r="A3951" s="6">
        <v>29</v>
      </c>
      <c r="B3951" s="6" t="s">
        <v>139</v>
      </c>
      <c r="C3951" s="6" t="s">
        <v>385</v>
      </c>
      <c r="D3951" s="6" t="s">
        <v>140</v>
      </c>
      <c r="E3951" s="11">
        <v>8.0194864273071289</v>
      </c>
      <c r="F3951" s="11">
        <v>7.7698092460632324</v>
      </c>
    </row>
    <row r="3952" spans="1:6" hidden="1" x14ac:dyDescent="0.3">
      <c r="A3952" s="6">
        <v>29</v>
      </c>
      <c r="B3952" s="6" t="s">
        <v>139</v>
      </c>
      <c r="C3952" s="6" t="s">
        <v>386</v>
      </c>
      <c r="D3952" s="6" t="s">
        <v>140</v>
      </c>
      <c r="E3952" s="11">
        <v>5.1321325302124023</v>
      </c>
      <c r="F3952" s="11">
        <v>7.7698092460632324</v>
      </c>
    </row>
    <row r="3953" spans="1:6" hidden="1" x14ac:dyDescent="0.3">
      <c r="A3953" s="6">
        <v>29</v>
      </c>
      <c r="B3953" s="6" t="s">
        <v>139</v>
      </c>
      <c r="C3953" s="6" t="s">
        <v>387</v>
      </c>
      <c r="D3953" s="6" t="s">
        <v>140</v>
      </c>
      <c r="E3953" s="11">
        <v>7.323664665222168</v>
      </c>
      <c r="F3953" s="11">
        <v>7.7698092460632324</v>
      </c>
    </row>
    <row r="3954" spans="1:6" hidden="1" x14ac:dyDescent="0.3">
      <c r="A3954" s="6">
        <v>29</v>
      </c>
      <c r="B3954" s="6" t="s">
        <v>139</v>
      </c>
      <c r="C3954" s="6" t="s">
        <v>388</v>
      </c>
      <c r="D3954" s="6" t="s">
        <v>140</v>
      </c>
      <c r="E3954" s="11">
        <v>5.1671733856201172</v>
      </c>
      <c r="F3954" s="11">
        <v>7.7698092460632324</v>
      </c>
    </row>
    <row r="3955" spans="1:6" hidden="1" x14ac:dyDescent="0.3">
      <c r="A3955" s="6">
        <v>29</v>
      </c>
      <c r="B3955" s="6" t="s">
        <v>139</v>
      </c>
      <c r="C3955" s="6" t="s">
        <v>389</v>
      </c>
      <c r="D3955" s="6" t="s">
        <v>140</v>
      </c>
      <c r="E3955" s="11">
        <v>8.0214509963989258</v>
      </c>
      <c r="F3955" s="11">
        <v>7.7698092460632324</v>
      </c>
    </row>
    <row r="3956" spans="1:6" hidden="1" x14ac:dyDescent="0.3">
      <c r="A3956" s="6">
        <v>29</v>
      </c>
      <c r="B3956" s="6" t="s">
        <v>139</v>
      </c>
      <c r="C3956" s="6" t="s">
        <v>390</v>
      </c>
      <c r="D3956" s="6" t="s">
        <v>140</v>
      </c>
      <c r="E3956" s="11">
        <v>9.0655927658081055</v>
      </c>
      <c r="F3956" s="11">
        <v>7.7698092460632324</v>
      </c>
    </row>
    <row r="3957" spans="1:6" hidden="1" x14ac:dyDescent="0.3">
      <c r="A3957" s="6">
        <v>29</v>
      </c>
      <c r="B3957" s="6" t="s">
        <v>139</v>
      </c>
      <c r="C3957" s="6" t="s">
        <v>391</v>
      </c>
      <c r="D3957" s="6" t="s">
        <v>140</v>
      </c>
      <c r="E3957" s="11">
        <v>13.39627742767334</v>
      </c>
      <c r="F3957" s="11">
        <v>7.7698092460632324</v>
      </c>
    </row>
    <row r="3958" spans="1:6" hidden="1" x14ac:dyDescent="0.3">
      <c r="A3958" s="6">
        <v>29</v>
      </c>
      <c r="B3958" s="6" t="s">
        <v>139</v>
      </c>
      <c r="C3958" s="6" t="s">
        <v>392</v>
      </c>
      <c r="D3958" s="6" t="s">
        <v>140</v>
      </c>
      <c r="E3958" s="11">
        <v>5.8689365386962891</v>
      </c>
      <c r="F3958" s="11">
        <v>7.7698092460632324</v>
      </c>
    </row>
    <row r="3959" spans="1:6" hidden="1" x14ac:dyDescent="0.3">
      <c r="A3959" s="6">
        <v>29</v>
      </c>
      <c r="B3959" s="6" t="s">
        <v>139</v>
      </c>
      <c r="C3959" s="6" t="s">
        <v>393</v>
      </c>
      <c r="D3959" s="6" t="s">
        <v>140</v>
      </c>
      <c r="E3959" s="11">
        <v>7.1929621696472168</v>
      </c>
      <c r="F3959" s="11">
        <v>7.7698092460632324</v>
      </c>
    </row>
    <row r="3960" spans="1:6" hidden="1" x14ac:dyDescent="0.3">
      <c r="A3960" s="6">
        <v>29</v>
      </c>
      <c r="B3960" s="6" t="s">
        <v>139</v>
      </c>
      <c r="C3960" s="6" t="s">
        <v>394</v>
      </c>
      <c r="D3960" s="6" t="s">
        <v>140</v>
      </c>
      <c r="E3960" s="11">
        <v>5.2157778739929199</v>
      </c>
      <c r="F3960" s="11">
        <v>7.7698092460632324</v>
      </c>
    </row>
    <row r="3961" spans="1:6" hidden="1" x14ac:dyDescent="0.3">
      <c r="A3961" s="6">
        <v>29</v>
      </c>
      <c r="B3961" s="6" t="s">
        <v>139</v>
      </c>
      <c r="C3961" s="6" t="s">
        <v>395</v>
      </c>
      <c r="D3961" s="6" t="s">
        <v>140</v>
      </c>
      <c r="E3961" s="11">
        <v>8.7584733963012695</v>
      </c>
      <c r="F3961" s="11">
        <v>7.7698092460632324</v>
      </c>
    </row>
    <row r="3962" spans="1:6" hidden="1" x14ac:dyDescent="0.3">
      <c r="A3962" s="6">
        <v>29</v>
      </c>
      <c r="B3962" s="6" t="s">
        <v>139</v>
      </c>
      <c r="C3962" s="6" t="s">
        <v>396</v>
      </c>
      <c r="D3962" s="6" t="s">
        <v>140</v>
      </c>
      <c r="E3962" s="11">
        <v>4.6280641555786133</v>
      </c>
      <c r="F3962" s="11">
        <v>7.7698092460632324</v>
      </c>
    </row>
    <row r="3963" spans="1:6" hidden="1" x14ac:dyDescent="0.3">
      <c r="A3963" s="6">
        <v>29</v>
      </c>
      <c r="B3963" s="6" t="s">
        <v>139</v>
      </c>
      <c r="C3963" s="6" t="s">
        <v>397</v>
      </c>
      <c r="D3963" s="6" t="s">
        <v>140</v>
      </c>
      <c r="E3963" s="11">
        <v>9.7389793395996094</v>
      </c>
      <c r="F3963" s="11">
        <v>7.7698092460632324</v>
      </c>
    </row>
    <row r="3964" spans="1:6" hidden="1" x14ac:dyDescent="0.3">
      <c r="A3964" s="6">
        <v>29</v>
      </c>
      <c r="B3964" s="6" t="s">
        <v>139</v>
      </c>
      <c r="C3964" s="6" t="s">
        <v>398</v>
      </c>
      <c r="D3964" s="6" t="s">
        <v>140</v>
      </c>
      <c r="E3964" s="11">
        <v>4.6977748870849609</v>
      </c>
      <c r="F3964" s="11">
        <v>7.7698092460632324</v>
      </c>
    </row>
    <row r="3965" spans="1:6" hidden="1" x14ac:dyDescent="0.3">
      <c r="A3965" s="6">
        <v>29</v>
      </c>
      <c r="B3965" s="6" t="s">
        <v>139</v>
      </c>
      <c r="C3965" s="6" t="s">
        <v>399</v>
      </c>
      <c r="D3965" s="6" t="s">
        <v>140</v>
      </c>
      <c r="E3965" s="11">
        <v>6.3267149925231934</v>
      </c>
      <c r="F3965" s="11">
        <v>7.7698092460632324</v>
      </c>
    </row>
    <row r="3966" spans="1:6" hidden="1" x14ac:dyDescent="0.3">
      <c r="A3966" s="6">
        <v>29</v>
      </c>
      <c r="B3966" s="6" t="s">
        <v>139</v>
      </c>
      <c r="C3966" s="6" t="s">
        <v>400</v>
      </c>
      <c r="D3966" s="6" t="s">
        <v>140</v>
      </c>
      <c r="E3966" s="11">
        <v>4.036137580871582</v>
      </c>
      <c r="F3966" s="11">
        <v>7.7698092460632324</v>
      </c>
    </row>
    <row r="3967" spans="1:6" hidden="1" x14ac:dyDescent="0.3">
      <c r="A3967" s="6">
        <v>29</v>
      </c>
      <c r="B3967" s="6" t="s">
        <v>139</v>
      </c>
      <c r="C3967" s="6" t="s">
        <v>401</v>
      </c>
      <c r="D3967" s="6" t="s">
        <v>140</v>
      </c>
      <c r="E3967" s="11">
        <v>11.329758644104004</v>
      </c>
      <c r="F3967" s="11">
        <v>7.7698092460632324</v>
      </c>
    </row>
    <row r="3968" spans="1:6" hidden="1" x14ac:dyDescent="0.3">
      <c r="A3968" s="6">
        <v>29</v>
      </c>
      <c r="B3968" s="6" t="s">
        <v>139</v>
      </c>
      <c r="C3968" s="6" t="s">
        <v>402</v>
      </c>
      <c r="D3968" s="6" t="s">
        <v>140</v>
      </c>
      <c r="E3968" s="11">
        <v>7.0464482307434082</v>
      </c>
      <c r="F3968" s="11">
        <v>7.7698092460632324</v>
      </c>
    </row>
    <row r="3969" spans="1:6" hidden="1" x14ac:dyDescent="0.3">
      <c r="A3969" s="6">
        <v>29</v>
      </c>
      <c r="B3969" s="6" t="s">
        <v>139</v>
      </c>
      <c r="C3969" s="6" t="s">
        <v>403</v>
      </c>
      <c r="D3969" s="6" t="s">
        <v>140</v>
      </c>
      <c r="E3969" s="11">
        <v>8.1547565460205078</v>
      </c>
      <c r="F3969" s="11">
        <v>7.7698092460632324</v>
      </c>
    </row>
    <row r="3970" spans="1:6" hidden="1" x14ac:dyDescent="0.3">
      <c r="A3970" s="6">
        <v>29</v>
      </c>
      <c r="B3970" s="6" t="s">
        <v>139</v>
      </c>
      <c r="C3970" s="6" t="s">
        <v>404</v>
      </c>
      <c r="D3970" s="6" t="s">
        <v>140</v>
      </c>
      <c r="E3970" s="11">
        <v>5.6066584587097168</v>
      </c>
      <c r="F3970" s="11">
        <v>7.7698092460632324</v>
      </c>
    </row>
    <row r="3971" spans="1:6" hidden="1" x14ac:dyDescent="0.3">
      <c r="A3971" s="6">
        <v>29</v>
      </c>
      <c r="B3971" s="6" t="s">
        <v>139</v>
      </c>
      <c r="C3971" s="6" t="s">
        <v>405</v>
      </c>
      <c r="D3971" s="6" t="s">
        <v>140</v>
      </c>
      <c r="E3971" s="11">
        <v>7.7309718132019043</v>
      </c>
      <c r="F3971" s="11">
        <v>7.7698092460632324</v>
      </c>
    </row>
    <row r="3972" spans="1:6" hidden="1" x14ac:dyDescent="0.3">
      <c r="A3972" s="6">
        <v>29</v>
      </c>
      <c r="B3972" s="6" t="s">
        <v>139</v>
      </c>
      <c r="C3972" s="6" t="s">
        <v>406</v>
      </c>
      <c r="D3972" s="6" t="s">
        <v>140</v>
      </c>
      <c r="E3972" s="11">
        <v>8.3706216812133789</v>
      </c>
      <c r="F3972" s="11">
        <v>7.7698092460632324</v>
      </c>
    </row>
    <row r="3973" spans="1:6" hidden="1" x14ac:dyDescent="0.3">
      <c r="A3973" s="6">
        <v>29</v>
      </c>
      <c r="B3973" s="6" t="s">
        <v>139</v>
      </c>
      <c r="C3973" s="6" t="s">
        <v>407</v>
      </c>
      <c r="D3973" s="6" t="s">
        <v>140</v>
      </c>
      <c r="E3973" s="11">
        <v>6.8257594108581543</v>
      </c>
      <c r="F3973" s="11">
        <v>7.7698092460632324</v>
      </c>
    </row>
    <row r="3974" spans="1:6" hidden="1" x14ac:dyDescent="0.3">
      <c r="A3974" s="6">
        <v>29</v>
      </c>
      <c r="B3974" s="6" t="s">
        <v>139</v>
      </c>
      <c r="C3974" s="6" t="s">
        <v>408</v>
      </c>
      <c r="D3974" s="6" t="s">
        <v>140</v>
      </c>
      <c r="E3974" s="11">
        <v>5.8762245178222656</v>
      </c>
      <c r="F3974" s="11">
        <v>7.7698092460632324</v>
      </c>
    </row>
    <row r="3975" spans="1:6" hidden="1" x14ac:dyDescent="0.3">
      <c r="A3975" s="6">
        <v>29</v>
      </c>
      <c r="B3975" s="6" t="s">
        <v>139</v>
      </c>
      <c r="C3975" s="6" t="s">
        <v>409</v>
      </c>
      <c r="D3975" s="6" t="s">
        <v>140</v>
      </c>
      <c r="E3975" s="11">
        <v>6.6468558311462402</v>
      </c>
      <c r="F3975" s="11">
        <v>7.7698092460632324</v>
      </c>
    </row>
    <row r="3976" spans="1:6" hidden="1" x14ac:dyDescent="0.3">
      <c r="A3976" s="6">
        <v>29</v>
      </c>
      <c r="B3976" s="6" t="s">
        <v>139</v>
      </c>
      <c r="C3976" s="6" t="s">
        <v>410</v>
      </c>
      <c r="D3976" s="6" t="s">
        <v>140</v>
      </c>
      <c r="E3976" s="11">
        <v>7.7216739654541016</v>
      </c>
      <c r="F3976" s="11">
        <v>7.7698092460632324</v>
      </c>
    </row>
    <row r="3977" spans="1:6" hidden="1" x14ac:dyDescent="0.3">
      <c r="A3977" s="6">
        <v>29</v>
      </c>
      <c r="B3977" s="6" t="s">
        <v>139</v>
      </c>
      <c r="C3977" s="6" t="s">
        <v>411</v>
      </c>
      <c r="D3977" s="6" t="s">
        <v>140</v>
      </c>
      <c r="E3977" s="11">
        <v>4.4694709777832031</v>
      </c>
      <c r="F3977" s="11">
        <v>7.7698092460632324</v>
      </c>
    </row>
    <row r="3978" spans="1:6" hidden="1" x14ac:dyDescent="0.3">
      <c r="A3978" s="6">
        <v>29</v>
      </c>
      <c r="B3978" s="6" t="s">
        <v>139</v>
      </c>
      <c r="C3978" s="6" t="s">
        <v>412</v>
      </c>
      <c r="D3978" s="6" t="s">
        <v>140</v>
      </c>
      <c r="E3978" s="11">
        <v>6.8036670684814453</v>
      </c>
      <c r="F3978" s="11">
        <v>7.7698092460632324</v>
      </c>
    </row>
    <row r="3979" spans="1:6" hidden="1" x14ac:dyDescent="0.3">
      <c r="A3979" s="6">
        <v>29</v>
      </c>
      <c r="B3979" s="6" t="s">
        <v>139</v>
      </c>
      <c r="C3979" s="6" t="s">
        <v>413</v>
      </c>
      <c r="D3979" s="6" t="s">
        <v>140</v>
      </c>
      <c r="E3979" s="11">
        <v>7.4759397506713867</v>
      </c>
      <c r="F3979" s="11">
        <v>7.7698092460632324</v>
      </c>
    </row>
    <row r="3980" spans="1:6" hidden="1" x14ac:dyDescent="0.3">
      <c r="A3980" s="6">
        <v>29</v>
      </c>
      <c r="B3980" s="6" t="s">
        <v>139</v>
      </c>
      <c r="C3980" s="6" t="s">
        <v>414</v>
      </c>
      <c r="D3980" s="6" t="s">
        <v>140</v>
      </c>
      <c r="E3980" s="11">
        <v>25.617704391479492</v>
      </c>
      <c r="F3980" s="11">
        <v>7.7698092460632324</v>
      </c>
    </row>
    <row r="3981" spans="1:6" hidden="1" x14ac:dyDescent="0.3">
      <c r="A3981" s="6">
        <v>29</v>
      </c>
      <c r="B3981" s="6" t="s">
        <v>139</v>
      </c>
      <c r="C3981" s="6" t="s">
        <v>415</v>
      </c>
      <c r="D3981" s="6" t="s">
        <v>140</v>
      </c>
      <c r="E3981" s="11">
        <v>28.863649368286133</v>
      </c>
      <c r="F3981" s="11">
        <v>7.7698092460632324</v>
      </c>
    </row>
    <row r="3982" spans="1:6" hidden="1" x14ac:dyDescent="0.3">
      <c r="A3982" s="6">
        <v>29</v>
      </c>
      <c r="B3982" s="6" t="s">
        <v>139</v>
      </c>
      <c r="C3982" s="6" t="s">
        <v>416</v>
      </c>
      <c r="D3982" s="6" t="s">
        <v>140</v>
      </c>
      <c r="E3982" s="11">
        <v>13.254722595214844</v>
      </c>
      <c r="F3982" s="11">
        <v>7.7698092460632324</v>
      </c>
    </row>
    <row r="3983" spans="1:6" hidden="1" x14ac:dyDescent="0.3">
      <c r="A3983" s="6">
        <v>29</v>
      </c>
      <c r="B3983" s="6" t="s">
        <v>139</v>
      </c>
      <c r="C3983" s="6" t="s">
        <v>417</v>
      </c>
      <c r="D3983" s="6" t="s">
        <v>140</v>
      </c>
      <c r="E3983" s="11">
        <v>8.7004194259643555</v>
      </c>
      <c r="F3983" s="11">
        <v>7.7698092460632324</v>
      </c>
    </row>
    <row r="3984" spans="1:6" hidden="1" x14ac:dyDescent="0.3">
      <c r="A3984" s="6">
        <v>29</v>
      </c>
      <c r="B3984" s="6" t="s">
        <v>139</v>
      </c>
      <c r="C3984" s="6" t="s">
        <v>418</v>
      </c>
      <c r="D3984" s="6" t="s">
        <v>140</v>
      </c>
      <c r="E3984" s="11">
        <v>4.5472335815429688</v>
      </c>
      <c r="F3984" s="11">
        <v>7.7698092460632324</v>
      </c>
    </row>
    <row r="3985" spans="1:6" hidden="1" x14ac:dyDescent="0.3">
      <c r="A3985" s="6">
        <v>29</v>
      </c>
      <c r="B3985" s="6" t="s">
        <v>139</v>
      </c>
      <c r="C3985" s="6" t="s">
        <v>419</v>
      </c>
      <c r="D3985" s="6" t="s">
        <v>140</v>
      </c>
      <c r="E3985" s="11">
        <v>4.1273603439331055</v>
      </c>
      <c r="F3985" s="11">
        <v>7.7698092460632324</v>
      </c>
    </row>
    <row r="3986" spans="1:6" hidden="1" x14ac:dyDescent="0.3">
      <c r="A3986" s="6">
        <v>29</v>
      </c>
      <c r="B3986" s="6" t="s">
        <v>139</v>
      </c>
      <c r="C3986" s="6" t="s">
        <v>420</v>
      </c>
      <c r="D3986" s="6" t="s">
        <v>140</v>
      </c>
      <c r="E3986" s="11">
        <v>3.7178568840026855</v>
      </c>
      <c r="F3986" s="11">
        <v>7.7698092460632324</v>
      </c>
    </row>
    <row r="3987" spans="1:6" hidden="1" x14ac:dyDescent="0.3">
      <c r="A3987" s="6">
        <v>29</v>
      </c>
      <c r="B3987" s="6" t="s">
        <v>139</v>
      </c>
      <c r="C3987" s="6" t="s">
        <v>421</v>
      </c>
      <c r="D3987" s="6" t="s">
        <v>140</v>
      </c>
      <c r="E3987" s="11">
        <v>4.902214527130127</v>
      </c>
      <c r="F3987" s="11">
        <v>7.7698092460632324</v>
      </c>
    </row>
    <row r="3988" spans="1:6" hidden="1" x14ac:dyDescent="0.3">
      <c r="A3988" s="6">
        <v>29</v>
      </c>
      <c r="B3988" s="6" t="s">
        <v>139</v>
      </c>
      <c r="C3988" s="6" t="s">
        <v>422</v>
      </c>
      <c r="D3988" s="6" t="s">
        <v>140</v>
      </c>
      <c r="E3988" s="11">
        <v>7.8252592086791992</v>
      </c>
      <c r="F3988" s="11">
        <v>7.7698092460632324</v>
      </c>
    </row>
    <row r="3989" spans="1:6" hidden="1" x14ac:dyDescent="0.3">
      <c r="A3989" s="6">
        <v>29</v>
      </c>
      <c r="B3989" s="6" t="s">
        <v>139</v>
      </c>
      <c r="C3989" s="6" t="s">
        <v>423</v>
      </c>
      <c r="D3989" s="6" t="s">
        <v>140</v>
      </c>
      <c r="E3989" s="11">
        <v>8.4406290054321289</v>
      </c>
      <c r="F3989" s="11">
        <v>7.7698092460632324</v>
      </c>
    </row>
    <row r="3990" spans="1:6" hidden="1" x14ac:dyDescent="0.3">
      <c r="A3990" s="6">
        <v>29</v>
      </c>
      <c r="B3990" s="6" t="s">
        <v>139</v>
      </c>
      <c r="C3990" s="6" t="s">
        <v>424</v>
      </c>
      <c r="D3990" s="6" t="s">
        <v>140</v>
      </c>
      <c r="E3990" s="11">
        <v>4.6152582168579102</v>
      </c>
      <c r="F3990" s="11">
        <v>7.7698092460632324</v>
      </c>
    </row>
    <row r="3991" spans="1:6" hidden="1" x14ac:dyDescent="0.3">
      <c r="A3991" s="6">
        <v>29</v>
      </c>
      <c r="B3991" s="6" t="s">
        <v>139</v>
      </c>
      <c r="C3991" s="6" t="s">
        <v>425</v>
      </c>
      <c r="D3991" s="6" t="s">
        <v>140</v>
      </c>
      <c r="E3991" s="11">
        <v>6.6379446983337402</v>
      </c>
      <c r="F3991" s="11">
        <v>7.7698092460632324</v>
      </c>
    </row>
    <row r="3992" spans="1:6" hidden="1" x14ac:dyDescent="0.3">
      <c r="A3992" s="6">
        <v>29</v>
      </c>
      <c r="B3992" s="6" t="s">
        <v>139</v>
      </c>
      <c r="C3992" s="6" t="s">
        <v>426</v>
      </c>
      <c r="D3992" s="6" t="s">
        <v>140</v>
      </c>
      <c r="E3992" s="11">
        <v>5.6965627670288086</v>
      </c>
      <c r="F3992" s="11">
        <v>7.7698092460632324</v>
      </c>
    </row>
    <row r="3993" spans="1:6" hidden="1" x14ac:dyDescent="0.3">
      <c r="A3993" s="6">
        <v>29</v>
      </c>
      <c r="B3993" s="6" t="s">
        <v>139</v>
      </c>
      <c r="C3993" s="6" t="s">
        <v>427</v>
      </c>
      <c r="D3993" s="6" t="s">
        <v>140</v>
      </c>
      <c r="E3993" s="11">
        <v>7.6168222427368164</v>
      </c>
      <c r="F3993" s="11">
        <v>7.7698092460632324</v>
      </c>
    </row>
    <row r="3994" spans="1:6" hidden="1" x14ac:dyDescent="0.3">
      <c r="A3994" s="6">
        <v>29</v>
      </c>
      <c r="B3994" s="6" t="s">
        <v>139</v>
      </c>
      <c r="C3994" s="6" t="s">
        <v>428</v>
      </c>
      <c r="D3994" s="6" t="s">
        <v>140</v>
      </c>
      <c r="E3994" s="11">
        <v>10.829928398132324</v>
      </c>
      <c r="F3994" s="11">
        <v>7.7698092460632324</v>
      </c>
    </row>
    <row r="3995" spans="1:6" hidden="1" x14ac:dyDescent="0.3">
      <c r="A3995" s="6">
        <v>29</v>
      </c>
      <c r="B3995" s="6" t="s">
        <v>139</v>
      </c>
      <c r="C3995" s="6" t="s">
        <v>429</v>
      </c>
      <c r="D3995" s="6" t="s">
        <v>140</v>
      </c>
      <c r="E3995" s="11">
        <v>11.309367179870605</v>
      </c>
      <c r="F3995" s="11">
        <v>7.7698092460632324</v>
      </c>
    </row>
    <row r="3996" spans="1:6" hidden="1" x14ac:dyDescent="0.3">
      <c r="A3996" s="6">
        <v>29</v>
      </c>
      <c r="B3996" s="6" t="s">
        <v>139</v>
      </c>
      <c r="C3996" s="6" t="s">
        <v>430</v>
      </c>
      <c r="D3996" s="6" t="s">
        <v>140</v>
      </c>
      <c r="E3996" s="11">
        <v>5.2803068161010742</v>
      </c>
      <c r="F3996" s="11">
        <v>7.7698092460632324</v>
      </c>
    </row>
    <row r="3997" spans="1:6" hidden="1" x14ac:dyDescent="0.3">
      <c r="A3997" s="6">
        <v>29</v>
      </c>
      <c r="B3997" s="6" t="s">
        <v>139</v>
      </c>
      <c r="C3997" s="6" t="s">
        <v>431</v>
      </c>
      <c r="D3997" s="6" t="s">
        <v>140</v>
      </c>
      <c r="E3997" s="11">
        <v>5.4375696182250977</v>
      </c>
      <c r="F3997" s="11">
        <v>7.7698092460632324</v>
      </c>
    </row>
    <row r="3998" spans="1:6" hidden="1" x14ac:dyDescent="0.3">
      <c r="A3998" s="6">
        <v>29</v>
      </c>
      <c r="B3998" s="6" t="s">
        <v>139</v>
      </c>
      <c r="C3998" s="6" t="s">
        <v>432</v>
      </c>
      <c r="D3998" s="6" t="s">
        <v>140</v>
      </c>
      <c r="E3998" s="11">
        <v>6.3790345191955566</v>
      </c>
      <c r="F3998" s="11">
        <v>7.7698092460632324</v>
      </c>
    </row>
    <row r="3999" spans="1:6" hidden="1" x14ac:dyDescent="0.3">
      <c r="A3999" s="6">
        <v>29</v>
      </c>
      <c r="B3999" s="6" t="s">
        <v>139</v>
      </c>
      <c r="C3999" s="6" t="s">
        <v>433</v>
      </c>
      <c r="D3999" s="6" t="s">
        <v>140</v>
      </c>
      <c r="E3999" s="11">
        <v>10.190653800964355</v>
      </c>
      <c r="F3999" s="11">
        <v>7.7698092460632324</v>
      </c>
    </row>
    <row r="4000" spans="1:6" hidden="1" x14ac:dyDescent="0.3">
      <c r="A4000" s="6">
        <v>29</v>
      </c>
      <c r="B4000" s="6" t="s">
        <v>139</v>
      </c>
      <c r="C4000" s="6" t="s">
        <v>434</v>
      </c>
      <c r="D4000" s="6" t="s">
        <v>140</v>
      </c>
      <c r="E4000" s="11">
        <v>3.3709242343902588</v>
      </c>
      <c r="F4000" s="11">
        <v>7.7698092460632324</v>
      </c>
    </row>
    <row r="4001" spans="1:6" hidden="1" x14ac:dyDescent="0.3">
      <c r="A4001" s="6">
        <v>29</v>
      </c>
      <c r="B4001" s="6" t="s">
        <v>139</v>
      </c>
      <c r="C4001" s="6" t="s">
        <v>435</v>
      </c>
      <c r="D4001" s="6" t="s">
        <v>140</v>
      </c>
      <c r="E4001" s="11">
        <v>6.5692424774169922</v>
      </c>
      <c r="F4001" s="11">
        <v>7.7698092460632324</v>
      </c>
    </row>
    <row r="4002" spans="1:6" hidden="1" x14ac:dyDescent="0.3">
      <c r="A4002" s="6">
        <v>29</v>
      </c>
      <c r="B4002" s="6" t="s">
        <v>139</v>
      </c>
      <c r="C4002" s="6" t="s">
        <v>436</v>
      </c>
      <c r="D4002" s="6" t="s">
        <v>140</v>
      </c>
      <c r="E4002" s="11">
        <v>7.827517032623291</v>
      </c>
      <c r="F4002" s="11">
        <v>7.7698092460632324</v>
      </c>
    </row>
    <row r="4003" spans="1:6" hidden="1" x14ac:dyDescent="0.3">
      <c r="A4003" s="6">
        <v>29</v>
      </c>
      <c r="B4003" s="6" t="s">
        <v>139</v>
      </c>
      <c r="C4003" s="6" t="s">
        <v>437</v>
      </c>
      <c r="D4003" s="6" t="s">
        <v>140</v>
      </c>
      <c r="E4003" s="11">
        <v>5.6443667411804199</v>
      </c>
      <c r="F4003" s="11">
        <v>7.7698092460632324</v>
      </c>
    </row>
    <row r="4004" spans="1:6" hidden="1" x14ac:dyDescent="0.3">
      <c r="A4004" s="6">
        <v>29</v>
      </c>
      <c r="B4004" s="6" t="s">
        <v>139</v>
      </c>
      <c r="C4004" s="6" t="s">
        <v>438</v>
      </c>
      <c r="D4004" s="6" t="s">
        <v>140</v>
      </c>
      <c r="E4004" s="11">
        <v>16.288370132446289</v>
      </c>
      <c r="F4004" s="11">
        <v>7.7698092460632324</v>
      </c>
    </row>
    <row r="4005" spans="1:6" hidden="1" x14ac:dyDescent="0.3">
      <c r="A4005" s="6">
        <v>29</v>
      </c>
      <c r="B4005" s="6" t="s">
        <v>139</v>
      </c>
      <c r="C4005" s="6" t="s">
        <v>439</v>
      </c>
      <c r="D4005" s="6" t="s">
        <v>140</v>
      </c>
      <c r="E4005" s="11">
        <v>6.2980422973632813</v>
      </c>
      <c r="F4005" s="11">
        <v>7.7698092460632324</v>
      </c>
    </row>
    <row r="4006" spans="1:6" hidden="1" x14ac:dyDescent="0.3">
      <c r="A4006" s="6">
        <v>29</v>
      </c>
      <c r="B4006" s="6" t="s">
        <v>139</v>
      </c>
      <c r="C4006" s="6" t="s">
        <v>440</v>
      </c>
      <c r="D4006" s="6" t="s">
        <v>140</v>
      </c>
      <c r="E4006" s="11">
        <v>5.415259838104248</v>
      </c>
      <c r="F4006" s="11">
        <v>7.7698092460632324</v>
      </c>
    </row>
    <row r="4007" spans="1:6" hidden="1" x14ac:dyDescent="0.3">
      <c r="A4007" s="6">
        <v>29</v>
      </c>
      <c r="B4007" s="6" t="s">
        <v>139</v>
      </c>
      <c r="C4007" s="6" t="s">
        <v>441</v>
      </c>
      <c r="D4007" s="6" t="s">
        <v>140</v>
      </c>
      <c r="E4007" s="11">
        <v>171.95858764648438</v>
      </c>
      <c r="F4007" s="11">
        <v>7.7698092460632324</v>
      </c>
    </row>
    <row r="4008" spans="1:6" hidden="1" x14ac:dyDescent="0.3">
      <c r="A4008" s="6">
        <v>29</v>
      </c>
      <c r="B4008" s="6" t="s">
        <v>139</v>
      </c>
      <c r="C4008" s="6" t="s">
        <v>442</v>
      </c>
      <c r="D4008" s="6" t="s">
        <v>140</v>
      </c>
      <c r="E4008" s="11">
        <v>5.4566378593444824</v>
      </c>
      <c r="F4008" s="11">
        <v>7.7698092460632324</v>
      </c>
    </row>
    <row r="4009" spans="1:6" hidden="1" x14ac:dyDescent="0.3">
      <c r="A4009" s="6">
        <v>29</v>
      </c>
      <c r="B4009" s="6" t="s">
        <v>139</v>
      </c>
      <c r="C4009" s="6" t="s">
        <v>443</v>
      </c>
      <c r="D4009" s="6" t="s">
        <v>140</v>
      </c>
      <c r="E4009" s="11">
        <v>4.6203646659851074</v>
      </c>
      <c r="F4009" s="11">
        <v>7.7698092460632324</v>
      </c>
    </row>
    <row r="4010" spans="1:6" hidden="1" x14ac:dyDescent="0.3">
      <c r="A4010" s="6">
        <v>29</v>
      </c>
      <c r="B4010" s="6" t="s">
        <v>139</v>
      </c>
      <c r="C4010" s="6" t="s">
        <v>444</v>
      </c>
      <c r="D4010" s="6" t="s">
        <v>140</v>
      </c>
      <c r="E4010" s="11">
        <v>4.7100186347961426</v>
      </c>
      <c r="F4010" s="11">
        <v>7.7698092460632324</v>
      </c>
    </row>
    <row r="4011" spans="1:6" hidden="1" x14ac:dyDescent="0.3">
      <c r="A4011" s="6">
        <v>29</v>
      </c>
      <c r="B4011" s="6" t="s">
        <v>139</v>
      </c>
      <c r="C4011" s="6" t="s">
        <v>445</v>
      </c>
      <c r="D4011" s="6" t="s">
        <v>140</v>
      </c>
      <c r="E4011" s="11">
        <v>7.0105190277099609</v>
      </c>
      <c r="F4011" s="11">
        <v>7.7698092460632324</v>
      </c>
    </row>
    <row r="4012" spans="1:6" hidden="1" x14ac:dyDescent="0.3">
      <c r="A4012" s="6">
        <v>29</v>
      </c>
      <c r="B4012" s="6" t="s">
        <v>139</v>
      </c>
      <c r="C4012" s="6" t="s">
        <v>446</v>
      </c>
      <c r="D4012" s="6" t="s">
        <v>140</v>
      </c>
      <c r="E4012" s="11">
        <v>5.7261180877685547</v>
      </c>
      <c r="F4012" s="11">
        <v>7.7698092460632324</v>
      </c>
    </row>
    <row r="4013" spans="1:6" hidden="1" x14ac:dyDescent="0.3">
      <c r="A4013" s="6">
        <v>29</v>
      </c>
      <c r="B4013" s="6" t="s">
        <v>139</v>
      </c>
      <c r="C4013" s="6" t="s">
        <v>447</v>
      </c>
      <c r="D4013" s="6" t="s">
        <v>140</v>
      </c>
      <c r="E4013" s="11">
        <v>7.0038280487060547</v>
      </c>
      <c r="F4013" s="11">
        <v>7.7698092460632324</v>
      </c>
    </row>
    <row r="4014" spans="1:6" hidden="1" x14ac:dyDescent="0.3">
      <c r="A4014" s="6">
        <v>29</v>
      </c>
      <c r="B4014" s="6" t="s">
        <v>139</v>
      </c>
      <c r="C4014" s="6" t="s">
        <v>448</v>
      </c>
      <c r="D4014" s="6" t="s">
        <v>140</v>
      </c>
      <c r="E4014" s="11">
        <v>5.7713584899902344</v>
      </c>
      <c r="F4014" s="11">
        <v>7.7698092460632324</v>
      </c>
    </row>
    <row r="4015" spans="1:6" hidden="1" x14ac:dyDescent="0.3">
      <c r="A4015" s="6">
        <v>29</v>
      </c>
      <c r="B4015" s="6" t="s">
        <v>139</v>
      </c>
      <c r="C4015" s="6" t="s">
        <v>449</v>
      </c>
      <c r="D4015" s="6" t="s">
        <v>140</v>
      </c>
      <c r="E4015" s="11">
        <v>4.9336090087890625</v>
      </c>
      <c r="F4015" s="11">
        <v>7.7698092460632324</v>
      </c>
    </row>
    <row r="4016" spans="1:6" hidden="1" x14ac:dyDescent="0.3">
      <c r="A4016" s="6">
        <v>29</v>
      </c>
      <c r="B4016" s="6" t="s">
        <v>139</v>
      </c>
      <c r="C4016" s="6" t="s">
        <v>450</v>
      </c>
      <c r="D4016" s="6" t="s">
        <v>140</v>
      </c>
      <c r="E4016" s="11">
        <v>7.7820744514465332</v>
      </c>
      <c r="F4016" s="11">
        <v>7.7698092460632324</v>
      </c>
    </row>
    <row r="4017" spans="1:6" hidden="1" x14ac:dyDescent="0.3">
      <c r="A4017" s="6">
        <v>29</v>
      </c>
      <c r="B4017" s="6" t="s">
        <v>139</v>
      </c>
      <c r="C4017" s="6" t="s">
        <v>451</v>
      </c>
      <c r="D4017" s="6" t="s">
        <v>140</v>
      </c>
      <c r="E4017" s="11">
        <v>6.7684812545776367</v>
      </c>
      <c r="F4017" s="11">
        <v>7.7698092460632324</v>
      </c>
    </row>
    <row r="4018" spans="1:6" hidden="1" x14ac:dyDescent="0.3">
      <c r="A4018" s="6">
        <v>29</v>
      </c>
      <c r="B4018" s="6" t="s">
        <v>139</v>
      </c>
      <c r="C4018" s="6" t="s">
        <v>452</v>
      </c>
      <c r="D4018" s="6" t="s">
        <v>140</v>
      </c>
      <c r="E4018" s="11">
        <v>8.4323110580444336</v>
      </c>
      <c r="F4018" s="11">
        <v>7.7698092460632324</v>
      </c>
    </row>
    <row r="4019" spans="1:6" hidden="1" x14ac:dyDescent="0.3">
      <c r="A4019" s="6">
        <v>29</v>
      </c>
      <c r="B4019" s="6" t="s">
        <v>139</v>
      </c>
      <c r="C4019" s="6" t="s">
        <v>453</v>
      </c>
      <c r="D4019" s="6" t="s">
        <v>140</v>
      </c>
      <c r="E4019" s="11">
        <v>4.7349944114685059</v>
      </c>
      <c r="F4019" s="11">
        <v>7.7698092460632324</v>
      </c>
    </row>
    <row r="4020" spans="1:6" hidden="1" x14ac:dyDescent="0.3">
      <c r="A4020" s="6">
        <v>29</v>
      </c>
      <c r="B4020" s="6" t="s">
        <v>139</v>
      </c>
      <c r="C4020" s="6" t="s">
        <v>454</v>
      </c>
      <c r="D4020" s="6" t="s">
        <v>140</v>
      </c>
      <c r="E4020" s="11">
        <v>3.589850902557373</v>
      </c>
      <c r="F4020" s="11">
        <v>7.7698092460632324</v>
      </c>
    </row>
    <row r="4021" spans="1:6" hidden="1" x14ac:dyDescent="0.3">
      <c r="A4021" s="6">
        <v>29</v>
      </c>
      <c r="B4021" s="6" t="s">
        <v>139</v>
      </c>
      <c r="C4021" s="6" t="s">
        <v>455</v>
      </c>
      <c r="D4021" s="6" t="s">
        <v>140</v>
      </c>
      <c r="E4021" s="11">
        <v>6.6337552070617676</v>
      </c>
      <c r="F4021" s="11">
        <v>7.7698092460632324</v>
      </c>
    </row>
    <row r="4022" spans="1:6" hidden="1" x14ac:dyDescent="0.3">
      <c r="A4022" s="6">
        <v>29</v>
      </c>
      <c r="B4022" s="6" t="s">
        <v>139</v>
      </c>
      <c r="C4022" s="6" t="s">
        <v>456</v>
      </c>
      <c r="D4022" s="6" t="s">
        <v>140</v>
      </c>
      <c r="E4022" s="11">
        <v>5.3107542991638184</v>
      </c>
      <c r="F4022" s="11">
        <v>7.7698092460632324</v>
      </c>
    </row>
    <row r="4023" spans="1:6" hidden="1" x14ac:dyDescent="0.3">
      <c r="A4023" s="6">
        <v>29</v>
      </c>
      <c r="B4023" s="6" t="s">
        <v>139</v>
      </c>
      <c r="C4023" s="6" t="s">
        <v>457</v>
      </c>
      <c r="D4023" s="6" t="s">
        <v>140</v>
      </c>
      <c r="E4023" s="11">
        <v>5.8292331695556641</v>
      </c>
      <c r="F4023" s="11">
        <v>7.7698092460632324</v>
      </c>
    </row>
    <row r="4024" spans="1:6" hidden="1" x14ac:dyDescent="0.3">
      <c r="A4024" s="6">
        <v>29</v>
      </c>
      <c r="B4024" s="6" t="s">
        <v>139</v>
      </c>
      <c r="C4024" s="6" t="s">
        <v>458</v>
      </c>
      <c r="D4024" s="6" t="s">
        <v>140</v>
      </c>
      <c r="E4024" s="11">
        <v>8.6815299987792969</v>
      </c>
      <c r="F4024" s="11">
        <v>7.7698092460632324</v>
      </c>
    </row>
    <row r="4025" spans="1:6" hidden="1" x14ac:dyDescent="0.3">
      <c r="A4025" s="6">
        <v>29</v>
      </c>
      <c r="B4025" s="6" t="s">
        <v>139</v>
      </c>
      <c r="C4025" s="6" t="s">
        <v>459</v>
      </c>
      <c r="D4025" s="6" t="s">
        <v>140</v>
      </c>
      <c r="E4025" s="11">
        <v>11.267922401428223</v>
      </c>
      <c r="F4025" s="11">
        <v>7.7698092460632324</v>
      </c>
    </row>
    <row r="4026" spans="1:6" hidden="1" x14ac:dyDescent="0.3">
      <c r="A4026" s="6">
        <v>29</v>
      </c>
      <c r="B4026" s="6" t="s">
        <v>139</v>
      </c>
      <c r="C4026" s="6" t="s">
        <v>460</v>
      </c>
      <c r="D4026" s="6" t="s">
        <v>140</v>
      </c>
      <c r="E4026" s="11">
        <v>15.27365779876709</v>
      </c>
      <c r="F4026" s="11">
        <v>7.7698092460632324</v>
      </c>
    </row>
    <row r="4027" spans="1:6" hidden="1" x14ac:dyDescent="0.3">
      <c r="A4027" s="6">
        <v>29</v>
      </c>
      <c r="B4027" s="6" t="s">
        <v>139</v>
      </c>
      <c r="C4027" s="6" t="s">
        <v>461</v>
      </c>
      <c r="D4027" s="6" t="s">
        <v>140</v>
      </c>
      <c r="E4027" s="11">
        <v>5.3062582015991211</v>
      </c>
      <c r="F4027" s="11">
        <v>7.7698092460632324</v>
      </c>
    </row>
    <row r="4028" spans="1:6" hidden="1" x14ac:dyDescent="0.3">
      <c r="A4028" s="6">
        <v>29</v>
      </c>
      <c r="B4028" s="6" t="s">
        <v>139</v>
      </c>
      <c r="C4028" s="6" t="s">
        <v>462</v>
      </c>
      <c r="D4028" s="6" t="s">
        <v>140</v>
      </c>
      <c r="E4028" s="11">
        <v>4.4555816650390625</v>
      </c>
      <c r="F4028" s="11">
        <v>7.7698092460632324</v>
      </c>
    </row>
    <row r="4029" spans="1:6" hidden="1" x14ac:dyDescent="0.3">
      <c r="A4029" s="6">
        <v>29</v>
      </c>
      <c r="B4029" s="6" t="s">
        <v>139</v>
      </c>
      <c r="C4029" s="6" t="s">
        <v>463</v>
      </c>
      <c r="D4029" s="6" t="s">
        <v>140</v>
      </c>
      <c r="E4029" s="11">
        <v>6.1523303985595703</v>
      </c>
      <c r="F4029" s="11">
        <v>7.7698092460632324</v>
      </c>
    </row>
    <row r="4030" spans="1:6" hidden="1" x14ac:dyDescent="0.3">
      <c r="A4030" s="6">
        <v>29</v>
      </c>
      <c r="B4030" s="6" t="s">
        <v>139</v>
      </c>
      <c r="C4030" s="6" t="s">
        <v>464</v>
      </c>
      <c r="D4030" s="6" t="s">
        <v>140</v>
      </c>
      <c r="E4030" s="11">
        <v>6.6944155693054199</v>
      </c>
      <c r="F4030" s="11">
        <v>7.7698092460632324</v>
      </c>
    </row>
    <row r="4031" spans="1:6" hidden="1" x14ac:dyDescent="0.3">
      <c r="A4031" s="6">
        <v>29</v>
      </c>
      <c r="B4031" s="6" t="s">
        <v>139</v>
      </c>
      <c r="C4031" s="6" t="s">
        <v>465</v>
      </c>
      <c r="D4031" s="6" t="s">
        <v>140</v>
      </c>
      <c r="E4031" s="11">
        <v>10.707797050476074</v>
      </c>
      <c r="F4031" s="11">
        <v>7.7698092460632324</v>
      </c>
    </row>
    <row r="4032" spans="1:6" hidden="1" x14ac:dyDescent="0.3">
      <c r="A4032" s="6">
        <v>29</v>
      </c>
      <c r="B4032" s="6" t="s">
        <v>139</v>
      </c>
      <c r="C4032" s="6" t="s">
        <v>466</v>
      </c>
      <c r="D4032" s="6" t="s">
        <v>140</v>
      </c>
      <c r="E4032" s="11">
        <v>4.2492837905883789</v>
      </c>
      <c r="F4032" s="11">
        <v>7.7698092460632324</v>
      </c>
    </row>
    <row r="4033" spans="1:6" hidden="1" x14ac:dyDescent="0.3">
      <c r="A4033" s="6">
        <v>29</v>
      </c>
      <c r="B4033" s="6" t="s">
        <v>139</v>
      </c>
      <c r="C4033" s="6" t="s">
        <v>467</v>
      </c>
      <c r="D4033" s="6" t="s">
        <v>140</v>
      </c>
      <c r="E4033" s="11">
        <v>4.821110725402832</v>
      </c>
      <c r="F4033" s="11">
        <v>7.7698092460632324</v>
      </c>
    </row>
    <row r="4034" spans="1:6" hidden="1" x14ac:dyDescent="0.3">
      <c r="A4034" s="6">
        <v>29</v>
      </c>
      <c r="B4034" s="6" t="s">
        <v>139</v>
      </c>
      <c r="C4034" s="6" t="s">
        <v>468</v>
      </c>
      <c r="D4034" s="6" t="s">
        <v>140</v>
      </c>
      <c r="E4034" s="11">
        <v>6.9748687744140625</v>
      </c>
      <c r="F4034" s="11">
        <v>7.7698092460632324</v>
      </c>
    </row>
    <row r="4035" spans="1:6" hidden="1" x14ac:dyDescent="0.3">
      <c r="A4035" s="6">
        <v>29</v>
      </c>
      <c r="B4035" s="6" t="s">
        <v>139</v>
      </c>
      <c r="C4035" s="6" t="s">
        <v>469</v>
      </c>
      <c r="D4035" s="6" t="s">
        <v>140</v>
      </c>
      <c r="E4035" s="11">
        <v>7.5657405853271484</v>
      </c>
      <c r="F4035" s="11">
        <v>7.7698092460632324</v>
      </c>
    </row>
    <row r="4036" spans="1:6" hidden="1" x14ac:dyDescent="0.3">
      <c r="A4036" s="6">
        <v>29</v>
      </c>
      <c r="B4036" s="6" t="s">
        <v>139</v>
      </c>
      <c r="C4036" s="6" t="s">
        <v>470</v>
      </c>
      <c r="D4036" s="6" t="s">
        <v>140</v>
      </c>
      <c r="E4036" s="11">
        <v>6.2523665428161621</v>
      </c>
      <c r="F4036" s="11">
        <v>7.7698092460632324</v>
      </c>
    </row>
    <row r="4037" spans="1:6" hidden="1" x14ac:dyDescent="0.3">
      <c r="A4037" s="6">
        <v>29</v>
      </c>
      <c r="B4037" s="6" t="s">
        <v>139</v>
      </c>
      <c r="C4037" s="6" t="s">
        <v>471</v>
      </c>
      <c r="D4037" s="6" t="s">
        <v>140</v>
      </c>
      <c r="E4037" s="11">
        <v>5.4819645881652832</v>
      </c>
      <c r="F4037" s="11">
        <v>7.7698092460632324</v>
      </c>
    </row>
    <row r="4038" spans="1:6" hidden="1" x14ac:dyDescent="0.3">
      <c r="A4038" s="6">
        <v>29</v>
      </c>
      <c r="B4038" s="6" t="s">
        <v>139</v>
      </c>
      <c r="C4038" s="6" t="s">
        <v>472</v>
      </c>
      <c r="D4038" s="6" t="s">
        <v>140</v>
      </c>
      <c r="E4038" s="11">
        <v>10.150128364562988</v>
      </c>
      <c r="F4038" s="11">
        <v>7.7698092460632324</v>
      </c>
    </row>
    <row r="4039" spans="1:6" hidden="1" x14ac:dyDescent="0.3">
      <c r="A4039" s="6">
        <v>29</v>
      </c>
      <c r="B4039" s="6" t="s">
        <v>139</v>
      </c>
      <c r="C4039" s="6" t="s">
        <v>473</v>
      </c>
      <c r="D4039" s="6" t="s">
        <v>140</v>
      </c>
      <c r="E4039" s="11">
        <v>7.4722638130187988</v>
      </c>
      <c r="F4039" s="11">
        <v>7.7698092460632324</v>
      </c>
    </row>
    <row r="4040" spans="1:6" hidden="1" x14ac:dyDescent="0.3">
      <c r="A4040" s="6">
        <v>29</v>
      </c>
      <c r="B4040" s="6" t="s">
        <v>139</v>
      </c>
      <c r="C4040" s="6" t="s">
        <v>474</v>
      </c>
      <c r="D4040" s="6" t="s">
        <v>140</v>
      </c>
      <c r="E4040" s="11">
        <v>8.1060028076171875</v>
      </c>
      <c r="F4040" s="11">
        <v>7.7698092460632324</v>
      </c>
    </row>
    <row r="4041" spans="1:6" hidden="1" x14ac:dyDescent="0.3">
      <c r="A4041" s="6">
        <v>29</v>
      </c>
      <c r="B4041" s="6" t="s">
        <v>139</v>
      </c>
      <c r="C4041" s="6" t="s">
        <v>475</v>
      </c>
      <c r="D4041" s="6" t="s">
        <v>140</v>
      </c>
      <c r="E4041" s="11">
        <v>5.0202240943908691</v>
      </c>
      <c r="F4041" s="11">
        <v>7.7698092460632324</v>
      </c>
    </row>
    <row r="4042" spans="1:6" hidden="1" x14ac:dyDescent="0.3">
      <c r="A4042" s="6">
        <v>29</v>
      </c>
      <c r="B4042" s="6" t="s">
        <v>139</v>
      </c>
      <c r="C4042" s="6" t="s">
        <v>476</v>
      </c>
      <c r="D4042" s="6" t="s">
        <v>140</v>
      </c>
      <c r="E4042" s="11">
        <v>4.9357748031616211</v>
      </c>
      <c r="F4042" s="11">
        <v>7.7698092460632324</v>
      </c>
    </row>
    <row r="4043" spans="1:6" hidden="1" x14ac:dyDescent="0.3">
      <c r="A4043" s="6">
        <v>29</v>
      </c>
      <c r="B4043" s="6" t="s">
        <v>139</v>
      </c>
      <c r="C4043" s="6" t="s">
        <v>477</v>
      </c>
      <c r="D4043" s="6" t="s">
        <v>140</v>
      </c>
      <c r="E4043" s="11">
        <v>8.2176780700683594</v>
      </c>
      <c r="F4043" s="11">
        <v>7.7698092460632324</v>
      </c>
    </row>
    <row r="4044" spans="1:6" hidden="1" x14ac:dyDescent="0.3">
      <c r="A4044" s="6">
        <v>29</v>
      </c>
      <c r="B4044" s="6" t="s">
        <v>139</v>
      </c>
      <c r="C4044" s="6" t="s">
        <v>478</v>
      </c>
      <c r="D4044" s="6" t="s">
        <v>140</v>
      </c>
      <c r="E4044" s="11">
        <v>5.0486874580383301</v>
      </c>
      <c r="F4044" s="11">
        <v>7.7698092460632324</v>
      </c>
    </row>
    <row r="4045" spans="1:6" hidden="1" x14ac:dyDescent="0.3">
      <c r="A4045" s="6">
        <v>29</v>
      </c>
      <c r="B4045" s="6" t="s">
        <v>139</v>
      </c>
      <c r="C4045" s="6" t="s">
        <v>479</v>
      </c>
      <c r="D4045" s="6" t="s">
        <v>140</v>
      </c>
      <c r="E4045" s="11">
        <v>7.6095194816589355</v>
      </c>
      <c r="F4045" s="11">
        <v>7.7698092460632324</v>
      </c>
    </row>
    <row r="4046" spans="1:6" hidden="1" x14ac:dyDescent="0.3">
      <c r="A4046" s="6">
        <v>29</v>
      </c>
      <c r="B4046" s="6" t="s">
        <v>139</v>
      </c>
      <c r="C4046" s="6" t="s">
        <v>480</v>
      </c>
      <c r="D4046" s="6" t="s">
        <v>140</v>
      </c>
      <c r="E4046" s="11">
        <v>7.4121561050415039</v>
      </c>
      <c r="F4046" s="11">
        <v>7.7698092460632324</v>
      </c>
    </row>
    <row r="4047" spans="1:6" hidden="1" x14ac:dyDescent="0.3">
      <c r="A4047" s="6">
        <v>29</v>
      </c>
      <c r="B4047" s="6" t="s">
        <v>139</v>
      </c>
      <c r="C4047" s="6" t="s">
        <v>481</v>
      </c>
      <c r="D4047" s="6" t="s">
        <v>140</v>
      </c>
      <c r="E4047" s="11">
        <v>6.0622658729553223</v>
      </c>
      <c r="F4047" s="11">
        <v>7.7698092460632324</v>
      </c>
    </row>
    <row r="4048" spans="1:6" hidden="1" x14ac:dyDescent="0.3">
      <c r="A4048" s="6">
        <v>29</v>
      </c>
      <c r="B4048" s="6" t="s">
        <v>139</v>
      </c>
      <c r="C4048" s="6" t="s">
        <v>482</v>
      </c>
      <c r="D4048" s="6" t="s">
        <v>140</v>
      </c>
      <c r="E4048" s="11">
        <v>6.4441313743591309</v>
      </c>
      <c r="F4048" s="11">
        <v>7.7698092460632324</v>
      </c>
    </row>
    <row r="4049" spans="1:6" hidden="1" x14ac:dyDescent="0.3">
      <c r="A4049" s="6">
        <v>29</v>
      </c>
      <c r="B4049" s="6" t="s">
        <v>139</v>
      </c>
      <c r="C4049" s="6" t="s">
        <v>483</v>
      </c>
      <c r="D4049" s="6" t="s">
        <v>140</v>
      </c>
      <c r="E4049" s="11">
        <v>5.4323086738586426</v>
      </c>
      <c r="F4049" s="11">
        <v>7.7698092460632324</v>
      </c>
    </row>
    <row r="4050" spans="1:6" hidden="1" x14ac:dyDescent="0.3">
      <c r="A4050" s="6">
        <v>29</v>
      </c>
      <c r="B4050" s="6" t="s">
        <v>139</v>
      </c>
      <c r="C4050" s="6" t="s">
        <v>484</v>
      </c>
      <c r="D4050" s="6" t="s">
        <v>140</v>
      </c>
      <c r="E4050" s="11">
        <v>6.7854976654052734</v>
      </c>
      <c r="F4050" s="11">
        <v>7.7698092460632324</v>
      </c>
    </row>
    <row r="4051" spans="1:6" hidden="1" x14ac:dyDescent="0.3">
      <c r="A4051" s="6">
        <v>29</v>
      </c>
      <c r="B4051" s="6" t="s">
        <v>139</v>
      </c>
      <c r="C4051" s="6" t="s">
        <v>485</v>
      </c>
      <c r="D4051" s="6" t="s">
        <v>140</v>
      </c>
      <c r="E4051" s="11">
        <v>13.442181587219238</v>
      </c>
      <c r="F4051" s="11">
        <v>7.7698092460632324</v>
      </c>
    </row>
    <row r="4052" spans="1:6" hidden="1" x14ac:dyDescent="0.3">
      <c r="A4052" s="6">
        <v>29</v>
      </c>
      <c r="B4052" s="6" t="s">
        <v>139</v>
      </c>
      <c r="C4052" s="6" t="s">
        <v>486</v>
      </c>
      <c r="D4052" s="6" t="s">
        <v>140</v>
      </c>
      <c r="E4052" s="11">
        <v>13.465261459350586</v>
      </c>
      <c r="F4052" s="11">
        <v>7.7698092460632324</v>
      </c>
    </row>
    <row r="4053" spans="1:6" hidden="1" x14ac:dyDescent="0.3">
      <c r="A4053" s="6">
        <v>29</v>
      </c>
      <c r="B4053" s="6" t="s">
        <v>139</v>
      </c>
      <c r="C4053" s="6" t="s">
        <v>487</v>
      </c>
      <c r="D4053" s="6" t="s">
        <v>140</v>
      </c>
      <c r="E4053" s="11">
        <v>4.7867932319641113</v>
      </c>
      <c r="F4053" s="11">
        <v>7.7698092460632324</v>
      </c>
    </row>
    <row r="4054" spans="1:6" hidden="1" x14ac:dyDescent="0.3">
      <c r="A4054" s="6">
        <v>29</v>
      </c>
      <c r="B4054" s="6" t="s">
        <v>139</v>
      </c>
      <c r="C4054" s="6" t="s">
        <v>488</v>
      </c>
      <c r="D4054" s="6" t="s">
        <v>140</v>
      </c>
      <c r="E4054" s="11">
        <v>6.9096817970275879</v>
      </c>
      <c r="F4054" s="11">
        <v>7.7698092460632324</v>
      </c>
    </row>
    <row r="4055" spans="1:6" hidden="1" x14ac:dyDescent="0.3">
      <c r="A4055" s="6">
        <v>29</v>
      </c>
      <c r="B4055" s="6" t="s">
        <v>139</v>
      </c>
      <c r="C4055" s="6" t="s">
        <v>489</v>
      </c>
      <c r="D4055" s="6" t="s">
        <v>140</v>
      </c>
      <c r="E4055" s="11">
        <v>8.9842424392700195</v>
      </c>
      <c r="F4055" s="11">
        <v>7.7698092460632324</v>
      </c>
    </row>
    <row r="4056" spans="1:6" hidden="1" x14ac:dyDescent="0.3">
      <c r="A4056" s="6">
        <v>29</v>
      </c>
      <c r="B4056" s="6" t="s">
        <v>139</v>
      </c>
      <c r="C4056" s="6" t="s">
        <v>490</v>
      </c>
      <c r="D4056" s="6" t="s">
        <v>140</v>
      </c>
      <c r="E4056" s="11">
        <v>6.3791751861572266</v>
      </c>
      <c r="F4056" s="11">
        <v>7.7698092460632324</v>
      </c>
    </row>
    <row r="4057" spans="1:6" hidden="1" x14ac:dyDescent="0.3">
      <c r="A4057" s="6">
        <v>29</v>
      </c>
      <c r="B4057" s="6" t="s">
        <v>139</v>
      </c>
      <c r="C4057" s="6" t="s">
        <v>491</v>
      </c>
      <c r="D4057" s="6" t="s">
        <v>140</v>
      </c>
      <c r="E4057" s="11">
        <v>6.6493563652038574</v>
      </c>
      <c r="F4057" s="11">
        <v>7.7698092460632324</v>
      </c>
    </row>
    <row r="4058" spans="1:6" hidden="1" x14ac:dyDescent="0.3">
      <c r="A4058" s="6">
        <v>29</v>
      </c>
      <c r="B4058" s="6" t="s">
        <v>139</v>
      </c>
      <c r="C4058" s="6" t="s">
        <v>492</v>
      </c>
      <c r="D4058" s="6" t="s">
        <v>140</v>
      </c>
      <c r="E4058" s="11">
        <v>8.8288555145263672</v>
      </c>
      <c r="F4058" s="11">
        <v>7.7698092460632324</v>
      </c>
    </row>
    <row r="4059" spans="1:6" hidden="1" x14ac:dyDescent="0.3">
      <c r="A4059" s="6">
        <v>29</v>
      </c>
      <c r="B4059" s="6" t="s">
        <v>139</v>
      </c>
      <c r="C4059" s="6" t="s">
        <v>493</v>
      </c>
      <c r="D4059" s="6" t="s">
        <v>140</v>
      </c>
      <c r="E4059" s="11">
        <v>8.5439958572387695</v>
      </c>
      <c r="F4059" s="11">
        <v>7.7698092460632324</v>
      </c>
    </row>
    <row r="4060" spans="1:6" hidden="1" x14ac:dyDescent="0.3">
      <c r="A4060" s="6">
        <v>29</v>
      </c>
      <c r="B4060" s="6" t="s">
        <v>139</v>
      </c>
      <c r="C4060" s="6" t="s">
        <v>494</v>
      </c>
      <c r="D4060" s="6" t="s">
        <v>140</v>
      </c>
      <c r="E4060" s="11">
        <v>6.8240633010864258</v>
      </c>
      <c r="F4060" s="11">
        <v>7.7698092460632324</v>
      </c>
    </row>
    <row r="4061" spans="1:6" hidden="1" x14ac:dyDescent="0.3">
      <c r="A4061" s="6">
        <v>29</v>
      </c>
      <c r="B4061" s="6" t="s">
        <v>139</v>
      </c>
      <c r="C4061" s="6" t="s">
        <v>495</v>
      </c>
      <c r="D4061" s="6" t="s">
        <v>140</v>
      </c>
      <c r="E4061" s="11">
        <v>5.3630976676940918</v>
      </c>
      <c r="F4061" s="11">
        <v>7.7698092460632324</v>
      </c>
    </row>
    <row r="4062" spans="1:6" hidden="1" x14ac:dyDescent="0.3">
      <c r="A4062" s="6">
        <v>30</v>
      </c>
      <c r="B4062" s="6" t="s">
        <v>141</v>
      </c>
      <c r="C4062" s="6" t="s">
        <v>356</v>
      </c>
      <c r="D4062" s="6" t="s">
        <v>142</v>
      </c>
      <c r="E4062" s="11">
        <v>6.1357321739196777</v>
      </c>
      <c r="F4062" s="11">
        <v>6.3366146087646484</v>
      </c>
    </row>
    <row r="4063" spans="1:6" hidden="1" x14ac:dyDescent="0.3">
      <c r="A4063" s="6">
        <v>30</v>
      </c>
      <c r="B4063" s="6" t="s">
        <v>141</v>
      </c>
      <c r="C4063" s="6" t="s">
        <v>357</v>
      </c>
      <c r="D4063" s="6" t="s">
        <v>142</v>
      </c>
      <c r="E4063" s="11">
        <v>3.7626190185546875</v>
      </c>
      <c r="F4063" s="11">
        <v>6.3366146087646484</v>
      </c>
    </row>
    <row r="4064" spans="1:6" hidden="1" x14ac:dyDescent="0.3">
      <c r="A4064" s="6">
        <v>30</v>
      </c>
      <c r="B4064" s="6" t="s">
        <v>141</v>
      </c>
      <c r="C4064" s="6" t="s">
        <v>358</v>
      </c>
      <c r="D4064" s="6" t="s">
        <v>142</v>
      </c>
      <c r="E4064" s="11">
        <v>5.5441813468933105</v>
      </c>
      <c r="F4064" s="11">
        <v>6.3366146087646484</v>
      </c>
    </row>
    <row r="4065" spans="1:6" hidden="1" x14ac:dyDescent="0.3">
      <c r="A4065" s="6">
        <v>30</v>
      </c>
      <c r="B4065" s="6" t="s">
        <v>141</v>
      </c>
      <c r="C4065" s="6" t="s">
        <v>359</v>
      </c>
      <c r="D4065" s="6" t="s">
        <v>142</v>
      </c>
      <c r="E4065" s="11">
        <v>5.2745494842529297</v>
      </c>
      <c r="F4065" s="11">
        <v>6.3366146087646484</v>
      </c>
    </row>
    <row r="4066" spans="1:6" hidden="1" x14ac:dyDescent="0.3">
      <c r="A4066" s="6">
        <v>30</v>
      </c>
      <c r="B4066" s="6" t="s">
        <v>141</v>
      </c>
      <c r="C4066" s="6" t="s">
        <v>360</v>
      </c>
      <c r="D4066" s="6" t="s">
        <v>142</v>
      </c>
      <c r="E4066" s="11">
        <v>5.7301254272460938</v>
      </c>
      <c r="F4066" s="11">
        <v>6.3366146087646484</v>
      </c>
    </row>
    <row r="4067" spans="1:6" hidden="1" x14ac:dyDescent="0.3">
      <c r="A4067" s="6">
        <v>30</v>
      </c>
      <c r="B4067" s="6" t="s">
        <v>141</v>
      </c>
      <c r="C4067" s="6" t="s">
        <v>361</v>
      </c>
      <c r="D4067" s="6" t="s">
        <v>142</v>
      </c>
      <c r="E4067" s="11">
        <v>6.7173190116882324</v>
      </c>
      <c r="F4067" s="11">
        <v>6.3366146087646484</v>
      </c>
    </row>
    <row r="4068" spans="1:6" hidden="1" x14ac:dyDescent="0.3">
      <c r="A4068" s="6">
        <v>30</v>
      </c>
      <c r="B4068" s="6" t="s">
        <v>141</v>
      </c>
      <c r="C4068" s="6" t="s">
        <v>362</v>
      </c>
      <c r="D4068" s="6" t="s">
        <v>142</v>
      </c>
      <c r="E4068" s="11">
        <v>18.695785522460938</v>
      </c>
      <c r="F4068" s="11">
        <v>6.3366146087646484</v>
      </c>
    </row>
    <row r="4069" spans="1:6" hidden="1" x14ac:dyDescent="0.3">
      <c r="A4069" s="6">
        <v>30</v>
      </c>
      <c r="B4069" s="6" t="s">
        <v>141</v>
      </c>
      <c r="C4069" s="6" t="s">
        <v>363</v>
      </c>
      <c r="D4069" s="6" t="s">
        <v>142</v>
      </c>
      <c r="E4069" s="11">
        <v>8.4705028533935547</v>
      </c>
      <c r="F4069" s="11">
        <v>6.3366146087646484</v>
      </c>
    </row>
    <row r="4070" spans="1:6" hidden="1" x14ac:dyDescent="0.3">
      <c r="A4070" s="6">
        <v>30</v>
      </c>
      <c r="B4070" s="6" t="s">
        <v>141</v>
      </c>
      <c r="C4070" s="6" t="s">
        <v>364</v>
      </c>
      <c r="D4070" s="6" t="s">
        <v>142</v>
      </c>
      <c r="E4070" s="11">
        <v>4.4051718711853027</v>
      </c>
      <c r="F4070" s="11">
        <v>6.3366146087646484</v>
      </c>
    </row>
    <row r="4071" spans="1:6" hidden="1" x14ac:dyDescent="0.3">
      <c r="A4071" s="6">
        <v>30</v>
      </c>
      <c r="B4071" s="6" t="s">
        <v>141</v>
      </c>
      <c r="C4071" s="6" t="s">
        <v>365</v>
      </c>
      <c r="D4071" s="6" t="s">
        <v>142</v>
      </c>
      <c r="E4071" s="11">
        <v>3.3990957736968994</v>
      </c>
      <c r="F4071" s="11">
        <v>6.3366146087646484</v>
      </c>
    </row>
    <row r="4072" spans="1:6" hidden="1" x14ac:dyDescent="0.3">
      <c r="A4072" s="6">
        <v>30</v>
      </c>
      <c r="B4072" s="6" t="s">
        <v>141</v>
      </c>
      <c r="C4072" s="6" t="s">
        <v>366</v>
      </c>
      <c r="D4072" s="6" t="s">
        <v>142</v>
      </c>
      <c r="E4072" s="11">
        <v>8.0841026306152344</v>
      </c>
      <c r="F4072" s="11">
        <v>6.3366146087646484</v>
      </c>
    </row>
    <row r="4073" spans="1:6" hidden="1" x14ac:dyDescent="0.3">
      <c r="A4073" s="6">
        <v>30</v>
      </c>
      <c r="B4073" s="6" t="s">
        <v>141</v>
      </c>
      <c r="C4073" s="6" t="s">
        <v>367</v>
      </c>
      <c r="D4073" s="6" t="s">
        <v>142</v>
      </c>
      <c r="E4073" s="11">
        <v>8.8339853286743164</v>
      </c>
      <c r="F4073" s="11">
        <v>6.3366146087646484</v>
      </c>
    </row>
    <row r="4074" spans="1:6" hidden="1" x14ac:dyDescent="0.3">
      <c r="A4074" s="6">
        <v>30</v>
      </c>
      <c r="B4074" s="6" t="s">
        <v>141</v>
      </c>
      <c r="C4074" s="6" t="s">
        <v>368</v>
      </c>
      <c r="D4074" s="6" t="s">
        <v>142</v>
      </c>
      <c r="E4074" s="11">
        <v>3.8188636302947998</v>
      </c>
      <c r="F4074" s="11">
        <v>6.3366146087646484</v>
      </c>
    </row>
    <row r="4075" spans="1:6" hidden="1" x14ac:dyDescent="0.3">
      <c r="A4075" s="6">
        <v>30</v>
      </c>
      <c r="B4075" s="6" t="s">
        <v>141</v>
      </c>
      <c r="C4075" s="6" t="s">
        <v>369</v>
      </c>
      <c r="D4075" s="6" t="s">
        <v>142</v>
      </c>
      <c r="E4075" s="11">
        <v>8.1196985244750977</v>
      </c>
      <c r="F4075" s="11">
        <v>6.3366146087646484</v>
      </c>
    </row>
    <row r="4076" spans="1:6" hidden="1" x14ac:dyDescent="0.3">
      <c r="A4076" s="6">
        <v>30</v>
      </c>
      <c r="B4076" s="6" t="s">
        <v>141</v>
      </c>
      <c r="C4076" s="6" t="s">
        <v>370</v>
      </c>
      <c r="D4076" s="6" t="s">
        <v>142</v>
      </c>
      <c r="E4076" s="11">
        <v>7.4997653961181641</v>
      </c>
      <c r="F4076" s="11">
        <v>6.3366146087646484</v>
      </c>
    </row>
    <row r="4077" spans="1:6" hidden="1" x14ac:dyDescent="0.3">
      <c r="A4077" s="6">
        <v>30</v>
      </c>
      <c r="B4077" s="6" t="s">
        <v>141</v>
      </c>
      <c r="C4077" s="6" t="s">
        <v>371</v>
      </c>
      <c r="D4077" s="6" t="s">
        <v>142</v>
      </c>
      <c r="E4077" s="11">
        <v>5.0375800132751465</v>
      </c>
      <c r="F4077" s="11">
        <v>6.3366146087646484</v>
      </c>
    </row>
    <row r="4078" spans="1:6" hidden="1" x14ac:dyDescent="0.3">
      <c r="A4078" s="6">
        <v>30</v>
      </c>
      <c r="B4078" s="6" t="s">
        <v>141</v>
      </c>
      <c r="C4078" s="6" t="s">
        <v>372</v>
      </c>
      <c r="D4078" s="6" t="s">
        <v>142</v>
      </c>
      <c r="E4078" s="11">
        <v>8.4474763870239258</v>
      </c>
      <c r="F4078" s="11">
        <v>6.3366146087646484</v>
      </c>
    </row>
    <row r="4079" spans="1:6" hidden="1" x14ac:dyDescent="0.3">
      <c r="A4079" s="6">
        <v>30</v>
      </c>
      <c r="B4079" s="6" t="s">
        <v>141</v>
      </c>
      <c r="C4079" s="6" t="s">
        <v>373</v>
      </c>
      <c r="D4079" s="6" t="s">
        <v>142</v>
      </c>
      <c r="E4079" s="11">
        <v>3.4470527172088623</v>
      </c>
      <c r="F4079" s="11">
        <v>6.3366146087646484</v>
      </c>
    </row>
    <row r="4080" spans="1:6" hidden="1" x14ac:dyDescent="0.3">
      <c r="A4080" s="6">
        <v>30</v>
      </c>
      <c r="B4080" s="6" t="s">
        <v>141</v>
      </c>
      <c r="C4080" s="6" t="s">
        <v>374</v>
      </c>
      <c r="D4080" s="6" t="s">
        <v>142</v>
      </c>
      <c r="E4080" s="11">
        <v>5.6413583755493164</v>
      </c>
      <c r="F4080" s="11">
        <v>6.3366146087646484</v>
      </c>
    </row>
    <row r="4081" spans="1:6" hidden="1" x14ac:dyDescent="0.3">
      <c r="A4081" s="6">
        <v>30</v>
      </c>
      <c r="B4081" s="6" t="s">
        <v>141</v>
      </c>
      <c r="C4081" s="6" t="s">
        <v>375</v>
      </c>
      <c r="D4081" s="6" t="s">
        <v>142</v>
      </c>
      <c r="E4081" s="11">
        <v>6.5578093528747559</v>
      </c>
      <c r="F4081" s="11">
        <v>6.3366146087646484</v>
      </c>
    </row>
    <row r="4082" spans="1:6" hidden="1" x14ac:dyDescent="0.3">
      <c r="A4082" s="6">
        <v>30</v>
      </c>
      <c r="B4082" s="6" t="s">
        <v>141</v>
      </c>
      <c r="C4082" s="6" t="s">
        <v>376</v>
      </c>
      <c r="D4082" s="6" t="s">
        <v>142</v>
      </c>
      <c r="E4082" s="11">
        <v>5.1212277412414551</v>
      </c>
      <c r="F4082" s="11">
        <v>6.3366146087646484</v>
      </c>
    </row>
    <row r="4083" spans="1:6" hidden="1" x14ac:dyDescent="0.3">
      <c r="A4083" s="6">
        <v>30</v>
      </c>
      <c r="B4083" s="6" t="s">
        <v>141</v>
      </c>
      <c r="C4083" s="6" t="s">
        <v>377</v>
      </c>
      <c r="D4083" s="6" t="s">
        <v>142</v>
      </c>
      <c r="E4083" s="11">
        <v>8.9552841186523438</v>
      </c>
      <c r="F4083" s="11">
        <v>6.3366146087646484</v>
      </c>
    </row>
    <row r="4084" spans="1:6" hidden="1" x14ac:dyDescent="0.3">
      <c r="A4084" s="6">
        <v>30</v>
      </c>
      <c r="B4084" s="6" t="s">
        <v>141</v>
      </c>
      <c r="C4084" s="6" t="s">
        <v>378</v>
      </c>
      <c r="D4084" s="6" t="s">
        <v>142</v>
      </c>
      <c r="E4084" s="11">
        <v>5.1679248809814453</v>
      </c>
      <c r="F4084" s="11">
        <v>6.3366146087646484</v>
      </c>
    </row>
    <row r="4085" spans="1:6" hidden="1" x14ac:dyDescent="0.3">
      <c r="A4085" s="6">
        <v>30</v>
      </c>
      <c r="B4085" s="6" t="s">
        <v>141</v>
      </c>
      <c r="C4085" s="6" t="s">
        <v>379</v>
      </c>
      <c r="D4085" s="6" t="s">
        <v>142</v>
      </c>
      <c r="E4085" s="11">
        <v>9.3542308807373047</v>
      </c>
      <c r="F4085" s="11">
        <v>6.3366146087646484</v>
      </c>
    </row>
    <row r="4086" spans="1:6" hidden="1" x14ac:dyDescent="0.3">
      <c r="A4086" s="6">
        <v>30</v>
      </c>
      <c r="B4086" s="6" t="s">
        <v>141</v>
      </c>
      <c r="C4086" s="6" t="s">
        <v>380</v>
      </c>
      <c r="D4086" s="6" t="s">
        <v>142</v>
      </c>
      <c r="E4086" s="11">
        <v>4.7753086090087891</v>
      </c>
      <c r="F4086" s="11">
        <v>6.3366146087646484</v>
      </c>
    </row>
    <row r="4087" spans="1:6" hidden="1" x14ac:dyDescent="0.3">
      <c r="A4087" s="6">
        <v>30</v>
      </c>
      <c r="B4087" s="6" t="s">
        <v>141</v>
      </c>
      <c r="C4087" s="6" t="s">
        <v>381</v>
      </c>
      <c r="D4087" s="6" t="s">
        <v>142</v>
      </c>
      <c r="E4087" s="11">
        <v>7.3353428840637207</v>
      </c>
      <c r="F4087" s="11">
        <v>6.3366146087646484</v>
      </c>
    </row>
    <row r="4088" spans="1:6" hidden="1" x14ac:dyDescent="0.3">
      <c r="A4088" s="6">
        <v>30</v>
      </c>
      <c r="B4088" s="6" t="s">
        <v>141</v>
      </c>
      <c r="C4088" s="6" t="s">
        <v>382</v>
      </c>
      <c r="D4088" s="6" t="s">
        <v>142</v>
      </c>
      <c r="E4088" s="11">
        <v>5.1506500244140625</v>
      </c>
      <c r="F4088" s="11">
        <v>6.3366146087646484</v>
      </c>
    </row>
    <row r="4089" spans="1:6" hidden="1" x14ac:dyDescent="0.3">
      <c r="A4089" s="6">
        <v>30</v>
      </c>
      <c r="B4089" s="6" t="s">
        <v>141</v>
      </c>
      <c r="C4089" s="6" t="s">
        <v>383</v>
      </c>
      <c r="D4089" s="6" t="s">
        <v>142</v>
      </c>
      <c r="E4089" s="11">
        <v>6.3355412483215332</v>
      </c>
      <c r="F4089" s="11">
        <v>6.3366146087646484</v>
      </c>
    </row>
    <row r="4090" spans="1:6" hidden="1" x14ac:dyDescent="0.3">
      <c r="A4090" s="6">
        <v>30</v>
      </c>
      <c r="B4090" s="6" t="s">
        <v>141</v>
      </c>
      <c r="C4090" s="6" t="s">
        <v>384</v>
      </c>
      <c r="D4090" s="6" t="s">
        <v>142</v>
      </c>
      <c r="E4090" s="11">
        <v>6.4137477874755859</v>
      </c>
      <c r="F4090" s="11">
        <v>6.3366146087646484</v>
      </c>
    </row>
    <row r="4091" spans="1:6" hidden="1" x14ac:dyDescent="0.3">
      <c r="A4091" s="6">
        <v>30</v>
      </c>
      <c r="B4091" s="6" t="s">
        <v>141</v>
      </c>
      <c r="C4091" s="6" t="s">
        <v>385</v>
      </c>
      <c r="D4091" s="6" t="s">
        <v>142</v>
      </c>
      <c r="E4091" s="11">
        <v>5.3714585304260254</v>
      </c>
      <c r="F4091" s="11">
        <v>6.3366146087646484</v>
      </c>
    </row>
    <row r="4092" spans="1:6" hidden="1" x14ac:dyDescent="0.3">
      <c r="A4092" s="6">
        <v>30</v>
      </c>
      <c r="B4092" s="6" t="s">
        <v>141</v>
      </c>
      <c r="C4092" s="6" t="s">
        <v>386</v>
      </c>
      <c r="D4092" s="6" t="s">
        <v>142</v>
      </c>
      <c r="E4092" s="11">
        <v>7.0324869155883789</v>
      </c>
      <c r="F4092" s="11">
        <v>6.3366146087646484</v>
      </c>
    </row>
    <row r="4093" spans="1:6" hidden="1" x14ac:dyDescent="0.3">
      <c r="A4093" s="6">
        <v>30</v>
      </c>
      <c r="B4093" s="6" t="s">
        <v>141</v>
      </c>
      <c r="C4093" s="6" t="s">
        <v>387</v>
      </c>
      <c r="D4093" s="6" t="s">
        <v>142</v>
      </c>
      <c r="E4093" s="11">
        <v>7.044342041015625</v>
      </c>
      <c r="F4093" s="11">
        <v>6.3366146087646484</v>
      </c>
    </row>
    <row r="4094" spans="1:6" hidden="1" x14ac:dyDescent="0.3">
      <c r="A4094" s="6">
        <v>30</v>
      </c>
      <c r="B4094" s="6" t="s">
        <v>141</v>
      </c>
      <c r="C4094" s="6" t="s">
        <v>388</v>
      </c>
      <c r="D4094" s="6" t="s">
        <v>142</v>
      </c>
      <c r="E4094" s="11">
        <v>4.8015756607055664</v>
      </c>
      <c r="F4094" s="11">
        <v>6.3366146087646484</v>
      </c>
    </row>
    <row r="4095" spans="1:6" hidden="1" x14ac:dyDescent="0.3">
      <c r="A4095" s="6">
        <v>30</v>
      </c>
      <c r="B4095" s="6" t="s">
        <v>141</v>
      </c>
      <c r="C4095" s="6" t="s">
        <v>389</v>
      </c>
      <c r="D4095" s="6" t="s">
        <v>142</v>
      </c>
      <c r="E4095" s="11">
        <v>6.9618983268737793</v>
      </c>
      <c r="F4095" s="11">
        <v>6.3366146087646484</v>
      </c>
    </row>
    <row r="4096" spans="1:6" hidden="1" x14ac:dyDescent="0.3">
      <c r="A4096" s="6">
        <v>30</v>
      </c>
      <c r="B4096" s="6" t="s">
        <v>141</v>
      </c>
      <c r="C4096" s="6" t="s">
        <v>390</v>
      </c>
      <c r="D4096" s="6" t="s">
        <v>142</v>
      </c>
      <c r="E4096" s="11">
        <v>7.289797306060791</v>
      </c>
      <c r="F4096" s="11">
        <v>6.3366146087646484</v>
      </c>
    </row>
    <row r="4097" spans="1:6" hidden="1" x14ac:dyDescent="0.3">
      <c r="A4097" s="6">
        <v>30</v>
      </c>
      <c r="B4097" s="6" t="s">
        <v>141</v>
      </c>
      <c r="C4097" s="6" t="s">
        <v>391</v>
      </c>
      <c r="D4097" s="6" t="s">
        <v>142</v>
      </c>
      <c r="E4097" s="11">
        <v>13.876005172729492</v>
      </c>
      <c r="F4097" s="11">
        <v>6.3366146087646484</v>
      </c>
    </row>
    <row r="4098" spans="1:6" hidden="1" x14ac:dyDescent="0.3">
      <c r="A4098" s="6">
        <v>30</v>
      </c>
      <c r="B4098" s="6" t="s">
        <v>141</v>
      </c>
      <c r="C4098" s="6" t="s">
        <v>392</v>
      </c>
      <c r="D4098" s="6" t="s">
        <v>142</v>
      </c>
      <c r="E4098" s="11">
        <v>7.109349250793457</v>
      </c>
      <c r="F4098" s="11">
        <v>6.3366146087646484</v>
      </c>
    </row>
    <row r="4099" spans="1:6" hidden="1" x14ac:dyDescent="0.3">
      <c r="A4099" s="6">
        <v>30</v>
      </c>
      <c r="B4099" s="6" t="s">
        <v>141</v>
      </c>
      <c r="C4099" s="6" t="s">
        <v>393</v>
      </c>
      <c r="D4099" s="6" t="s">
        <v>142</v>
      </c>
      <c r="E4099" s="11">
        <v>6.8716640472412109</v>
      </c>
      <c r="F4099" s="11">
        <v>6.3366146087646484</v>
      </c>
    </row>
    <row r="4100" spans="1:6" hidden="1" x14ac:dyDescent="0.3">
      <c r="A4100" s="6">
        <v>30</v>
      </c>
      <c r="B4100" s="6" t="s">
        <v>141</v>
      </c>
      <c r="C4100" s="6" t="s">
        <v>394</v>
      </c>
      <c r="D4100" s="6" t="s">
        <v>142</v>
      </c>
      <c r="E4100" s="11">
        <v>5.7118391990661621</v>
      </c>
      <c r="F4100" s="11">
        <v>6.3366146087646484</v>
      </c>
    </row>
    <row r="4101" spans="1:6" hidden="1" x14ac:dyDescent="0.3">
      <c r="A4101" s="6">
        <v>30</v>
      </c>
      <c r="B4101" s="6" t="s">
        <v>141</v>
      </c>
      <c r="C4101" s="6" t="s">
        <v>395</v>
      </c>
      <c r="D4101" s="6" t="s">
        <v>142</v>
      </c>
      <c r="E4101" s="11">
        <v>8.8845701217651367</v>
      </c>
      <c r="F4101" s="11">
        <v>6.3366146087646484</v>
      </c>
    </row>
    <row r="4102" spans="1:6" hidden="1" x14ac:dyDescent="0.3">
      <c r="A4102" s="6">
        <v>30</v>
      </c>
      <c r="B4102" s="6" t="s">
        <v>141</v>
      </c>
      <c r="C4102" s="6" t="s">
        <v>396</v>
      </c>
      <c r="D4102" s="6" t="s">
        <v>142</v>
      </c>
      <c r="E4102" s="11">
        <v>5.0762977600097656</v>
      </c>
      <c r="F4102" s="11">
        <v>6.3366146087646484</v>
      </c>
    </row>
    <row r="4103" spans="1:6" hidden="1" x14ac:dyDescent="0.3">
      <c r="A4103" s="6">
        <v>30</v>
      </c>
      <c r="B4103" s="6" t="s">
        <v>141</v>
      </c>
      <c r="C4103" s="6" t="s">
        <v>397</v>
      </c>
      <c r="D4103" s="6" t="s">
        <v>142</v>
      </c>
      <c r="E4103" s="11">
        <v>7.2551636695861816</v>
      </c>
      <c r="F4103" s="11">
        <v>6.3366146087646484</v>
      </c>
    </row>
    <row r="4104" spans="1:6" hidden="1" x14ac:dyDescent="0.3">
      <c r="A4104" s="6">
        <v>30</v>
      </c>
      <c r="B4104" s="6" t="s">
        <v>141</v>
      </c>
      <c r="C4104" s="6" t="s">
        <v>398</v>
      </c>
      <c r="D4104" s="6" t="s">
        <v>142</v>
      </c>
      <c r="E4104" s="11">
        <v>4.3873534202575684</v>
      </c>
      <c r="F4104" s="11">
        <v>6.3366146087646484</v>
      </c>
    </row>
    <row r="4105" spans="1:6" hidden="1" x14ac:dyDescent="0.3">
      <c r="A4105" s="6">
        <v>30</v>
      </c>
      <c r="B4105" s="6" t="s">
        <v>141</v>
      </c>
      <c r="C4105" s="6" t="s">
        <v>399</v>
      </c>
      <c r="D4105" s="6" t="s">
        <v>142</v>
      </c>
      <c r="E4105" s="11">
        <v>5.4254140853881836</v>
      </c>
      <c r="F4105" s="11">
        <v>6.3366146087646484</v>
      </c>
    </row>
    <row r="4106" spans="1:6" hidden="1" x14ac:dyDescent="0.3">
      <c r="A4106" s="6">
        <v>30</v>
      </c>
      <c r="B4106" s="6" t="s">
        <v>141</v>
      </c>
      <c r="C4106" s="6" t="s">
        <v>400</v>
      </c>
      <c r="D4106" s="6" t="s">
        <v>142</v>
      </c>
      <c r="E4106" s="11">
        <v>6.7965502738952637</v>
      </c>
      <c r="F4106" s="11">
        <v>6.3366146087646484</v>
      </c>
    </row>
    <row r="4107" spans="1:6" hidden="1" x14ac:dyDescent="0.3">
      <c r="A4107" s="6">
        <v>30</v>
      </c>
      <c r="B4107" s="6" t="s">
        <v>141</v>
      </c>
      <c r="C4107" s="6" t="s">
        <v>401</v>
      </c>
      <c r="D4107" s="6" t="s">
        <v>142</v>
      </c>
      <c r="E4107" s="11">
        <v>8.5522556304931641</v>
      </c>
      <c r="F4107" s="11">
        <v>6.3366146087646484</v>
      </c>
    </row>
    <row r="4108" spans="1:6" hidden="1" x14ac:dyDescent="0.3">
      <c r="A4108" s="6">
        <v>30</v>
      </c>
      <c r="B4108" s="6" t="s">
        <v>141</v>
      </c>
      <c r="C4108" s="6" t="s">
        <v>402</v>
      </c>
      <c r="D4108" s="6" t="s">
        <v>142</v>
      </c>
      <c r="E4108" s="11">
        <v>7.1752948760986328</v>
      </c>
      <c r="F4108" s="11">
        <v>6.3366146087646484</v>
      </c>
    </row>
    <row r="4109" spans="1:6" hidden="1" x14ac:dyDescent="0.3">
      <c r="A4109" s="6">
        <v>30</v>
      </c>
      <c r="B4109" s="6" t="s">
        <v>141</v>
      </c>
      <c r="C4109" s="6" t="s">
        <v>403</v>
      </c>
      <c r="D4109" s="6" t="s">
        <v>142</v>
      </c>
      <c r="E4109" s="11">
        <v>6.601870059967041</v>
      </c>
      <c r="F4109" s="11">
        <v>6.3366146087646484</v>
      </c>
    </row>
    <row r="4110" spans="1:6" hidden="1" x14ac:dyDescent="0.3">
      <c r="A4110" s="6">
        <v>30</v>
      </c>
      <c r="B4110" s="6" t="s">
        <v>141</v>
      </c>
      <c r="C4110" s="6" t="s">
        <v>404</v>
      </c>
      <c r="D4110" s="6" t="s">
        <v>142</v>
      </c>
      <c r="E4110" s="11">
        <v>5.2381658554077148</v>
      </c>
      <c r="F4110" s="11">
        <v>6.3366146087646484</v>
      </c>
    </row>
    <row r="4111" spans="1:6" hidden="1" x14ac:dyDescent="0.3">
      <c r="A4111" s="6">
        <v>30</v>
      </c>
      <c r="B4111" s="6" t="s">
        <v>141</v>
      </c>
      <c r="C4111" s="6" t="s">
        <v>405</v>
      </c>
      <c r="D4111" s="6" t="s">
        <v>142</v>
      </c>
      <c r="E4111" s="11">
        <v>5.8933649063110352</v>
      </c>
      <c r="F4111" s="11">
        <v>6.3366146087646484</v>
      </c>
    </row>
    <row r="4112" spans="1:6" hidden="1" x14ac:dyDescent="0.3">
      <c r="A4112" s="6">
        <v>30</v>
      </c>
      <c r="B4112" s="6" t="s">
        <v>141</v>
      </c>
      <c r="C4112" s="6" t="s">
        <v>406</v>
      </c>
      <c r="D4112" s="6" t="s">
        <v>142</v>
      </c>
      <c r="E4112" s="11">
        <v>6.2008862495422363</v>
      </c>
      <c r="F4112" s="11">
        <v>6.3366146087646484</v>
      </c>
    </row>
    <row r="4113" spans="1:6" hidden="1" x14ac:dyDescent="0.3">
      <c r="A4113" s="6">
        <v>30</v>
      </c>
      <c r="B4113" s="6" t="s">
        <v>141</v>
      </c>
      <c r="C4113" s="6" t="s">
        <v>407</v>
      </c>
      <c r="D4113" s="6" t="s">
        <v>142</v>
      </c>
      <c r="E4113" s="11">
        <v>12.46160888671875</v>
      </c>
      <c r="F4113" s="11">
        <v>6.3366146087646484</v>
      </c>
    </row>
    <row r="4114" spans="1:6" hidden="1" x14ac:dyDescent="0.3">
      <c r="A4114" s="6">
        <v>30</v>
      </c>
      <c r="B4114" s="6" t="s">
        <v>141</v>
      </c>
      <c r="C4114" s="6" t="s">
        <v>408</v>
      </c>
      <c r="D4114" s="6" t="s">
        <v>142</v>
      </c>
      <c r="E4114" s="11">
        <v>7.5295333862304688</v>
      </c>
      <c r="F4114" s="11">
        <v>6.3366146087646484</v>
      </c>
    </row>
    <row r="4115" spans="1:6" hidden="1" x14ac:dyDescent="0.3">
      <c r="A4115" s="6">
        <v>30</v>
      </c>
      <c r="B4115" s="6" t="s">
        <v>141</v>
      </c>
      <c r="C4115" s="6" t="s">
        <v>409</v>
      </c>
      <c r="D4115" s="6" t="s">
        <v>142</v>
      </c>
      <c r="E4115" s="11">
        <v>6.6052732467651367</v>
      </c>
      <c r="F4115" s="11">
        <v>6.3366146087646484</v>
      </c>
    </row>
    <row r="4116" spans="1:6" hidden="1" x14ac:dyDescent="0.3">
      <c r="A4116" s="6">
        <v>30</v>
      </c>
      <c r="B4116" s="6" t="s">
        <v>141</v>
      </c>
      <c r="C4116" s="6" t="s">
        <v>410</v>
      </c>
      <c r="D4116" s="6" t="s">
        <v>142</v>
      </c>
      <c r="E4116" s="11">
        <v>5.7280573844909668</v>
      </c>
      <c r="F4116" s="11">
        <v>6.3366146087646484</v>
      </c>
    </row>
    <row r="4117" spans="1:6" hidden="1" x14ac:dyDescent="0.3">
      <c r="A4117" s="6">
        <v>30</v>
      </c>
      <c r="B4117" s="6" t="s">
        <v>141</v>
      </c>
      <c r="C4117" s="6" t="s">
        <v>411</v>
      </c>
      <c r="D4117" s="6" t="s">
        <v>142</v>
      </c>
      <c r="E4117" s="11">
        <v>6.2971267700195313</v>
      </c>
      <c r="F4117" s="11">
        <v>6.3366146087646484</v>
      </c>
    </row>
    <row r="4118" spans="1:6" hidden="1" x14ac:dyDescent="0.3">
      <c r="A4118" s="6">
        <v>30</v>
      </c>
      <c r="B4118" s="6" t="s">
        <v>141</v>
      </c>
      <c r="C4118" s="6" t="s">
        <v>412</v>
      </c>
      <c r="D4118" s="6" t="s">
        <v>142</v>
      </c>
      <c r="E4118" s="11">
        <v>5.8874940872192383</v>
      </c>
      <c r="F4118" s="11">
        <v>6.3366146087646484</v>
      </c>
    </row>
    <row r="4119" spans="1:6" hidden="1" x14ac:dyDescent="0.3">
      <c r="A4119" s="6">
        <v>30</v>
      </c>
      <c r="B4119" s="6" t="s">
        <v>141</v>
      </c>
      <c r="C4119" s="6" t="s">
        <v>413</v>
      </c>
      <c r="D4119" s="6" t="s">
        <v>142</v>
      </c>
      <c r="E4119" s="11">
        <v>7.326291561126709</v>
      </c>
      <c r="F4119" s="11">
        <v>6.3366146087646484</v>
      </c>
    </row>
    <row r="4120" spans="1:6" hidden="1" x14ac:dyDescent="0.3">
      <c r="A4120" s="6">
        <v>30</v>
      </c>
      <c r="B4120" s="6" t="s">
        <v>141</v>
      </c>
      <c r="C4120" s="6" t="s">
        <v>414</v>
      </c>
      <c r="D4120" s="6" t="s">
        <v>142</v>
      </c>
      <c r="E4120" s="11">
        <v>5.5694055557250977</v>
      </c>
      <c r="F4120" s="11">
        <v>6.3366146087646484</v>
      </c>
    </row>
    <row r="4121" spans="1:6" hidden="1" x14ac:dyDescent="0.3">
      <c r="A4121" s="6">
        <v>30</v>
      </c>
      <c r="B4121" s="6" t="s">
        <v>141</v>
      </c>
      <c r="C4121" s="6" t="s">
        <v>415</v>
      </c>
      <c r="D4121" s="6" t="s">
        <v>142</v>
      </c>
      <c r="E4121" s="11">
        <v>485.41500854492188</v>
      </c>
      <c r="F4121" s="11">
        <v>6.3366146087646484</v>
      </c>
    </row>
    <row r="4122" spans="1:6" hidden="1" x14ac:dyDescent="0.3">
      <c r="A4122" s="6">
        <v>30</v>
      </c>
      <c r="B4122" s="6" t="s">
        <v>141</v>
      </c>
      <c r="C4122" s="6" t="s">
        <v>416</v>
      </c>
      <c r="D4122" s="6" t="s">
        <v>142</v>
      </c>
      <c r="E4122" s="11">
        <v>11.362577438354492</v>
      </c>
      <c r="F4122" s="11">
        <v>6.3366146087646484</v>
      </c>
    </row>
    <row r="4123" spans="1:6" hidden="1" x14ac:dyDescent="0.3">
      <c r="A4123" s="6">
        <v>30</v>
      </c>
      <c r="B4123" s="6" t="s">
        <v>141</v>
      </c>
      <c r="C4123" s="6" t="s">
        <v>417</v>
      </c>
      <c r="D4123" s="6" t="s">
        <v>142</v>
      </c>
      <c r="E4123" s="11">
        <v>8.0554161071777344</v>
      </c>
      <c r="F4123" s="11">
        <v>6.3366146087646484</v>
      </c>
    </row>
    <row r="4124" spans="1:6" hidden="1" x14ac:dyDescent="0.3">
      <c r="A4124" s="6">
        <v>30</v>
      </c>
      <c r="B4124" s="6" t="s">
        <v>141</v>
      </c>
      <c r="C4124" s="6" t="s">
        <v>418</v>
      </c>
      <c r="D4124" s="6" t="s">
        <v>142</v>
      </c>
      <c r="E4124" s="11">
        <v>3.7987556457519531</v>
      </c>
      <c r="F4124" s="11">
        <v>6.3366146087646484</v>
      </c>
    </row>
    <row r="4125" spans="1:6" hidden="1" x14ac:dyDescent="0.3">
      <c r="A4125" s="6">
        <v>30</v>
      </c>
      <c r="B4125" s="6" t="s">
        <v>141</v>
      </c>
      <c r="C4125" s="6" t="s">
        <v>419</v>
      </c>
      <c r="D4125" s="6" t="s">
        <v>142</v>
      </c>
      <c r="E4125" s="11">
        <v>62.185218811035156</v>
      </c>
      <c r="F4125" s="11">
        <v>6.3366146087646484</v>
      </c>
    </row>
    <row r="4126" spans="1:6" hidden="1" x14ac:dyDescent="0.3">
      <c r="A4126" s="6">
        <v>30</v>
      </c>
      <c r="B4126" s="6" t="s">
        <v>141</v>
      </c>
      <c r="C4126" s="6" t="s">
        <v>420</v>
      </c>
      <c r="D4126" s="6" t="s">
        <v>142</v>
      </c>
      <c r="E4126" s="11">
        <v>4.429959774017334</v>
      </c>
      <c r="F4126" s="11">
        <v>6.3366146087646484</v>
      </c>
    </row>
    <row r="4127" spans="1:6" hidden="1" x14ac:dyDescent="0.3">
      <c r="A4127" s="6">
        <v>30</v>
      </c>
      <c r="B4127" s="6" t="s">
        <v>141</v>
      </c>
      <c r="C4127" s="6" t="s">
        <v>421</v>
      </c>
      <c r="D4127" s="6" t="s">
        <v>142</v>
      </c>
      <c r="E4127" s="11">
        <v>4.6644530296325684</v>
      </c>
      <c r="F4127" s="11">
        <v>6.3366146087646484</v>
      </c>
    </row>
    <row r="4128" spans="1:6" hidden="1" x14ac:dyDescent="0.3">
      <c r="A4128" s="6">
        <v>30</v>
      </c>
      <c r="B4128" s="6" t="s">
        <v>141</v>
      </c>
      <c r="C4128" s="6" t="s">
        <v>422</v>
      </c>
      <c r="D4128" s="6" t="s">
        <v>142</v>
      </c>
      <c r="E4128" s="11">
        <v>7.2495541572570801</v>
      </c>
      <c r="F4128" s="11">
        <v>6.3366146087646484</v>
      </c>
    </row>
    <row r="4129" spans="1:6" hidden="1" x14ac:dyDescent="0.3">
      <c r="A4129" s="6">
        <v>30</v>
      </c>
      <c r="B4129" s="6" t="s">
        <v>141</v>
      </c>
      <c r="C4129" s="6" t="s">
        <v>423</v>
      </c>
      <c r="D4129" s="6" t="s">
        <v>142</v>
      </c>
      <c r="E4129" s="11">
        <v>7.3599658012390137</v>
      </c>
      <c r="F4129" s="11">
        <v>6.3366146087646484</v>
      </c>
    </row>
    <row r="4130" spans="1:6" hidden="1" x14ac:dyDescent="0.3">
      <c r="A4130" s="6">
        <v>30</v>
      </c>
      <c r="B4130" s="6" t="s">
        <v>141</v>
      </c>
      <c r="C4130" s="6" t="s">
        <v>424</v>
      </c>
      <c r="D4130" s="6" t="s">
        <v>142</v>
      </c>
      <c r="E4130" s="11">
        <v>5.1138668060302734</v>
      </c>
      <c r="F4130" s="11">
        <v>6.3366146087646484</v>
      </c>
    </row>
    <row r="4131" spans="1:6" hidden="1" x14ac:dyDescent="0.3">
      <c r="A4131" s="6">
        <v>30</v>
      </c>
      <c r="B4131" s="6" t="s">
        <v>141</v>
      </c>
      <c r="C4131" s="6" t="s">
        <v>425</v>
      </c>
      <c r="D4131" s="6" t="s">
        <v>142</v>
      </c>
      <c r="E4131" s="11">
        <v>6.626561164855957</v>
      </c>
      <c r="F4131" s="11">
        <v>6.3366146087646484</v>
      </c>
    </row>
    <row r="4132" spans="1:6" hidden="1" x14ac:dyDescent="0.3">
      <c r="A4132" s="6">
        <v>30</v>
      </c>
      <c r="B4132" s="6" t="s">
        <v>141</v>
      </c>
      <c r="C4132" s="6" t="s">
        <v>426</v>
      </c>
      <c r="D4132" s="6" t="s">
        <v>142</v>
      </c>
      <c r="E4132" s="11">
        <v>4.8583812713623047</v>
      </c>
      <c r="F4132" s="11">
        <v>6.3366146087646484</v>
      </c>
    </row>
    <row r="4133" spans="1:6" hidden="1" x14ac:dyDescent="0.3">
      <c r="A4133" s="6">
        <v>30</v>
      </c>
      <c r="B4133" s="6" t="s">
        <v>141</v>
      </c>
      <c r="C4133" s="6" t="s">
        <v>427</v>
      </c>
      <c r="D4133" s="6" t="s">
        <v>142</v>
      </c>
      <c r="E4133" s="11">
        <v>9.8297824859619141</v>
      </c>
      <c r="F4133" s="11">
        <v>6.3366146087646484</v>
      </c>
    </row>
    <row r="4134" spans="1:6" hidden="1" x14ac:dyDescent="0.3">
      <c r="A4134" s="6">
        <v>30</v>
      </c>
      <c r="B4134" s="6" t="s">
        <v>141</v>
      </c>
      <c r="C4134" s="6" t="s">
        <v>428</v>
      </c>
      <c r="D4134" s="6" t="s">
        <v>142</v>
      </c>
      <c r="E4134" s="11">
        <v>7.3124456405639648</v>
      </c>
      <c r="F4134" s="11">
        <v>6.3366146087646484</v>
      </c>
    </row>
    <row r="4135" spans="1:6" hidden="1" x14ac:dyDescent="0.3">
      <c r="A4135" s="6">
        <v>30</v>
      </c>
      <c r="B4135" s="6" t="s">
        <v>141</v>
      </c>
      <c r="C4135" s="6" t="s">
        <v>429</v>
      </c>
      <c r="D4135" s="6" t="s">
        <v>142</v>
      </c>
      <c r="E4135" s="11">
        <v>6.0902023315429688</v>
      </c>
      <c r="F4135" s="11">
        <v>6.3366146087646484</v>
      </c>
    </row>
    <row r="4136" spans="1:6" hidden="1" x14ac:dyDescent="0.3">
      <c r="A4136" s="6">
        <v>30</v>
      </c>
      <c r="B4136" s="6" t="s">
        <v>141</v>
      </c>
      <c r="C4136" s="6" t="s">
        <v>430</v>
      </c>
      <c r="D4136" s="6" t="s">
        <v>142</v>
      </c>
      <c r="E4136" s="11">
        <v>8.2569437026977539</v>
      </c>
      <c r="F4136" s="11">
        <v>6.3366146087646484</v>
      </c>
    </row>
    <row r="4137" spans="1:6" hidden="1" x14ac:dyDescent="0.3">
      <c r="A4137" s="6">
        <v>30</v>
      </c>
      <c r="B4137" s="6" t="s">
        <v>141</v>
      </c>
      <c r="C4137" s="6" t="s">
        <v>431</v>
      </c>
      <c r="D4137" s="6" t="s">
        <v>142</v>
      </c>
      <c r="E4137" s="11">
        <v>9.6114282608032227</v>
      </c>
      <c r="F4137" s="11">
        <v>6.3366146087646484</v>
      </c>
    </row>
    <row r="4138" spans="1:6" hidden="1" x14ac:dyDescent="0.3">
      <c r="A4138" s="6">
        <v>30</v>
      </c>
      <c r="B4138" s="6" t="s">
        <v>141</v>
      </c>
      <c r="C4138" s="6" t="s">
        <v>432</v>
      </c>
      <c r="D4138" s="6" t="s">
        <v>142</v>
      </c>
      <c r="E4138" s="11">
        <v>5.7250461578369141</v>
      </c>
      <c r="F4138" s="11">
        <v>6.3366146087646484</v>
      </c>
    </row>
    <row r="4139" spans="1:6" hidden="1" x14ac:dyDescent="0.3">
      <c r="A4139" s="6">
        <v>30</v>
      </c>
      <c r="B4139" s="6" t="s">
        <v>141</v>
      </c>
      <c r="C4139" s="6" t="s">
        <v>433</v>
      </c>
      <c r="D4139" s="6" t="s">
        <v>142</v>
      </c>
      <c r="E4139" s="11">
        <v>10.348523139953613</v>
      </c>
      <c r="F4139" s="11">
        <v>6.3366146087646484</v>
      </c>
    </row>
    <row r="4140" spans="1:6" hidden="1" x14ac:dyDescent="0.3">
      <c r="A4140" s="6">
        <v>30</v>
      </c>
      <c r="B4140" s="6" t="s">
        <v>141</v>
      </c>
      <c r="C4140" s="6" t="s">
        <v>434</v>
      </c>
      <c r="D4140" s="6" t="s">
        <v>142</v>
      </c>
      <c r="E4140" s="11">
        <v>3.2662174701690674</v>
      </c>
      <c r="F4140" s="11">
        <v>6.3366146087646484</v>
      </c>
    </row>
    <row r="4141" spans="1:6" hidden="1" x14ac:dyDescent="0.3">
      <c r="A4141" s="6">
        <v>30</v>
      </c>
      <c r="B4141" s="6" t="s">
        <v>141</v>
      </c>
      <c r="C4141" s="6" t="s">
        <v>435</v>
      </c>
      <c r="D4141" s="6" t="s">
        <v>142</v>
      </c>
      <c r="E4141" s="11">
        <v>6.4572839736938477</v>
      </c>
      <c r="F4141" s="11">
        <v>6.3366146087646484</v>
      </c>
    </row>
    <row r="4142" spans="1:6" hidden="1" x14ac:dyDescent="0.3">
      <c r="A4142" s="6">
        <v>30</v>
      </c>
      <c r="B4142" s="6" t="s">
        <v>141</v>
      </c>
      <c r="C4142" s="6" t="s">
        <v>436</v>
      </c>
      <c r="D4142" s="6" t="s">
        <v>142</v>
      </c>
      <c r="E4142" s="11">
        <v>6.5326166152954102</v>
      </c>
      <c r="F4142" s="11">
        <v>6.3366146087646484</v>
      </c>
    </row>
    <row r="4143" spans="1:6" hidden="1" x14ac:dyDescent="0.3">
      <c r="A4143" s="6">
        <v>30</v>
      </c>
      <c r="B4143" s="6" t="s">
        <v>141</v>
      </c>
      <c r="C4143" s="6" t="s">
        <v>437</v>
      </c>
      <c r="D4143" s="6" t="s">
        <v>142</v>
      </c>
      <c r="E4143" s="11">
        <v>6.802210807800293</v>
      </c>
      <c r="F4143" s="11">
        <v>6.3366146087646484</v>
      </c>
    </row>
    <row r="4144" spans="1:6" hidden="1" x14ac:dyDescent="0.3">
      <c r="A4144" s="6">
        <v>30</v>
      </c>
      <c r="B4144" s="6" t="s">
        <v>141</v>
      </c>
      <c r="C4144" s="6" t="s">
        <v>438</v>
      </c>
      <c r="D4144" s="6" t="s">
        <v>142</v>
      </c>
      <c r="E4144" s="11">
        <v>18.179817199707031</v>
      </c>
      <c r="F4144" s="11">
        <v>6.3366146087646484</v>
      </c>
    </row>
    <row r="4145" spans="1:6" hidden="1" x14ac:dyDescent="0.3">
      <c r="A4145" s="6">
        <v>30</v>
      </c>
      <c r="B4145" s="6" t="s">
        <v>141</v>
      </c>
      <c r="C4145" s="6" t="s">
        <v>439</v>
      </c>
      <c r="D4145" s="6" t="s">
        <v>142</v>
      </c>
      <c r="E4145" s="11">
        <v>6.2918930053710938</v>
      </c>
      <c r="F4145" s="11">
        <v>6.3366146087646484</v>
      </c>
    </row>
    <row r="4146" spans="1:6" hidden="1" x14ac:dyDescent="0.3">
      <c r="A4146" s="6">
        <v>30</v>
      </c>
      <c r="B4146" s="6" t="s">
        <v>141</v>
      </c>
      <c r="C4146" s="6" t="s">
        <v>440</v>
      </c>
      <c r="D4146" s="6" t="s">
        <v>142</v>
      </c>
      <c r="E4146" s="11">
        <v>3.9098496437072754</v>
      </c>
      <c r="F4146" s="11">
        <v>6.3366146087646484</v>
      </c>
    </row>
    <row r="4147" spans="1:6" hidden="1" x14ac:dyDescent="0.3">
      <c r="A4147" s="6">
        <v>30</v>
      </c>
      <c r="B4147" s="6" t="s">
        <v>141</v>
      </c>
      <c r="C4147" s="6" t="s">
        <v>441</v>
      </c>
      <c r="D4147" s="6" t="s">
        <v>142</v>
      </c>
      <c r="E4147" s="11">
        <v>3.0128026008605957</v>
      </c>
      <c r="F4147" s="11">
        <v>6.3366146087646484</v>
      </c>
    </row>
    <row r="4148" spans="1:6" hidden="1" x14ac:dyDescent="0.3">
      <c r="A4148" s="6">
        <v>30</v>
      </c>
      <c r="B4148" s="6" t="s">
        <v>141</v>
      </c>
      <c r="C4148" s="6" t="s">
        <v>442</v>
      </c>
      <c r="D4148" s="6" t="s">
        <v>142</v>
      </c>
      <c r="E4148" s="11">
        <v>11.19337272644043</v>
      </c>
      <c r="F4148" s="11">
        <v>6.3366146087646484</v>
      </c>
    </row>
    <row r="4149" spans="1:6" hidden="1" x14ac:dyDescent="0.3">
      <c r="A4149" s="6">
        <v>30</v>
      </c>
      <c r="B4149" s="6" t="s">
        <v>141</v>
      </c>
      <c r="C4149" s="6" t="s">
        <v>443</v>
      </c>
      <c r="D4149" s="6" t="s">
        <v>142</v>
      </c>
      <c r="E4149" s="11">
        <v>4.2929363250732422</v>
      </c>
      <c r="F4149" s="11">
        <v>6.3366146087646484</v>
      </c>
    </row>
    <row r="4150" spans="1:6" hidden="1" x14ac:dyDescent="0.3">
      <c r="A4150" s="6">
        <v>30</v>
      </c>
      <c r="B4150" s="6" t="s">
        <v>141</v>
      </c>
      <c r="C4150" s="6" t="s">
        <v>444</v>
      </c>
      <c r="D4150" s="6" t="s">
        <v>142</v>
      </c>
      <c r="E4150" s="11">
        <v>4.532470703125</v>
      </c>
      <c r="F4150" s="11">
        <v>6.3366146087646484</v>
      </c>
    </row>
    <row r="4151" spans="1:6" hidden="1" x14ac:dyDescent="0.3">
      <c r="A4151" s="6">
        <v>30</v>
      </c>
      <c r="B4151" s="6" t="s">
        <v>141</v>
      </c>
      <c r="C4151" s="6" t="s">
        <v>445</v>
      </c>
      <c r="D4151" s="6" t="s">
        <v>142</v>
      </c>
      <c r="E4151" s="11">
        <v>6.2489609718322754</v>
      </c>
      <c r="F4151" s="11">
        <v>6.3366146087646484</v>
      </c>
    </row>
    <row r="4152" spans="1:6" hidden="1" x14ac:dyDescent="0.3">
      <c r="A4152" s="6">
        <v>30</v>
      </c>
      <c r="B4152" s="6" t="s">
        <v>141</v>
      </c>
      <c r="C4152" s="6" t="s">
        <v>446</v>
      </c>
      <c r="D4152" s="6" t="s">
        <v>142</v>
      </c>
      <c r="E4152" s="11">
        <v>6.1059279441833496</v>
      </c>
      <c r="F4152" s="11">
        <v>6.3366146087646484</v>
      </c>
    </row>
    <row r="4153" spans="1:6" hidden="1" x14ac:dyDescent="0.3">
      <c r="A4153" s="6">
        <v>30</v>
      </c>
      <c r="B4153" s="6" t="s">
        <v>141</v>
      </c>
      <c r="C4153" s="6" t="s">
        <v>447</v>
      </c>
      <c r="D4153" s="6" t="s">
        <v>142</v>
      </c>
      <c r="E4153" s="11">
        <v>8.2442846298217773</v>
      </c>
      <c r="F4153" s="11">
        <v>6.3366146087646484</v>
      </c>
    </row>
    <row r="4154" spans="1:6" hidden="1" x14ac:dyDescent="0.3">
      <c r="A4154" s="6">
        <v>30</v>
      </c>
      <c r="B4154" s="6" t="s">
        <v>141</v>
      </c>
      <c r="C4154" s="6" t="s">
        <v>448</v>
      </c>
      <c r="D4154" s="6" t="s">
        <v>142</v>
      </c>
      <c r="E4154" s="11">
        <v>6.0857539176940918</v>
      </c>
      <c r="F4154" s="11">
        <v>6.3366146087646484</v>
      </c>
    </row>
    <row r="4155" spans="1:6" hidden="1" x14ac:dyDescent="0.3">
      <c r="A4155" s="6">
        <v>30</v>
      </c>
      <c r="B4155" s="6" t="s">
        <v>141</v>
      </c>
      <c r="C4155" s="6" t="s">
        <v>449</v>
      </c>
      <c r="D4155" s="6" t="s">
        <v>142</v>
      </c>
      <c r="E4155" s="11">
        <v>3.6431472301483154</v>
      </c>
      <c r="F4155" s="11">
        <v>6.3366146087646484</v>
      </c>
    </row>
    <row r="4156" spans="1:6" hidden="1" x14ac:dyDescent="0.3">
      <c r="A4156" s="6">
        <v>30</v>
      </c>
      <c r="B4156" s="6" t="s">
        <v>141</v>
      </c>
      <c r="C4156" s="6" t="s">
        <v>450</v>
      </c>
      <c r="D4156" s="6" t="s">
        <v>142</v>
      </c>
      <c r="E4156" s="11">
        <v>5.7278685569763184</v>
      </c>
      <c r="F4156" s="11">
        <v>6.3366146087646484</v>
      </c>
    </row>
    <row r="4157" spans="1:6" hidden="1" x14ac:dyDescent="0.3">
      <c r="A4157" s="6">
        <v>30</v>
      </c>
      <c r="B4157" s="6" t="s">
        <v>141</v>
      </c>
      <c r="C4157" s="6" t="s">
        <v>451</v>
      </c>
      <c r="D4157" s="6" t="s">
        <v>142</v>
      </c>
      <c r="E4157" s="11">
        <v>8.3016843795776367</v>
      </c>
      <c r="F4157" s="11">
        <v>6.3366146087646484</v>
      </c>
    </row>
    <row r="4158" spans="1:6" hidden="1" x14ac:dyDescent="0.3">
      <c r="A4158" s="6">
        <v>30</v>
      </c>
      <c r="B4158" s="6" t="s">
        <v>141</v>
      </c>
      <c r="C4158" s="6" t="s">
        <v>452</v>
      </c>
      <c r="D4158" s="6" t="s">
        <v>142</v>
      </c>
      <c r="E4158" s="11">
        <v>6.2065372467041016</v>
      </c>
      <c r="F4158" s="11">
        <v>6.3366146087646484</v>
      </c>
    </row>
    <row r="4159" spans="1:6" hidden="1" x14ac:dyDescent="0.3">
      <c r="A4159" s="6">
        <v>30</v>
      </c>
      <c r="B4159" s="6" t="s">
        <v>141</v>
      </c>
      <c r="C4159" s="6" t="s">
        <v>453</v>
      </c>
      <c r="D4159" s="6" t="s">
        <v>142</v>
      </c>
      <c r="E4159" s="11">
        <v>3.7440767288208008</v>
      </c>
      <c r="F4159" s="11">
        <v>6.3366146087646484</v>
      </c>
    </row>
    <row r="4160" spans="1:6" hidden="1" x14ac:dyDescent="0.3">
      <c r="A4160" s="6">
        <v>30</v>
      </c>
      <c r="B4160" s="6" t="s">
        <v>141</v>
      </c>
      <c r="C4160" s="6" t="s">
        <v>454</v>
      </c>
      <c r="D4160" s="6" t="s">
        <v>142</v>
      </c>
      <c r="E4160" s="11">
        <v>4.5495214462280273</v>
      </c>
      <c r="F4160" s="11">
        <v>6.3366146087646484</v>
      </c>
    </row>
    <row r="4161" spans="1:6" hidden="1" x14ac:dyDescent="0.3">
      <c r="A4161" s="6">
        <v>30</v>
      </c>
      <c r="B4161" s="6" t="s">
        <v>141</v>
      </c>
      <c r="C4161" s="6" t="s">
        <v>455</v>
      </c>
      <c r="D4161" s="6" t="s">
        <v>142</v>
      </c>
      <c r="E4161" s="11">
        <v>7.4180164337158203</v>
      </c>
      <c r="F4161" s="11">
        <v>6.3366146087646484</v>
      </c>
    </row>
    <row r="4162" spans="1:6" hidden="1" x14ac:dyDescent="0.3">
      <c r="A4162" s="6">
        <v>30</v>
      </c>
      <c r="B4162" s="6" t="s">
        <v>141</v>
      </c>
      <c r="C4162" s="6" t="s">
        <v>456</v>
      </c>
      <c r="D4162" s="6" t="s">
        <v>142</v>
      </c>
      <c r="E4162" s="11">
        <v>5.2802853584289551</v>
      </c>
      <c r="F4162" s="11">
        <v>6.3366146087646484</v>
      </c>
    </row>
    <row r="4163" spans="1:6" hidden="1" x14ac:dyDescent="0.3">
      <c r="A4163" s="6">
        <v>30</v>
      </c>
      <c r="B4163" s="6" t="s">
        <v>141</v>
      </c>
      <c r="C4163" s="6" t="s">
        <v>457</v>
      </c>
      <c r="D4163" s="6" t="s">
        <v>142</v>
      </c>
      <c r="E4163" s="11">
        <v>6.7358613014221191</v>
      </c>
      <c r="F4163" s="11">
        <v>6.3366146087646484</v>
      </c>
    </row>
    <row r="4164" spans="1:6" hidden="1" x14ac:dyDescent="0.3">
      <c r="A4164" s="6">
        <v>30</v>
      </c>
      <c r="B4164" s="6" t="s">
        <v>141</v>
      </c>
      <c r="C4164" s="6" t="s">
        <v>458</v>
      </c>
      <c r="D4164" s="6" t="s">
        <v>142</v>
      </c>
      <c r="E4164" s="11">
        <v>9.5606613159179688</v>
      </c>
      <c r="F4164" s="11">
        <v>6.3366146087646484</v>
      </c>
    </row>
    <row r="4165" spans="1:6" hidden="1" x14ac:dyDescent="0.3">
      <c r="A4165" s="6">
        <v>30</v>
      </c>
      <c r="B4165" s="6" t="s">
        <v>141</v>
      </c>
      <c r="C4165" s="6" t="s">
        <v>459</v>
      </c>
      <c r="D4165" s="6" t="s">
        <v>142</v>
      </c>
      <c r="E4165" s="11">
        <v>9.0899276733398438</v>
      </c>
      <c r="F4165" s="11">
        <v>6.3366146087646484</v>
      </c>
    </row>
    <row r="4166" spans="1:6" hidden="1" x14ac:dyDescent="0.3">
      <c r="A4166" s="6">
        <v>30</v>
      </c>
      <c r="B4166" s="6" t="s">
        <v>141</v>
      </c>
      <c r="C4166" s="6" t="s">
        <v>460</v>
      </c>
      <c r="D4166" s="6" t="s">
        <v>142</v>
      </c>
      <c r="E4166" s="11">
        <v>4.3852992057800293</v>
      </c>
      <c r="F4166" s="11">
        <v>6.3366146087646484</v>
      </c>
    </row>
    <row r="4167" spans="1:6" hidden="1" x14ac:dyDescent="0.3">
      <c r="A4167" s="6">
        <v>30</v>
      </c>
      <c r="B4167" s="6" t="s">
        <v>141</v>
      </c>
      <c r="C4167" s="6" t="s">
        <v>461</v>
      </c>
      <c r="D4167" s="6" t="s">
        <v>142</v>
      </c>
      <c r="E4167" s="11">
        <v>5.156743049621582</v>
      </c>
      <c r="F4167" s="11">
        <v>6.3366146087646484</v>
      </c>
    </row>
    <row r="4168" spans="1:6" hidden="1" x14ac:dyDescent="0.3">
      <c r="A4168" s="6">
        <v>30</v>
      </c>
      <c r="B4168" s="6" t="s">
        <v>141</v>
      </c>
      <c r="C4168" s="6" t="s">
        <v>462</v>
      </c>
      <c r="D4168" s="6" t="s">
        <v>142</v>
      </c>
      <c r="E4168" s="11">
        <v>4.0099639892578125</v>
      </c>
      <c r="F4168" s="11">
        <v>6.3366146087646484</v>
      </c>
    </row>
    <row r="4169" spans="1:6" hidden="1" x14ac:dyDescent="0.3">
      <c r="A4169" s="6">
        <v>30</v>
      </c>
      <c r="B4169" s="6" t="s">
        <v>141</v>
      </c>
      <c r="C4169" s="6" t="s">
        <v>463</v>
      </c>
      <c r="D4169" s="6" t="s">
        <v>142</v>
      </c>
      <c r="E4169" s="11">
        <v>5.5247511863708496</v>
      </c>
      <c r="F4169" s="11">
        <v>6.3366146087646484</v>
      </c>
    </row>
    <row r="4170" spans="1:6" hidden="1" x14ac:dyDescent="0.3">
      <c r="A4170" s="6">
        <v>30</v>
      </c>
      <c r="B4170" s="6" t="s">
        <v>141</v>
      </c>
      <c r="C4170" s="6" t="s">
        <v>464</v>
      </c>
      <c r="D4170" s="6" t="s">
        <v>142</v>
      </c>
      <c r="E4170" s="11">
        <v>6.8103780746459961</v>
      </c>
      <c r="F4170" s="11">
        <v>6.3366146087646484</v>
      </c>
    </row>
    <row r="4171" spans="1:6" hidden="1" x14ac:dyDescent="0.3">
      <c r="A4171" s="6">
        <v>30</v>
      </c>
      <c r="B4171" s="6" t="s">
        <v>141</v>
      </c>
      <c r="C4171" s="6" t="s">
        <v>465</v>
      </c>
      <c r="D4171" s="6" t="s">
        <v>142</v>
      </c>
      <c r="E4171" s="11">
        <v>7.0525927543640137</v>
      </c>
      <c r="F4171" s="11">
        <v>6.3366146087646484</v>
      </c>
    </row>
    <row r="4172" spans="1:6" hidden="1" x14ac:dyDescent="0.3">
      <c r="A4172" s="6">
        <v>30</v>
      </c>
      <c r="B4172" s="6" t="s">
        <v>141</v>
      </c>
      <c r="C4172" s="6" t="s">
        <v>466</v>
      </c>
      <c r="D4172" s="6" t="s">
        <v>142</v>
      </c>
      <c r="E4172" s="11">
        <v>5.3781533241271973</v>
      </c>
      <c r="F4172" s="11">
        <v>6.3366146087646484</v>
      </c>
    </row>
    <row r="4173" spans="1:6" hidden="1" x14ac:dyDescent="0.3">
      <c r="A4173" s="6">
        <v>30</v>
      </c>
      <c r="B4173" s="6" t="s">
        <v>141</v>
      </c>
      <c r="C4173" s="6" t="s">
        <v>467</v>
      </c>
      <c r="D4173" s="6" t="s">
        <v>142</v>
      </c>
      <c r="E4173" s="11">
        <v>17.18354606628418</v>
      </c>
      <c r="F4173" s="11">
        <v>6.3366146087646484</v>
      </c>
    </row>
    <row r="4174" spans="1:6" hidden="1" x14ac:dyDescent="0.3">
      <c r="A4174" s="6">
        <v>30</v>
      </c>
      <c r="B4174" s="6" t="s">
        <v>141</v>
      </c>
      <c r="C4174" s="6" t="s">
        <v>468</v>
      </c>
      <c r="D4174" s="6" t="s">
        <v>142</v>
      </c>
      <c r="E4174" s="11">
        <v>9.5010700225830078</v>
      </c>
      <c r="F4174" s="11">
        <v>6.3366146087646484</v>
      </c>
    </row>
    <row r="4175" spans="1:6" hidden="1" x14ac:dyDescent="0.3">
      <c r="A4175" s="6">
        <v>30</v>
      </c>
      <c r="B4175" s="6" t="s">
        <v>141</v>
      </c>
      <c r="C4175" s="6" t="s">
        <v>469</v>
      </c>
      <c r="D4175" s="6" t="s">
        <v>142</v>
      </c>
      <c r="E4175" s="11">
        <v>4.0975027084350586</v>
      </c>
      <c r="F4175" s="11">
        <v>6.3366146087646484</v>
      </c>
    </row>
    <row r="4176" spans="1:6" hidden="1" x14ac:dyDescent="0.3">
      <c r="A4176" s="6">
        <v>30</v>
      </c>
      <c r="B4176" s="6" t="s">
        <v>141</v>
      </c>
      <c r="C4176" s="6" t="s">
        <v>470</v>
      </c>
      <c r="D4176" s="6" t="s">
        <v>142</v>
      </c>
      <c r="E4176" s="11">
        <v>6.0012707710266113</v>
      </c>
      <c r="F4176" s="11">
        <v>6.3366146087646484</v>
      </c>
    </row>
    <row r="4177" spans="1:6" hidden="1" x14ac:dyDescent="0.3">
      <c r="A4177" s="6">
        <v>30</v>
      </c>
      <c r="B4177" s="6" t="s">
        <v>141</v>
      </c>
      <c r="C4177" s="6" t="s">
        <v>471</v>
      </c>
      <c r="D4177" s="6" t="s">
        <v>142</v>
      </c>
      <c r="E4177" s="11">
        <v>5.7587275505065918</v>
      </c>
      <c r="F4177" s="11">
        <v>6.3366146087646484</v>
      </c>
    </row>
    <row r="4178" spans="1:6" hidden="1" x14ac:dyDescent="0.3">
      <c r="A4178" s="6">
        <v>30</v>
      </c>
      <c r="B4178" s="6" t="s">
        <v>141</v>
      </c>
      <c r="C4178" s="6" t="s">
        <v>472</v>
      </c>
      <c r="D4178" s="6" t="s">
        <v>142</v>
      </c>
      <c r="E4178" s="11">
        <v>6.6165876388549805</v>
      </c>
      <c r="F4178" s="11">
        <v>6.3366146087646484</v>
      </c>
    </row>
    <row r="4179" spans="1:6" hidden="1" x14ac:dyDescent="0.3">
      <c r="A4179" s="6">
        <v>30</v>
      </c>
      <c r="B4179" s="6" t="s">
        <v>141</v>
      </c>
      <c r="C4179" s="6" t="s">
        <v>473</v>
      </c>
      <c r="D4179" s="6" t="s">
        <v>142</v>
      </c>
      <c r="E4179" s="11">
        <v>9.2721929550170898</v>
      </c>
      <c r="F4179" s="11">
        <v>6.3366146087646484</v>
      </c>
    </row>
    <row r="4180" spans="1:6" hidden="1" x14ac:dyDescent="0.3">
      <c r="A4180" s="6">
        <v>30</v>
      </c>
      <c r="B4180" s="6" t="s">
        <v>141</v>
      </c>
      <c r="C4180" s="6" t="s">
        <v>474</v>
      </c>
      <c r="D4180" s="6" t="s">
        <v>142</v>
      </c>
      <c r="E4180" s="11">
        <v>7.9492325782775879</v>
      </c>
      <c r="F4180" s="11">
        <v>6.3366146087646484</v>
      </c>
    </row>
    <row r="4181" spans="1:6" hidden="1" x14ac:dyDescent="0.3">
      <c r="A4181" s="6">
        <v>30</v>
      </c>
      <c r="B4181" s="6" t="s">
        <v>141</v>
      </c>
      <c r="C4181" s="6" t="s">
        <v>475</v>
      </c>
      <c r="D4181" s="6" t="s">
        <v>142</v>
      </c>
      <c r="E4181" s="11">
        <v>4.7694616317749023</v>
      </c>
      <c r="F4181" s="11">
        <v>6.3366146087646484</v>
      </c>
    </row>
    <row r="4182" spans="1:6" hidden="1" x14ac:dyDescent="0.3">
      <c r="A4182" s="6">
        <v>30</v>
      </c>
      <c r="B4182" s="6" t="s">
        <v>141</v>
      </c>
      <c r="C4182" s="6" t="s">
        <v>476</v>
      </c>
      <c r="D4182" s="6" t="s">
        <v>142</v>
      </c>
      <c r="E4182" s="11">
        <v>5.1897087097167969</v>
      </c>
      <c r="F4182" s="11">
        <v>6.3366146087646484</v>
      </c>
    </row>
    <row r="4183" spans="1:6" hidden="1" x14ac:dyDescent="0.3">
      <c r="A4183" s="6">
        <v>30</v>
      </c>
      <c r="B4183" s="6" t="s">
        <v>141</v>
      </c>
      <c r="C4183" s="6" t="s">
        <v>477</v>
      </c>
      <c r="D4183" s="6" t="s">
        <v>142</v>
      </c>
      <c r="E4183" s="11">
        <v>5.6041455268859863</v>
      </c>
      <c r="F4183" s="11">
        <v>6.3366146087646484</v>
      </c>
    </row>
    <row r="4184" spans="1:6" hidden="1" x14ac:dyDescent="0.3">
      <c r="A4184" s="6">
        <v>30</v>
      </c>
      <c r="B4184" s="6" t="s">
        <v>141</v>
      </c>
      <c r="C4184" s="6" t="s">
        <v>478</v>
      </c>
      <c r="D4184" s="6" t="s">
        <v>142</v>
      </c>
      <c r="E4184" s="11">
        <v>5.8835263252258301</v>
      </c>
      <c r="F4184" s="11">
        <v>6.3366146087646484</v>
      </c>
    </row>
    <row r="4185" spans="1:6" hidden="1" x14ac:dyDescent="0.3">
      <c r="A4185" s="6">
        <v>30</v>
      </c>
      <c r="B4185" s="6" t="s">
        <v>141</v>
      </c>
      <c r="C4185" s="6" t="s">
        <v>479</v>
      </c>
      <c r="D4185" s="6" t="s">
        <v>142</v>
      </c>
      <c r="E4185" s="11">
        <v>13.49204158782959</v>
      </c>
      <c r="F4185" s="11">
        <v>6.3366146087646484</v>
      </c>
    </row>
    <row r="4186" spans="1:6" hidden="1" x14ac:dyDescent="0.3">
      <c r="A4186" s="6">
        <v>30</v>
      </c>
      <c r="B4186" s="6" t="s">
        <v>141</v>
      </c>
      <c r="C4186" s="6" t="s">
        <v>480</v>
      </c>
      <c r="D4186" s="6" t="s">
        <v>142</v>
      </c>
      <c r="E4186" s="11">
        <v>7.6396050453186035</v>
      </c>
      <c r="F4186" s="11">
        <v>6.3366146087646484</v>
      </c>
    </row>
    <row r="4187" spans="1:6" hidden="1" x14ac:dyDescent="0.3">
      <c r="A4187" s="6">
        <v>30</v>
      </c>
      <c r="B4187" s="6" t="s">
        <v>141</v>
      </c>
      <c r="C4187" s="6" t="s">
        <v>481</v>
      </c>
      <c r="D4187" s="6" t="s">
        <v>142</v>
      </c>
      <c r="E4187" s="11">
        <v>6.1697473526000977</v>
      </c>
      <c r="F4187" s="11">
        <v>6.3366146087646484</v>
      </c>
    </row>
    <row r="4188" spans="1:6" hidden="1" x14ac:dyDescent="0.3">
      <c r="A4188" s="6">
        <v>30</v>
      </c>
      <c r="B4188" s="6" t="s">
        <v>141</v>
      </c>
      <c r="C4188" s="6" t="s">
        <v>482</v>
      </c>
      <c r="D4188" s="6" t="s">
        <v>142</v>
      </c>
      <c r="E4188" s="11">
        <v>7.0103931427001953</v>
      </c>
      <c r="F4188" s="11">
        <v>6.3366146087646484</v>
      </c>
    </row>
    <row r="4189" spans="1:6" hidden="1" x14ac:dyDescent="0.3">
      <c r="A4189" s="6">
        <v>30</v>
      </c>
      <c r="B4189" s="6" t="s">
        <v>141</v>
      </c>
      <c r="C4189" s="6" t="s">
        <v>483</v>
      </c>
      <c r="D4189" s="6" t="s">
        <v>142</v>
      </c>
      <c r="E4189" s="11">
        <v>5.4841747283935547</v>
      </c>
      <c r="F4189" s="11">
        <v>6.3366146087646484</v>
      </c>
    </row>
    <row r="4190" spans="1:6" hidden="1" x14ac:dyDescent="0.3">
      <c r="A4190" s="6">
        <v>30</v>
      </c>
      <c r="B4190" s="6" t="s">
        <v>141</v>
      </c>
      <c r="C4190" s="6" t="s">
        <v>484</v>
      </c>
      <c r="D4190" s="6" t="s">
        <v>142</v>
      </c>
      <c r="E4190" s="11">
        <v>6.8448433876037598</v>
      </c>
      <c r="F4190" s="11">
        <v>6.3366146087646484</v>
      </c>
    </row>
    <row r="4191" spans="1:6" hidden="1" x14ac:dyDescent="0.3">
      <c r="A4191" s="6">
        <v>30</v>
      </c>
      <c r="B4191" s="6" t="s">
        <v>141</v>
      </c>
      <c r="C4191" s="6" t="s">
        <v>485</v>
      </c>
      <c r="D4191" s="6" t="s">
        <v>142</v>
      </c>
      <c r="E4191" s="11">
        <v>16.841981887817383</v>
      </c>
      <c r="F4191" s="11">
        <v>6.3366146087646484</v>
      </c>
    </row>
    <row r="4192" spans="1:6" hidden="1" x14ac:dyDescent="0.3">
      <c r="A4192" s="6">
        <v>30</v>
      </c>
      <c r="B4192" s="6" t="s">
        <v>141</v>
      </c>
      <c r="C4192" s="6" t="s">
        <v>486</v>
      </c>
      <c r="D4192" s="6" t="s">
        <v>142</v>
      </c>
      <c r="E4192" s="11">
        <v>9.4915828704833984</v>
      </c>
      <c r="F4192" s="11">
        <v>6.3366146087646484</v>
      </c>
    </row>
    <row r="4193" spans="1:6" hidden="1" x14ac:dyDescent="0.3">
      <c r="A4193" s="6">
        <v>30</v>
      </c>
      <c r="B4193" s="6" t="s">
        <v>141</v>
      </c>
      <c r="C4193" s="6" t="s">
        <v>487</v>
      </c>
      <c r="D4193" s="6" t="s">
        <v>142</v>
      </c>
      <c r="E4193" s="11">
        <v>51.891834259033203</v>
      </c>
      <c r="F4193" s="11">
        <v>6.3366146087646484</v>
      </c>
    </row>
    <row r="4194" spans="1:6" hidden="1" x14ac:dyDescent="0.3">
      <c r="A4194" s="6">
        <v>30</v>
      </c>
      <c r="B4194" s="6" t="s">
        <v>141</v>
      </c>
      <c r="C4194" s="6" t="s">
        <v>488</v>
      </c>
      <c r="D4194" s="6" t="s">
        <v>142</v>
      </c>
      <c r="E4194" s="11">
        <v>5.292762279510498</v>
      </c>
      <c r="F4194" s="11">
        <v>6.3366146087646484</v>
      </c>
    </row>
    <row r="4195" spans="1:6" hidden="1" x14ac:dyDescent="0.3">
      <c r="A4195" s="6">
        <v>30</v>
      </c>
      <c r="B4195" s="6" t="s">
        <v>141</v>
      </c>
      <c r="C4195" s="6" t="s">
        <v>489</v>
      </c>
      <c r="D4195" s="6" t="s">
        <v>142</v>
      </c>
      <c r="E4195" s="11">
        <v>13.306780815124512</v>
      </c>
      <c r="F4195" s="11">
        <v>6.3366146087646484</v>
      </c>
    </row>
    <row r="4196" spans="1:6" hidden="1" x14ac:dyDescent="0.3">
      <c r="A4196" s="6">
        <v>30</v>
      </c>
      <c r="B4196" s="6" t="s">
        <v>141</v>
      </c>
      <c r="C4196" s="6" t="s">
        <v>490</v>
      </c>
      <c r="D4196" s="6" t="s">
        <v>142</v>
      </c>
      <c r="E4196" s="11">
        <v>6.8180141448974609</v>
      </c>
      <c r="F4196" s="11">
        <v>6.3366146087646484</v>
      </c>
    </row>
    <row r="4197" spans="1:6" hidden="1" x14ac:dyDescent="0.3">
      <c r="A4197" s="6">
        <v>30</v>
      </c>
      <c r="B4197" s="6" t="s">
        <v>141</v>
      </c>
      <c r="C4197" s="6" t="s">
        <v>491</v>
      </c>
      <c r="D4197" s="6" t="s">
        <v>142</v>
      </c>
      <c r="E4197" s="11">
        <v>5.6387062072753906</v>
      </c>
      <c r="F4197" s="11">
        <v>6.3366146087646484</v>
      </c>
    </row>
    <row r="4198" spans="1:6" hidden="1" x14ac:dyDescent="0.3">
      <c r="A4198" s="6">
        <v>30</v>
      </c>
      <c r="B4198" s="6" t="s">
        <v>141</v>
      </c>
      <c r="C4198" s="6" t="s">
        <v>492</v>
      </c>
      <c r="D4198" s="6" t="s">
        <v>142</v>
      </c>
      <c r="E4198" s="11">
        <v>12.440786361694336</v>
      </c>
      <c r="F4198" s="11">
        <v>6.3366146087646484</v>
      </c>
    </row>
    <row r="4199" spans="1:6" hidden="1" x14ac:dyDescent="0.3">
      <c r="A4199" s="6">
        <v>30</v>
      </c>
      <c r="B4199" s="6" t="s">
        <v>141</v>
      </c>
      <c r="C4199" s="6" t="s">
        <v>493</v>
      </c>
      <c r="D4199" s="6" t="s">
        <v>142</v>
      </c>
      <c r="E4199" s="11">
        <v>7.0174984931945801</v>
      </c>
      <c r="F4199" s="11">
        <v>6.3366146087646484</v>
      </c>
    </row>
    <row r="4200" spans="1:6" hidden="1" x14ac:dyDescent="0.3">
      <c r="A4200" s="6">
        <v>30</v>
      </c>
      <c r="B4200" s="6" t="s">
        <v>141</v>
      </c>
      <c r="C4200" s="6" t="s">
        <v>494</v>
      </c>
      <c r="D4200" s="6" t="s">
        <v>142</v>
      </c>
      <c r="E4200" s="11">
        <v>20.853128433227539</v>
      </c>
      <c r="F4200" s="11">
        <v>6.3366146087646484</v>
      </c>
    </row>
    <row r="4201" spans="1:6" hidden="1" x14ac:dyDescent="0.3">
      <c r="A4201" s="6">
        <v>30</v>
      </c>
      <c r="B4201" s="6" t="s">
        <v>141</v>
      </c>
      <c r="C4201" s="6" t="s">
        <v>495</v>
      </c>
      <c r="D4201" s="6" t="s">
        <v>142</v>
      </c>
      <c r="E4201" s="11">
        <v>4.7227187156677246</v>
      </c>
      <c r="F4201" s="11">
        <v>6.3366146087646484</v>
      </c>
    </row>
    <row r="4202" spans="1:6" hidden="1" x14ac:dyDescent="0.3">
      <c r="A4202" s="6">
        <v>31</v>
      </c>
      <c r="B4202" s="6" t="s">
        <v>143</v>
      </c>
      <c r="C4202" s="6" t="s">
        <v>356</v>
      </c>
      <c r="D4202" s="6" t="s">
        <v>144</v>
      </c>
      <c r="E4202" s="11">
        <v>5.7888288497924805</v>
      </c>
      <c r="F4202" s="11">
        <v>5.7866439819335938</v>
      </c>
    </row>
    <row r="4203" spans="1:6" hidden="1" x14ac:dyDescent="0.3">
      <c r="A4203" s="6">
        <v>31</v>
      </c>
      <c r="B4203" s="6" t="s">
        <v>143</v>
      </c>
      <c r="C4203" s="6" t="s">
        <v>357</v>
      </c>
      <c r="D4203" s="6" t="s">
        <v>144</v>
      </c>
      <c r="E4203" s="11">
        <v>4.7444372177124023</v>
      </c>
      <c r="F4203" s="11">
        <v>5.7866439819335938</v>
      </c>
    </row>
    <row r="4204" spans="1:6" hidden="1" x14ac:dyDescent="0.3">
      <c r="A4204" s="6">
        <v>31</v>
      </c>
      <c r="B4204" s="6" t="s">
        <v>143</v>
      </c>
      <c r="C4204" s="6" t="s">
        <v>358</v>
      </c>
      <c r="D4204" s="6" t="s">
        <v>144</v>
      </c>
      <c r="E4204" s="11">
        <v>6.0512738227844238</v>
      </c>
      <c r="F4204" s="11">
        <v>5.7866439819335938</v>
      </c>
    </row>
    <row r="4205" spans="1:6" hidden="1" x14ac:dyDescent="0.3">
      <c r="A4205" s="6">
        <v>31</v>
      </c>
      <c r="B4205" s="6" t="s">
        <v>143</v>
      </c>
      <c r="C4205" s="6" t="s">
        <v>359</v>
      </c>
      <c r="D4205" s="6" t="s">
        <v>144</v>
      </c>
      <c r="E4205" s="11">
        <v>4.5261693000793457</v>
      </c>
      <c r="F4205" s="11">
        <v>5.7866439819335938</v>
      </c>
    </row>
    <row r="4206" spans="1:6" hidden="1" x14ac:dyDescent="0.3">
      <c r="A4206" s="6">
        <v>31</v>
      </c>
      <c r="B4206" s="6" t="s">
        <v>143</v>
      </c>
      <c r="C4206" s="6" t="s">
        <v>360</v>
      </c>
      <c r="D4206" s="6" t="s">
        <v>144</v>
      </c>
      <c r="E4206" s="11">
        <v>4.4676313400268555</v>
      </c>
      <c r="F4206" s="11">
        <v>5.7866439819335938</v>
      </c>
    </row>
    <row r="4207" spans="1:6" hidden="1" x14ac:dyDescent="0.3">
      <c r="A4207" s="6">
        <v>31</v>
      </c>
      <c r="B4207" s="6" t="s">
        <v>143</v>
      </c>
      <c r="C4207" s="6" t="s">
        <v>361</v>
      </c>
      <c r="D4207" s="6" t="s">
        <v>144</v>
      </c>
      <c r="E4207" s="11">
        <v>5.8375349044799805</v>
      </c>
      <c r="F4207" s="11">
        <v>5.7866439819335938</v>
      </c>
    </row>
    <row r="4208" spans="1:6" hidden="1" x14ac:dyDescent="0.3">
      <c r="A4208" s="6">
        <v>31</v>
      </c>
      <c r="B4208" s="6" t="s">
        <v>143</v>
      </c>
      <c r="C4208" s="6" t="s">
        <v>362</v>
      </c>
      <c r="D4208" s="6" t="s">
        <v>144</v>
      </c>
      <c r="E4208" s="11">
        <v>5.3166933059692383</v>
      </c>
      <c r="F4208" s="11">
        <v>5.7866439819335938</v>
      </c>
    </row>
    <row r="4209" spans="1:6" hidden="1" x14ac:dyDescent="0.3">
      <c r="A4209" s="6">
        <v>31</v>
      </c>
      <c r="B4209" s="6" t="s">
        <v>143</v>
      </c>
      <c r="C4209" s="6" t="s">
        <v>363</v>
      </c>
      <c r="D4209" s="6" t="s">
        <v>144</v>
      </c>
      <c r="E4209" s="11">
        <v>6.7472901344299316</v>
      </c>
      <c r="F4209" s="11">
        <v>5.7866439819335938</v>
      </c>
    </row>
    <row r="4210" spans="1:6" hidden="1" x14ac:dyDescent="0.3">
      <c r="A4210" s="6">
        <v>31</v>
      </c>
      <c r="B4210" s="6" t="s">
        <v>143</v>
      </c>
      <c r="C4210" s="6" t="s">
        <v>364</v>
      </c>
      <c r="D4210" s="6" t="s">
        <v>144</v>
      </c>
      <c r="E4210" s="11">
        <v>3.8814857006072998</v>
      </c>
      <c r="F4210" s="11">
        <v>5.7866439819335938</v>
      </c>
    </row>
    <row r="4211" spans="1:6" hidden="1" x14ac:dyDescent="0.3">
      <c r="A4211" s="6">
        <v>31</v>
      </c>
      <c r="B4211" s="6" t="s">
        <v>143</v>
      </c>
      <c r="C4211" s="6" t="s">
        <v>365</v>
      </c>
      <c r="D4211" s="6" t="s">
        <v>144</v>
      </c>
      <c r="E4211" s="11">
        <v>4.6815919876098633</v>
      </c>
      <c r="F4211" s="11">
        <v>5.7866439819335938</v>
      </c>
    </row>
    <row r="4212" spans="1:6" hidden="1" x14ac:dyDescent="0.3">
      <c r="A4212" s="6">
        <v>31</v>
      </c>
      <c r="B4212" s="6" t="s">
        <v>143</v>
      </c>
      <c r="C4212" s="6" t="s">
        <v>366</v>
      </c>
      <c r="D4212" s="6" t="s">
        <v>144</v>
      </c>
      <c r="E4212" s="11">
        <v>8.0719308853149414</v>
      </c>
      <c r="F4212" s="11">
        <v>5.7866439819335938</v>
      </c>
    </row>
    <row r="4213" spans="1:6" hidden="1" x14ac:dyDescent="0.3">
      <c r="A4213" s="6">
        <v>31</v>
      </c>
      <c r="B4213" s="6" t="s">
        <v>143</v>
      </c>
      <c r="C4213" s="6" t="s">
        <v>367</v>
      </c>
      <c r="D4213" s="6" t="s">
        <v>144</v>
      </c>
      <c r="E4213" s="11">
        <v>7.2146830558776855</v>
      </c>
      <c r="F4213" s="11">
        <v>5.7866439819335938</v>
      </c>
    </row>
    <row r="4214" spans="1:6" hidden="1" x14ac:dyDescent="0.3">
      <c r="A4214" s="6">
        <v>31</v>
      </c>
      <c r="B4214" s="6" t="s">
        <v>143</v>
      </c>
      <c r="C4214" s="6" t="s">
        <v>368</v>
      </c>
      <c r="D4214" s="6" t="s">
        <v>144</v>
      </c>
      <c r="E4214" s="11">
        <v>4.9017496109008789</v>
      </c>
      <c r="F4214" s="11">
        <v>5.7866439819335938</v>
      </c>
    </row>
    <row r="4215" spans="1:6" hidden="1" x14ac:dyDescent="0.3">
      <c r="A4215" s="6">
        <v>31</v>
      </c>
      <c r="B4215" s="6" t="s">
        <v>143</v>
      </c>
      <c r="C4215" s="6" t="s">
        <v>369</v>
      </c>
      <c r="D4215" s="6" t="s">
        <v>144</v>
      </c>
      <c r="E4215" s="11">
        <v>7.814424991607666</v>
      </c>
      <c r="F4215" s="11">
        <v>5.7866439819335938</v>
      </c>
    </row>
    <row r="4216" spans="1:6" hidden="1" x14ac:dyDescent="0.3">
      <c r="A4216" s="6">
        <v>31</v>
      </c>
      <c r="B4216" s="6" t="s">
        <v>143</v>
      </c>
      <c r="C4216" s="6" t="s">
        <v>370</v>
      </c>
      <c r="D4216" s="6" t="s">
        <v>144</v>
      </c>
      <c r="E4216" s="11">
        <v>6.4341826438903809</v>
      </c>
      <c r="F4216" s="11">
        <v>5.7866439819335938</v>
      </c>
    </row>
    <row r="4217" spans="1:6" hidden="1" x14ac:dyDescent="0.3">
      <c r="A4217" s="6">
        <v>31</v>
      </c>
      <c r="B4217" s="6" t="s">
        <v>143</v>
      </c>
      <c r="C4217" s="6" t="s">
        <v>371</v>
      </c>
      <c r="D4217" s="6" t="s">
        <v>144</v>
      </c>
      <c r="E4217" s="11">
        <v>5.0306587219238281</v>
      </c>
      <c r="F4217" s="11">
        <v>5.7866439819335938</v>
      </c>
    </row>
    <row r="4218" spans="1:6" hidden="1" x14ac:dyDescent="0.3">
      <c r="A4218" s="6">
        <v>31</v>
      </c>
      <c r="B4218" s="6" t="s">
        <v>143</v>
      </c>
      <c r="C4218" s="6" t="s">
        <v>372</v>
      </c>
      <c r="D4218" s="6" t="s">
        <v>144</v>
      </c>
      <c r="E4218" s="11">
        <v>4.648167610168457</v>
      </c>
      <c r="F4218" s="11">
        <v>5.7866439819335938</v>
      </c>
    </row>
    <row r="4219" spans="1:6" hidden="1" x14ac:dyDescent="0.3">
      <c r="A4219" s="6">
        <v>31</v>
      </c>
      <c r="B4219" s="6" t="s">
        <v>143</v>
      </c>
      <c r="C4219" s="6" t="s">
        <v>373</v>
      </c>
      <c r="D4219" s="6" t="s">
        <v>144</v>
      </c>
      <c r="E4219" s="11">
        <v>15.374442100524902</v>
      </c>
      <c r="F4219" s="11">
        <v>5.7866439819335938</v>
      </c>
    </row>
    <row r="4220" spans="1:6" hidden="1" x14ac:dyDescent="0.3">
      <c r="A4220" s="6">
        <v>31</v>
      </c>
      <c r="B4220" s="6" t="s">
        <v>143</v>
      </c>
      <c r="C4220" s="6" t="s">
        <v>374</v>
      </c>
      <c r="D4220" s="6" t="s">
        <v>144</v>
      </c>
      <c r="E4220" s="11">
        <v>5.3410196304321289</v>
      </c>
      <c r="F4220" s="11">
        <v>5.7866439819335938</v>
      </c>
    </row>
    <row r="4221" spans="1:6" hidden="1" x14ac:dyDescent="0.3">
      <c r="A4221" s="6">
        <v>31</v>
      </c>
      <c r="B4221" s="6" t="s">
        <v>143</v>
      </c>
      <c r="C4221" s="6" t="s">
        <v>375</v>
      </c>
      <c r="D4221" s="6" t="s">
        <v>144</v>
      </c>
      <c r="E4221" s="11">
        <v>5.7337422370910645</v>
      </c>
      <c r="F4221" s="11">
        <v>5.7866439819335938</v>
      </c>
    </row>
    <row r="4222" spans="1:6" hidden="1" x14ac:dyDescent="0.3">
      <c r="A4222" s="6">
        <v>31</v>
      </c>
      <c r="B4222" s="6" t="s">
        <v>143</v>
      </c>
      <c r="C4222" s="6" t="s">
        <v>376</v>
      </c>
      <c r="D4222" s="6" t="s">
        <v>144</v>
      </c>
      <c r="E4222" s="11">
        <v>5.0383286476135254</v>
      </c>
      <c r="F4222" s="11">
        <v>5.7866439819335938</v>
      </c>
    </row>
    <row r="4223" spans="1:6" hidden="1" x14ac:dyDescent="0.3">
      <c r="A4223" s="6">
        <v>31</v>
      </c>
      <c r="B4223" s="6" t="s">
        <v>143</v>
      </c>
      <c r="C4223" s="6" t="s">
        <v>377</v>
      </c>
      <c r="D4223" s="6" t="s">
        <v>144</v>
      </c>
      <c r="E4223" s="11">
        <v>8.2110633850097656</v>
      </c>
      <c r="F4223" s="11">
        <v>5.7866439819335938</v>
      </c>
    </row>
    <row r="4224" spans="1:6" hidden="1" x14ac:dyDescent="0.3">
      <c r="A4224" s="6">
        <v>31</v>
      </c>
      <c r="B4224" s="6" t="s">
        <v>143</v>
      </c>
      <c r="C4224" s="6" t="s">
        <v>378</v>
      </c>
      <c r="D4224" s="6" t="s">
        <v>144</v>
      </c>
      <c r="E4224" s="11">
        <v>4.2934761047363281</v>
      </c>
      <c r="F4224" s="11">
        <v>5.7866439819335938</v>
      </c>
    </row>
    <row r="4225" spans="1:6" hidden="1" x14ac:dyDescent="0.3">
      <c r="A4225" s="6">
        <v>31</v>
      </c>
      <c r="B4225" s="6" t="s">
        <v>143</v>
      </c>
      <c r="C4225" s="6" t="s">
        <v>379</v>
      </c>
      <c r="D4225" s="6" t="s">
        <v>144</v>
      </c>
      <c r="E4225" s="11">
        <v>4.3905649185180664</v>
      </c>
      <c r="F4225" s="11">
        <v>5.7866439819335938</v>
      </c>
    </row>
    <row r="4226" spans="1:6" hidden="1" x14ac:dyDescent="0.3">
      <c r="A4226" s="6">
        <v>31</v>
      </c>
      <c r="B4226" s="6" t="s">
        <v>143</v>
      </c>
      <c r="C4226" s="6" t="s">
        <v>380</v>
      </c>
      <c r="D4226" s="6" t="s">
        <v>144</v>
      </c>
      <c r="E4226" s="11">
        <v>4.9270801544189453</v>
      </c>
      <c r="F4226" s="11">
        <v>5.7866439819335938</v>
      </c>
    </row>
    <row r="4227" spans="1:6" hidden="1" x14ac:dyDescent="0.3">
      <c r="A4227" s="6">
        <v>31</v>
      </c>
      <c r="B4227" s="6" t="s">
        <v>143</v>
      </c>
      <c r="C4227" s="6" t="s">
        <v>381</v>
      </c>
      <c r="D4227" s="6" t="s">
        <v>144</v>
      </c>
      <c r="E4227" s="11">
        <v>4.8459396362304688</v>
      </c>
      <c r="F4227" s="11">
        <v>5.7866439819335938</v>
      </c>
    </row>
    <row r="4228" spans="1:6" hidden="1" x14ac:dyDescent="0.3">
      <c r="A4228" s="6">
        <v>31</v>
      </c>
      <c r="B4228" s="6" t="s">
        <v>143</v>
      </c>
      <c r="C4228" s="6" t="s">
        <v>382</v>
      </c>
      <c r="D4228" s="6" t="s">
        <v>144</v>
      </c>
      <c r="E4228" s="11">
        <v>5.9000787734985352</v>
      </c>
      <c r="F4228" s="11">
        <v>5.7866439819335938</v>
      </c>
    </row>
    <row r="4229" spans="1:6" hidden="1" x14ac:dyDescent="0.3">
      <c r="A4229" s="6">
        <v>31</v>
      </c>
      <c r="B4229" s="6" t="s">
        <v>143</v>
      </c>
      <c r="C4229" s="6" t="s">
        <v>383</v>
      </c>
      <c r="D4229" s="6" t="s">
        <v>144</v>
      </c>
      <c r="E4229" s="11">
        <v>6.036949634552002</v>
      </c>
      <c r="F4229" s="11">
        <v>5.7866439819335938</v>
      </c>
    </row>
    <row r="4230" spans="1:6" hidden="1" x14ac:dyDescent="0.3">
      <c r="A4230" s="6">
        <v>31</v>
      </c>
      <c r="B4230" s="6" t="s">
        <v>143</v>
      </c>
      <c r="C4230" s="6" t="s">
        <v>384</v>
      </c>
      <c r="D4230" s="6" t="s">
        <v>144</v>
      </c>
      <c r="E4230" s="11">
        <v>5.8004698753356934</v>
      </c>
      <c r="F4230" s="11">
        <v>5.7866439819335938</v>
      </c>
    </row>
    <row r="4231" spans="1:6" hidden="1" x14ac:dyDescent="0.3">
      <c r="A4231" s="6">
        <v>31</v>
      </c>
      <c r="B4231" s="6" t="s">
        <v>143</v>
      </c>
      <c r="C4231" s="6" t="s">
        <v>385</v>
      </c>
      <c r="D4231" s="6" t="s">
        <v>144</v>
      </c>
      <c r="E4231" s="11">
        <v>4.8675193786621094</v>
      </c>
      <c r="F4231" s="11">
        <v>5.7866439819335938</v>
      </c>
    </row>
    <row r="4232" spans="1:6" hidden="1" x14ac:dyDescent="0.3">
      <c r="A4232" s="6">
        <v>31</v>
      </c>
      <c r="B4232" s="6" t="s">
        <v>143</v>
      </c>
      <c r="C4232" s="6" t="s">
        <v>386</v>
      </c>
      <c r="D4232" s="6" t="s">
        <v>144</v>
      </c>
      <c r="E4232" s="11">
        <v>4.548670768737793</v>
      </c>
      <c r="F4232" s="11">
        <v>5.7866439819335938</v>
      </c>
    </row>
    <row r="4233" spans="1:6" hidden="1" x14ac:dyDescent="0.3">
      <c r="A4233" s="6">
        <v>31</v>
      </c>
      <c r="B4233" s="6" t="s">
        <v>143</v>
      </c>
      <c r="C4233" s="6" t="s">
        <v>387</v>
      </c>
      <c r="D4233" s="6" t="s">
        <v>144</v>
      </c>
      <c r="E4233" s="11">
        <v>8.7251834869384766</v>
      </c>
      <c r="F4233" s="11">
        <v>5.7866439819335938</v>
      </c>
    </row>
    <row r="4234" spans="1:6" hidden="1" x14ac:dyDescent="0.3">
      <c r="A4234" s="6">
        <v>31</v>
      </c>
      <c r="B4234" s="6" t="s">
        <v>143</v>
      </c>
      <c r="C4234" s="6" t="s">
        <v>388</v>
      </c>
      <c r="D4234" s="6" t="s">
        <v>144</v>
      </c>
      <c r="E4234" s="11">
        <v>5.3306207656860352</v>
      </c>
      <c r="F4234" s="11">
        <v>5.7866439819335938</v>
      </c>
    </row>
    <row r="4235" spans="1:6" hidden="1" x14ac:dyDescent="0.3">
      <c r="A4235" s="6">
        <v>31</v>
      </c>
      <c r="B4235" s="6" t="s">
        <v>143</v>
      </c>
      <c r="C4235" s="6" t="s">
        <v>389</v>
      </c>
      <c r="D4235" s="6" t="s">
        <v>144</v>
      </c>
      <c r="E4235" s="11">
        <v>5.7399387359619141</v>
      </c>
      <c r="F4235" s="11">
        <v>5.7866439819335938</v>
      </c>
    </row>
    <row r="4236" spans="1:6" hidden="1" x14ac:dyDescent="0.3">
      <c r="A4236" s="6">
        <v>31</v>
      </c>
      <c r="B4236" s="6" t="s">
        <v>143</v>
      </c>
      <c r="C4236" s="6" t="s">
        <v>390</v>
      </c>
      <c r="D4236" s="6" t="s">
        <v>144</v>
      </c>
      <c r="E4236" s="11">
        <v>6.4722123146057129</v>
      </c>
      <c r="F4236" s="11">
        <v>5.7866439819335938</v>
      </c>
    </row>
    <row r="4237" spans="1:6" hidden="1" x14ac:dyDescent="0.3">
      <c r="A4237" s="6">
        <v>31</v>
      </c>
      <c r="B4237" s="6" t="s">
        <v>143</v>
      </c>
      <c r="C4237" s="6" t="s">
        <v>391</v>
      </c>
      <c r="D4237" s="6" t="s">
        <v>144</v>
      </c>
      <c r="E4237" s="11">
        <v>7.1978535652160645</v>
      </c>
      <c r="F4237" s="11">
        <v>5.7866439819335938</v>
      </c>
    </row>
    <row r="4238" spans="1:6" hidden="1" x14ac:dyDescent="0.3">
      <c r="A4238" s="6">
        <v>31</v>
      </c>
      <c r="B4238" s="6" t="s">
        <v>143</v>
      </c>
      <c r="C4238" s="6" t="s">
        <v>392</v>
      </c>
      <c r="D4238" s="6" t="s">
        <v>144</v>
      </c>
      <c r="E4238" s="11">
        <v>5.457127571105957</v>
      </c>
      <c r="F4238" s="11">
        <v>5.7866439819335938</v>
      </c>
    </row>
    <row r="4239" spans="1:6" hidden="1" x14ac:dyDescent="0.3">
      <c r="A4239" s="6">
        <v>31</v>
      </c>
      <c r="B4239" s="6" t="s">
        <v>143</v>
      </c>
      <c r="C4239" s="6" t="s">
        <v>393</v>
      </c>
      <c r="D4239" s="6" t="s">
        <v>144</v>
      </c>
      <c r="E4239" s="11">
        <v>6.6148204803466797</v>
      </c>
      <c r="F4239" s="11">
        <v>5.7866439819335938</v>
      </c>
    </row>
    <row r="4240" spans="1:6" hidden="1" x14ac:dyDescent="0.3">
      <c r="A4240" s="6">
        <v>31</v>
      </c>
      <c r="B4240" s="6" t="s">
        <v>143</v>
      </c>
      <c r="C4240" s="6" t="s">
        <v>394</v>
      </c>
      <c r="D4240" s="6" t="s">
        <v>144</v>
      </c>
      <c r="E4240" s="11">
        <v>5.051722526550293</v>
      </c>
      <c r="F4240" s="11">
        <v>5.7866439819335938</v>
      </c>
    </row>
    <row r="4241" spans="1:6" hidden="1" x14ac:dyDescent="0.3">
      <c r="A4241" s="6">
        <v>31</v>
      </c>
      <c r="B4241" s="6" t="s">
        <v>143</v>
      </c>
      <c r="C4241" s="6" t="s">
        <v>395</v>
      </c>
      <c r="D4241" s="6" t="s">
        <v>144</v>
      </c>
      <c r="E4241" s="11">
        <v>7.793546199798584</v>
      </c>
      <c r="F4241" s="11">
        <v>5.7866439819335938</v>
      </c>
    </row>
    <row r="4242" spans="1:6" hidden="1" x14ac:dyDescent="0.3">
      <c r="A4242" s="6">
        <v>31</v>
      </c>
      <c r="B4242" s="6" t="s">
        <v>143</v>
      </c>
      <c r="C4242" s="6" t="s">
        <v>396</v>
      </c>
      <c r="D4242" s="6" t="s">
        <v>144</v>
      </c>
      <c r="E4242" s="11">
        <v>5.4467530250549316</v>
      </c>
      <c r="F4242" s="11">
        <v>5.7866439819335938</v>
      </c>
    </row>
    <row r="4243" spans="1:6" hidden="1" x14ac:dyDescent="0.3">
      <c r="A4243" s="6">
        <v>31</v>
      </c>
      <c r="B4243" s="6" t="s">
        <v>143</v>
      </c>
      <c r="C4243" s="6" t="s">
        <v>397</v>
      </c>
      <c r="D4243" s="6" t="s">
        <v>144</v>
      </c>
      <c r="E4243" s="11">
        <v>5.7838797569274902</v>
      </c>
      <c r="F4243" s="11">
        <v>5.7866439819335938</v>
      </c>
    </row>
    <row r="4244" spans="1:6" hidden="1" x14ac:dyDescent="0.3">
      <c r="A4244" s="6">
        <v>31</v>
      </c>
      <c r="B4244" s="6" t="s">
        <v>143</v>
      </c>
      <c r="C4244" s="6" t="s">
        <v>398</v>
      </c>
      <c r="D4244" s="6" t="s">
        <v>144</v>
      </c>
      <c r="E4244" s="11">
        <v>5.1065373420715332</v>
      </c>
      <c r="F4244" s="11">
        <v>5.7866439819335938</v>
      </c>
    </row>
    <row r="4245" spans="1:6" hidden="1" x14ac:dyDescent="0.3">
      <c r="A4245" s="6">
        <v>31</v>
      </c>
      <c r="B4245" s="6" t="s">
        <v>143</v>
      </c>
      <c r="C4245" s="6" t="s">
        <v>399</v>
      </c>
      <c r="D4245" s="6" t="s">
        <v>144</v>
      </c>
      <c r="E4245" s="11">
        <v>6.0934534072875977</v>
      </c>
      <c r="F4245" s="11">
        <v>5.7866439819335938</v>
      </c>
    </row>
    <row r="4246" spans="1:6" hidden="1" x14ac:dyDescent="0.3">
      <c r="A4246" s="6">
        <v>31</v>
      </c>
      <c r="B4246" s="6" t="s">
        <v>143</v>
      </c>
      <c r="C4246" s="6" t="s">
        <v>400</v>
      </c>
      <c r="D4246" s="6" t="s">
        <v>144</v>
      </c>
      <c r="E4246" s="11">
        <v>5.5249552726745605</v>
      </c>
      <c r="F4246" s="11">
        <v>5.7866439819335938</v>
      </c>
    </row>
    <row r="4247" spans="1:6" hidden="1" x14ac:dyDescent="0.3">
      <c r="A4247" s="6">
        <v>31</v>
      </c>
      <c r="B4247" s="6" t="s">
        <v>143</v>
      </c>
      <c r="C4247" s="6" t="s">
        <v>401</v>
      </c>
      <c r="D4247" s="6" t="s">
        <v>144</v>
      </c>
      <c r="E4247" s="11">
        <v>9.9289884567260742</v>
      </c>
      <c r="F4247" s="11">
        <v>5.7866439819335938</v>
      </c>
    </row>
    <row r="4248" spans="1:6" hidden="1" x14ac:dyDescent="0.3">
      <c r="A4248" s="6">
        <v>31</v>
      </c>
      <c r="B4248" s="6" t="s">
        <v>143</v>
      </c>
      <c r="C4248" s="6" t="s">
        <v>402</v>
      </c>
      <c r="D4248" s="6" t="s">
        <v>144</v>
      </c>
      <c r="E4248" s="11">
        <v>6.7698559761047363</v>
      </c>
      <c r="F4248" s="11">
        <v>5.7866439819335938</v>
      </c>
    </row>
    <row r="4249" spans="1:6" hidden="1" x14ac:dyDescent="0.3">
      <c r="A4249" s="6">
        <v>31</v>
      </c>
      <c r="B4249" s="6" t="s">
        <v>143</v>
      </c>
      <c r="C4249" s="6" t="s">
        <v>403</v>
      </c>
      <c r="D4249" s="6" t="s">
        <v>144</v>
      </c>
      <c r="E4249" s="11">
        <v>6.9732637405395508</v>
      </c>
      <c r="F4249" s="11">
        <v>5.7866439819335938</v>
      </c>
    </row>
    <row r="4250" spans="1:6" hidden="1" x14ac:dyDescent="0.3">
      <c r="A4250" s="6">
        <v>31</v>
      </c>
      <c r="B4250" s="6" t="s">
        <v>143</v>
      </c>
      <c r="C4250" s="6" t="s">
        <v>404</v>
      </c>
      <c r="D4250" s="6" t="s">
        <v>144</v>
      </c>
      <c r="E4250" s="11">
        <v>5.515042781829834</v>
      </c>
      <c r="F4250" s="11">
        <v>5.7866439819335938</v>
      </c>
    </row>
    <row r="4251" spans="1:6" hidden="1" x14ac:dyDescent="0.3">
      <c r="A4251" s="6">
        <v>31</v>
      </c>
      <c r="B4251" s="6" t="s">
        <v>143</v>
      </c>
      <c r="C4251" s="6" t="s">
        <v>405</v>
      </c>
      <c r="D4251" s="6" t="s">
        <v>144</v>
      </c>
      <c r="E4251" s="11">
        <v>7.6564359664916992</v>
      </c>
      <c r="F4251" s="11">
        <v>5.7866439819335938</v>
      </c>
    </row>
    <row r="4252" spans="1:6" hidden="1" x14ac:dyDescent="0.3">
      <c r="A4252" s="6">
        <v>31</v>
      </c>
      <c r="B4252" s="6" t="s">
        <v>143</v>
      </c>
      <c r="C4252" s="6" t="s">
        <v>406</v>
      </c>
      <c r="D4252" s="6" t="s">
        <v>144</v>
      </c>
      <c r="E4252" s="11">
        <v>5.8606119155883789</v>
      </c>
      <c r="F4252" s="11">
        <v>5.7866439819335938</v>
      </c>
    </row>
    <row r="4253" spans="1:6" hidden="1" x14ac:dyDescent="0.3">
      <c r="A4253" s="6">
        <v>31</v>
      </c>
      <c r="B4253" s="6" t="s">
        <v>143</v>
      </c>
      <c r="C4253" s="6" t="s">
        <v>407</v>
      </c>
      <c r="D4253" s="6" t="s">
        <v>144</v>
      </c>
      <c r="E4253" s="11">
        <v>7.183525562286377</v>
      </c>
      <c r="F4253" s="11">
        <v>5.7866439819335938</v>
      </c>
    </row>
    <row r="4254" spans="1:6" hidden="1" x14ac:dyDescent="0.3">
      <c r="A4254" s="6">
        <v>31</v>
      </c>
      <c r="B4254" s="6" t="s">
        <v>143</v>
      </c>
      <c r="C4254" s="6" t="s">
        <v>408</v>
      </c>
      <c r="D4254" s="6" t="s">
        <v>144</v>
      </c>
      <c r="E4254" s="11">
        <v>7.2741074562072754</v>
      </c>
      <c r="F4254" s="11">
        <v>5.7866439819335938</v>
      </c>
    </row>
    <row r="4255" spans="1:6" hidden="1" x14ac:dyDescent="0.3">
      <c r="A4255" s="6">
        <v>31</v>
      </c>
      <c r="B4255" s="6" t="s">
        <v>143</v>
      </c>
      <c r="C4255" s="6" t="s">
        <v>409</v>
      </c>
      <c r="D4255" s="6" t="s">
        <v>144</v>
      </c>
      <c r="E4255" s="11">
        <v>6.9221229553222656</v>
      </c>
      <c r="F4255" s="11">
        <v>5.7866439819335938</v>
      </c>
    </row>
    <row r="4256" spans="1:6" hidden="1" x14ac:dyDescent="0.3">
      <c r="A4256" s="6">
        <v>31</v>
      </c>
      <c r="B4256" s="6" t="s">
        <v>143</v>
      </c>
      <c r="C4256" s="6" t="s">
        <v>410</v>
      </c>
      <c r="D4256" s="6" t="s">
        <v>144</v>
      </c>
      <c r="E4256" s="11">
        <v>4.9099512100219727</v>
      </c>
      <c r="F4256" s="11">
        <v>5.7866439819335938</v>
      </c>
    </row>
    <row r="4257" spans="1:6" hidden="1" x14ac:dyDescent="0.3">
      <c r="A4257" s="6">
        <v>31</v>
      </c>
      <c r="B4257" s="6" t="s">
        <v>143</v>
      </c>
      <c r="C4257" s="6" t="s">
        <v>411</v>
      </c>
      <c r="D4257" s="6" t="s">
        <v>144</v>
      </c>
      <c r="E4257" s="11">
        <v>5.8209896087646484</v>
      </c>
      <c r="F4257" s="11">
        <v>5.7866439819335938</v>
      </c>
    </row>
    <row r="4258" spans="1:6" hidden="1" x14ac:dyDescent="0.3">
      <c r="A4258" s="6">
        <v>31</v>
      </c>
      <c r="B4258" s="6" t="s">
        <v>143</v>
      </c>
      <c r="C4258" s="6" t="s">
        <v>412</v>
      </c>
      <c r="D4258" s="6" t="s">
        <v>144</v>
      </c>
      <c r="E4258" s="11">
        <v>5.8160610198974609</v>
      </c>
      <c r="F4258" s="11">
        <v>5.7866439819335938</v>
      </c>
    </row>
    <row r="4259" spans="1:6" hidden="1" x14ac:dyDescent="0.3">
      <c r="A4259" s="6">
        <v>31</v>
      </c>
      <c r="B4259" s="6" t="s">
        <v>143</v>
      </c>
      <c r="C4259" s="6" t="s">
        <v>413</v>
      </c>
      <c r="D4259" s="6" t="s">
        <v>144</v>
      </c>
      <c r="E4259" s="11">
        <v>5.8208179473876953</v>
      </c>
      <c r="F4259" s="11">
        <v>5.7866439819335938</v>
      </c>
    </row>
    <row r="4260" spans="1:6" hidden="1" x14ac:dyDescent="0.3">
      <c r="A4260" s="6">
        <v>31</v>
      </c>
      <c r="B4260" s="6" t="s">
        <v>143</v>
      </c>
      <c r="C4260" s="6" t="s">
        <v>414</v>
      </c>
      <c r="D4260" s="6" t="s">
        <v>144</v>
      </c>
      <c r="E4260" s="11">
        <v>4.9660272598266602</v>
      </c>
      <c r="F4260" s="11">
        <v>5.7866439819335938</v>
      </c>
    </row>
    <row r="4261" spans="1:6" hidden="1" x14ac:dyDescent="0.3">
      <c r="A4261" s="6">
        <v>31</v>
      </c>
      <c r="B4261" s="6" t="s">
        <v>143</v>
      </c>
      <c r="C4261" s="6" t="s">
        <v>415</v>
      </c>
      <c r="D4261" s="6" t="s">
        <v>144</v>
      </c>
      <c r="E4261" s="11">
        <v>11.856945991516113</v>
      </c>
      <c r="F4261" s="11">
        <v>5.7866439819335938</v>
      </c>
    </row>
    <row r="4262" spans="1:6" hidden="1" x14ac:dyDescent="0.3">
      <c r="A4262" s="6">
        <v>31</v>
      </c>
      <c r="B4262" s="6" t="s">
        <v>143</v>
      </c>
      <c r="C4262" s="6" t="s">
        <v>416</v>
      </c>
      <c r="D4262" s="6" t="s">
        <v>144</v>
      </c>
      <c r="E4262" s="11">
        <v>18.604434967041016</v>
      </c>
      <c r="F4262" s="11">
        <v>5.7866439819335938</v>
      </c>
    </row>
    <row r="4263" spans="1:6" hidden="1" x14ac:dyDescent="0.3">
      <c r="A4263" s="6">
        <v>31</v>
      </c>
      <c r="B4263" s="6" t="s">
        <v>143</v>
      </c>
      <c r="C4263" s="6" t="s">
        <v>417</v>
      </c>
      <c r="D4263" s="6" t="s">
        <v>144</v>
      </c>
      <c r="E4263" s="11">
        <v>6.3517751693725586</v>
      </c>
      <c r="F4263" s="11">
        <v>5.7866439819335938</v>
      </c>
    </row>
    <row r="4264" spans="1:6" hidden="1" x14ac:dyDescent="0.3">
      <c r="A4264" s="6">
        <v>31</v>
      </c>
      <c r="B4264" s="6" t="s">
        <v>143</v>
      </c>
      <c r="C4264" s="6" t="s">
        <v>418</v>
      </c>
      <c r="D4264" s="6" t="s">
        <v>144</v>
      </c>
      <c r="E4264" s="11">
        <v>4.593930721282959</v>
      </c>
      <c r="F4264" s="11">
        <v>5.7866439819335938</v>
      </c>
    </row>
    <row r="4265" spans="1:6" hidden="1" x14ac:dyDescent="0.3">
      <c r="A4265" s="6">
        <v>31</v>
      </c>
      <c r="B4265" s="6" t="s">
        <v>143</v>
      </c>
      <c r="C4265" s="6" t="s">
        <v>419</v>
      </c>
      <c r="D4265" s="6" t="s">
        <v>144</v>
      </c>
      <c r="E4265" s="11">
        <v>11.250174522399902</v>
      </c>
      <c r="F4265" s="11">
        <v>5.7866439819335938</v>
      </c>
    </row>
    <row r="4266" spans="1:6" hidden="1" x14ac:dyDescent="0.3">
      <c r="A4266" s="6">
        <v>31</v>
      </c>
      <c r="B4266" s="6" t="s">
        <v>143</v>
      </c>
      <c r="C4266" s="6" t="s">
        <v>420</v>
      </c>
      <c r="D4266" s="6" t="s">
        <v>144</v>
      </c>
      <c r="E4266" s="11">
        <v>4.8078789710998535</v>
      </c>
      <c r="F4266" s="11">
        <v>5.7866439819335938</v>
      </c>
    </row>
    <row r="4267" spans="1:6" hidden="1" x14ac:dyDescent="0.3">
      <c r="A4267" s="6">
        <v>31</v>
      </c>
      <c r="B4267" s="6" t="s">
        <v>143</v>
      </c>
      <c r="C4267" s="6" t="s">
        <v>421</v>
      </c>
      <c r="D4267" s="6" t="s">
        <v>144</v>
      </c>
      <c r="E4267" s="11">
        <v>4.9203319549560547</v>
      </c>
      <c r="F4267" s="11">
        <v>5.7866439819335938</v>
      </c>
    </row>
    <row r="4268" spans="1:6" hidden="1" x14ac:dyDescent="0.3">
      <c r="A4268" s="6">
        <v>31</v>
      </c>
      <c r="B4268" s="6" t="s">
        <v>143</v>
      </c>
      <c r="C4268" s="6" t="s">
        <v>422</v>
      </c>
      <c r="D4268" s="6" t="s">
        <v>144</v>
      </c>
      <c r="E4268" s="11">
        <v>3.9750709533691406</v>
      </c>
      <c r="F4268" s="11">
        <v>5.7866439819335938</v>
      </c>
    </row>
    <row r="4269" spans="1:6" hidden="1" x14ac:dyDescent="0.3">
      <c r="A4269" s="6">
        <v>31</v>
      </c>
      <c r="B4269" s="6" t="s">
        <v>143</v>
      </c>
      <c r="C4269" s="6" t="s">
        <v>423</v>
      </c>
      <c r="D4269" s="6" t="s">
        <v>144</v>
      </c>
      <c r="E4269" s="11">
        <v>5.928678035736084</v>
      </c>
      <c r="F4269" s="11">
        <v>5.7866439819335938</v>
      </c>
    </row>
    <row r="4270" spans="1:6" hidden="1" x14ac:dyDescent="0.3">
      <c r="A4270" s="6">
        <v>31</v>
      </c>
      <c r="B4270" s="6" t="s">
        <v>143</v>
      </c>
      <c r="C4270" s="6" t="s">
        <v>424</v>
      </c>
      <c r="D4270" s="6" t="s">
        <v>144</v>
      </c>
      <c r="E4270" s="11">
        <v>8.2122936248779297</v>
      </c>
      <c r="F4270" s="11">
        <v>5.7866439819335938</v>
      </c>
    </row>
    <row r="4271" spans="1:6" hidden="1" x14ac:dyDescent="0.3">
      <c r="A4271" s="6">
        <v>31</v>
      </c>
      <c r="B4271" s="6" t="s">
        <v>143</v>
      </c>
      <c r="C4271" s="6" t="s">
        <v>425</v>
      </c>
      <c r="D4271" s="6" t="s">
        <v>144</v>
      </c>
      <c r="E4271" s="11">
        <v>6.6297707557678223</v>
      </c>
      <c r="F4271" s="11">
        <v>5.7866439819335938</v>
      </c>
    </row>
    <row r="4272" spans="1:6" hidden="1" x14ac:dyDescent="0.3">
      <c r="A4272" s="6">
        <v>31</v>
      </c>
      <c r="B4272" s="6" t="s">
        <v>143</v>
      </c>
      <c r="C4272" s="6" t="s">
        <v>426</v>
      </c>
      <c r="D4272" s="6" t="s">
        <v>144</v>
      </c>
      <c r="E4272" s="11">
        <v>6.0706901550292969</v>
      </c>
      <c r="F4272" s="11">
        <v>5.7866439819335938</v>
      </c>
    </row>
    <row r="4273" spans="1:6" hidden="1" x14ac:dyDescent="0.3">
      <c r="A4273" s="6">
        <v>31</v>
      </c>
      <c r="B4273" s="6" t="s">
        <v>143</v>
      </c>
      <c r="C4273" s="6" t="s">
        <v>427</v>
      </c>
      <c r="D4273" s="6" t="s">
        <v>144</v>
      </c>
      <c r="E4273" s="11">
        <v>5.2705941200256348</v>
      </c>
      <c r="F4273" s="11">
        <v>5.7866439819335938</v>
      </c>
    </row>
    <row r="4274" spans="1:6" hidden="1" x14ac:dyDescent="0.3">
      <c r="A4274" s="6">
        <v>31</v>
      </c>
      <c r="B4274" s="6" t="s">
        <v>143</v>
      </c>
      <c r="C4274" s="6" t="s">
        <v>428</v>
      </c>
      <c r="D4274" s="6" t="s">
        <v>144</v>
      </c>
      <c r="E4274" s="11">
        <v>34.321483612060547</v>
      </c>
      <c r="F4274" s="11">
        <v>5.7866439819335938</v>
      </c>
    </row>
    <row r="4275" spans="1:6" hidden="1" x14ac:dyDescent="0.3">
      <c r="A4275" s="6">
        <v>31</v>
      </c>
      <c r="B4275" s="6" t="s">
        <v>143</v>
      </c>
      <c r="C4275" s="6" t="s">
        <v>429</v>
      </c>
      <c r="D4275" s="6" t="s">
        <v>144</v>
      </c>
      <c r="E4275" s="11">
        <v>6.267087459564209</v>
      </c>
      <c r="F4275" s="11">
        <v>5.7866439819335938</v>
      </c>
    </row>
    <row r="4276" spans="1:6" hidden="1" x14ac:dyDescent="0.3">
      <c r="A4276" s="6">
        <v>31</v>
      </c>
      <c r="B4276" s="6" t="s">
        <v>143</v>
      </c>
      <c r="C4276" s="6" t="s">
        <v>430</v>
      </c>
      <c r="D4276" s="6" t="s">
        <v>144</v>
      </c>
      <c r="E4276" s="11">
        <v>5.4494166374206543</v>
      </c>
      <c r="F4276" s="11">
        <v>5.7866439819335938</v>
      </c>
    </row>
    <row r="4277" spans="1:6" hidden="1" x14ac:dyDescent="0.3">
      <c r="A4277" s="6">
        <v>31</v>
      </c>
      <c r="B4277" s="6" t="s">
        <v>143</v>
      </c>
      <c r="C4277" s="6" t="s">
        <v>431</v>
      </c>
      <c r="D4277" s="6" t="s">
        <v>144</v>
      </c>
      <c r="E4277" s="11">
        <v>7.1605215072631836</v>
      </c>
      <c r="F4277" s="11">
        <v>5.7866439819335938</v>
      </c>
    </row>
    <row r="4278" spans="1:6" hidden="1" x14ac:dyDescent="0.3">
      <c r="A4278" s="6">
        <v>31</v>
      </c>
      <c r="B4278" s="6" t="s">
        <v>143</v>
      </c>
      <c r="C4278" s="6" t="s">
        <v>432</v>
      </c>
      <c r="D4278" s="6" t="s">
        <v>144</v>
      </c>
      <c r="E4278" s="11">
        <v>6.1086006164550781</v>
      </c>
      <c r="F4278" s="11">
        <v>5.7866439819335938</v>
      </c>
    </row>
    <row r="4279" spans="1:6" hidden="1" x14ac:dyDescent="0.3">
      <c r="A4279" s="6">
        <v>31</v>
      </c>
      <c r="B4279" s="6" t="s">
        <v>143</v>
      </c>
      <c r="C4279" s="6" t="s">
        <v>433</v>
      </c>
      <c r="D4279" s="6" t="s">
        <v>144</v>
      </c>
      <c r="E4279" s="11">
        <v>6.8721308708190918</v>
      </c>
      <c r="F4279" s="11">
        <v>5.7866439819335938</v>
      </c>
    </row>
    <row r="4280" spans="1:6" hidden="1" x14ac:dyDescent="0.3">
      <c r="A4280" s="6">
        <v>31</v>
      </c>
      <c r="B4280" s="6" t="s">
        <v>143</v>
      </c>
      <c r="C4280" s="6" t="s">
        <v>434</v>
      </c>
      <c r="D4280" s="6" t="s">
        <v>144</v>
      </c>
      <c r="E4280" s="11">
        <v>3.0800175666809082</v>
      </c>
      <c r="F4280" s="11">
        <v>5.7866439819335938</v>
      </c>
    </row>
    <row r="4281" spans="1:6" hidden="1" x14ac:dyDescent="0.3">
      <c r="A4281" s="6">
        <v>31</v>
      </c>
      <c r="B4281" s="6" t="s">
        <v>143</v>
      </c>
      <c r="C4281" s="6" t="s">
        <v>435</v>
      </c>
      <c r="D4281" s="6" t="s">
        <v>144</v>
      </c>
      <c r="E4281" s="11">
        <v>8.1698684692382813</v>
      </c>
      <c r="F4281" s="11">
        <v>5.7866439819335938</v>
      </c>
    </row>
    <row r="4282" spans="1:6" hidden="1" x14ac:dyDescent="0.3">
      <c r="A4282" s="6">
        <v>31</v>
      </c>
      <c r="B4282" s="6" t="s">
        <v>143</v>
      </c>
      <c r="C4282" s="6" t="s">
        <v>436</v>
      </c>
      <c r="D4282" s="6" t="s">
        <v>144</v>
      </c>
      <c r="E4282" s="11">
        <v>5.7427272796630859</v>
      </c>
      <c r="F4282" s="11">
        <v>5.7866439819335938</v>
      </c>
    </row>
    <row r="4283" spans="1:6" hidden="1" x14ac:dyDescent="0.3">
      <c r="A4283" s="6">
        <v>31</v>
      </c>
      <c r="B4283" s="6" t="s">
        <v>143</v>
      </c>
      <c r="C4283" s="6" t="s">
        <v>437</v>
      </c>
      <c r="D4283" s="6" t="s">
        <v>144</v>
      </c>
      <c r="E4283" s="11">
        <v>5.9136738777160645</v>
      </c>
      <c r="F4283" s="11">
        <v>5.7866439819335938</v>
      </c>
    </row>
    <row r="4284" spans="1:6" hidden="1" x14ac:dyDescent="0.3">
      <c r="A4284" s="6">
        <v>31</v>
      </c>
      <c r="B4284" s="6" t="s">
        <v>143</v>
      </c>
      <c r="C4284" s="6" t="s">
        <v>438</v>
      </c>
      <c r="D4284" s="6" t="s">
        <v>144</v>
      </c>
      <c r="E4284" s="11">
        <v>13.361656188964844</v>
      </c>
      <c r="F4284" s="11">
        <v>5.7866439819335938</v>
      </c>
    </row>
    <row r="4285" spans="1:6" hidden="1" x14ac:dyDescent="0.3">
      <c r="A4285" s="6">
        <v>31</v>
      </c>
      <c r="B4285" s="6" t="s">
        <v>143</v>
      </c>
      <c r="C4285" s="6" t="s">
        <v>439</v>
      </c>
      <c r="D4285" s="6" t="s">
        <v>144</v>
      </c>
      <c r="E4285" s="11">
        <v>5.1122498512268066</v>
      </c>
      <c r="F4285" s="11">
        <v>5.7866439819335938</v>
      </c>
    </row>
    <row r="4286" spans="1:6" hidden="1" x14ac:dyDescent="0.3">
      <c r="A4286" s="6">
        <v>31</v>
      </c>
      <c r="B4286" s="6" t="s">
        <v>143</v>
      </c>
      <c r="C4286" s="6" t="s">
        <v>440</v>
      </c>
      <c r="D4286" s="6" t="s">
        <v>144</v>
      </c>
      <c r="E4286" s="11">
        <v>8.5957870483398438</v>
      </c>
      <c r="F4286" s="11">
        <v>5.7866439819335938</v>
      </c>
    </row>
    <row r="4287" spans="1:6" hidden="1" x14ac:dyDescent="0.3">
      <c r="A4287" s="6">
        <v>31</v>
      </c>
      <c r="B4287" s="6" t="s">
        <v>143</v>
      </c>
      <c r="C4287" s="6" t="s">
        <v>441</v>
      </c>
      <c r="D4287" s="6" t="s">
        <v>144</v>
      </c>
      <c r="E4287" s="11">
        <v>5.9606204032897949</v>
      </c>
      <c r="F4287" s="11">
        <v>5.7866439819335938</v>
      </c>
    </row>
    <row r="4288" spans="1:6" hidden="1" x14ac:dyDescent="0.3">
      <c r="A4288" s="6">
        <v>31</v>
      </c>
      <c r="B4288" s="6" t="s">
        <v>143</v>
      </c>
      <c r="C4288" s="6" t="s">
        <v>442</v>
      </c>
      <c r="D4288" s="6" t="s">
        <v>144</v>
      </c>
      <c r="E4288" s="11">
        <v>6.2016434669494629</v>
      </c>
      <c r="F4288" s="11">
        <v>5.7866439819335938</v>
      </c>
    </row>
    <row r="4289" spans="1:6" hidden="1" x14ac:dyDescent="0.3">
      <c r="A4289" s="6">
        <v>31</v>
      </c>
      <c r="B4289" s="6" t="s">
        <v>143</v>
      </c>
      <c r="C4289" s="6" t="s">
        <v>443</v>
      </c>
      <c r="D4289" s="6" t="s">
        <v>144</v>
      </c>
      <c r="E4289" s="11">
        <v>4.1090993881225586</v>
      </c>
      <c r="F4289" s="11">
        <v>5.7866439819335938</v>
      </c>
    </row>
    <row r="4290" spans="1:6" hidden="1" x14ac:dyDescent="0.3">
      <c r="A4290" s="6">
        <v>31</v>
      </c>
      <c r="B4290" s="6" t="s">
        <v>143</v>
      </c>
      <c r="C4290" s="6" t="s">
        <v>444</v>
      </c>
      <c r="D4290" s="6" t="s">
        <v>144</v>
      </c>
      <c r="E4290" s="11">
        <v>5.1346292495727539</v>
      </c>
      <c r="F4290" s="11">
        <v>5.7866439819335938</v>
      </c>
    </row>
    <row r="4291" spans="1:6" hidden="1" x14ac:dyDescent="0.3">
      <c r="A4291" s="6">
        <v>31</v>
      </c>
      <c r="B4291" s="6" t="s">
        <v>143</v>
      </c>
      <c r="C4291" s="6" t="s">
        <v>445</v>
      </c>
      <c r="D4291" s="6" t="s">
        <v>144</v>
      </c>
      <c r="E4291" s="11">
        <v>5.4550127983093262</v>
      </c>
      <c r="F4291" s="11">
        <v>5.7866439819335938</v>
      </c>
    </row>
    <row r="4292" spans="1:6" hidden="1" x14ac:dyDescent="0.3">
      <c r="A4292" s="6">
        <v>31</v>
      </c>
      <c r="B4292" s="6" t="s">
        <v>143</v>
      </c>
      <c r="C4292" s="6" t="s">
        <v>446</v>
      </c>
      <c r="D4292" s="6" t="s">
        <v>144</v>
      </c>
      <c r="E4292" s="11">
        <v>4.7905158996582031</v>
      </c>
      <c r="F4292" s="11">
        <v>5.7866439819335938</v>
      </c>
    </row>
    <row r="4293" spans="1:6" hidden="1" x14ac:dyDescent="0.3">
      <c r="A4293" s="6">
        <v>31</v>
      </c>
      <c r="B4293" s="6" t="s">
        <v>143</v>
      </c>
      <c r="C4293" s="6" t="s">
        <v>447</v>
      </c>
      <c r="D4293" s="6" t="s">
        <v>144</v>
      </c>
      <c r="E4293" s="11">
        <v>5.2784690856933594</v>
      </c>
      <c r="F4293" s="11">
        <v>5.7866439819335938</v>
      </c>
    </row>
    <row r="4294" spans="1:6" hidden="1" x14ac:dyDescent="0.3">
      <c r="A4294" s="6">
        <v>31</v>
      </c>
      <c r="B4294" s="6" t="s">
        <v>143</v>
      </c>
      <c r="C4294" s="6" t="s">
        <v>448</v>
      </c>
      <c r="D4294" s="6" t="s">
        <v>144</v>
      </c>
      <c r="E4294" s="11">
        <v>6.1485834121704102</v>
      </c>
      <c r="F4294" s="11">
        <v>5.7866439819335938</v>
      </c>
    </row>
    <row r="4295" spans="1:6" hidden="1" x14ac:dyDescent="0.3">
      <c r="A4295" s="6">
        <v>31</v>
      </c>
      <c r="B4295" s="6" t="s">
        <v>143</v>
      </c>
      <c r="C4295" s="6" t="s">
        <v>449</v>
      </c>
      <c r="D4295" s="6" t="s">
        <v>144</v>
      </c>
      <c r="E4295" s="11">
        <v>4.424858570098877</v>
      </c>
      <c r="F4295" s="11">
        <v>5.7866439819335938</v>
      </c>
    </row>
    <row r="4296" spans="1:6" hidden="1" x14ac:dyDescent="0.3">
      <c r="A4296" s="6">
        <v>31</v>
      </c>
      <c r="B4296" s="6" t="s">
        <v>143</v>
      </c>
      <c r="C4296" s="6" t="s">
        <v>450</v>
      </c>
      <c r="D4296" s="6" t="s">
        <v>144</v>
      </c>
      <c r="E4296" s="11">
        <v>5.5572991371154785</v>
      </c>
      <c r="F4296" s="11">
        <v>5.7866439819335938</v>
      </c>
    </row>
    <row r="4297" spans="1:6" hidden="1" x14ac:dyDescent="0.3">
      <c r="A4297" s="6">
        <v>31</v>
      </c>
      <c r="B4297" s="6" t="s">
        <v>143</v>
      </c>
      <c r="C4297" s="6" t="s">
        <v>451</v>
      </c>
      <c r="D4297" s="6" t="s">
        <v>144</v>
      </c>
      <c r="E4297" s="11">
        <v>6.6463298797607422</v>
      </c>
      <c r="F4297" s="11">
        <v>5.7866439819335938</v>
      </c>
    </row>
    <row r="4298" spans="1:6" hidden="1" x14ac:dyDescent="0.3">
      <c r="A4298" s="6">
        <v>31</v>
      </c>
      <c r="B4298" s="6" t="s">
        <v>143</v>
      </c>
      <c r="C4298" s="6" t="s">
        <v>452</v>
      </c>
      <c r="D4298" s="6" t="s">
        <v>144</v>
      </c>
      <c r="E4298" s="11">
        <v>5.8097777366638184</v>
      </c>
      <c r="F4298" s="11">
        <v>5.7866439819335938</v>
      </c>
    </row>
    <row r="4299" spans="1:6" hidden="1" x14ac:dyDescent="0.3">
      <c r="A4299" s="6">
        <v>31</v>
      </c>
      <c r="B4299" s="6" t="s">
        <v>143</v>
      </c>
      <c r="C4299" s="6" t="s">
        <v>453</v>
      </c>
      <c r="D4299" s="6" t="s">
        <v>144</v>
      </c>
      <c r="E4299" s="11">
        <v>5.6299962997436523</v>
      </c>
      <c r="F4299" s="11">
        <v>5.7866439819335938</v>
      </c>
    </row>
    <row r="4300" spans="1:6" hidden="1" x14ac:dyDescent="0.3">
      <c r="A4300" s="6">
        <v>31</v>
      </c>
      <c r="B4300" s="6" t="s">
        <v>143</v>
      </c>
      <c r="C4300" s="6" t="s">
        <v>454</v>
      </c>
      <c r="D4300" s="6" t="s">
        <v>144</v>
      </c>
      <c r="E4300" s="11">
        <v>5.9226436614990234</v>
      </c>
      <c r="F4300" s="11">
        <v>5.7866439819335938</v>
      </c>
    </row>
    <row r="4301" spans="1:6" hidden="1" x14ac:dyDescent="0.3">
      <c r="A4301" s="6">
        <v>31</v>
      </c>
      <c r="B4301" s="6" t="s">
        <v>143</v>
      </c>
      <c r="C4301" s="6" t="s">
        <v>455</v>
      </c>
      <c r="D4301" s="6" t="s">
        <v>144</v>
      </c>
      <c r="E4301" s="11">
        <v>4.525364875793457</v>
      </c>
      <c r="F4301" s="11">
        <v>5.7866439819335938</v>
      </c>
    </row>
    <row r="4302" spans="1:6" hidden="1" x14ac:dyDescent="0.3">
      <c r="A4302" s="6">
        <v>31</v>
      </c>
      <c r="B4302" s="6" t="s">
        <v>143</v>
      </c>
      <c r="C4302" s="6" t="s">
        <v>456</v>
      </c>
      <c r="D4302" s="6" t="s">
        <v>144</v>
      </c>
      <c r="E4302" s="11">
        <v>5.1086530685424805</v>
      </c>
      <c r="F4302" s="11">
        <v>5.7866439819335938</v>
      </c>
    </row>
    <row r="4303" spans="1:6" hidden="1" x14ac:dyDescent="0.3">
      <c r="A4303" s="6">
        <v>31</v>
      </c>
      <c r="B4303" s="6" t="s">
        <v>143</v>
      </c>
      <c r="C4303" s="6" t="s">
        <v>457</v>
      </c>
      <c r="D4303" s="6" t="s">
        <v>144</v>
      </c>
      <c r="E4303" s="11">
        <v>6.4014883041381836</v>
      </c>
      <c r="F4303" s="11">
        <v>5.7866439819335938</v>
      </c>
    </row>
    <row r="4304" spans="1:6" hidden="1" x14ac:dyDescent="0.3">
      <c r="A4304" s="6">
        <v>31</v>
      </c>
      <c r="B4304" s="6" t="s">
        <v>143</v>
      </c>
      <c r="C4304" s="6" t="s">
        <v>458</v>
      </c>
      <c r="D4304" s="6" t="s">
        <v>144</v>
      </c>
      <c r="E4304" s="11">
        <v>6.7800893783569336</v>
      </c>
      <c r="F4304" s="11">
        <v>5.7866439819335938</v>
      </c>
    </row>
    <row r="4305" spans="1:6" hidden="1" x14ac:dyDescent="0.3">
      <c r="A4305" s="6">
        <v>31</v>
      </c>
      <c r="B4305" s="6" t="s">
        <v>143</v>
      </c>
      <c r="C4305" s="6" t="s">
        <v>459</v>
      </c>
      <c r="D4305" s="6" t="s">
        <v>144</v>
      </c>
      <c r="E4305" s="11">
        <v>5.8418979644775391</v>
      </c>
      <c r="F4305" s="11">
        <v>5.7866439819335938</v>
      </c>
    </row>
    <row r="4306" spans="1:6" hidden="1" x14ac:dyDescent="0.3">
      <c r="A4306" s="6">
        <v>31</v>
      </c>
      <c r="B4306" s="6" t="s">
        <v>143</v>
      </c>
      <c r="C4306" s="6" t="s">
        <v>460</v>
      </c>
      <c r="D4306" s="6" t="s">
        <v>144</v>
      </c>
      <c r="E4306" s="11">
        <v>10.597481727600098</v>
      </c>
      <c r="F4306" s="11">
        <v>5.7866439819335938</v>
      </c>
    </row>
    <row r="4307" spans="1:6" hidden="1" x14ac:dyDescent="0.3">
      <c r="A4307" s="6">
        <v>31</v>
      </c>
      <c r="B4307" s="6" t="s">
        <v>143</v>
      </c>
      <c r="C4307" s="6" t="s">
        <v>461</v>
      </c>
      <c r="D4307" s="6" t="s">
        <v>144</v>
      </c>
      <c r="E4307" s="11">
        <v>5.4460501670837402</v>
      </c>
      <c r="F4307" s="11">
        <v>5.7866439819335938</v>
      </c>
    </row>
    <row r="4308" spans="1:6" hidden="1" x14ac:dyDescent="0.3">
      <c r="A4308" s="6">
        <v>31</v>
      </c>
      <c r="B4308" s="6" t="s">
        <v>143</v>
      </c>
      <c r="C4308" s="6" t="s">
        <v>462</v>
      </c>
      <c r="D4308" s="6" t="s">
        <v>144</v>
      </c>
      <c r="E4308" s="11">
        <v>5.8631153106689453</v>
      </c>
      <c r="F4308" s="11">
        <v>5.7866439819335938</v>
      </c>
    </row>
    <row r="4309" spans="1:6" hidden="1" x14ac:dyDescent="0.3">
      <c r="A4309" s="6">
        <v>31</v>
      </c>
      <c r="B4309" s="6" t="s">
        <v>143</v>
      </c>
      <c r="C4309" s="6" t="s">
        <v>463</v>
      </c>
      <c r="D4309" s="6" t="s">
        <v>144</v>
      </c>
      <c r="E4309" s="11">
        <v>7.7139959335327148</v>
      </c>
      <c r="F4309" s="11">
        <v>5.7866439819335938</v>
      </c>
    </row>
    <row r="4310" spans="1:6" hidden="1" x14ac:dyDescent="0.3">
      <c r="A4310" s="6">
        <v>31</v>
      </c>
      <c r="B4310" s="6" t="s">
        <v>143</v>
      </c>
      <c r="C4310" s="6" t="s">
        <v>464</v>
      </c>
      <c r="D4310" s="6" t="s">
        <v>144</v>
      </c>
      <c r="E4310" s="11">
        <v>5.4781956672668457</v>
      </c>
      <c r="F4310" s="11">
        <v>5.7866439819335938</v>
      </c>
    </row>
    <row r="4311" spans="1:6" hidden="1" x14ac:dyDescent="0.3">
      <c r="A4311" s="6">
        <v>31</v>
      </c>
      <c r="B4311" s="6" t="s">
        <v>143</v>
      </c>
      <c r="C4311" s="6" t="s">
        <v>465</v>
      </c>
      <c r="D4311" s="6" t="s">
        <v>144</v>
      </c>
      <c r="E4311" s="11">
        <v>6.4689178466796875</v>
      </c>
      <c r="F4311" s="11">
        <v>5.7866439819335938</v>
      </c>
    </row>
    <row r="4312" spans="1:6" hidden="1" x14ac:dyDescent="0.3">
      <c r="A4312" s="6">
        <v>31</v>
      </c>
      <c r="B4312" s="6" t="s">
        <v>143</v>
      </c>
      <c r="C4312" s="6" t="s">
        <v>466</v>
      </c>
      <c r="D4312" s="6" t="s">
        <v>144</v>
      </c>
      <c r="E4312" s="11">
        <v>3.9087784290313721</v>
      </c>
      <c r="F4312" s="11">
        <v>5.7866439819335938</v>
      </c>
    </row>
    <row r="4313" spans="1:6" hidden="1" x14ac:dyDescent="0.3">
      <c r="A4313" s="6">
        <v>31</v>
      </c>
      <c r="B4313" s="6" t="s">
        <v>143</v>
      </c>
      <c r="C4313" s="6" t="s">
        <v>467</v>
      </c>
      <c r="D4313" s="6" t="s">
        <v>144</v>
      </c>
      <c r="E4313" s="11">
        <v>8.9718837738037109</v>
      </c>
      <c r="F4313" s="11">
        <v>5.7866439819335938</v>
      </c>
    </row>
    <row r="4314" spans="1:6" hidden="1" x14ac:dyDescent="0.3">
      <c r="A4314" s="6">
        <v>31</v>
      </c>
      <c r="B4314" s="6" t="s">
        <v>143</v>
      </c>
      <c r="C4314" s="6" t="s">
        <v>468</v>
      </c>
      <c r="D4314" s="6" t="s">
        <v>144</v>
      </c>
      <c r="E4314" s="11">
        <v>9.2862653732299805</v>
      </c>
      <c r="F4314" s="11">
        <v>5.7866439819335938</v>
      </c>
    </row>
    <row r="4315" spans="1:6" hidden="1" x14ac:dyDescent="0.3">
      <c r="A4315" s="6">
        <v>31</v>
      </c>
      <c r="B4315" s="6" t="s">
        <v>143</v>
      </c>
      <c r="C4315" s="6" t="s">
        <v>469</v>
      </c>
      <c r="D4315" s="6" t="s">
        <v>144</v>
      </c>
      <c r="E4315" s="11">
        <v>4.5691027641296387</v>
      </c>
      <c r="F4315" s="11">
        <v>5.7866439819335938</v>
      </c>
    </row>
    <row r="4316" spans="1:6" hidden="1" x14ac:dyDescent="0.3">
      <c r="A4316" s="6">
        <v>31</v>
      </c>
      <c r="B4316" s="6" t="s">
        <v>143</v>
      </c>
      <c r="C4316" s="6" t="s">
        <v>470</v>
      </c>
      <c r="D4316" s="6" t="s">
        <v>144</v>
      </c>
      <c r="E4316" s="11">
        <v>5.2677092552185059</v>
      </c>
      <c r="F4316" s="11">
        <v>5.7866439819335938</v>
      </c>
    </row>
    <row r="4317" spans="1:6" hidden="1" x14ac:dyDescent="0.3">
      <c r="A4317" s="6">
        <v>31</v>
      </c>
      <c r="B4317" s="6" t="s">
        <v>143</v>
      </c>
      <c r="C4317" s="6" t="s">
        <v>471</v>
      </c>
      <c r="D4317" s="6" t="s">
        <v>144</v>
      </c>
      <c r="E4317" s="11">
        <v>4.246617317199707</v>
      </c>
      <c r="F4317" s="11">
        <v>5.7866439819335938</v>
      </c>
    </row>
    <row r="4318" spans="1:6" hidden="1" x14ac:dyDescent="0.3">
      <c r="A4318" s="6">
        <v>31</v>
      </c>
      <c r="B4318" s="6" t="s">
        <v>143</v>
      </c>
      <c r="C4318" s="6" t="s">
        <v>472</v>
      </c>
      <c r="D4318" s="6" t="s">
        <v>144</v>
      </c>
      <c r="E4318" s="11">
        <v>9.2143154144287109</v>
      </c>
      <c r="F4318" s="11">
        <v>5.7866439819335938</v>
      </c>
    </row>
    <row r="4319" spans="1:6" hidden="1" x14ac:dyDescent="0.3">
      <c r="A4319" s="6">
        <v>31</v>
      </c>
      <c r="B4319" s="6" t="s">
        <v>143</v>
      </c>
      <c r="C4319" s="6" t="s">
        <v>473</v>
      </c>
      <c r="D4319" s="6" t="s">
        <v>144</v>
      </c>
      <c r="E4319" s="11">
        <v>5.9764919281005859</v>
      </c>
      <c r="F4319" s="11">
        <v>5.7866439819335938</v>
      </c>
    </row>
    <row r="4320" spans="1:6" hidden="1" x14ac:dyDescent="0.3">
      <c r="A4320" s="6">
        <v>31</v>
      </c>
      <c r="B4320" s="6" t="s">
        <v>143</v>
      </c>
      <c r="C4320" s="6" t="s">
        <v>474</v>
      </c>
      <c r="D4320" s="6" t="s">
        <v>144</v>
      </c>
      <c r="E4320" s="11">
        <v>9.8729181289672852</v>
      </c>
      <c r="F4320" s="11">
        <v>5.7866439819335938</v>
      </c>
    </row>
    <row r="4321" spans="1:6" hidden="1" x14ac:dyDescent="0.3">
      <c r="A4321" s="6">
        <v>31</v>
      </c>
      <c r="B4321" s="6" t="s">
        <v>143</v>
      </c>
      <c r="C4321" s="6" t="s">
        <v>475</v>
      </c>
      <c r="D4321" s="6" t="s">
        <v>144</v>
      </c>
      <c r="E4321" s="11">
        <v>4.6511731147766113</v>
      </c>
      <c r="F4321" s="11">
        <v>5.7866439819335938</v>
      </c>
    </row>
    <row r="4322" spans="1:6" hidden="1" x14ac:dyDescent="0.3">
      <c r="A4322" s="6">
        <v>31</v>
      </c>
      <c r="B4322" s="6" t="s">
        <v>143</v>
      </c>
      <c r="C4322" s="6" t="s">
        <v>476</v>
      </c>
      <c r="D4322" s="6" t="s">
        <v>144</v>
      </c>
      <c r="E4322" s="11">
        <v>5.2806148529052734</v>
      </c>
      <c r="F4322" s="11">
        <v>5.7866439819335938</v>
      </c>
    </row>
    <row r="4323" spans="1:6" hidden="1" x14ac:dyDescent="0.3">
      <c r="A4323" s="6">
        <v>31</v>
      </c>
      <c r="B4323" s="6" t="s">
        <v>143</v>
      </c>
      <c r="C4323" s="6" t="s">
        <v>477</v>
      </c>
      <c r="D4323" s="6" t="s">
        <v>144</v>
      </c>
      <c r="E4323" s="11">
        <v>6.0336270332336426</v>
      </c>
      <c r="F4323" s="11">
        <v>5.7866439819335938</v>
      </c>
    </row>
    <row r="4324" spans="1:6" hidden="1" x14ac:dyDescent="0.3">
      <c r="A4324" s="6">
        <v>31</v>
      </c>
      <c r="B4324" s="6" t="s">
        <v>143</v>
      </c>
      <c r="C4324" s="6" t="s">
        <v>478</v>
      </c>
      <c r="D4324" s="6" t="s">
        <v>144</v>
      </c>
      <c r="E4324" s="11">
        <v>5.5713019371032715</v>
      </c>
      <c r="F4324" s="11">
        <v>5.7866439819335938</v>
      </c>
    </row>
    <row r="4325" spans="1:6" hidden="1" x14ac:dyDescent="0.3">
      <c r="A4325" s="6">
        <v>31</v>
      </c>
      <c r="B4325" s="6" t="s">
        <v>143</v>
      </c>
      <c r="C4325" s="6" t="s">
        <v>479</v>
      </c>
      <c r="D4325" s="6" t="s">
        <v>144</v>
      </c>
      <c r="E4325" s="11">
        <v>12.723441123962402</v>
      </c>
      <c r="F4325" s="11">
        <v>5.7866439819335938</v>
      </c>
    </row>
    <row r="4326" spans="1:6" hidden="1" x14ac:dyDescent="0.3">
      <c r="A4326" s="6">
        <v>31</v>
      </c>
      <c r="B4326" s="6" t="s">
        <v>143</v>
      </c>
      <c r="C4326" s="6" t="s">
        <v>480</v>
      </c>
      <c r="D4326" s="6" t="s">
        <v>144</v>
      </c>
      <c r="E4326" s="11">
        <v>5.2136859893798828</v>
      </c>
      <c r="F4326" s="11">
        <v>5.7866439819335938</v>
      </c>
    </row>
    <row r="4327" spans="1:6" hidden="1" x14ac:dyDescent="0.3">
      <c r="A4327" s="6">
        <v>31</v>
      </c>
      <c r="B4327" s="6" t="s">
        <v>143</v>
      </c>
      <c r="C4327" s="6" t="s">
        <v>481</v>
      </c>
      <c r="D4327" s="6" t="s">
        <v>144</v>
      </c>
      <c r="E4327" s="11">
        <v>6.0189690589904785</v>
      </c>
      <c r="F4327" s="11">
        <v>5.7866439819335938</v>
      </c>
    </row>
    <row r="4328" spans="1:6" hidden="1" x14ac:dyDescent="0.3">
      <c r="A4328" s="6">
        <v>31</v>
      </c>
      <c r="B4328" s="6" t="s">
        <v>143</v>
      </c>
      <c r="C4328" s="6" t="s">
        <v>482</v>
      </c>
      <c r="D4328" s="6" t="s">
        <v>144</v>
      </c>
      <c r="E4328" s="11">
        <v>5.8547606468200684</v>
      </c>
      <c r="F4328" s="11">
        <v>5.7866439819335938</v>
      </c>
    </row>
    <row r="4329" spans="1:6" hidden="1" x14ac:dyDescent="0.3">
      <c r="A4329" s="6">
        <v>31</v>
      </c>
      <c r="B4329" s="6" t="s">
        <v>143</v>
      </c>
      <c r="C4329" s="6" t="s">
        <v>483</v>
      </c>
      <c r="D4329" s="6" t="s">
        <v>144</v>
      </c>
      <c r="E4329" s="11">
        <v>7.1213865280151367</v>
      </c>
      <c r="F4329" s="11">
        <v>5.7866439819335938</v>
      </c>
    </row>
    <row r="4330" spans="1:6" hidden="1" x14ac:dyDescent="0.3">
      <c r="A4330" s="6">
        <v>31</v>
      </c>
      <c r="B4330" s="6" t="s">
        <v>143</v>
      </c>
      <c r="C4330" s="6" t="s">
        <v>484</v>
      </c>
      <c r="D4330" s="6" t="s">
        <v>144</v>
      </c>
      <c r="E4330" s="11">
        <v>5.5092377662658691</v>
      </c>
      <c r="F4330" s="11">
        <v>5.7866439819335938</v>
      </c>
    </row>
    <row r="4331" spans="1:6" hidden="1" x14ac:dyDescent="0.3">
      <c r="A4331" s="6">
        <v>31</v>
      </c>
      <c r="B4331" s="6" t="s">
        <v>143</v>
      </c>
      <c r="C4331" s="6" t="s">
        <v>485</v>
      </c>
      <c r="D4331" s="6" t="s">
        <v>144</v>
      </c>
      <c r="E4331" s="11">
        <v>12.751765251159668</v>
      </c>
      <c r="F4331" s="11">
        <v>5.7866439819335938</v>
      </c>
    </row>
    <row r="4332" spans="1:6" hidden="1" x14ac:dyDescent="0.3">
      <c r="A4332" s="6">
        <v>31</v>
      </c>
      <c r="B4332" s="6" t="s">
        <v>143</v>
      </c>
      <c r="C4332" s="6" t="s">
        <v>486</v>
      </c>
      <c r="D4332" s="6" t="s">
        <v>144</v>
      </c>
      <c r="E4332" s="11">
        <v>4.8576316833496094</v>
      </c>
      <c r="F4332" s="11">
        <v>5.7866439819335938</v>
      </c>
    </row>
    <row r="4333" spans="1:6" hidden="1" x14ac:dyDescent="0.3">
      <c r="A4333" s="6">
        <v>31</v>
      </c>
      <c r="B4333" s="6" t="s">
        <v>143</v>
      </c>
      <c r="C4333" s="6" t="s">
        <v>487</v>
      </c>
      <c r="D4333" s="6" t="s">
        <v>144</v>
      </c>
      <c r="E4333" s="11">
        <v>9.0639533996582031</v>
      </c>
      <c r="F4333" s="11">
        <v>5.7866439819335938</v>
      </c>
    </row>
    <row r="4334" spans="1:6" hidden="1" x14ac:dyDescent="0.3">
      <c r="A4334" s="6">
        <v>31</v>
      </c>
      <c r="B4334" s="6" t="s">
        <v>143</v>
      </c>
      <c r="C4334" s="6" t="s">
        <v>488</v>
      </c>
      <c r="D4334" s="6" t="s">
        <v>144</v>
      </c>
      <c r="E4334" s="11">
        <v>5.2393350601196289</v>
      </c>
      <c r="F4334" s="11">
        <v>5.7866439819335938</v>
      </c>
    </row>
    <row r="4335" spans="1:6" hidden="1" x14ac:dyDescent="0.3">
      <c r="A4335" s="6">
        <v>31</v>
      </c>
      <c r="B4335" s="6" t="s">
        <v>143</v>
      </c>
      <c r="C4335" s="6" t="s">
        <v>489</v>
      </c>
      <c r="D4335" s="6" t="s">
        <v>144</v>
      </c>
      <c r="E4335" s="11">
        <v>8.0742988586425781</v>
      </c>
      <c r="F4335" s="11">
        <v>5.7866439819335938</v>
      </c>
    </row>
    <row r="4336" spans="1:6" hidden="1" x14ac:dyDescent="0.3">
      <c r="A4336" s="6">
        <v>31</v>
      </c>
      <c r="B4336" s="6" t="s">
        <v>143</v>
      </c>
      <c r="C4336" s="6" t="s">
        <v>490</v>
      </c>
      <c r="D4336" s="6" t="s">
        <v>144</v>
      </c>
      <c r="E4336" s="11">
        <v>5.459465503692627</v>
      </c>
      <c r="F4336" s="11">
        <v>5.7866439819335938</v>
      </c>
    </row>
    <row r="4337" spans="1:6" hidden="1" x14ac:dyDescent="0.3">
      <c r="A4337" s="6">
        <v>31</v>
      </c>
      <c r="B4337" s="6" t="s">
        <v>143</v>
      </c>
      <c r="C4337" s="6" t="s">
        <v>491</v>
      </c>
      <c r="D4337" s="6" t="s">
        <v>144</v>
      </c>
      <c r="E4337" s="11">
        <v>4.9140605926513672</v>
      </c>
      <c r="F4337" s="11">
        <v>5.7866439819335938</v>
      </c>
    </row>
    <row r="4338" spans="1:6" hidden="1" x14ac:dyDescent="0.3">
      <c r="A4338" s="6">
        <v>31</v>
      </c>
      <c r="B4338" s="6" t="s">
        <v>143</v>
      </c>
      <c r="C4338" s="6" t="s">
        <v>492</v>
      </c>
      <c r="D4338" s="6" t="s">
        <v>144</v>
      </c>
      <c r="E4338" s="11">
        <v>7.4617404937744141</v>
      </c>
      <c r="F4338" s="11">
        <v>5.7866439819335938</v>
      </c>
    </row>
    <row r="4339" spans="1:6" hidden="1" x14ac:dyDescent="0.3">
      <c r="A4339" s="6">
        <v>31</v>
      </c>
      <c r="B4339" s="6" t="s">
        <v>143</v>
      </c>
      <c r="C4339" s="6" t="s">
        <v>493</v>
      </c>
      <c r="D4339" s="6" t="s">
        <v>144</v>
      </c>
      <c r="E4339" s="11">
        <v>7.0477571487426758</v>
      </c>
      <c r="F4339" s="11">
        <v>5.7866439819335938</v>
      </c>
    </row>
    <row r="4340" spans="1:6" hidden="1" x14ac:dyDescent="0.3">
      <c r="A4340" s="6">
        <v>31</v>
      </c>
      <c r="B4340" s="6" t="s">
        <v>143</v>
      </c>
      <c r="C4340" s="6" t="s">
        <v>494</v>
      </c>
      <c r="D4340" s="6" t="s">
        <v>144</v>
      </c>
      <c r="E4340" s="11">
        <v>6.3930926322937012</v>
      </c>
      <c r="F4340" s="11">
        <v>5.7866439819335938</v>
      </c>
    </row>
    <row r="4341" spans="1:6" hidden="1" x14ac:dyDescent="0.3">
      <c r="A4341" s="6">
        <v>31</v>
      </c>
      <c r="B4341" s="6" t="s">
        <v>143</v>
      </c>
      <c r="C4341" s="6" t="s">
        <v>495</v>
      </c>
      <c r="D4341" s="6" t="s">
        <v>144</v>
      </c>
      <c r="E4341" s="11">
        <v>4.1765823364257813</v>
      </c>
      <c r="F4341" s="11">
        <v>5.7866439819335938</v>
      </c>
    </row>
    <row r="4342" spans="1:6" hidden="1" x14ac:dyDescent="0.3">
      <c r="A4342" s="6">
        <v>32</v>
      </c>
      <c r="B4342" s="6" t="s">
        <v>145</v>
      </c>
      <c r="C4342" s="6" t="s">
        <v>356</v>
      </c>
      <c r="D4342" s="6" t="s">
        <v>146</v>
      </c>
      <c r="E4342" s="11">
        <v>26.054862976074219</v>
      </c>
      <c r="F4342" s="11">
        <v>26.289237976074219</v>
      </c>
    </row>
    <row r="4343" spans="1:6" hidden="1" x14ac:dyDescent="0.3">
      <c r="A4343" s="6">
        <v>32</v>
      </c>
      <c r="B4343" s="6" t="s">
        <v>145</v>
      </c>
      <c r="C4343" s="6" t="s">
        <v>357</v>
      </c>
      <c r="D4343" s="6" t="s">
        <v>146</v>
      </c>
      <c r="E4343" s="11">
        <v>4.6909656524658203</v>
      </c>
      <c r="F4343" s="11">
        <v>26.289237976074219</v>
      </c>
    </row>
    <row r="4344" spans="1:6" hidden="1" x14ac:dyDescent="0.3">
      <c r="A4344" s="6">
        <v>32</v>
      </c>
      <c r="B4344" s="6" t="s">
        <v>145</v>
      </c>
      <c r="C4344" s="6" t="s">
        <v>358</v>
      </c>
      <c r="D4344" s="6" t="s">
        <v>146</v>
      </c>
      <c r="E4344" s="11">
        <v>29.344337463378906</v>
      </c>
      <c r="F4344" s="11">
        <v>26.289237976074219</v>
      </c>
    </row>
    <row r="4345" spans="1:6" hidden="1" x14ac:dyDescent="0.3">
      <c r="A4345" s="6">
        <v>32</v>
      </c>
      <c r="B4345" s="6" t="s">
        <v>145</v>
      </c>
      <c r="C4345" s="6" t="s">
        <v>359</v>
      </c>
      <c r="D4345" s="6" t="s">
        <v>146</v>
      </c>
      <c r="E4345" s="11">
        <v>8.724879264831543</v>
      </c>
      <c r="F4345" s="11">
        <v>26.289237976074219</v>
      </c>
    </row>
    <row r="4346" spans="1:6" hidden="1" x14ac:dyDescent="0.3">
      <c r="A4346" s="6">
        <v>32</v>
      </c>
      <c r="B4346" s="6" t="s">
        <v>145</v>
      </c>
      <c r="C4346" s="6" t="s">
        <v>360</v>
      </c>
      <c r="D4346" s="6" t="s">
        <v>146</v>
      </c>
      <c r="E4346" s="11">
        <v>24.93718147277832</v>
      </c>
      <c r="F4346" s="11">
        <v>26.289237976074219</v>
      </c>
    </row>
    <row r="4347" spans="1:6" hidden="1" x14ac:dyDescent="0.3">
      <c r="A4347" s="6">
        <v>32</v>
      </c>
      <c r="B4347" s="6" t="s">
        <v>145</v>
      </c>
      <c r="C4347" s="6" t="s">
        <v>361</v>
      </c>
      <c r="D4347" s="6" t="s">
        <v>146</v>
      </c>
      <c r="E4347" s="11">
        <v>34.137184143066406</v>
      </c>
      <c r="F4347" s="11">
        <v>26.289237976074219</v>
      </c>
    </row>
    <row r="4348" spans="1:6" hidden="1" x14ac:dyDescent="0.3">
      <c r="A4348" s="6">
        <v>32</v>
      </c>
      <c r="B4348" s="6" t="s">
        <v>145</v>
      </c>
      <c r="C4348" s="6" t="s">
        <v>362</v>
      </c>
      <c r="D4348" s="6" t="s">
        <v>146</v>
      </c>
      <c r="E4348" s="11">
        <v>11.54376220703125</v>
      </c>
      <c r="F4348" s="11">
        <v>26.289237976074219</v>
      </c>
    </row>
    <row r="4349" spans="1:6" hidden="1" x14ac:dyDescent="0.3">
      <c r="A4349" s="6">
        <v>32</v>
      </c>
      <c r="B4349" s="6" t="s">
        <v>145</v>
      </c>
      <c r="C4349" s="6" t="s">
        <v>363</v>
      </c>
      <c r="D4349" s="6" t="s">
        <v>146</v>
      </c>
      <c r="E4349" s="11">
        <v>93.524185180664063</v>
      </c>
      <c r="F4349" s="11">
        <v>26.289237976074219</v>
      </c>
    </row>
    <row r="4350" spans="1:6" hidden="1" x14ac:dyDescent="0.3">
      <c r="A4350" s="6">
        <v>32</v>
      </c>
      <c r="B4350" s="6" t="s">
        <v>145</v>
      </c>
      <c r="C4350" s="6" t="s">
        <v>364</v>
      </c>
      <c r="D4350" s="6" t="s">
        <v>146</v>
      </c>
      <c r="E4350" s="11">
        <v>549.809326171875</v>
      </c>
      <c r="F4350" s="11">
        <v>26.289237976074219</v>
      </c>
    </row>
    <row r="4351" spans="1:6" hidden="1" x14ac:dyDescent="0.3">
      <c r="A4351" s="6">
        <v>32</v>
      </c>
      <c r="B4351" s="6" t="s">
        <v>145</v>
      </c>
      <c r="C4351" s="6" t="s">
        <v>365</v>
      </c>
      <c r="D4351" s="6" t="s">
        <v>146</v>
      </c>
      <c r="E4351" s="11">
        <v>14.951520919799805</v>
      </c>
      <c r="F4351" s="11">
        <v>26.289237976074219</v>
      </c>
    </row>
    <row r="4352" spans="1:6" hidden="1" x14ac:dyDescent="0.3">
      <c r="A4352" s="6">
        <v>32</v>
      </c>
      <c r="B4352" s="6" t="s">
        <v>145</v>
      </c>
      <c r="C4352" s="6" t="s">
        <v>366</v>
      </c>
      <c r="D4352" s="6" t="s">
        <v>146</v>
      </c>
      <c r="E4352" s="11">
        <v>33.517650604248047</v>
      </c>
      <c r="F4352" s="11">
        <v>26.289237976074219</v>
      </c>
    </row>
    <row r="4353" spans="1:6" hidden="1" x14ac:dyDescent="0.3">
      <c r="A4353" s="6">
        <v>32</v>
      </c>
      <c r="B4353" s="6" t="s">
        <v>145</v>
      </c>
      <c r="C4353" s="6" t="s">
        <v>367</v>
      </c>
      <c r="D4353" s="6" t="s">
        <v>146</v>
      </c>
      <c r="E4353" s="11">
        <v>29.970569610595703</v>
      </c>
      <c r="F4353" s="11">
        <v>26.289237976074219</v>
      </c>
    </row>
    <row r="4354" spans="1:6" hidden="1" x14ac:dyDescent="0.3">
      <c r="A4354" s="6">
        <v>32</v>
      </c>
      <c r="B4354" s="6" t="s">
        <v>145</v>
      </c>
      <c r="C4354" s="6" t="s">
        <v>368</v>
      </c>
      <c r="D4354" s="6" t="s">
        <v>146</v>
      </c>
      <c r="E4354" s="11">
        <v>18.383031845092773</v>
      </c>
      <c r="F4354" s="11">
        <v>26.289237976074219</v>
      </c>
    </row>
    <row r="4355" spans="1:6" hidden="1" x14ac:dyDescent="0.3">
      <c r="A4355" s="6">
        <v>32</v>
      </c>
      <c r="B4355" s="6" t="s">
        <v>145</v>
      </c>
      <c r="C4355" s="6" t="s">
        <v>369</v>
      </c>
      <c r="D4355" s="6" t="s">
        <v>146</v>
      </c>
      <c r="E4355" s="11">
        <v>40.667732238769531</v>
      </c>
      <c r="F4355" s="11">
        <v>26.289237976074219</v>
      </c>
    </row>
    <row r="4356" spans="1:6" hidden="1" x14ac:dyDescent="0.3">
      <c r="A4356" s="6">
        <v>32</v>
      </c>
      <c r="B4356" s="6" t="s">
        <v>145</v>
      </c>
      <c r="C4356" s="6" t="s">
        <v>370</v>
      </c>
      <c r="D4356" s="6" t="s">
        <v>146</v>
      </c>
      <c r="E4356" s="11">
        <v>30.216875076293945</v>
      </c>
      <c r="F4356" s="11">
        <v>26.289237976074219</v>
      </c>
    </row>
    <row r="4357" spans="1:6" hidden="1" x14ac:dyDescent="0.3">
      <c r="A4357" s="6">
        <v>32</v>
      </c>
      <c r="B4357" s="6" t="s">
        <v>145</v>
      </c>
      <c r="C4357" s="6" t="s">
        <v>371</v>
      </c>
      <c r="D4357" s="6" t="s">
        <v>146</v>
      </c>
      <c r="E4357" s="11">
        <v>30.582002639770508</v>
      </c>
      <c r="F4357" s="11">
        <v>26.289237976074219</v>
      </c>
    </row>
    <row r="4358" spans="1:6" hidden="1" x14ac:dyDescent="0.3">
      <c r="A4358" s="6">
        <v>32</v>
      </c>
      <c r="B4358" s="6" t="s">
        <v>145</v>
      </c>
      <c r="C4358" s="6" t="s">
        <v>372</v>
      </c>
      <c r="D4358" s="6" t="s">
        <v>146</v>
      </c>
      <c r="E4358" s="11">
        <v>15.344149589538574</v>
      </c>
      <c r="F4358" s="11">
        <v>26.289237976074219</v>
      </c>
    </row>
    <row r="4359" spans="1:6" hidden="1" x14ac:dyDescent="0.3">
      <c r="A4359" s="6">
        <v>32</v>
      </c>
      <c r="B4359" s="6" t="s">
        <v>145</v>
      </c>
      <c r="C4359" s="6" t="s">
        <v>373</v>
      </c>
      <c r="D4359" s="6" t="s">
        <v>146</v>
      </c>
      <c r="E4359" s="11">
        <v>11.158744812011719</v>
      </c>
      <c r="F4359" s="11">
        <v>26.289237976074219</v>
      </c>
    </row>
    <row r="4360" spans="1:6" hidden="1" x14ac:dyDescent="0.3">
      <c r="A4360" s="6">
        <v>32</v>
      </c>
      <c r="B4360" s="6" t="s">
        <v>145</v>
      </c>
      <c r="C4360" s="6" t="s">
        <v>374</v>
      </c>
      <c r="D4360" s="6" t="s">
        <v>146</v>
      </c>
      <c r="E4360" s="11">
        <v>18.701377868652344</v>
      </c>
      <c r="F4360" s="11">
        <v>26.289237976074219</v>
      </c>
    </row>
    <row r="4361" spans="1:6" hidden="1" x14ac:dyDescent="0.3">
      <c r="A4361" s="6">
        <v>32</v>
      </c>
      <c r="B4361" s="6" t="s">
        <v>145</v>
      </c>
      <c r="C4361" s="6" t="s">
        <v>375</v>
      </c>
      <c r="D4361" s="6" t="s">
        <v>146</v>
      </c>
      <c r="E4361" s="11">
        <v>35.610252380371094</v>
      </c>
      <c r="F4361" s="11">
        <v>26.289237976074219</v>
      </c>
    </row>
    <row r="4362" spans="1:6" hidden="1" x14ac:dyDescent="0.3">
      <c r="A4362" s="6">
        <v>32</v>
      </c>
      <c r="B4362" s="6" t="s">
        <v>145</v>
      </c>
      <c r="C4362" s="6" t="s">
        <v>376</v>
      </c>
      <c r="D4362" s="6" t="s">
        <v>146</v>
      </c>
      <c r="E4362" s="11">
        <v>18.709587097167969</v>
      </c>
      <c r="F4362" s="11">
        <v>26.289237976074219</v>
      </c>
    </row>
    <row r="4363" spans="1:6" hidden="1" x14ac:dyDescent="0.3">
      <c r="A4363" s="6">
        <v>32</v>
      </c>
      <c r="B4363" s="6" t="s">
        <v>145</v>
      </c>
      <c r="C4363" s="6" t="s">
        <v>377</v>
      </c>
      <c r="D4363" s="6" t="s">
        <v>146</v>
      </c>
      <c r="E4363" s="11">
        <v>28.045501708984375</v>
      </c>
      <c r="F4363" s="11">
        <v>26.289237976074219</v>
      </c>
    </row>
    <row r="4364" spans="1:6" hidden="1" x14ac:dyDescent="0.3">
      <c r="A4364" s="6">
        <v>32</v>
      </c>
      <c r="B4364" s="6" t="s">
        <v>145</v>
      </c>
      <c r="C4364" s="6" t="s">
        <v>378</v>
      </c>
      <c r="D4364" s="6" t="s">
        <v>146</v>
      </c>
      <c r="E4364" s="11">
        <v>24.452247619628906</v>
      </c>
      <c r="F4364" s="11">
        <v>26.289237976074219</v>
      </c>
    </row>
    <row r="4365" spans="1:6" hidden="1" x14ac:dyDescent="0.3">
      <c r="A4365" s="6">
        <v>32</v>
      </c>
      <c r="B4365" s="6" t="s">
        <v>145</v>
      </c>
      <c r="C4365" s="6" t="s">
        <v>379</v>
      </c>
      <c r="D4365" s="6" t="s">
        <v>146</v>
      </c>
      <c r="E4365" s="11">
        <v>47.291484832763672</v>
      </c>
      <c r="F4365" s="11">
        <v>26.289237976074219</v>
      </c>
    </row>
    <row r="4366" spans="1:6" hidden="1" x14ac:dyDescent="0.3">
      <c r="A4366" s="6">
        <v>32</v>
      </c>
      <c r="B4366" s="6" t="s">
        <v>145</v>
      </c>
      <c r="C4366" s="6" t="s">
        <v>380</v>
      </c>
      <c r="D4366" s="6" t="s">
        <v>146</v>
      </c>
      <c r="E4366" s="11">
        <v>7.6372666358947754</v>
      </c>
      <c r="F4366" s="11">
        <v>26.289237976074219</v>
      </c>
    </row>
    <row r="4367" spans="1:6" hidden="1" x14ac:dyDescent="0.3">
      <c r="A4367" s="6">
        <v>32</v>
      </c>
      <c r="B4367" s="6" t="s">
        <v>145</v>
      </c>
      <c r="C4367" s="6" t="s">
        <v>381</v>
      </c>
      <c r="D4367" s="6" t="s">
        <v>146</v>
      </c>
      <c r="E4367" s="11">
        <v>61.298435211181641</v>
      </c>
      <c r="F4367" s="11">
        <v>26.289237976074219</v>
      </c>
    </row>
    <row r="4368" spans="1:6" hidden="1" x14ac:dyDescent="0.3">
      <c r="A4368" s="6">
        <v>32</v>
      </c>
      <c r="B4368" s="6" t="s">
        <v>145</v>
      </c>
      <c r="C4368" s="6" t="s">
        <v>382</v>
      </c>
      <c r="D4368" s="6" t="s">
        <v>146</v>
      </c>
      <c r="E4368" s="11">
        <v>4.5634298324584961</v>
      </c>
      <c r="F4368" s="11">
        <v>26.289237976074219</v>
      </c>
    </row>
    <row r="4369" spans="1:6" hidden="1" x14ac:dyDescent="0.3">
      <c r="A4369" s="6">
        <v>32</v>
      </c>
      <c r="B4369" s="6" t="s">
        <v>145</v>
      </c>
      <c r="C4369" s="6" t="s">
        <v>383</v>
      </c>
      <c r="D4369" s="6" t="s">
        <v>146</v>
      </c>
      <c r="E4369" s="11">
        <v>44.223445892333984</v>
      </c>
      <c r="F4369" s="11">
        <v>26.289237976074219</v>
      </c>
    </row>
    <row r="4370" spans="1:6" hidden="1" x14ac:dyDescent="0.3">
      <c r="A4370" s="6">
        <v>32</v>
      </c>
      <c r="B4370" s="6" t="s">
        <v>145</v>
      </c>
      <c r="C4370" s="6" t="s">
        <v>384</v>
      </c>
      <c r="D4370" s="6" t="s">
        <v>146</v>
      </c>
      <c r="E4370" s="11">
        <v>55.968490600585938</v>
      </c>
      <c r="F4370" s="11">
        <v>26.289237976074219</v>
      </c>
    </row>
    <row r="4371" spans="1:6" hidden="1" x14ac:dyDescent="0.3">
      <c r="A4371" s="6">
        <v>32</v>
      </c>
      <c r="B4371" s="6" t="s">
        <v>145</v>
      </c>
      <c r="C4371" s="6" t="s">
        <v>385</v>
      </c>
      <c r="D4371" s="6" t="s">
        <v>146</v>
      </c>
      <c r="E4371" s="11">
        <v>31.276248931884766</v>
      </c>
      <c r="F4371" s="11">
        <v>26.289237976074219</v>
      </c>
    </row>
    <row r="4372" spans="1:6" hidden="1" x14ac:dyDescent="0.3">
      <c r="A4372" s="6">
        <v>32</v>
      </c>
      <c r="B4372" s="6" t="s">
        <v>145</v>
      </c>
      <c r="C4372" s="6" t="s">
        <v>386</v>
      </c>
      <c r="D4372" s="6" t="s">
        <v>146</v>
      </c>
      <c r="E4372" s="11">
        <v>11.410593032836914</v>
      </c>
      <c r="F4372" s="11">
        <v>26.289237976074219</v>
      </c>
    </row>
    <row r="4373" spans="1:6" hidden="1" x14ac:dyDescent="0.3">
      <c r="A4373" s="6">
        <v>32</v>
      </c>
      <c r="B4373" s="6" t="s">
        <v>145</v>
      </c>
      <c r="C4373" s="6" t="s">
        <v>387</v>
      </c>
      <c r="D4373" s="6" t="s">
        <v>146</v>
      </c>
      <c r="E4373" s="11">
        <v>3.9411299228668213</v>
      </c>
      <c r="F4373" s="11">
        <v>26.289237976074219</v>
      </c>
    </row>
    <row r="4374" spans="1:6" hidden="1" x14ac:dyDescent="0.3">
      <c r="A4374" s="6">
        <v>32</v>
      </c>
      <c r="B4374" s="6" t="s">
        <v>145</v>
      </c>
      <c r="C4374" s="6" t="s">
        <v>388</v>
      </c>
      <c r="D4374" s="6" t="s">
        <v>146</v>
      </c>
      <c r="E4374" s="11">
        <v>20.830387115478516</v>
      </c>
      <c r="F4374" s="11">
        <v>26.289237976074219</v>
      </c>
    </row>
    <row r="4375" spans="1:6" hidden="1" x14ac:dyDescent="0.3">
      <c r="A4375" s="6">
        <v>32</v>
      </c>
      <c r="B4375" s="6" t="s">
        <v>145</v>
      </c>
      <c r="C4375" s="6" t="s">
        <v>389</v>
      </c>
      <c r="D4375" s="6" t="s">
        <v>146</v>
      </c>
      <c r="E4375" s="11">
        <v>44.521766662597656</v>
      </c>
      <c r="F4375" s="11">
        <v>26.289237976074219</v>
      </c>
    </row>
    <row r="4376" spans="1:6" hidden="1" x14ac:dyDescent="0.3">
      <c r="A4376" s="6">
        <v>32</v>
      </c>
      <c r="B4376" s="6" t="s">
        <v>145</v>
      </c>
      <c r="C4376" s="6" t="s">
        <v>390</v>
      </c>
      <c r="D4376" s="6" t="s">
        <v>146</v>
      </c>
      <c r="E4376" s="11">
        <v>83.224021911621094</v>
      </c>
      <c r="F4376" s="11">
        <v>26.289237976074219</v>
      </c>
    </row>
    <row r="4377" spans="1:6" hidden="1" x14ac:dyDescent="0.3">
      <c r="A4377" s="6">
        <v>32</v>
      </c>
      <c r="B4377" s="6" t="s">
        <v>145</v>
      </c>
      <c r="C4377" s="6" t="s">
        <v>391</v>
      </c>
      <c r="D4377" s="6" t="s">
        <v>146</v>
      </c>
      <c r="E4377" s="11"/>
      <c r="F4377" s="11">
        <v>26.289237976074219</v>
      </c>
    </row>
    <row r="4378" spans="1:6" hidden="1" x14ac:dyDescent="0.3">
      <c r="A4378" s="6">
        <v>32</v>
      </c>
      <c r="B4378" s="6" t="s">
        <v>145</v>
      </c>
      <c r="C4378" s="6" t="s">
        <v>392</v>
      </c>
      <c r="D4378" s="6" t="s">
        <v>146</v>
      </c>
      <c r="E4378" s="11">
        <v>69.741165161132813</v>
      </c>
      <c r="F4378" s="11">
        <v>26.289237976074219</v>
      </c>
    </row>
    <row r="4379" spans="1:6" hidden="1" x14ac:dyDescent="0.3">
      <c r="A4379" s="6">
        <v>32</v>
      </c>
      <c r="B4379" s="6" t="s">
        <v>145</v>
      </c>
      <c r="C4379" s="6" t="s">
        <v>393</v>
      </c>
      <c r="D4379" s="6" t="s">
        <v>146</v>
      </c>
      <c r="E4379" s="11">
        <v>63.705242156982422</v>
      </c>
      <c r="F4379" s="11">
        <v>26.289237976074219</v>
      </c>
    </row>
    <row r="4380" spans="1:6" hidden="1" x14ac:dyDescent="0.3">
      <c r="A4380" s="6">
        <v>32</v>
      </c>
      <c r="B4380" s="6" t="s">
        <v>145</v>
      </c>
      <c r="C4380" s="6" t="s">
        <v>394</v>
      </c>
      <c r="D4380" s="6" t="s">
        <v>146</v>
      </c>
      <c r="E4380" s="11">
        <v>44.04498291015625</v>
      </c>
      <c r="F4380" s="11">
        <v>26.289237976074219</v>
      </c>
    </row>
    <row r="4381" spans="1:6" hidden="1" x14ac:dyDescent="0.3">
      <c r="A4381" s="6">
        <v>32</v>
      </c>
      <c r="B4381" s="6" t="s">
        <v>145</v>
      </c>
      <c r="C4381" s="6" t="s">
        <v>395</v>
      </c>
      <c r="D4381" s="6" t="s">
        <v>146</v>
      </c>
      <c r="E4381" s="11">
        <v>5.4379134178161621</v>
      </c>
      <c r="F4381" s="11">
        <v>26.289237976074219</v>
      </c>
    </row>
    <row r="4382" spans="1:6" hidden="1" x14ac:dyDescent="0.3">
      <c r="A4382" s="6">
        <v>32</v>
      </c>
      <c r="B4382" s="6" t="s">
        <v>145</v>
      </c>
      <c r="C4382" s="6" t="s">
        <v>396</v>
      </c>
      <c r="D4382" s="6" t="s">
        <v>146</v>
      </c>
      <c r="E4382" s="11">
        <v>41.038410186767578</v>
      </c>
      <c r="F4382" s="11">
        <v>26.289237976074219</v>
      </c>
    </row>
    <row r="4383" spans="1:6" hidden="1" x14ac:dyDescent="0.3">
      <c r="A4383" s="6">
        <v>32</v>
      </c>
      <c r="B4383" s="6" t="s">
        <v>145</v>
      </c>
      <c r="C4383" s="6" t="s">
        <v>397</v>
      </c>
      <c r="D4383" s="6" t="s">
        <v>146</v>
      </c>
      <c r="E4383" s="11">
        <v>1075.409912109375</v>
      </c>
      <c r="F4383" s="11">
        <v>26.289237976074219</v>
      </c>
    </row>
    <row r="4384" spans="1:6" hidden="1" x14ac:dyDescent="0.3">
      <c r="A4384" s="6">
        <v>32</v>
      </c>
      <c r="B4384" s="6" t="s">
        <v>145</v>
      </c>
      <c r="C4384" s="6" t="s">
        <v>398</v>
      </c>
      <c r="D4384" s="6" t="s">
        <v>146</v>
      </c>
      <c r="E4384" s="11">
        <v>30.217866897583008</v>
      </c>
      <c r="F4384" s="11">
        <v>26.289237976074219</v>
      </c>
    </row>
    <row r="4385" spans="1:6" hidden="1" x14ac:dyDescent="0.3">
      <c r="A4385" s="6">
        <v>32</v>
      </c>
      <c r="B4385" s="6" t="s">
        <v>145</v>
      </c>
      <c r="C4385" s="6" t="s">
        <v>399</v>
      </c>
      <c r="D4385" s="6" t="s">
        <v>146</v>
      </c>
      <c r="E4385" s="11">
        <v>74.454620361328125</v>
      </c>
      <c r="F4385" s="11">
        <v>26.289237976074219</v>
      </c>
    </row>
    <row r="4386" spans="1:6" hidden="1" x14ac:dyDescent="0.3">
      <c r="A4386" s="6">
        <v>32</v>
      </c>
      <c r="B4386" s="6" t="s">
        <v>145</v>
      </c>
      <c r="C4386" s="6" t="s">
        <v>400</v>
      </c>
      <c r="D4386" s="6" t="s">
        <v>146</v>
      </c>
      <c r="E4386" s="11">
        <v>2.9155325889587402</v>
      </c>
      <c r="F4386" s="11">
        <v>26.289237976074219</v>
      </c>
    </row>
    <row r="4387" spans="1:6" hidden="1" x14ac:dyDescent="0.3">
      <c r="A4387" s="6">
        <v>32</v>
      </c>
      <c r="B4387" s="6" t="s">
        <v>145</v>
      </c>
      <c r="C4387" s="6" t="s">
        <v>401</v>
      </c>
      <c r="D4387" s="6" t="s">
        <v>146</v>
      </c>
      <c r="E4387" s="11">
        <v>4.0342202186584473</v>
      </c>
      <c r="F4387" s="11">
        <v>26.289237976074219</v>
      </c>
    </row>
    <row r="4388" spans="1:6" hidden="1" x14ac:dyDescent="0.3">
      <c r="A4388" s="6">
        <v>32</v>
      </c>
      <c r="B4388" s="6" t="s">
        <v>145</v>
      </c>
      <c r="C4388" s="6" t="s">
        <v>402</v>
      </c>
      <c r="D4388" s="6" t="s">
        <v>146</v>
      </c>
      <c r="E4388" s="11">
        <v>140.15330505371094</v>
      </c>
      <c r="F4388" s="11">
        <v>26.289237976074219</v>
      </c>
    </row>
    <row r="4389" spans="1:6" hidden="1" x14ac:dyDescent="0.3">
      <c r="A4389" s="6">
        <v>32</v>
      </c>
      <c r="B4389" s="6" t="s">
        <v>145</v>
      </c>
      <c r="C4389" s="6" t="s">
        <v>403</v>
      </c>
      <c r="D4389" s="6" t="s">
        <v>146</v>
      </c>
      <c r="E4389" s="11">
        <v>47.739093780517578</v>
      </c>
      <c r="F4389" s="11">
        <v>26.289237976074219</v>
      </c>
    </row>
    <row r="4390" spans="1:6" hidden="1" x14ac:dyDescent="0.3">
      <c r="A4390" s="6">
        <v>32</v>
      </c>
      <c r="B4390" s="6" t="s">
        <v>145</v>
      </c>
      <c r="C4390" s="6" t="s">
        <v>404</v>
      </c>
      <c r="D4390" s="6" t="s">
        <v>146</v>
      </c>
      <c r="E4390" s="11">
        <v>15.386019706726074</v>
      </c>
      <c r="F4390" s="11">
        <v>26.289237976074219</v>
      </c>
    </row>
    <row r="4391" spans="1:6" hidden="1" x14ac:dyDescent="0.3">
      <c r="A4391" s="6">
        <v>32</v>
      </c>
      <c r="B4391" s="6" t="s">
        <v>145</v>
      </c>
      <c r="C4391" s="6" t="s">
        <v>405</v>
      </c>
      <c r="D4391" s="6" t="s">
        <v>146</v>
      </c>
      <c r="E4391" s="11">
        <v>25.754421234130859</v>
      </c>
      <c r="F4391" s="11">
        <v>26.289237976074219</v>
      </c>
    </row>
    <row r="4392" spans="1:6" hidden="1" x14ac:dyDescent="0.3">
      <c r="A4392" s="6">
        <v>32</v>
      </c>
      <c r="B4392" s="6" t="s">
        <v>145</v>
      </c>
      <c r="C4392" s="6" t="s">
        <v>406</v>
      </c>
      <c r="D4392" s="6" t="s">
        <v>146</v>
      </c>
      <c r="E4392" s="11">
        <v>58.170448303222656</v>
      </c>
      <c r="F4392" s="11">
        <v>26.289237976074219</v>
      </c>
    </row>
    <row r="4393" spans="1:6" hidden="1" x14ac:dyDescent="0.3">
      <c r="A4393" s="6">
        <v>32</v>
      </c>
      <c r="B4393" s="6" t="s">
        <v>145</v>
      </c>
      <c r="C4393" s="6" t="s">
        <v>407</v>
      </c>
      <c r="D4393" s="6" t="s">
        <v>146</v>
      </c>
      <c r="E4393" s="11">
        <v>19.312101364135742</v>
      </c>
      <c r="F4393" s="11">
        <v>26.289237976074219</v>
      </c>
    </row>
    <row r="4394" spans="1:6" hidden="1" x14ac:dyDescent="0.3">
      <c r="A4394" s="6">
        <v>32</v>
      </c>
      <c r="B4394" s="6" t="s">
        <v>145</v>
      </c>
      <c r="C4394" s="6" t="s">
        <v>408</v>
      </c>
      <c r="D4394" s="6" t="s">
        <v>146</v>
      </c>
      <c r="E4394" s="11">
        <v>66.794677734375</v>
      </c>
      <c r="F4394" s="11">
        <v>26.289237976074219</v>
      </c>
    </row>
    <row r="4395" spans="1:6" hidden="1" x14ac:dyDescent="0.3">
      <c r="A4395" s="6">
        <v>32</v>
      </c>
      <c r="B4395" s="6" t="s">
        <v>145</v>
      </c>
      <c r="C4395" s="6" t="s">
        <v>409</v>
      </c>
      <c r="D4395" s="6" t="s">
        <v>146</v>
      </c>
      <c r="E4395" s="11">
        <v>36.662590026855469</v>
      </c>
      <c r="F4395" s="11">
        <v>26.289237976074219</v>
      </c>
    </row>
    <row r="4396" spans="1:6" hidden="1" x14ac:dyDescent="0.3">
      <c r="A4396" s="6">
        <v>32</v>
      </c>
      <c r="B4396" s="6" t="s">
        <v>145</v>
      </c>
      <c r="C4396" s="6" t="s">
        <v>410</v>
      </c>
      <c r="D4396" s="6" t="s">
        <v>146</v>
      </c>
      <c r="E4396" s="11">
        <v>20.731853485107422</v>
      </c>
      <c r="F4396" s="11">
        <v>26.289237976074219</v>
      </c>
    </row>
    <row r="4397" spans="1:6" hidden="1" x14ac:dyDescent="0.3">
      <c r="A4397" s="6">
        <v>32</v>
      </c>
      <c r="B4397" s="6" t="s">
        <v>145</v>
      </c>
      <c r="C4397" s="6" t="s">
        <v>411</v>
      </c>
      <c r="D4397" s="6" t="s">
        <v>146</v>
      </c>
      <c r="E4397" s="11">
        <v>31.816364288330078</v>
      </c>
      <c r="F4397" s="11">
        <v>26.289237976074219</v>
      </c>
    </row>
    <row r="4398" spans="1:6" hidden="1" x14ac:dyDescent="0.3">
      <c r="A4398" s="6">
        <v>32</v>
      </c>
      <c r="B4398" s="6" t="s">
        <v>145</v>
      </c>
      <c r="C4398" s="6" t="s">
        <v>412</v>
      </c>
      <c r="D4398" s="6" t="s">
        <v>146</v>
      </c>
      <c r="E4398" s="11">
        <v>71.943305969238281</v>
      </c>
      <c r="F4398" s="11">
        <v>26.289237976074219</v>
      </c>
    </row>
    <row r="4399" spans="1:6" hidden="1" x14ac:dyDescent="0.3">
      <c r="A4399" s="6">
        <v>32</v>
      </c>
      <c r="B4399" s="6" t="s">
        <v>145</v>
      </c>
      <c r="C4399" s="6" t="s">
        <v>413</v>
      </c>
      <c r="D4399" s="6" t="s">
        <v>146</v>
      </c>
      <c r="E4399" s="11">
        <v>30.405305862426758</v>
      </c>
      <c r="F4399" s="11">
        <v>26.289237976074219</v>
      </c>
    </row>
    <row r="4400" spans="1:6" hidden="1" x14ac:dyDescent="0.3">
      <c r="A4400" s="6">
        <v>32</v>
      </c>
      <c r="B4400" s="6" t="s">
        <v>145</v>
      </c>
      <c r="C4400" s="6" t="s">
        <v>414</v>
      </c>
      <c r="D4400" s="6" t="s">
        <v>146</v>
      </c>
      <c r="E4400" s="11">
        <v>115.85329437255859</v>
      </c>
      <c r="F4400" s="11">
        <v>26.289237976074219</v>
      </c>
    </row>
    <row r="4401" spans="1:6" hidden="1" x14ac:dyDescent="0.3">
      <c r="A4401" s="6">
        <v>32</v>
      </c>
      <c r="B4401" s="6" t="s">
        <v>145</v>
      </c>
      <c r="C4401" s="6" t="s">
        <v>415</v>
      </c>
      <c r="D4401" s="6" t="s">
        <v>146</v>
      </c>
      <c r="E4401" s="11">
        <v>42.973217010498047</v>
      </c>
      <c r="F4401" s="11">
        <v>26.289237976074219</v>
      </c>
    </row>
    <row r="4402" spans="1:6" hidden="1" x14ac:dyDescent="0.3">
      <c r="A4402" s="6">
        <v>32</v>
      </c>
      <c r="B4402" s="6" t="s">
        <v>145</v>
      </c>
      <c r="C4402" s="6" t="s">
        <v>416</v>
      </c>
      <c r="D4402" s="6" t="s">
        <v>146</v>
      </c>
      <c r="E4402" s="11">
        <v>3.4574971199035645</v>
      </c>
      <c r="F4402" s="11">
        <v>26.289237976074219</v>
      </c>
    </row>
    <row r="4403" spans="1:6" hidden="1" x14ac:dyDescent="0.3">
      <c r="A4403" s="6">
        <v>32</v>
      </c>
      <c r="B4403" s="6" t="s">
        <v>145</v>
      </c>
      <c r="C4403" s="6" t="s">
        <v>417</v>
      </c>
      <c r="D4403" s="6" t="s">
        <v>146</v>
      </c>
      <c r="E4403" s="11">
        <v>40.791080474853516</v>
      </c>
      <c r="F4403" s="11">
        <v>26.289237976074219</v>
      </c>
    </row>
    <row r="4404" spans="1:6" hidden="1" x14ac:dyDescent="0.3">
      <c r="A4404" s="6">
        <v>32</v>
      </c>
      <c r="B4404" s="6" t="s">
        <v>145</v>
      </c>
      <c r="C4404" s="6" t="s">
        <v>418</v>
      </c>
      <c r="D4404" s="6" t="s">
        <v>146</v>
      </c>
      <c r="E4404" s="11">
        <v>6.6219620704650879</v>
      </c>
      <c r="F4404" s="11">
        <v>26.289237976074219</v>
      </c>
    </row>
    <row r="4405" spans="1:6" hidden="1" x14ac:dyDescent="0.3">
      <c r="A4405" s="6">
        <v>32</v>
      </c>
      <c r="B4405" s="6" t="s">
        <v>145</v>
      </c>
      <c r="C4405" s="6" t="s">
        <v>419</v>
      </c>
      <c r="D4405" s="6" t="s">
        <v>146</v>
      </c>
      <c r="E4405" s="11">
        <v>22.112482070922852</v>
      </c>
      <c r="F4405" s="11">
        <v>26.289237976074219</v>
      </c>
    </row>
    <row r="4406" spans="1:6" hidden="1" x14ac:dyDescent="0.3">
      <c r="A4406" s="6">
        <v>32</v>
      </c>
      <c r="B4406" s="6" t="s">
        <v>145</v>
      </c>
      <c r="C4406" s="6" t="s">
        <v>420</v>
      </c>
      <c r="D4406" s="6" t="s">
        <v>146</v>
      </c>
      <c r="E4406" s="11">
        <v>187.52981567382813</v>
      </c>
      <c r="F4406" s="11">
        <v>26.289237976074219</v>
      </c>
    </row>
    <row r="4407" spans="1:6" hidden="1" x14ac:dyDescent="0.3">
      <c r="A4407" s="6">
        <v>32</v>
      </c>
      <c r="B4407" s="6" t="s">
        <v>145</v>
      </c>
      <c r="C4407" s="6" t="s">
        <v>421</v>
      </c>
      <c r="D4407" s="6" t="s">
        <v>146</v>
      </c>
      <c r="E4407" s="11">
        <v>65.103134155273438</v>
      </c>
      <c r="F4407" s="11">
        <v>26.289237976074219</v>
      </c>
    </row>
    <row r="4408" spans="1:6" hidden="1" x14ac:dyDescent="0.3">
      <c r="A4408" s="6">
        <v>32</v>
      </c>
      <c r="B4408" s="6" t="s">
        <v>145</v>
      </c>
      <c r="C4408" s="6" t="s">
        <v>422</v>
      </c>
      <c r="D4408" s="6" t="s">
        <v>146</v>
      </c>
      <c r="E4408" s="11">
        <v>8.8725929260253906</v>
      </c>
      <c r="F4408" s="11">
        <v>26.289237976074219</v>
      </c>
    </row>
    <row r="4409" spans="1:6" hidden="1" x14ac:dyDescent="0.3">
      <c r="A4409" s="6">
        <v>32</v>
      </c>
      <c r="B4409" s="6" t="s">
        <v>145</v>
      </c>
      <c r="C4409" s="6" t="s">
        <v>423</v>
      </c>
      <c r="D4409" s="6" t="s">
        <v>146</v>
      </c>
      <c r="E4409" s="11">
        <v>5.5848531723022461</v>
      </c>
      <c r="F4409" s="11">
        <v>26.289237976074219</v>
      </c>
    </row>
    <row r="4410" spans="1:6" hidden="1" x14ac:dyDescent="0.3">
      <c r="A4410" s="6">
        <v>32</v>
      </c>
      <c r="B4410" s="6" t="s">
        <v>145</v>
      </c>
      <c r="C4410" s="6" t="s">
        <v>424</v>
      </c>
      <c r="D4410" s="6" t="s">
        <v>146</v>
      </c>
      <c r="E4410" s="11">
        <v>15.482288360595703</v>
      </c>
      <c r="F4410" s="11">
        <v>26.289237976074219</v>
      </c>
    </row>
    <row r="4411" spans="1:6" hidden="1" x14ac:dyDescent="0.3">
      <c r="A4411" s="6">
        <v>32</v>
      </c>
      <c r="B4411" s="6" t="s">
        <v>145</v>
      </c>
      <c r="C4411" s="6" t="s">
        <v>425</v>
      </c>
      <c r="D4411" s="6" t="s">
        <v>146</v>
      </c>
      <c r="E4411" s="11">
        <v>21.425029754638672</v>
      </c>
      <c r="F4411" s="11">
        <v>26.289237976074219</v>
      </c>
    </row>
    <row r="4412" spans="1:6" hidden="1" x14ac:dyDescent="0.3">
      <c r="A4412" s="6">
        <v>32</v>
      </c>
      <c r="B4412" s="6" t="s">
        <v>145</v>
      </c>
      <c r="C4412" s="6" t="s">
        <v>426</v>
      </c>
      <c r="D4412" s="6" t="s">
        <v>146</v>
      </c>
      <c r="E4412" s="11">
        <v>10.603889465332031</v>
      </c>
      <c r="F4412" s="11">
        <v>26.289237976074219</v>
      </c>
    </row>
    <row r="4413" spans="1:6" hidden="1" x14ac:dyDescent="0.3">
      <c r="A4413" s="6">
        <v>32</v>
      </c>
      <c r="B4413" s="6" t="s">
        <v>145</v>
      </c>
      <c r="C4413" s="6" t="s">
        <v>427</v>
      </c>
      <c r="D4413" s="6" t="s">
        <v>146</v>
      </c>
      <c r="E4413" s="11">
        <v>7.6364831924438477</v>
      </c>
      <c r="F4413" s="11">
        <v>26.289237976074219</v>
      </c>
    </row>
    <row r="4414" spans="1:6" hidden="1" x14ac:dyDescent="0.3">
      <c r="A4414" s="6">
        <v>32</v>
      </c>
      <c r="B4414" s="6" t="s">
        <v>145</v>
      </c>
      <c r="C4414" s="6" t="s">
        <v>428</v>
      </c>
      <c r="D4414" s="6" t="s">
        <v>146</v>
      </c>
      <c r="E4414" s="11">
        <v>27.342287063598633</v>
      </c>
      <c r="F4414" s="11">
        <v>26.289237976074219</v>
      </c>
    </row>
    <row r="4415" spans="1:6" hidden="1" x14ac:dyDescent="0.3">
      <c r="A4415" s="6">
        <v>32</v>
      </c>
      <c r="B4415" s="6" t="s">
        <v>145</v>
      </c>
      <c r="C4415" s="6" t="s">
        <v>429</v>
      </c>
      <c r="D4415" s="6" t="s">
        <v>146</v>
      </c>
      <c r="E4415" s="11">
        <v>592.41998291015625</v>
      </c>
      <c r="F4415" s="11">
        <v>26.289237976074219</v>
      </c>
    </row>
    <row r="4416" spans="1:6" hidden="1" x14ac:dyDescent="0.3">
      <c r="A4416" s="6">
        <v>32</v>
      </c>
      <c r="B4416" s="6" t="s">
        <v>145</v>
      </c>
      <c r="C4416" s="6" t="s">
        <v>430</v>
      </c>
      <c r="D4416" s="6" t="s">
        <v>146</v>
      </c>
      <c r="E4416" s="11">
        <v>3.6758854389190674</v>
      </c>
      <c r="F4416" s="11">
        <v>26.289237976074219</v>
      </c>
    </row>
    <row r="4417" spans="1:6" hidden="1" x14ac:dyDescent="0.3">
      <c r="A4417" s="6">
        <v>32</v>
      </c>
      <c r="B4417" s="6" t="s">
        <v>145</v>
      </c>
      <c r="C4417" s="6" t="s">
        <v>431</v>
      </c>
      <c r="D4417" s="6" t="s">
        <v>146</v>
      </c>
      <c r="E4417" s="11">
        <v>47.959587097167969</v>
      </c>
      <c r="F4417" s="11">
        <v>26.289237976074219</v>
      </c>
    </row>
    <row r="4418" spans="1:6" hidden="1" x14ac:dyDescent="0.3">
      <c r="A4418" s="6">
        <v>32</v>
      </c>
      <c r="B4418" s="6" t="s">
        <v>145</v>
      </c>
      <c r="C4418" s="6" t="s">
        <v>432</v>
      </c>
      <c r="D4418" s="6" t="s">
        <v>146</v>
      </c>
      <c r="E4418" s="11">
        <v>26.439159393310547</v>
      </c>
      <c r="F4418" s="11">
        <v>26.289237976074219</v>
      </c>
    </row>
    <row r="4419" spans="1:6" hidden="1" x14ac:dyDescent="0.3">
      <c r="A4419" s="6">
        <v>32</v>
      </c>
      <c r="B4419" s="6" t="s">
        <v>145</v>
      </c>
      <c r="C4419" s="6" t="s">
        <v>433</v>
      </c>
      <c r="D4419" s="6" t="s">
        <v>146</v>
      </c>
      <c r="E4419" s="11">
        <v>5.8127918243408203</v>
      </c>
      <c r="F4419" s="11">
        <v>26.289237976074219</v>
      </c>
    </row>
    <row r="4420" spans="1:6" hidden="1" x14ac:dyDescent="0.3">
      <c r="A4420" s="6">
        <v>32</v>
      </c>
      <c r="B4420" s="6" t="s">
        <v>145</v>
      </c>
      <c r="C4420" s="6" t="s">
        <v>434</v>
      </c>
      <c r="D4420" s="6" t="s">
        <v>146</v>
      </c>
      <c r="E4420" s="11">
        <v>25.514947891235352</v>
      </c>
      <c r="F4420" s="11">
        <v>26.289237976074219</v>
      </c>
    </row>
    <row r="4421" spans="1:6" hidden="1" x14ac:dyDescent="0.3">
      <c r="A4421" s="6">
        <v>32</v>
      </c>
      <c r="B4421" s="6" t="s">
        <v>145</v>
      </c>
      <c r="C4421" s="6" t="s">
        <v>435</v>
      </c>
      <c r="D4421" s="6" t="s">
        <v>146</v>
      </c>
      <c r="E4421" s="11">
        <v>127.55416870117188</v>
      </c>
      <c r="F4421" s="11">
        <v>26.289237976074219</v>
      </c>
    </row>
    <row r="4422" spans="1:6" hidden="1" x14ac:dyDescent="0.3">
      <c r="A4422" s="6">
        <v>32</v>
      </c>
      <c r="B4422" s="6" t="s">
        <v>145</v>
      </c>
      <c r="C4422" s="6" t="s">
        <v>436</v>
      </c>
      <c r="D4422" s="6" t="s">
        <v>146</v>
      </c>
      <c r="E4422" s="11">
        <v>47.600425720214844</v>
      </c>
      <c r="F4422" s="11">
        <v>26.289237976074219</v>
      </c>
    </row>
    <row r="4423" spans="1:6" hidden="1" x14ac:dyDescent="0.3">
      <c r="A4423" s="6">
        <v>32</v>
      </c>
      <c r="B4423" s="6" t="s">
        <v>145</v>
      </c>
      <c r="C4423" s="6" t="s">
        <v>437</v>
      </c>
      <c r="D4423" s="6" t="s">
        <v>146</v>
      </c>
      <c r="E4423" s="11">
        <v>64.474456787109375</v>
      </c>
      <c r="F4423" s="11">
        <v>26.289237976074219</v>
      </c>
    </row>
    <row r="4424" spans="1:6" hidden="1" x14ac:dyDescent="0.3">
      <c r="A4424" s="6">
        <v>32</v>
      </c>
      <c r="B4424" s="6" t="s">
        <v>145</v>
      </c>
      <c r="C4424" s="6" t="s">
        <v>438</v>
      </c>
      <c r="D4424" s="6" t="s">
        <v>146</v>
      </c>
      <c r="E4424" s="11">
        <v>30.501298904418945</v>
      </c>
      <c r="F4424" s="11">
        <v>26.289237976074219</v>
      </c>
    </row>
    <row r="4425" spans="1:6" hidden="1" x14ac:dyDescent="0.3">
      <c r="A4425" s="6">
        <v>32</v>
      </c>
      <c r="B4425" s="6" t="s">
        <v>145</v>
      </c>
      <c r="C4425" s="6" t="s">
        <v>439</v>
      </c>
      <c r="D4425" s="6" t="s">
        <v>146</v>
      </c>
      <c r="E4425" s="11">
        <v>58.156269073486328</v>
      </c>
      <c r="F4425" s="11">
        <v>26.289237976074219</v>
      </c>
    </row>
    <row r="4426" spans="1:6" hidden="1" x14ac:dyDescent="0.3">
      <c r="A4426" s="6">
        <v>32</v>
      </c>
      <c r="B4426" s="6" t="s">
        <v>145</v>
      </c>
      <c r="C4426" s="6" t="s">
        <v>440</v>
      </c>
      <c r="D4426" s="6" t="s">
        <v>146</v>
      </c>
      <c r="E4426" s="11">
        <v>15.644200325012207</v>
      </c>
      <c r="F4426" s="11">
        <v>26.289237976074219</v>
      </c>
    </row>
    <row r="4427" spans="1:6" hidden="1" x14ac:dyDescent="0.3">
      <c r="A4427" s="6">
        <v>32</v>
      </c>
      <c r="B4427" s="6" t="s">
        <v>145</v>
      </c>
      <c r="C4427" s="6" t="s">
        <v>441</v>
      </c>
      <c r="D4427" s="6" t="s">
        <v>146</v>
      </c>
      <c r="E4427" s="11">
        <v>359.73117065429688</v>
      </c>
      <c r="F4427" s="11">
        <v>26.289237976074219</v>
      </c>
    </row>
    <row r="4428" spans="1:6" hidden="1" x14ac:dyDescent="0.3">
      <c r="A4428" s="6">
        <v>32</v>
      </c>
      <c r="B4428" s="6" t="s">
        <v>145</v>
      </c>
      <c r="C4428" s="6" t="s">
        <v>442</v>
      </c>
      <c r="D4428" s="6" t="s">
        <v>146</v>
      </c>
      <c r="E4428" s="11">
        <v>10.485467910766602</v>
      </c>
      <c r="F4428" s="11">
        <v>26.289237976074219</v>
      </c>
    </row>
    <row r="4429" spans="1:6" hidden="1" x14ac:dyDescent="0.3">
      <c r="A4429" s="6">
        <v>32</v>
      </c>
      <c r="B4429" s="6" t="s">
        <v>145</v>
      </c>
      <c r="C4429" s="6" t="s">
        <v>443</v>
      </c>
      <c r="D4429" s="6" t="s">
        <v>146</v>
      </c>
      <c r="E4429" s="11">
        <v>63.440990447998047</v>
      </c>
      <c r="F4429" s="11">
        <v>26.289237976074219</v>
      </c>
    </row>
    <row r="4430" spans="1:6" hidden="1" x14ac:dyDescent="0.3">
      <c r="A4430" s="6">
        <v>32</v>
      </c>
      <c r="B4430" s="6" t="s">
        <v>145</v>
      </c>
      <c r="C4430" s="6" t="s">
        <v>444</v>
      </c>
      <c r="D4430" s="6" t="s">
        <v>146</v>
      </c>
      <c r="E4430" s="11">
        <v>24.206903457641602</v>
      </c>
      <c r="F4430" s="11">
        <v>26.289237976074219</v>
      </c>
    </row>
    <row r="4431" spans="1:6" hidden="1" x14ac:dyDescent="0.3">
      <c r="A4431" s="6">
        <v>32</v>
      </c>
      <c r="B4431" s="6" t="s">
        <v>145</v>
      </c>
      <c r="C4431" s="6" t="s">
        <v>445</v>
      </c>
      <c r="D4431" s="6" t="s">
        <v>146</v>
      </c>
      <c r="E4431" s="11">
        <v>62.467658996582031</v>
      </c>
      <c r="F4431" s="11">
        <v>26.289237976074219</v>
      </c>
    </row>
    <row r="4432" spans="1:6" hidden="1" x14ac:dyDescent="0.3">
      <c r="A4432" s="6">
        <v>32</v>
      </c>
      <c r="B4432" s="6" t="s">
        <v>145</v>
      </c>
      <c r="C4432" s="6" t="s">
        <v>446</v>
      </c>
      <c r="D4432" s="6" t="s">
        <v>146</v>
      </c>
      <c r="E4432" s="11">
        <v>67.950546264648438</v>
      </c>
      <c r="F4432" s="11">
        <v>26.289237976074219</v>
      </c>
    </row>
    <row r="4433" spans="1:6" hidden="1" x14ac:dyDescent="0.3">
      <c r="A4433" s="6">
        <v>32</v>
      </c>
      <c r="B4433" s="6" t="s">
        <v>145</v>
      </c>
      <c r="C4433" s="6" t="s">
        <v>447</v>
      </c>
      <c r="D4433" s="6" t="s">
        <v>146</v>
      </c>
      <c r="E4433" s="11">
        <v>101.08927154541016</v>
      </c>
      <c r="F4433" s="11">
        <v>26.289237976074219</v>
      </c>
    </row>
    <row r="4434" spans="1:6" hidden="1" x14ac:dyDescent="0.3">
      <c r="A4434" s="6">
        <v>32</v>
      </c>
      <c r="B4434" s="6" t="s">
        <v>145</v>
      </c>
      <c r="C4434" s="6" t="s">
        <v>448</v>
      </c>
      <c r="D4434" s="6" t="s">
        <v>146</v>
      </c>
      <c r="E4434" s="11">
        <v>6.2487139701843262</v>
      </c>
      <c r="F4434" s="11">
        <v>26.289237976074219</v>
      </c>
    </row>
    <row r="4435" spans="1:6" hidden="1" x14ac:dyDescent="0.3">
      <c r="A4435" s="6">
        <v>32</v>
      </c>
      <c r="B4435" s="6" t="s">
        <v>145</v>
      </c>
      <c r="C4435" s="6" t="s">
        <v>449</v>
      </c>
      <c r="D4435" s="6" t="s">
        <v>146</v>
      </c>
      <c r="E4435" s="11">
        <v>3.4537322521209717</v>
      </c>
      <c r="F4435" s="11">
        <v>26.289237976074219</v>
      </c>
    </row>
    <row r="4436" spans="1:6" hidden="1" x14ac:dyDescent="0.3">
      <c r="A4436" s="6">
        <v>32</v>
      </c>
      <c r="B4436" s="6" t="s">
        <v>145</v>
      </c>
      <c r="C4436" s="6" t="s">
        <v>450</v>
      </c>
      <c r="D4436" s="6" t="s">
        <v>146</v>
      </c>
      <c r="E4436" s="11">
        <v>24.641630172729492</v>
      </c>
      <c r="F4436" s="11">
        <v>26.289237976074219</v>
      </c>
    </row>
    <row r="4437" spans="1:6" hidden="1" x14ac:dyDescent="0.3">
      <c r="A4437" s="6">
        <v>32</v>
      </c>
      <c r="B4437" s="6" t="s">
        <v>145</v>
      </c>
      <c r="C4437" s="6" t="s">
        <v>451</v>
      </c>
      <c r="D4437" s="6" t="s">
        <v>146</v>
      </c>
      <c r="E4437" s="11">
        <v>22.947170257568359</v>
      </c>
      <c r="F4437" s="11">
        <v>26.289237976074219</v>
      </c>
    </row>
    <row r="4438" spans="1:6" hidden="1" x14ac:dyDescent="0.3">
      <c r="A4438" s="6">
        <v>32</v>
      </c>
      <c r="B4438" s="6" t="s">
        <v>145</v>
      </c>
      <c r="C4438" s="6" t="s">
        <v>452</v>
      </c>
      <c r="D4438" s="6" t="s">
        <v>146</v>
      </c>
      <c r="E4438" s="11">
        <v>155.74627685546875</v>
      </c>
      <c r="F4438" s="11">
        <v>26.289237976074219</v>
      </c>
    </row>
    <row r="4439" spans="1:6" hidden="1" x14ac:dyDescent="0.3">
      <c r="A4439" s="6">
        <v>32</v>
      </c>
      <c r="B4439" s="6" t="s">
        <v>145</v>
      </c>
      <c r="C4439" s="6" t="s">
        <v>453</v>
      </c>
      <c r="D4439" s="6" t="s">
        <v>146</v>
      </c>
      <c r="E4439" s="11">
        <v>5.9996180534362793</v>
      </c>
      <c r="F4439" s="11">
        <v>26.289237976074219</v>
      </c>
    </row>
    <row r="4440" spans="1:6" hidden="1" x14ac:dyDescent="0.3">
      <c r="A4440" s="6">
        <v>32</v>
      </c>
      <c r="B4440" s="6" t="s">
        <v>145</v>
      </c>
      <c r="C4440" s="6" t="s">
        <v>454</v>
      </c>
      <c r="D4440" s="6" t="s">
        <v>146</v>
      </c>
      <c r="E4440" s="11">
        <v>85.439071655273438</v>
      </c>
      <c r="F4440" s="11">
        <v>26.289237976074219</v>
      </c>
    </row>
    <row r="4441" spans="1:6" hidden="1" x14ac:dyDescent="0.3">
      <c r="A4441" s="6">
        <v>32</v>
      </c>
      <c r="B4441" s="6" t="s">
        <v>145</v>
      </c>
      <c r="C4441" s="6" t="s">
        <v>455</v>
      </c>
      <c r="D4441" s="6" t="s">
        <v>146</v>
      </c>
      <c r="E4441" s="11">
        <v>60.446807861328125</v>
      </c>
      <c r="F4441" s="11">
        <v>26.289237976074219</v>
      </c>
    </row>
    <row r="4442" spans="1:6" hidden="1" x14ac:dyDescent="0.3">
      <c r="A4442" s="6">
        <v>32</v>
      </c>
      <c r="B4442" s="6" t="s">
        <v>145</v>
      </c>
      <c r="C4442" s="6" t="s">
        <v>456</v>
      </c>
      <c r="D4442" s="6" t="s">
        <v>146</v>
      </c>
      <c r="E4442" s="11">
        <v>8.2041511535644531</v>
      </c>
      <c r="F4442" s="11">
        <v>26.289237976074219</v>
      </c>
    </row>
    <row r="4443" spans="1:6" hidden="1" x14ac:dyDescent="0.3">
      <c r="A4443" s="6">
        <v>32</v>
      </c>
      <c r="B4443" s="6" t="s">
        <v>145</v>
      </c>
      <c r="C4443" s="6" t="s">
        <v>457</v>
      </c>
      <c r="D4443" s="6" t="s">
        <v>146</v>
      </c>
      <c r="E4443" s="11">
        <v>42.529060363769531</v>
      </c>
      <c r="F4443" s="11">
        <v>26.289237976074219</v>
      </c>
    </row>
    <row r="4444" spans="1:6" hidden="1" x14ac:dyDescent="0.3">
      <c r="A4444" s="6">
        <v>32</v>
      </c>
      <c r="B4444" s="6" t="s">
        <v>145</v>
      </c>
      <c r="C4444" s="6" t="s">
        <v>458</v>
      </c>
      <c r="D4444" s="6" t="s">
        <v>146</v>
      </c>
      <c r="E4444" s="11">
        <v>15.290165901184082</v>
      </c>
      <c r="F4444" s="11">
        <v>26.289237976074219</v>
      </c>
    </row>
    <row r="4445" spans="1:6" hidden="1" x14ac:dyDescent="0.3">
      <c r="A4445" s="6">
        <v>32</v>
      </c>
      <c r="B4445" s="6" t="s">
        <v>145</v>
      </c>
      <c r="C4445" s="6" t="s">
        <v>459</v>
      </c>
      <c r="D4445" s="6" t="s">
        <v>146</v>
      </c>
      <c r="E4445" s="11">
        <v>62.309158325195313</v>
      </c>
      <c r="F4445" s="11">
        <v>26.289237976074219</v>
      </c>
    </row>
    <row r="4446" spans="1:6" hidden="1" x14ac:dyDescent="0.3">
      <c r="A4446" s="6">
        <v>32</v>
      </c>
      <c r="B4446" s="6" t="s">
        <v>145</v>
      </c>
      <c r="C4446" s="6" t="s">
        <v>460</v>
      </c>
      <c r="D4446" s="6" t="s">
        <v>146</v>
      </c>
      <c r="E4446" s="11">
        <v>5.0016536712646484</v>
      </c>
      <c r="F4446" s="11">
        <v>26.289237976074219</v>
      </c>
    </row>
    <row r="4447" spans="1:6" hidden="1" x14ac:dyDescent="0.3">
      <c r="A4447" s="6">
        <v>32</v>
      </c>
      <c r="B4447" s="6" t="s">
        <v>145</v>
      </c>
      <c r="C4447" s="6" t="s">
        <v>461</v>
      </c>
      <c r="D4447" s="6" t="s">
        <v>146</v>
      </c>
      <c r="E4447" s="11">
        <v>14.98252010345459</v>
      </c>
      <c r="F4447" s="11">
        <v>26.289237976074219</v>
      </c>
    </row>
    <row r="4448" spans="1:6" hidden="1" x14ac:dyDescent="0.3">
      <c r="A4448" s="6">
        <v>32</v>
      </c>
      <c r="B4448" s="6" t="s">
        <v>145</v>
      </c>
      <c r="C4448" s="6" t="s">
        <v>462</v>
      </c>
      <c r="D4448" s="6" t="s">
        <v>146</v>
      </c>
      <c r="E4448" s="11">
        <v>18.409133911132813</v>
      </c>
      <c r="F4448" s="11">
        <v>26.289237976074219</v>
      </c>
    </row>
    <row r="4449" spans="1:6" hidden="1" x14ac:dyDescent="0.3">
      <c r="A4449" s="6">
        <v>32</v>
      </c>
      <c r="B4449" s="6" t="s">
        <v>145</v>
      </c>
      <c r="C4449" s="6" t="s">
        <v>463</v>
      </c>
      <c r="D4449" s="6" t="s">
        <v>146</v>
      </c>
      <c r="E4449" s="11">
        <v>30.478549957275391</v>
      </c>
      <c r="F4449" s="11">
        <v>26.289237976074219</v>
      </c>
    </row>
    <row r="4450" spans="1:6" hidden="1" x14ac:dyDescent="0.3">
      <c r="A4450" s="6">
        <v>32</v>
      </c>
      <c r="B4450" s="6" t="s">
        <v>145</v>
      </c>
      <c r="C4450" s="6" t="s">
        <v>464</v>
      </c>
      <c r="D4450" s="6" t="s">
        <v>146</v>
      </c>
      <c r="E4450" s="11">
        <v>35.600234985351563</v>
      </c>
      <c r="F4450" s="11">
        <v>26.289237976074219</v>
      </c>
    </row>
    <row r="4451" spans="1:6" hidden="1" x14ac:dyDescent="0.3">
      <c r="A4451" s="6">
        <v>32</v>
      </c>
      <c r="B4451" s="6" t="s">
        <v>145</v>
      </c>
      <c r="C4451" s="6" t="s">
        <v>465</v>
      </c>
      <c r="D4451" s="6" t="s">
        <v>146</v>
      </c>
      <c r="E4451" s="11">
        <v>25.826698303222656</v>
      </c>
      <c r="F4451" s="11">
        <v>26.289237976074219</v>
      </c>
    </row>
    <row r="4452" spans="1:6" hidden="1" x14ac:dyDescent="0.3">
      <c r="A4452" s="6">
        <v>32</v>
      </c>
      <c r="B4452" s="6" t="s">
        <v>145</v>
      </c>
      <c r="C4452" s="6" t="s">
        <v>466</v>
      </c>
      <c r="D4452" s="6" t="s">
        <v>146</v>
      </c>
      <c r="E4452" s="11">
        <v>4.5336542129516602</v>
      </c>
      <c r="F4452" s="11">
        <v>26.289237976074219</v>
      </c>
    </row>
    <row r="4453" spans="1:6" hidden="1" x14ac:dyDescent="0.3">
      <c r="A4453" s="6">
        <v>32</v>
      </c>
      <c r="B4453" s="6" t="s">
        <v>145</v>
      </c>
      <c r="C4453" s="6" t="s">
        <v>467</v>
      </c>
      <c r="D4453" s="6" t="s">
        <v>146</v>
      </c>
      <c r="E4453" s="11">
        <v>112.08385467529297</v>
      </c>
      <c r="F4453" s="11">
        <v>26.289237976074219</v>
      </c>
    </row>
    <row r="4454" spans="1:6" hidden="1" x14ac:dyDescent="0.3">
      <c r="A4454" s="6">
        <v>32</v>
      </c>
      <c r="B4454" s="6" t="s">
        <v>145</v>
      </c>
      <c r="C4454" s="6" t="s">
        <v>468</v>
      </c>
      <c r="D4454" s="6" t="s">
        <v>146</v>
      </c>
      <c r="E4454" s="11">
        <v>37.397006988525391</v>
      </c>
      <c r="F4454" s="11">
        <v>26.289237976074219</v>
      </c>
    </row>
    <row r="4455" spans="1:6" hidden="1" x14ac:dyDescent="0.3">
      <c r="A4455" s="6">
        <v>32</v>
      </c>
      <c r="B4455" s="6" t="s">
        <v>145</v>
      </c>
      <c r="C4455" s="6" t="s">
        <v>469</v>
      </c>
      <c r="D4455" s="6" t="s">
        <v>146</v>
      </c>
      <c r="E4455" s="11">
        <v>6.8438796997070313</v>
      </c>
      <c r="F4455" s="11">
        <v>26.289237976074219</v>
      </c>
    </row>
    <row r="4456" spans="1:6" hidden="1" x14ac:dyDescent="0.3">
      <c r="A4456" s="6">
        <v>32</v>
      </c>
      <c r="B4456" s="6" t="s">
        <v>145</v>
      </c>
      <c r="C4456" s="6" t="s">
        <v>470</v>
      </c>
      <c r="D4456" s="6" t="s">
        <v>146</v>
      </c>
      <c r="E4456" s="11">
        <v>70.035926818847656</v>
      </c>
      <c r="F4456" s="11">
        <v>26.289237976074219</v>
      </c>
    </row>
    <row r="4457" spans="1:6" hidden="1" x14ac:dyDescent="0.3">
      <c r="A4457" s="6">
        <v>32</v>
      </c>
      <c r="B4457" s="6" t="s">
        <v>145</v>
      </c>
      <c r="C4457" s="6" t="s">
        <v>471</v>
      </c>
      <c r="D4457" s="6" t="s">
        <v>146</v>
      </c>
      <c r="E4457" s="11">
        <v>9.4468240737915039</v>
      </c>
      <c r="F4457" s="11">
        <v>26.289237976074219</v>
      </c>
    </row>
    <row r="4458" spans="1:6" hidden="1" x14ac:dyDescent="0.3">
      <c r="A4458" s="6">
        <v>32</v>
      </c>
      <c r="B4458" s="6" t="s">
        <v>145</v>
      </c>
      <c r="C4458" s="6" t="s">
        <v>472</v>
      </c>
      <c r="D4458" s="6" t="s">
        <v>146</v>
      </c>
      <c r="E4458" s="11">
        <v>8.6102399826049805</v>
      </c>
      <c r="F4458" s="11">
        <v>26.289237976074219</v>
      </c>
    </row>
    <row r="4459" spans="1:6" hidden="1" x14ac:dyDescent="0.3">
      <c r="A4459" s="6">
        <v>32</v>
      </c>
      <c r="B4459" s="6" t="s">
        <v>145</v>
      </c>
      <c r="C4459" s="6" t="s">
        <v>473</v>
      </c>
      <c r="D4459" s="6" t="s">
        <v>146</v>
      </c>
      <c r="E4459" s="11">
        <v>31.093418121337891</v>
      </c>
      <c r="F4459" s="11">
        <v>26.289237976074219</v>
      </c>
    </row>
    <row r="4460" spans="1:6" hidden="1" x14ac:dyDescent="0.3">
      <c r="A4460" s="6">
        <v>32</v>
      </c>
      <c r="B4460" s="6" t="s">
        <v>145</v>
      </c>
      <c r="C4460" s="6" t="s">
        <v>474</v>
      </c>
      <c r="D4460" s="6" t="s">
        <v>146</v>
      </c>
      <c r="E4460" s="11">
        <v>6.5070252418518066</v>
      </c>
      <c r="F4460" s="11">
        <v>26.289237976074219</v>
      </c>
    </row>
    <row r="4461" spans="1:6" hidden="1" x14ac:dyDescent="0.3">
      <c r="A4461" s="6">
        <v>32</v>
      </c>
      <c r="B4461" s="6" t="s">
        <v>145</v>
      </c>
      <c r="C4461" s="6" t="s">
        <v>475</v>
      </c>
      <c r="D4461" s="6" t="s">
        <v>146</v>
      </c>
      <c r="E4461" s="11">
        <v>27.809768676757813</v>
      </c>
      <c r="F4461" s="11">
        <v>26.289237976074219</v>
      </c>
    </row>
    <row r="4462" spans="1:6" hidden="1" x14ac:dyDescent="0.3">
      <c r="A4462" s="6">
        <v>32</v>
      </c>
      <c r="B4462" s="6" t="s">
        <v>145</v>
      </c>
      <c r="C4462" s="6" t="s">
        <v>476</v>
      </c>
      <c r="D4462" s="6" t="s">
        <v>146</v>
      </c>
      <c r="E4462" s="11">
        <v>22.1484375</v>
      </c>
      <c r="F4462" s="11">
        <v>26.289237976074219</v>
      </c>
    </row>
    <row r="4463" spans="1:6" hidden="1" x14ac:dyDescent="0.3">
      <c r="A4463" s="6">
        <v>32</v>
      </c>
      <c r="B4463" s="6" t="s">
        <v>145</v>
      </c>
      <c r="C4463" s="6" t="s">
        <v>477</v>
      </c>
      <c r="D4463" s="6" t="s">
        <v>146</v>
      </c>
      <c r="E4463" s="11">
        <v>35.403667449951172</v>
      </c>
      <c r="F4463" s="11">
        <v>26.289237976074219</v>
      </c>
    </row>
    <row r="4464" spans="1:6" hidden="1" x14ac:dyDescent="0.3">
      <c r="A4464" s="6">
        <v>32</v>
      </c>
      <c r="B4464" s="6" t="s">
        <v>145</v>
      </c>
      <c r="C4464" s="6" t="s">
        <v>478</v>
      </c>
      <c r="D4464" s="6" t="s">
        <v>146</v>
      </c>
      <c r="E4464" s="11">
        <v>82.839309692382813</v>
      </c>
      <c r="F4464" s="11">
        <v>26.289237976074219</v>
      </c>
    </row>
    <row r="4465" spans="1:6" hidden="1" x14ac:dyDescent="0.3">
      <c r="A4465" s="6">
        <v>32</v>
      </c>
      <c r="B4465" s="6" t="s">
        <v>145</v>
      </c>
      <c r="C4465" s="6" t="s">
        <v>479</v>
      </c>
      <c r="D4465" s="6" t="s">
        <v>146</v>
      </c>
      <c r="E4465" s="11">
        <v>34.063072204589844</v>
      </c>
      <c r="F4465" s="11">
        <v>26.289237976074219</v>
      </c>
    </row>
    <row r="4466" spans="1:6" hidden="1" x14ac:dyDescent="0.3">
      <c r="A4466" s="6">
        <v>32</v>
      </c>
      <c r="B4466" s="6" t="s">
        <v>145</v>
      </c>
      <c r="C4466" s="6" t="s">
        <v>480</v>
      </c>
      <c r="D4466" s="6" t="s">
        <v>146</v>
      </c>
      <c r="E4466" s="11">
        <v>54.932723999023438</v>
      </c>
      <c r="F4466" s="11">
        <v>26.289237976074219</v>
      </c>
    </row>
    <row r="4467" spans="1:6" hidden="1" x14ac:dyDescent="0.3">
      <c r="A4467" s="6">
        <v>32</v>
      </c>
      <c r="B4467" s="6" t="s">
        <v>145</v>
      </c>
      <c r="C4467" s="6" t="s">
        <v>481</v>
      </c>
      <c r="D4467" s="6" t="s">
        <v>146</v>
      </c>
      <c r="E4467" s="11">
        <v>59.205150604248047</v>
      </c>
      <c r="F4467" s="11">
        <v>26.289237976074219</v>
      </c>
    </row>
    <row r="4468" spans="1:6" hidden="1" x14ac:dyDescent="0.3">
      <c r="A4468" s="6">
        <v>32</v>
      </c>
      <c r="B4468" s="6" t="s">
        <v>145</v>
      </c>
      <c r="C4468" s="6" t="s">
        <v>482</v>
      </c>
      <c r="D4468" s="6" t="s">
        <v>146</v>
      </c>
      <c r="E4468" s="11">
        <v>47.524002075195313</v>
      </c>
      <c r="F4468" s="11">
        <v>26.289237976074219</v>
      </c>
    </row>
    <row r="4469" spans="1:6" hidden="1" x14ac:dyDescent="0.3">
      <c r="A4469" s="6">
        <v>32</v>
      </c>
      <c r="B4469" s="6" t="s">
        <v>145</v>
      </c>
      <c r="C4469" s="6" t="s">
        <v>483</v>
      </c>
      <c r="D4469" s="6" t="s">
        <v>146</v>
      </c>
      <c r="E4469" s="11">
        <v>26.702024459838867</v>
      </c>
      <c r="F4469" s="11">
        <v>26.289237976074219</v>
      </c>
    </row>
    <row r="4470" spans="1:6" hidden="1" x14ac:dyDescent="0.3">
      <c r="A4470" s="6">
        <v>32</v>
      </c>
      <c r="B4470" s="6" t="s">
        <v>145</v>
      </c>
      <c r="C4470" s="6" t="s">
        <v>484</v>
      </c>
      <c r="D4470" s="6" t="s">
        <v>146</v>
      </c>
      <c r="E4470" s="11">
        <v>17.45262336730957</v>
      </c>
      <c r="F4470" s="11">
        <v>26.289237976074219</v>
      </c>
    </row>
    <row r="4471" spans="1:6" hidden="1" x14ac:dyDescent="0.3">
      <c r="A4471" s="6">
        <v>32</v>
      </c>
      <c r="B4471" s="6" t="s">
        <v>145</v>
      </c>
      <c r="C4471" s="6" t="s">
        <v>485</v>
      </c>
      <c r="D4471" s="6" t="s">
        <v>146</v>
      </c>
      <c r="E4471" s="11">
        <v>9.8125143051147461</v>
      </c>
      <c r="F4471" s="11">
        <v>26.289237976074219</v>
      </c>
    </row>
    <row r="4472" spans="1:6" hidden="1" x14ac:dyDescent="0.3">
      <c r="A4472" s="6">
        <v>32</v>
      </c>
      <c r="B4472" s="6" t="s">
        <v>145</v>
      </c>
      <c r="C4472" s="6" t="s">
        <v>486</v>
      </c>
      <c r="D4472" s="6" t="s">
        <v>146</v>
      </c>
      <c r="E4472" s="11">
        <v>47.516815185546875</v>
      </c>
      <c r="F4472" s="11">
        <v>26.289237976074219</v>
      </c>
    </row>
    <row r="4473" spans="1:6" hidden="1" x14ac:dyDescent="0.3">
      <c r="A4473" s="6">
        <v>32</v>
      </c>
      <c r="B4473" s="6" t="s">
        <v>145</v>
      </c>
      <c r="C4473" s="6" t="s">
        <v>487</v>
      </c>
      <c r="D4473" s="6" t="s">
        <v>146</v>
      </c>
      <c r="E4473" s="11">
        <v>50.658863067626953</v>
      </c>
      <c r="F4473" s="11">
        <v>26.289237976074219</v>
      </c>
    </row>
    <row r="4474" spans="1:6" hidden="1" x14ac:dyDescent="0.3">
      <c r="A4474" s="6">
        <v>32</v>
      </c>
      <c r="B4474" s="6" t="s">
        <v>145</v>
      </c>
      <c r="C4474" s="6" t="s">
        <v>488</v>
      </c>
      <c r="D4474" s="6" t="s">
        <v>146</v>
      </c>
      <c r="E4474" s="11">
        <v>21.782541275024414</v>
      </c>
      <c r="F4474" s="11">
        <v>26.289237976074219</v>
      </c>
    </row>
    <row r="4475" spans="1:6" hidden="1" x14ac:dyDescent="0.3">
      <c r="A4475" s="6">
        <v>32</v>
      </c>
      <c r="B4475" s="6" t="s">
        <v>145</v>
      </c>
      <c r="C4475" s="6" t="s">
        <v>489</v>
      </c>
      <c r="D4475" s="6" t="s">
        <v>146</v>
      </c>
      <c r="E4475" s="11">
        <v>44.182102203369141</v>
      </c>
      <c r="F4475" s="11">
        <v>26.289237976074219</v>
      </c>
    </row>
    <row r="4476" spans="1:6" hidden="1" x14ac:dyDescent="0.3">
      <c r="A4476" s="6">
        <v>32</v>
      </c>
      <c r="B4476" s="6" t="s">
        <v>145</v>
      </c>
      <c r="C4476" s="6" t="s">
        <v>490</v>
      </c>
      <c r="D4476" s="6" t="s">
        <v>146</v>
      </c>
      <c r="E4476" s="11">
        <v>39.611129760742188</v>
      </c>
      <c r="F4476" s="11">
        <v>26.289237976074219</v>
      </c>
    </row>
    <row r="4477" spans="1:6" hidden="1" x14ac:dyDescent="0.3">
      <c r="A4477" s="6">
        <v>32</v>
      </c>
      <c r="B4477" s="6" t="s">
        <v>145</v>
      </c>
      <c r="C4477" s="6" t="s">
        <v>491</v>
      </c>
      <c r="D4477" s="6" t="s">
        <v>146</v>
      </c>
      <c r="E4477" s="11">
        <v>29.892536163330078</v>
      </c>
      <c r="F4477" s="11">
        <v>26.289237976074219</v>
      </c>
    </row>
    <row r="4478" spans="1:6" hidden="1" x14ac:dyDescent="0.3">
      <c r="A4478" s="6">
        <v>32</v>
      </c>
      <c r="B4478" s="6" t="s">
        <v>145</v>
      </c>
      <c r="C4478" s="6" t="s">
        <v>492</v>
      </c>
      <c r="D4478" s="6" t="s">
        <v>146</v>
      </c>
      <c r="E4478" s="11">
        <v>22.7271728515625</v>
      </c>
      <c r="F4478" s="11">
        <v>26.289237976074219</v>
      </c>
    </row>
    <row r="4479" spans="1:6" hidden="1" x14ac:dyDescent="0.3">
      <c r="A4479" s="6">
        <v>32</v>
      </c>
      <c r="B4479" s="6" t="s">
        <v>145</v>
      </c>
      <c r="C4479" s="6" t="s">
        <v>493</v>
      </c>
      <c r="D4479" s="6" t="s">
        <v>146</v>
      </c>
      <c r="E4479" s="11">
        <v>43.023162841796875</v>
      </c>
      <c r="F4479" s="11">
        <v>26.289237976074219</v>
      </c>
    </row>
    <row r="4480" spans="1:6" hidden="1" x14ac:dyDescent="0.3">
      <c r="A4480" s="6">
        <v>32</v>
      </c>
      <c r="B4480" s="6" t="s">
        <v>145</v>
      </c>
      <c r="C4480" s="6" t="s">
        <v>494</v>
      </c>
      <c r="D4480" s="6" t="s">
        <v>146</v>
      </c>
      <c r="E4480" s="11">
        <v>55.610813140869141</v>
      </c>
      <c r="F4480" s="11">
        <v>26.289237976074219</v>
      </c>
    </row>
    <row r="4481" spans="1:6" hidden="1" x14ac:dyDescent="0.3">
      <c r="A4481" s="6">
        <v>32</v>
      </c>
      <c r="B4481" s="6" t="s">
        <v>145</v>
      </c>
      <c r="C4481" s="6" t="s">
        <v>495</v>
      </c>
      <c r="D4481" s="6" t="s">
        <v>146</v>
      </c>
      <c r="E4481" s="11">
        <v>8.0446395874023438</v>
      </c>
      <c r="F4481" s="11">
        <v>26.289237976074219</v>
      </c>
    </row>
    <row r="4482" spans="1:6" hidden="1" x14ac:dyDescent="0.3">
      <c r="A4482" s="6">
        <v>33</v>
      </c>
      <c r="B4482" s="6" t="s">
        <v>147</v>
      </c>
      <c r="C4482" s="6" t="s">
        <v>356</v>
      </c>
      <c r="D4482" s="6" t="s">
        <v>148</v>
      </c>
      <c r="E4482" s="11">
        <v>6.32342529296875</v>
      </c>
      <c r="F4482" s="11">
        <v>6.8653984069824219</v>
      </c>
    </row>
    <row r="4483" spans="1:6" hidden="1" x14ac:dyDescent="0.3">
      <c r="A4483" s="6">
        <v>33</v>
      </c>
      <c r="B4483" s="6" t="s">
        <v>147</v>
      </c>
      <c r="C4483" s="6" t="s">
        <v>357</v>
      </c>
      <c r="D4483" s="6" t="s">
        <v>148</v>
      </c>
      <c r="E4483" s="11">
        <v>3.3367674350738525</v>
      </c>
      <c r="F4483" s="11">
        <v>6.8653984069824219</v>
      </c>
    </row>
    <row r="4484" spans="1:6" hidden="1" x14ac:dyDescent="0.3">
      <c r="A4484" s="6">
        <v>33</v>
      </c>
      <c r="B4484" s="6" t="s">
        <v>147</v>
      </c>
      <c r="C4484" s="6" t="s">
        <v>358</v>
      </c>
      <c r="D4484" s="6" t="s">
        <v>148</v>
      </c>
      <c r="E4484" s="11">
        <v>6.1249628067016602</v>
      </c>
      <c r="F4484" s="11">
        <v>6.8653984069824219</v>
      </c>
    </row>
    <row r="4485" spans="1:6" hidden="1" x14ac:dyDescent="0.3">
      <c r="A4485" s="6">
        <v>33</v>
      </c>
      <c r="B4485" s="6" t="s">
        <v>147</v>
      </c>
      <c r="C4485" s="6" t="s">
        <v>359</v>
      </c>
      <c r="D4485" s="6" t="s">
        <v>148</v>
      </c>
      <c r="E4485" s="11">
        <v>11.32417106628418</v>
      </c>
      <c r="F4485" s="11">
        <v>6.8653984069824219</v>
      </c>
    </row>
    <row r="4486" spans="1:6" hidden="1" x14ac:dyDescent="0.3">
      <c r="A4486" s="6">
        <v>33</v>
      </c>
      <c r="B4486" s="6" t="s">
        <v>147</v>
      </c>
      <c r="C4486" s="6" t="s">
        <v>360</v>
      </c>
      <c r="D4486" s="6" t="s">
        <v>148</v>
      </c>
      <c r="E4486" s="11">
        <v>5.7997283935546875</v>
      </c>
      <c r="F4486" s="11">
        <v>6.8653984069824219</v>
      </c>
    </row>
    <row r="4487" spans="1:6" hidden="1" x14ac:dyDescent="0.3">
      <c r="A4487" s="6">
        <v>33</v>
      </c>
      <c r="B4487" s="6" t="s">
        <v>147</v>
      </c>
      <c r="C4487" s="6" t="s">
        <v>361</v>
      </c>
      <c r="D4487" s="6" t="s">
        <v>148</v>
      </c>
      <c r="E4487" s="11">
        <v>6.8017725944519043</v>
      </c>
      <c r="F4487" s="11">
        <v>6.8653984069824219</v>
      </c>
    </row>
    <row r="4488" spans="1:6" hidden="1" x14ac:dyDescent="0.3">
      <c r="A4488" s="6">
        <v>33</v>
      </c>
      <c r="B4488" s="6" t="s">
        <v>147</v>
      </c>
      <c r="C4488" s="6" t="s">
        <v>362</v>
      </c>
      <c r="D4488" s="6" t="s">
        <v>148</v>
      </c>
      <c r="E4488" s="11">
        <v>10.086276054382324</v>
      </c>
      <c r="F4488" s="11">
        <v>6.8653984069824219</v>
      </c>
    </row>
    <row r="4489" spans="1:6" hidden="1" x14ac:dyDescent="0.3">
      <c r="A4489" s="6">
        <v>33</v>
      </c>
      <c r="B4489" s="6" t="s">
        <v>147</v>
      </c>
      <c r="C4489" s="6" t="s">
        <v>363</v>
      </c>
      <c r="D4489" s="6" t="s">
        <v>148</v>
      </c>
      <c r="E4489" s="11">
        <v>8.8002004623413086</v>
      </c>
      <c r="F4489" s="11">
        <v>6.8653984069824219</v>
      </c>
    </row>
    <row r="4490" spans="1:6" hidden="1" x14ac:dyDescent="0.3">
      <c r="A4490" s="6">
        <v>33</v>
      </c>
      <c r="B4490" s="6" t="s">
        <v>147</v>
      </c>
      <c r="C4490" s="6" t="s">
        <v>364</v>
      </c>
      <c r="D4490" s="6" t="s">
        <v>148</v>
      </c>
      <c r="E4490" s="11">
        <v>14.362181663513184</v>
      </c>
      <c r="F4490" s="11">
        <v>6.8653984069824219</v>
      </c>
    </row>
    <row r="4491" spans="1:6" hidden="1" x14ac:dyDescent="0.3">
      <c r="A4491" s="6">
        <v>33</v>
      </c>
      <c r="B4491" s="6" t="s">
        <v>147</v>
      </c>
      <c r="C4491" s="6" t="s">
        <v>365</v>
      </c>
      <c r="D4491" s="6" t="s">
        <v>148</v>
      </c>
      <c r="E4491" s="11">
        <v>3.4760870933532715</v>
      </c>
      <c r="F4491" s="11">
        <v>6.8653984069824219</v>
      </c>
    </row>
    <row r="4492" spans="1:6" hidden="1" x14ac:dyDescent="0.3">
      <c r="A4492" s="6">
        <v>33</v>
      </c>
      <c r="B4492" s="6" t="s">
        <v>147</v>
      </c>
      <c r="C4492" s="6" t="s">
        <v>366</v>
      </c>
      <c r="D4492" s="6" t="s">
        <v>148</v>
      </c>
      <c r="E4492" s="11">
        <v>17.521305084228516</v>
      </c>
      <c r="F4492" s="11">
        <v>6.8653984069824219</v>
      </c>
    </row>
    <row r="4493" spans="1:6" hidden="1" x14ac:dyDescent="0.3">
      <c r="A4493" s="6">
        <v>33</v>
      </c>
      <c r="B4493" s="6" t="s">
        <v>147</v>
      </c>
      <c r="C4493" s="6" t="s">
        <v>367</v>
      </c>
      <c r="D4493" s="6" t="s">
        <v>148</v>
      </c>
      <c r="E4493" s="11">
        <v>8.0051107406616211</v>
      </c>
      <c r="F4493" s="11">
        <v>6.8653984069824219</v>
      </c>
    </row>
    <row r="4494" spans="1:6" hidden="1" x14ac:dyDescent="0.3">
      <c r="A4494" s="6">
        <v>33</v>
      </c>
      <c r="B4494" s="6" t="s">
        <v>147</v>
      </c>
      <c r="C4494" s="6" t="s">
        <v>368</v>
      </c>
      <c r="D4494" s="6" t="s">
        <v>148</v>
      </c>
      <c r="E4494" s="11">
        <v>4.0291166305541992</v>
      </c>
      <c r="F4494" s="11">
        <v>6.8653984069824219</v>
      </c>
    </row>
    <row r="4495" spans="1:6" hidden="1" x14ac:dyDescent="0.3">
      <c r="A4495" s="6">
        <v>33</v>
      </c>
      <c r="B4495" s="6" t="s">
        <v>147</v>
      </c>
      <c r="C4495" s="6" t="s">
        <v>369</v>
      </c>
      <c r="D4495" s="6" t="s">
        <v>148</v>
      </c>
      <c r="E4495" s="11">
        <v>7.8317470550537109</v>
      </c>
      <c r="F4495" s="11">
        <v>6.8653984069824219</v>
      </c>
    </row>
    <row r="4496" spans="1:6" hidden="1" x14ac:dyDescent="0.3">
      <c r="A4496" s="6">
        <v>33</v>
      </c>
      <c r="B4496" s="6" t="s">
        <v>147</v>
      </c>
      <c r="C4496" s="6" t="s">
        <v>370</v>
      </c>
      <c r="D4496" s="6" t="s">
        <v>148</v>
      </c>
      <c r="E4496" s="11">
        <v>7.6831426620483398</v>
      </c>
      <c r="F4496" s="11">
        <v>6.8653984069824219</v>
      </c>
    </row>
    <row r="4497" spans="1:6" hidden="1" x14ac:dyDescent="0.3">
      <c r="A4497" s="6">
        <v>33</v>
      </c>
      <c r="B4497" s="6" t="s">
        <v>147</v>
      </c>
      <c r="C4497" s="6" t="s">
        <v>371</v>
      </c>
      <c r="D4497" s="6" t="s">
        <v>148</v>
      </c>
      <c r="E4497" s="11">
        <v>6.0738391876220703</v>
      </c>
      <c r="F4497" s="11">
        <v>6.8653984069824219</v>
      </c>
    </row>
    <row r="4498" spans="1:6" hidden="1" x14ac:dyDescent="0.3">
      <c r="A4498" s="6">
        <v>33</v>
      </c>
      <c r="B4498" s="6" t="s">
        <v>147</v>
      </c>
      <c r="C4498" s="6" t="s">
        <v>372</v>
      </c>
      <c r="D4498" s="6" t="s">
        <v>148</v>
      </c>
      <c r="E4498" s="11"/>
      <c r="F4498" s="11">
        <v>6.8653984069824219</v>
      </c>
    </row>
    <row r="4499" spans="1:6" hidden="1" x14ac:dyDescent="0.3">
      <c r="A4499" s="6">
        <v>33</v>
      </c>
      <c r="B4499" s="6" t="s">
        <v>147</v>
      </c>
      <c r="C4499" s="6" t="s">
        <v>373</v>
      </c>
      <c r="D4499" s="6" t="s">
        <v>148</v>
      </c>
      <c r="E4499" s="11">
        <v>6.0973725318908691</v>
      </c>
      <c r="F4499" s="11">
        <v>6.8653984069824219</v>
      </c>
    </row>
    <row r="4500" spans="1:6" hidden="1" x14ac:dyDescent="0.3">
      <c r="A4500" s="6">
        <v>33</v>
      </c>
      <c r="B4500" s="6" t="s">
        <v>147</v>
      </c>
      <c r="C4500" s="6" t="s">
        <v>374</v>
      </c>
      <c r="D4500" s="6" t="s">
        <v>148</v>
      </c>
      <c r="E4500" s="11">
        <v>5.9480123519897461</v>
      </c>
      <c r="F4500" s="11">
        <v>6.8653984069824219</v>
      </c>
    </row>
    <row r="4501" spans="1:6" hidden="1" x14ac:dyDescent="0.3">
      <c r="A4501" s="6">
        <v>33</v>
      </c>
      <c r="B4501" s="6" t="s">
        <v>147</v>
      </c>
      <c r="C4501" s="6" t="s">
        <v>375</v>
      </c>
      <c r="D4501" s="6" t="s">
        <v>148</v>
      </c>
      <c r="E4501" s="11">
        <v>6.3674554824829102</v>
      </c>
      <c r="F4501" s="11">
        <v>6.8653984069824219</v>
      </c>
    </row>
    <row r="4502" spans="1:6" hidden="1" x14ac:dyDescent="0.3">
      <c r="A4502" s="6">
        <v>33</v>
      </c>
      <c r="B4502" s="6" t="s">
        <v>147</v>
      </c>
      <c r="C4502" s="6" t="s">
        <v>376</v>
      </c>
      <c r="D4502" s="6" t="s">
        <v>148</v>
      </c>
      <c r="E4502" s="11">
        <v>4.7935266494750977</v>
      </c>
      <c r="F4502" s="11">
        <v>6.8653984069824219</v>
      </c>
    </row>
    <row r="4503" spans="1:6" hidden="1" x14ac:dyDescent="0.3">
      <c r="A4503" s="6">
        <v>33</v>
      </c>
      <c r="B4503" s="6" t="s">
        <v>147</v>
      </c>
      <c r="C4503" s="6" t="s">
        <v>377</v>
      </c>
      <c r="D4503" s="6" t="s">
        <v>148</v>
      </c>
      <c r="E4503" s="11">
        <v>8.3567037582397461</v>
      </c>
      <c r="F4503" s="11">
        <v>6.8653984069824219</v>
      </c>
    </row>
    <row r="4504" spans="1:6" hidden="1" x14ac:dyDescent="0.3">
      <c r="A4504" s="6">
        <v>33</v>
      </c>
      <c r="B4504" s="6" t="s">
        <v>147</v>
      </c>
      <c r="C4504" s="6" t="s">
        <v>378</v>
      </c>
      <c r="D4504" s="6" t="s">
        <v>148</v>
      </c>
      <c r="E4504" s="11">
        <v>6.0832772254943848</v>
      </c>
      <c r="F4504" s="11">
        <v>6.8653984069824219</v>
      </c>
    </row>
    <row r="4505" spans="1:6" hidden="1" x14ac:dyDescent="0.3">
      <c r="A4505" s="6">
        <v>33</v>
      </c>
      <c r="B4505" s="6" t="s">
        <v>147</v>
      </c>
      <c r="C4505" s="6" t="s">
        <v>379</v>
      </c>
      <c r="D4505" s="6" t="s">
        <v>148</v>
      </c>
      <c r="E4505" s="11">
        <v>7.6881732940673828</v>
      </c>
      <c r="F4505" s="11">
        <v>6.8653984069824219</v>
      </c>
    </row>
    <row r="4506" spans="1:6" hidden="1" x14ac:dyDescent="0.3">
      <c r="A4506" s="6">
        <v>33</v>
      </c>
      <c r="B4506" s="6" t="s">
        <v>147</v>
      </c>
      <c r="C4506" s="6" t="s">
        <v>380</v>
      </c>
      <c r="D4506" s="6" t="s">
        <v>148</v>
      </c>
      <c r="E4506" s="11">
        <v>5.3967089653015137</v>
      </c>
      <c r="F4506" s="11">
        <v>6.8653984069824219</v>
      </c>
    </row>
    <row r="4507" spans="1:6" hidden="1" x14ac:dyDescent="0.3">
      <c r="A4507" s="6">
        <v>33</v>
      </c>
      <c r="B4507" s="6" t="s">
        <v>147</v>
      </c>
      <c r="C4507" s="6" t="s">
        <v>381</v>
      </c>
      <c r="D4507" s="6" t="s">
        <v>148</v>
      </c>
      <c r="E4507" s="11">
        <v>8.3651762008666992</v>
      </c>
      <c r="F4507" s="11">
        <v>6.8653984069824219</v>
      </c>
    </row>
    <row r="4508" spans="1:6" hidden="1" x14ac:dyDescent="0.3">
      <c r="A4508" s="6">
        <v>33</v>
      </c>
      <c r="B4508" s="6" t="s">
        <v>147</v>
      </c>
      <c r="C4508" s="6" t="s">
        <v>382</v>
      </c>
      <c r="D4508" s="6" t="s">
        <v>148</v>
      </c>
      <c r="E4508" s="11">
        <v>6.6490268707275391</v>
      </c>
      <c r="F4508" s="11">
        <v>6.8653984069824219</v>
      </c>
    </row>
    <row r="4509" spans="1:6" hidden="1" x14ac:dyDescent="0.3">
      <c r="A4509" s="6">
        <v>33</v>
      </c>
      <c r="B4509" s="6" t="s">
        <v>147</v>
      </c>
      <c r="C4509" s="6" t="s">
        <v>383</v>
      </c>
      <c r="D4509" s="6" t="s">
        <v>148</v>
      </c>
      <c r="E4509" s="11">
        <v>7.3787193298339844</v>
      </c>
      <c r="F4509" s="11">
        <v>6.8653984069824219</v>
      </c>
    </row>
    <row r="4510" spans="1:6" hidden="1" x14ac:dyDescent="0.3">
      <c r="A4510" s="6">
        <v>33</v>
      </c>
      <c r="B4510" s="6" t="s">
        <v>147</v>
      </c>
      <c r="C4510" s="6" t="s">
        <v>384</v>
      </c>
      <c r="D4510" s="6" t="s">
        <v>148</v>
      </c>
      <c r="E4510" s="11">
        <v>7.2783956527709961</v>
      </c>
      <c r="F4510" s="11">
        <v>6.8653984069824219</v>
      </c>
    </row>
    <row r="4511" spans="1:6" hidden="1" x14ac:dyDescent="0.3">
      <c r="A4511" s="6">
        <v>33</v>
      </c>
      <c r="B4511" s="6" t="s">
        <v>147</v>
      </c>
      <c r="C4511" s="6" t="s">
        <v>385</v>
      </c>
      <c r="D4511" s="6" t="s">
        <v>148</v>
      </c>
      <c r="E4511" s="11">
        <v>4.9470787048339844</v>
      </c>
      <c r="F4511" s="11">
        <v>6.8653984069824219</v>
      </c>
    </row>
    <row r="4512" spans="1:6" hidden="1" x14ac:dyDescent="0.3">
      <c r="A4512" s="6">
        <v>33</v>
      </c>
      <c r="B4512" s="6" t="s">
        <v>147</v>
      </c>
      <c r="C4512" s="6" t="s">
        <v>386</v>
      </c>
      <c r="D4512" s="6" t="s">
        <v>148</v>
      </c>
      <c r="E4512" s="11">
        <v>4.0194025039672852</v>
      </c>
      <c r="F4512" s="11">
        <v>6.8653984069824219</v>
      </c>
    </row>
    <row r="4513" spans="1:6" hidden="1" x14ac:dyDescent="0.3">
      <c r="A4513" s="6">
        <v>33</v>
      </c>
      <c r="B4513" s="6" t="s">
        <v>147</v>
      </c>
      <c r="C4513" s="6" t="s">
        <v>387</v>
      </c>
      <c r="D4513" s="6" t="s">
        <v>148</v>
      </c>
      <c r="E4513" s="11">
        <v>9.94989013671875</v>
      </c>
      <c r="F4513" s="11">
        <v>6.8653984069824219</v>
      </c>
    </row>
    <row r="4514" spans="1:6" hidden="1" x14ac:dyDescent="0.3">
      <c r="A4514" s="6">
        <v>33</v>
      </c>
      <c r="B4514" s="6" t="s">
        <v>147</v>
      </c>
      <c r="C4514" s="6" t="s">
        <v>388</v>
      </c>
      <c r="D4514" s="6" t="s">
        <v>148</v>
      </c>
      <c r="E4514" s="11">
        <v>7.0833630561828613</v>
      </c>
      <c r="F4514" s="11">
        <v>6.8653984069824219</v>
      </c>
    </row>
    <row r="4515" spans="1:6" hidden="1" x14ac:dyDescent="0.3">
      <c r="A4515" s="6">
        <v>33</v>
      </c>
      <c r="B4515" s="6" t="s">
        <v>147</v>
      </c>
      <c r="C4515" s="6" t="s">
        <v>389</v>
      </c>
      <c r="D4515" s="6" t="s">
        <v>148</v>
      </c>
      <c r="E4515" s="11">
        <v>6.5503273010253906</v>
      </c>
      <c r="F4515" s="11">
        <v>6.8653984069824219</v>
      </c>
    </row>
    <row r="4516" spans="1:6" hidden="1" x14ac:dyDescent="0.3">
      <c r="A4516" s="6">
        <v>33</v>
      </c>
      <c r="B4516" s="6" t="s">
        <v>147</v>
      </c>
      <c r="C4516" s="6" t="s">
        <v>390</v>
      </c>
      <c r="D4516" s="6" t="s">
        <v>148</v>
      </c>
      <c r="E4516" s="11">
        <v>7.4646954536437988</v>
      </c>
      <c r="F4516" s="11">
        <v>6.8653984069824219</v>
      </c>
    </row>
    <row r="4517" spans="1:6" hidden="1" x14ac:dyDescent="0.3">
      <c r="A4517" s="6">
        <v>33</v>
      </c>
      <c r="B4517" s="6" t="s">
        <v>147</v>
      </c>
      <c r="C4517" s="6" t="s">
        <v>391</v>
      </c>
      <c r="D4517" s="6" t="s">
        <v>148</v>
      </c>
      <c r="E4517" s="11">
        <v>7.9555072784423828</v>
      </c>
      <c r="F4517" s="11">
        <v>6.8653984069824219</v>
      </c>
    </row>
    <row r="4518" spans="1:6" hidden="1" x14ac:dyDescent="0.3">
      <c r="A4518" s="6">
        <v>33</v>
      </c>
      <c r="B4518" s="6" t="s">
        <v>147</v>
      </c>
      <c r="C4518" s="6" t="s">
        <v>392</v>
      </c>
      <c r="D4518" s="6" t="s">
        <v>148</v>
      </c>
      <c r="E4518" s="11">
        <v>6.4088826179504395</v>
      </c>
      <c r="F4518" s="11">
        <v>6.8653984069824219</v>
      </c>
    </row>
    <row r="4519" spans="1:6" hidden="1" x14ac:dyDescent="0.3">
      <c r="A4519" s="6">
        <v>33</v>
      </c>
      <c r="B4519" s="6" t="s">
        <v>147</v>
      </c>
      <c r="C4519" s="6" t="s">
        <v>393</v>
      </c>
      <c r="D4519" s="6" t="s">
        <v>148</v>
      </c>
      <c r="E4519" s="11">
        <v>7.779355525970459</v>
      </c>
      <c r="F4519" s="11">
        <v>6.8653984069824219</v>
      </c>
    </row>
    <row r="4520" spans="1:6" hidden="1" x14ac:dyDescent="0.3">
      <c r="A4520" s="6">
        <v>33</v>
      </c>
      <c r="B4520" s="6" t="s">
        <v>147</v>
      </c>
      <c r="C4520" s="6" t="s">
        <v>394</v>
      </c>
      <c r="D4520" s="6" t="s">
        <v>148</v>
      </c>
      <c r="E4520" s="11">
        <v>6.0674819946289063</v>
      </c>
      <c r="F4520" s="11">
        <v>6.8653984069824219</v>
      </c>
    </row>
    <row r="4521" spans="1:6" hidden="1" x14ac:dyDescent="0.3">
      <c r="A4521" s="6">
        <v>33</v>
      </c>
      <c r="B4521" s="6" t="s">
        <v>147</v>
      </c>
      <c r="C4521" s="6" t="s">
        <v>395</v>
      </c>
      <c r="D4521" s="6" t="s">
        <v>148</v>
      </c>
      <c r="E4521" s="11">
        <v>14.705201148986816</v>
      </c>
      <c r="F4521" s="11">
        <v>6.8653984069824219</v>
      </c>
    </row>
    <row r="4522" spans="1:6" hidden="1" x14ac:dyDescent="0.3">
      <c r="A4522" s="6">
        <v>33</v>
      </c>
      <c r="B4522" s="6" t="s">
        <v>147</v>
      </c>
      <c r="C4522" s="6" t="s">
        <v>396</v>
      </c>
      <c r="D4522" s="6" t="s">
        <v>148</v>
      </c>
      <c r="E4522" s="11">
        <v>5.6308145523071289</v>
      </c>
      <c r="F4522" s="11">
        <v>6.8653984069824219</v>
      </c>
    </row>
    <row r="4523" spans="1:6" hidden="1" x14ac:dyDescent="0.3">
      <c r="A4523" s="6">
        <v>33</v>
      </c>
      <c r="B4523" s="6" t="s">
        <v>147</v>
      </c>
      <c r="C4523" s="6" t="s">
        <v>397</v>
      </c>
      <c r="D4523" s="6" t="s">
        <v>148</v>
      </c>
      <c r="E4523" s="11">
        <v>409.7529296875</v>
      </c>
      <c r="F4523" s="11">
        <v>6.8653984069824219</v>
      </c>
    </row>
    <row r="4524" spans="1:6" hidden="1" x14ac:dyDescent="0.3">
      <c r="A4524" s="6">
        <v>33</v>
      </c>
      <c r="B4524" s="6" t="s">
        <v>147</v>
      </c>
      <c r="C4524" s="6" t="s">
        <v>398</v>
      </c>
      <c r="D4524" s="6" t="s">
        <v>148</v>
      </c>
      <c r="E4524" s="11">
        <v>7.0431833267211914</v>
      </c>
      <c r="F4524" s="11">
        <v>6.8653984069824219</v>
      </c>
    </row>
    <row r="4525" spans="1:6" hidden="1" x14ac:dyDescent="0.3">
      <c r="A4525" s="6">
        <v>33</v>
      </c>
      <c r="B4525" s="6" t="s">
        <v>147</v>
      </c>
      <c r="C4525" s="6" t="s">
        <v>399</v>
      </c>
      <c r="D4525" s="6" t="s">
        <v>148</v>
      </c>
      <c r="E4525" s="11">
        <v>6.5862717628479004</v>
      </c>
      <c r="F4525" s="11">
        <v>6.8653984069824219</v>
      </c>
    </row>
    <row r="4526" spans="1:6" hidden="1" x14ac:dyDescent="0.3">
      <c r="A4526" s="6">
        <v>33</v>
      </c>
      <c r="B4526" s="6" t="s">
        <v>147</v>
      </c>
      <c r="C4526" s="6" t="s">
        <v>400</v>
      </c>
      <c r="D4526" s="6" t="s">
        <v>148</v>
      </c>
      <c r="E4526" s="11">
        <v>7.860018253326416</v>
      </c>
      <c r="F4526" s="11">
        <v>6.8653984069824219</v>
      </c>
    </row>
    <row r="4527" spans="1:6" hidden="1" x14ac:dyDescent="0.3">
      <c r="A4527" s="6">
        <v>33</v>
      </c>
      <c r="B4527" s="6" t="s">
        <v>147</v>
      </c>
      <c r="C4527" s="6" t="s">
        <v>401</v>
      </c>
      <c r="D4527" s="6" t="s">
        <v>148</v>
      </c>
      <c r="E4527" s="11">
        <v>29.755128860473633</v>
      </c>
      <c r="F4527" s="11">
        <v>6.8653984069824219</v>
      </c>
    </row>
    <row r="4528" spans="1:6" hidden="1" x14ac:dyDescent="0.3">
      <c r="A4528" s="6">
        <v>33</v>
      </c>
      <c r="B4528" s="6" t="s">
        <v>147</v>
      </c>
      <c r="C4528" s="6" t="s">
        <v>402</v>
      </c>
      <c r="D4528" s="6" t="s">
        <v>148</v>
      </c>
      <c r="E4528" s="11">
        <v>6.7418861389160156</v>
      </c>
      <c r="F4528" s="11">
        <v>6.8653984069824219</v>
      </c>
    </row>
    <row r="4529" spans="1:6" hidden="1" x14ac:dyDescent="0.3">
      <c r="A4529" s="6">
        <v>33</v>
      </c>
      <c r="B4529" s="6" t="s">
        <v>147</v>
      </c>
      <c r="C4529" s="6" t="s">
        <v>403</v>
      </c>
      <c r="D4529" s="6" t="s">
        <v>148</v>
      </c>
      <c r="E4529" s="11">
        <v>6.9960083961486816</v>
      </c>
      <c r="F4529" s="11">
        <v>6.8653984069824219</v>
      </c>
    </row>
    <row r="4530" spans="1:6" hidden="1" x14ac:dyDescent="0.3">
      <c r="A4530" s="6">
        <v>33</v>
      </c>
      <c r="B4530" s="6" t="s">
        <v>147</v>
      </c>
      <c r="C4530" s="6" t="s">
        <v>404</v>
      </c>
      <c r="D4530" s="6" t="s">
        <v>148</v>
      </c>
      <c r="E4530" s="11">
        <v>6.5572409629821777</v>
      </c>
      <c r="F4530" s="11">
        <v>6.8653984069824219</v>
      </c>
    </row>
    <row r="4531" spans="1:6" hidden="1" x14ac:dyDescent="0.3">
      <c r="A4531" s="6">
        <v>33</v>
      </c>
      <c r="B4531" s="6" t="s">
        <v>147</v>
      </c>
      <c r="C4531" s="6" t="s">
        <v>405</v>
      </c>
      <c r="D4531" s="6" t="s">
        <v>148</v>
      </c>
      <c r="E4531" s="11">
        <v>7.9301371574401855</v>
      </c>
      <c r="F4531" s="11">
        <v>6.8653984069824219</v>
      </c>
    </row>
    <row r="4532" spans="1:6" hidden="1" x14ac:dyDescent="0.3">
      <c r="A4532" s="6">
        <v>33</v>
      </c>
      <c r="B4532" s="6" t="s">
        <v>147</v>
      </c>
      <c r="C4532" s="6" t="s">
        <v>406</v>
      </c>
      <c r="D4532" s="6" t="s">
        <v>148</v>
      </c>
      <c r="E4532" s="11">
        <v>4.7350811958312988</v>
      </c>
      <c r="F4532" s="11">
        <v>6.8653984069824219</v>
      </c>
    </row>
    <row r="4533" spans="1:6" hidden="1" x14ac:dyDescent="0.3">
      <c r="A4533" s="6">
        <v>33</v>
      </c>
      <c r="B4533" s="6" t="s">
        <v>147</v>
      </c>
      <c r="C4533" s="6" t="s">
        <v>407</v>
      </c>
      <c r="D4533" s="6" t="s">
        <v>148</v>
      </c>
      <c r="E4533" s="11">
        <v>5.8755769729614258</v>
      </c>
      <c r="F4533" s="11">
        <v>6.8653984069824219</v>
      </c>
    </row>
    <row r="4534" spans="1:6" hidden="1" x14ac:dyDescent="0.3">
      <c r="A4534" s="6">
        <v>33</v>
      </c>
      <c r="B4534" s="6" t="s">
        <v>147</v>
      </c>
      <c r="C4534" s="6" t="s">
        <v>408</v>
      </c>
      <c r="D4534" s="6" t="s">
        <v>148</v>
      </c>
      <c r="E4534" s="11">
        <v>7.7897133827209473</v>
      </c>
      <c r="F4534" s="11">
        <v>6.8653984069824219</v>
      </c>
    </row>
    <row r="4535" spans="1:6" hidden="1" x14ac:dyDescent="0.3">
      <c r="A4535" s="6">
        <v>33</v>
      </c>
      <c r="B4535" s="6" t="s">
        <v>147</v>
      </c>
      <c r="C4535" s="6" t="s">
        <v>409</v>
      </c>
      <c r="D4535" s="6" t="s">
        <v>148</v>
      </c>
      <c r="E4535" s="11">
        <v>7.4480147361755371</v>
      </c>
      <c r="F4535" s="11">
        <v>6.8653984069824219</v>
      </c>
    </row>
    <row r="4536" spans="1:6" hidden="1" x14ac:dyDescent="0.3">
      <c r="A4536" s="6">
        <v>33</v>
      </c>
      <c r="B4536" s="6" t="s">
        <v>147</v>
      </c>
      <c r="C4536" s="6" t="s">
        <v>410</v>
      </c>
      <c r="D4536" s="6" t="s">
        <v>148</v>
      </c>
      <c r="E4536" s="11">
        <v>7.7243919372558594</v>
      </c>
      <c r="F4536" s="11">
        <v>6.8653984069824219</v>
      </c>
    </row>
    <row r="4537" spans="1:6" hidden="1" x14ac:dyDescent="0.3">
      <c r="A4537" s="6">
        <v>33</v>
      </c>
      <c r="B4537" s="6" t="s">
        <v>147</v>
      </c>
      <c r="C4537" s="6" t="s">
        <v>411</v>
      </c>
      <c r="D4537" s="6" t="s">
        <v>148</v>
      </c>
      <c r="E4537" s="11">
        <v>5.5603666305541992</v>
      </c>
      <c r="F4537" s="11">
        <v>6.8653984069824219</v>
      </c>
    </row>
    <row r="4538" spans="1:6" hidden="1" x14ac:dyDescent="0.3">
      <c r="A4538" s="6">
        <v>33</v>
      </c>
      <c r="B4538" s="6" t="s">
        <v>147</v>
      </c>
      <c r="C4538" s="6" t="s">
        <v>412</v>
      </c>
      <c r="D4538" s="6" t="s">
        <v>148</v>
      </c>
      <c r="E4538" s="11">
        <v>8.3094654083251953</v>
      </c>
      <c r="F4538" s="11">
        <v>6.8653984069824219</v>
      </c>
    </row>
    <row r="4539" spans="1:6" hidden="1" x14ac:dyDescent="0.3">
      <c r="A4539" s="6">
        <v>33</v>
      </c>
      <c r="B4539" s="6" t="s">
        <v>147</v>
      </c>
      <c r="C4539" s="6" t="s">
        <v>413</v>
      </c>
      <c r="D4539" s="6" t="s">
        <v>148</v>
      </c>
      <c r="E4539" s="11">
        <v>6.5567927360534668</v>
      </c>
      <c r="F4539" s="11">
        <v>6.8653984069824219</v>
      </c>
    </row>
    <row r="4540" spans="1:6" hidden="1" x14ac:dyDescent="0.3">
      <c r="A4540" s="6">
        <v>33</v>
      </c>
      <c r="B4540" s="6" t="s">
        <v>147</v>
      </c>
      <c r="C4540" s="6" t="s">
        <v>414</v>
      </c>
      <c r="D4540" s="6" t="s">
        <v>148</v>
      </c>
      <c r="E4540" s="11">
        <v>7.4775352478027344</v>
      </c>
      <c r="F4540" s="11">
        <v>6.8653984069824219</v>
      </c>
    </row>
    <row r="4541" spans="1:6" hidden="1" x14ac:dyDescent="0.3">
      <c r="A4541" s="6">
        <v>33</v>
      </c>
      <c r="B4541" s="6" t="s">
        <v>147</v>
      </c>
      <c r="C4541" s="6" t="s">
        <v>415</v>
      </c>
      <c r="D4541" s="6" t="s">
        <v>148</v>
      </c>
      <c r="E4541" s="11">
        <v>86.244438171386719</v>
      </c>
      <c r="F4541" s="11">
        <v>6.8653984069824219</v>
      </c>
    </row>
    <row r="4542" spans="1:6" hidden="1" x14ac:dyDescent="0.3">
      <c r="A4542" s="6">
        <v>33</v>
      </c>
      <c r="B4542" s="6" t="s">
        <v>147</v>
      </c>
      <c r="C4542" s="6" t="s">
        <v>416</v>
      </c>
      <c r="D4542" s="6" t="s">
        <v>148</v>
      </c>
      <c r="E4542" s="11">
        <v>7.9106779098510742</v>
      </c>
      <c r="F4542" s="11">
        <v>6.8653984069824219</v>
      </c>
    </row>
    <row r="4543" spans="1:6" hidden="1" x14ac:dyDescent="0.3">
      <c r="A4543" s="6">
        <v>33</v>
      </c>
      <c r="B4543" s="6" t="s">
        <v>147</v>
      </c>
      <c r="C4543" s="6" t="s">
        <v>417</v>
      </c>
      <c r="D4543" s="6" t="s">
        <v>148</v>
      </c>
      <c r="E4543" s="11">
        <v>8.8922042846679688</v>
      </c>
      <c r="F4543" s="11">
        <v>6.8653984069824219</v>
      </c>
    </row>
    <row r="4544" spans="1:6" hidden="1" x14ac:dyDescent="0.3">
      <c r="A4544" s="6">
        <v>33</v>
      </c>
      <c r="B4544" s="6" t="s">
        <v>147</v>
      </c>
      <c r="C4544" s="6" t="s">
        <v>418</v>
      </c>
      <c r="D4544" s="6" t="s">
        <v>148</v>
      </c>
      <c r="E4544" s="11">
        <v>3.6993837356567383</v>
      </c>
      <c r="F4544" s="11">
        <v>6.8653984069824219</v>
      </c>
    </row>
    <row r="4545" spans="1:6" hidden="1" x14ac:dyDescent="0.3">
      <c r="A4545" s="6">
        <v>33</v>
      </c>
      <c r="B4545" s="6" t="s">
        <v>147</v>
      </c>
      <c r="C4545" s="6" t="s">
        <v>419</v>
      </c>
      <c r="D4545" s="6" t="s">
        <v>148</v>
      </c>
      <c r="E4545" s="11">
        <v>24.283586502075195</v>
      </c>
      <c r="F4545" s="11">
        <v>6.8653984069824219</v>
      </c>
    </row>
    <row r="4546" spans="1:6" hidden="1" x14ac:dyDescent="0.3">
      <c r="A4546" s="6">
        <v>33</v>
      </c>
      <c r="B4546" s="6" t="s">
        <v>147</v>
      </c>
      <c r="C4546" s="6" t="s">
        <v>420</v>
      </c>
      <c r="D4546" s="6" t="s">
        <v>148</v>
      </c>
      <c r="E4546" s="11">
        <v>4.4560990333557129</v>
      </c>
      <c r="F4546" s="11">
        <v>6.8653984069824219</v>
      </c>
    </row>
    <row r="4547" spans="1:6" hidden="1" x14ac:dyDescent="0.3">
      <c r="A4547" s="6">
        <v>33</v>
      </c>
      <c r="B4547" s="6" t="s">
        <v>147</v>
      </c>
      <c r="C4547" s="6" t="s">
        <v>421</v>
      </c>
      <c r="D4547" s="6" t="s">
        <v>148</v>
      </c>
      <c r="E4547" s="11">
        <v>7.4502372741699219</v>
      </c>
      <c r="F4547" s="11">
        <v>6.8653984069824219</v>
      </c>
    </row>
    <row r="4548" spans="1:6" hidden="1" x14ac:dyDescent="0.3">
      <c r="A4548" s="6">
        <v>33</v>
      </c>
      <c r="B4548" s="6" t="s">
        <v>147</v>
      </c>
      <c r="C4548" s="6" t="s">
        <v>422</v>
      </c>
      <c r="D4548" s="6" t="s">
        <v>148</v>
      </c>
      <c r="E4548" s="11">
        <v>6.398167610168457</v>
      </c>
      <c r="F4548" s="11">
        <v>6.8653984069824219</v>
      </c>
    </row>
    <row r="4549" spans="1:6" hidden="1" x14ac:dyDescent="0.3">
      <c r="A4549" s="6">
        <v>33</v>
      </c>
      <c r="B4549" s="6" t="s">
        <v>147</v>
      </c>
      <c r="C4549" s="6" t="s">
        <v>423</v>
      </c>
      <c r="D4549" s="6" t="s">
        <v>148</v>
      </c>
      <c r="E4549" s="11">
        <v>6.9144468307495117</v>
      </c>
      <c r="F4549" s="11">
        <v>6.8653984069824219</v>
      </c>
    </row>
    <row r="4550" spans="1:6" hidden="1" x14ac:dyDescent="0.3">
      <c r="A4550" s="6">
        <v>33</v>
      </c>
      <c r="B4550" s="6" t="s">
        <v>147</v>
      </c>
      <c r="C4550" s="6" t="s">
        <v>424</v>
      </c>
      <c r="D4550" s="6" t="s">
        <v>148</v>
      </c>
      <c r="E4550" s="11">
        <v>7.859797477722168</v>
      </c>
      <c r="F4550" s="11">
        <v>6.8653984069824219</v>
      </c>
    </row>
    <row r="4551" spans="1:6" hidden="1" x14ac:dyDescent="0.3">
      <c r="A4551" s="6">
        <v>33</v>
      </c>
      <c r="B4551" s="6" t="s">
        <v>147</v>
      </c>
      <c r="C4551" s="6" t="s">
        <v>425</v>
      </c>
      <c r="D4551" s="6" t="s">
        <v>148</v>
      </c>
      <c r="E4551" s="11">
        <v>6.8467669486999512</v>
      </c>
      <c r="F4551" s="11">
        <v>6.8653984069824219</v>
      </c>
    </row>
    <row r="4552" spans="1:6" hidden="1" x14ac:dyDescent="0.3">
      <c r="A4552" s="6">
        <v>33</v>
      </c>
      <c r="B4552" s="6" t="s">
        <v>147</v>
      </c>
      <c r="C4552" s="6" t="s">
        <v>426</v>
      </c>
      <c r="D4552" s="6" t="s">
        <v>148</v>
      </c>
      <c r="E4552" s="11">
        <v>5.7491345405578613</v>
      </c>
      <c r="F4552" s="11">
        <v>6.8653984069824219</v>
      </c>
    </row>
    <row r="4553" spans="1:6" hidden="1" x14ac:dyDescent="0.3">
      <c r="A4553" s="6">
        <v>33</v>
      </c>
      <c r="B4553" s="6" t="s">
        <v>147</v>
      </c>
      <c r="C4553" s="6" t="s">
        <v>427</v>
      </c>
      <c r="D4553" s="6" t="s">
        <v>148</v>
      </c>
      <c r="E4553" s="11">
        <v>11.260019302368164</v>
      </c>
      <c r="F4553" s="11">
        <v>6.8653984069824219</v>
      </c>
    </row>
    <row r="4554" spans="1:6" hidden="1" x14ac:dyDescent="0.3">
      <c r="A4554" s="6">
        <v>33</v>
      </c>
      <c r="B4554" s="6" t="s">
        <v>147</v>
      </c>
      <c r="C4554" s="6" t="s">
        <v>428</v>
      </c>
      <c r="D4554" s="6" t="s">
        <v>148</v>
      </c>
      <c r="E4554" s="11"/>
      <c r="F4554" s="11">
        <v>6.8653984069824219</v>
      </c>
    </row>
    <row r="4555" spans="1:6" hidden="1" x14ac:dyDescent="0.3">
      <c r="A4555" s="6">
        <v>33</v>
      </c>
      <c r="B4555" s="6" t="s">
        <v>147</v>
      </c>
      <c r="C4555" s="6" t="s">
        <v>429</v>
      </c>
      <c r="D4555" s="6" t="s">
        <v>148</v>
      </c>
      <c r="E4555" s="11">
        <v>15.215824127197266</v>
      </c>
      <c r="F4555" s="11">
        <v>6.8653984069824219</v>
      </c>
    </row>
    <row r="4556" spans="1:6" hidden="1" x14ac:dyDescent="0.3">
      <c r="A4556" s="6">
        <v>33</v>
      </c>
      <c r="B4556" s="6" t="s">
        <v>147</v>
      </c>
      <c r="C4556" s="6" t="s">
        <v>430</v>
      </c>
      <c r="D4556" s="6" t="s">
        <v>148</v>
      </c>
      <c r="E4556" s="11">
        <v>3.6945300102233887</v>
      </c>
      <c r="F4556" s="11">
        <v>6.8653984069824219</v>
      </c>
    </row>
    <row r="4557" spans="1:6" hidden="1" x14ac:dyDescent="0.3">
      <c r="A4557" s="6">
        <v>33</v>
      </c>
      <c r="B4557" s="6" t="s">
        <v>147</v>
      </c>
      <c r="C4557" s="6" t="s">
        <v>431</v>
      </c>
      <c r="D4557" s="6" t="s">
        <v>148</v>
      </c>
      <c r="E4557" s="11">
        <v>5.8399558067321777</v>
      </c>
      <c r="F4557" s="11">
        <v>6.8653984069824219</v>
      </c>
    </row>
    <row r="4558" spans="1:6" hidden="1" x14ac:dyDescent="0.3">
      <c r="A4558" s="6">
        <v>33</v>
      </c>
      <c r="B4558" s="6" t="s">
        <v>147</v>
      </c>
      <c r="C4558" s="6" t="s">
        <v>432</v>
      </c>
      <c r="D4558" s="6" t="s">
        <v>148</v>
      </c>
      <c r="E4558" s="11">
        <v>6.8139238357543945</v>
      </c>
      <c r="F4558" s="11">
        <v>6.8653984069824219</v>
      </c>
    </row>
    <row r="4559" spans="1:6" hidden="1" x14ac:dyDescent="0.3">
      <c r="A4559" s="6">
        <v>33</v>
      </c>
      <c r="B4559" s="6" t="s">
        <v>147</v>
      </c>
      <c r="C4559" s="6" t="s">
        <v>433</v>
      </c>
      <c r="D4559" s="6" t="s">
        <v>148</v>
      </c>
      <c r="E4559" s="11">
        <v>6.4019579887390137</v>
      </c>
      <c r="F4559" s="11">
        <v>6.8653984069824219</v>
      </c>
    </row>
    <row r="4560" spans="1:6" hidden="1" x14ac:dyDescent="0.3">
      <c r="A4560" s="6">
        <v>33</v>
      </c>
      <c r="B4560" s="6" t="s">
        <v>147</v>
      </c>
      <c r="C4560" s="6" t="s">
        <v>434</v>
      </c>
      <c r="D4560" s="6" t="s">
        <v>148</v>
      </c>
      <c r="E4560" s="11">
        <v>3.6997783184051514</v>
      </c>
      <c r="F4560" s="11">
        <v>6.8653984069824219</v>
      </c>
    </row>
    <row r="4561" spans="1:6" hidden="1" x14ac:dyDescent="0.3">
      <c r="A4561" s="6">
        <v>33</v>
      </c>
      <c r="B4561" s="6" t="s">
        <v>147</v>
      </c>
      <c r="C4561" s="6" t="s">
        <v>435</v>
      </c>
      <c r="D4561" s="6" t="s">
        <v>148</v>
      </c>
      <c r="E4561" s="11">
        <v>10.88299560546875</v>
      </c>
      <c r="F4561" s="11">
        <v>6.8653984069824219</v>
      </c>
    </row>
    <row r="4562" spans="1:6" hidden="1" x14ac:dyDescent="0.3">
      <c r="A4562" s="6">
        <v>33</v>
      </c>
      <c r="B4562" s="6" t="s">
        <v>147</v>
      </c>
      <c r="C4562" s="6" t="s">
        <v>436</v>
      </c>
      <c r="D4562" s="6" t="s">
        <v>148</v>
      </c>
      <c r="E4562" s="11">
        <v>8.4363832473754883</v>
      </c>
      <c r="F4562" s="11">
        <v>6.8653984069824219</v>
      </c>
    </row>
    <row r="4563" spans="1:6" hidden="1" x14ac:dyDescent="0.3">
      <c r="A4563" s="6">
        <v>33</v>
      </c>
      <c r="B4563" s="6" t="s">
        <v>147</v>
      </c>
      <c r="C4563" s="6" t="s">
        <v>437</v>
      </c>
      <c r="D4563" s="6" t="s">
        <v>148</v>
      </c>
      <c r="E4563" s="11">
        <v>7.5086879730224609</v>
      </c>
      <c r="F4563" s="11">
        <v>6.8653984069824219</v>
      </c>
    </row>
    <row r="4564" spans="1:6" hidden="1" x14ac:dyDescent="0.3">
      <c r="A4564" s="6">
        <v>33</v>
      </c>
      <c r="B4564" s="6" t="s">
        <v>147</v>
      </c>
      <c r="C4564" s="6" t="s">
        <v>438</v>
      </c>
      <c r="D4564" s="6" t="s">
        <v>148</v>
      </c>
      <c r="E4564" s="11">
        <v>127.99055480957031</v>
      </c>
      <c r="F4564" s="11">
        <v>6.8653984069824219</v>
      </c>
    </row>
    <row r="4565" spans="1:6" hidden="1" x14ac:dyDescent="0.3">
      <c r="A4565" s="6">
        <v>33</v>
      </c>
      <c r="B4565" s="6" t="s">
        <v>147</v>
      </c>
      <c r="C4565" s="6" t="s">
        <v>439</v>
      </c>
      <c r="D4565" s="6" t="s">
        <v>148</v>
      </c>
      <c r="E4565" s="11">
        <v>5.7714328765869141</v>
      </c>
      <c r="F4565" s="11">
        <v>6.8653984069824219</v>
      </c>
    </row>
    <row r="4566" spans="1:6" hidden="1" x14ac:dyDescent="0.3">
      <c r="A4566" s="6">
        <v>33</v>
      </c>
      <c r="B4566" s="6" t="s">
        <v>147</v>
      </c>
      <c r="C4566" s="6" t="s">
        <v>440</v>
      </c>
      <c r="D4566" s="6" t="s">
        <v>148</v>
      </c>
      <c r="E4566" s="11">
        <v>5.6041626930236816</v>
      </c>
      <c r="F4566" s="11">
        <v>6.8653984069824219</v>
      </c>
    </row>
    <row r="4567" spans="1:6" hidden="1" x14ac:dyDescent="0.3">
      <c r="A4567" s="6">
        <v>33</v>
      </c>
      <c r="B4567" s="6" t="s">
        <v>147</v>
      </c>
      <c r="C4567" s="6" t="s">
        <v>441</v>
      </c>
      <c r="D4567" s="6" t="s">
        <v>148</v>
      </c>
      <c r="E4567" s="11">
        <v>12.812495231628418</v>
      </c>
      <c r="F4567" s="11">
        <v>6.8653984069824219</v>
      </c>
    </row>
    <row r="4568" spans="1:6" hidden="1" x14ac:dyDescent="0.3">
      <c r="A4568" s="6">
        <v>33</v>
      </c>
      <c r="B4568" s="6" t="s">
        <v>147</v>
      </c>
      <c r="C4568" s="6" t="s">
        <v>442</v>
      </c>
      <c r="D4568" s="6" t="s">
        <v>148</v>
      </c>
      <c r="E4568" s="11">
        <v>7.7412552833557129</v>
      </c>
      <c r="F4568" s="11">
        <v>6.8653984069824219</v>
      </c>
    </row>
    <row r="4569" spans="1:6" hidden="1" x14ac:dyDescent="0.3">
      <c r="A4569" s="6">
        <v>33</v>
      </c>
      <c r="B4569" s="6" t="s">
        <v>147</v>
      </c>
      <c r="C4569" s="6" t="s">
        <v>443</v>
      </c>
      <c r="D4569" s="6" t="s">
        <v>148</v>
      </c>
      <c r="E4569" s="11">
        <v>10.21347713470459</v>
      </c>
      <c r="F4569" s="11">
        <v>6.8653984069824219</v>
      </c>
    </row>
    <row r="4570" spans="1:6" hidden="1" x14ac:dyDescent="0.3">
      <c r="A4570" s="6">
        <v>33</v>
      </c>
      <c r="B4570" s="6" t="s">
        <v>147</v>
      </c>
      <c r="C4570" s="6" t="s">
        <v>444</v>
      </c>
      <c r="D4570" s="6" t="s">
        <v>148</v>
      </c>
      <c r="E4570" s="11">
        <v>4.6625885963439941</v>
      </c>
      <c r="F4570" s="11">
        <v>6.8653984069824219</v>
      </c>
    </row>
    <row r="4571" spans="1:6" hidden="1" x14ac:dyDescent="0.3">
      <c r="A4571" s="6">
        <v>33</v>
      </c>
      <c r="B4571" s="6" t="s">
        <v>147</v>
      </c>
      <c r="C4571" s="6" t="s">
        <v>445</v>
      </c>
      <c r="D4571" s="6" t="s">
        <v>148</v>
      </c>
      <c r="E4571" s="11">
        <v>6.6557765007019043</v>
      </c>
      <c r="F4571" s="11">
        <v>6.8653984069824219</v>
      </c>
    </row>
    <row r="4572" spans="1:6" hidden="1" x14ac:dyDescent="0.3">
      <c r="A4572" s="6">
        <v>33</v>
      </c>
      <c r="B4572" s="6" t="s">
        <v>147</v>
      </c>
      <c r="C4572" s="6" t="s">
        <v>446</v>
      </c>
      <c r="D4572" s="6" t="s">
        <v>148</v>
      </c>
      <c r="E4572" s="11">
        <v>3.6705524921417236</v>
      </c>
      <c r="F4572" s="11">
        <v>6.8653984069824219</v>
      </c>
    </row>
    <row r="4573" spans="1:6" hidden="1" x14ac:dyDescent="0.3">
      <c r="A4573" s="6">
        <v>33</v>
      </c>
      <c r="B4573" s="6" t="s">
        <v>147</v>
      </c>
      <c r="C4573" s="6" t="s">
        <v>447</v>
      </c>
      <c r="D4573" s="6" t="s">
        <v>148</v>
      </c>
      <c r="E4573" s="11">
        <v>8.211766242980957</v>
      </c>
      <c r="F4573" s="11">
        <v>6.8653984069824219</v>
      </c>
    </row>
    <row r="4574" spans="1:6" hidden="1" x14ac:dyDescent="0.3">
      <c r="A4574" s="6">
        <v>33</v>
      </c>
      <c r="B4574" s="6" t="s">
        <v>147</v>
      </c>
      <c r="C4574" s="6" t="s">
        <v>448</v>
      </c>
      <c r="D4574" s="6" t="s">
        <v>148</v>
      </c>
      <c r="E4574" s="11">
        <v>8.5047578811645508</v>
      </c>
      <c r="F4574" s="11">
        <v>6.8653984069824219</v>
      </c>
    </row>
    <row r="4575" spans="1:6" hidden="1" x14ac:dyDescent="0.3">
      <c r="A4575" s="6">
        <v>33</v>
      </c>
      <c r="B4575" s="6" t="s">
        <v>147</v>
      </c>
      <c r="C4575" s="6" t="s">
        <v>449</v>
      </c>
      <c r="D4575" s="6" t="s">
        <v>148</v>
      </c>
      <c r="E4575" s="11">
        <v>3.275972843170166</v>
      </c>
      <c r="F4575" s="11">
        <v>6.8653984069824219</v>
      </c>
    </row>
    <row r="4576" spans="1:6" hidden="1" x14ac:dyDescent="0.3">
      <c r="A4576" s="6">
        <v>33</v>
      </c>
      <c r="B4576" s="6" t="s">
        <v>147</v>
      </c>
      <c r="C4576" s="6" t="s">
        <v>450</v>
      </c>
      <c r="D4576" s="6" t="s">
        <v>148</v>
      </c>
      <c r="E4576" s="11">
        <v>7.0542593002319336</v>
      </c>
      <c r="F4576" s="11">
        <v>6.8653984069824219</v>
      </c>
    </row>
    <row r="4577" spans="1:6" hidden="1" x14ac:dyDescent="0.3">
      <c r="A4577" s="6">
        <v>33</v>
      </c>
      <c r="B4577" s="6" t="s">
        <v>147</v>
      </c>
      <c r="C4577" s="6" t="s">
        <v>451</v>
      </c>
      <c r="D4577" s="6" t="s">
        <v>148</v>
      </c>
      <c r="E4577" s="11">
        <v>15.031619071960449</v>
      </c>
      <c r="F4577" s="11">
        <v>6.8653984069824219</v>
      </c>
    </row>
    <row r="4578" spans="1:6" hidden="1" x14ac:dyDescent="0.3">
      <c r="A4578" s="6">
        <v>33</v>
      </c>
      <c r="B4578" s="6" t="s">
        <v>147</v>
      </c>
      <c r="C4578" s="6" t="s">
        <v>452</v>
      </c>
      <c r="D4578" s="6" t="s">
        <v>148</v>
      </c>
      <c r="E4578" s="11">
        <v>11.198956489562988</v>
      </c>
      <c r="F4578" s="11">
        <v>6.8653984069824219</v>
      </c>
    </row>
    <row r="4579" spans="1:6" hidden="1" x14ac:dyDescent="0.3">
      <c r="A4579" s="6">
        <v>33</v>
      </c>
      <c r="B4579" s="6" t="s">
        <v>147</v>
      </c>
      <c r="C4579" s="6" t="s">
        <v>453</v>
      </c>
      <c r="D4579" s="6" t="s">
        <v>148</v>
      </c>
      <c r="E4579" s="11">
        <v>4.5635695457458496</v>
      </c>
      <c r="F4579" s="11">
        <v>6.8653984069824219</v>
      </c>
    </row>
    <row r="4580" spans="1:6" hidden="1" x14ac:dyDescent="0.3">
      <c r="A4580" s="6">
        <v>33</v>
      </c>
      <c r="B4580" s="6" t="s">
        <v>147</v>
      </c>
      <c r="C4580" s="6" t="s">
        <v>454</v>
      </c>
      <c r="D4580" s="6" t="s">
        <v>148</v>
      </c>
      <c r="E4580" s="11">
        <v>5.6360411643981934</v>
      </c>
      <c r="F4580" s="11">
        <v>6.8653984069824219</v>
      </c>
    </row>
    <row r="4581" spans="1:6" hidden="1" x14ac:dyDescent="0.3">
      <c r="A4581" s="6">
        <v>33</v>
      </c>
      <c r="B4581" s="6" t="s">
        <v>147</v>
      </c>
      <c r="C4581" s="6" t="s">
        <v>455</v>
      </c>
      <c r="D4581" s="6" t="s">
        <v>148</v>
      </c>
      <c r="E4581" s="11">
        <v>4.818695068359375</v>
      </c>
      <c r="F4581" s="11">
        <v>6.8653984069824219</v>
      </c>
    </row>
    <row r="4582" spans="1:6" hidden="1" x14ac:dyDescent="0.3">
      <c r="A4582" s="6">
        <v>33</v>
      </c>
      <c r="B4582" s="6" t="s">
        <v>147</v>
      </c>
      <c r="C4582" s="6" t="s">
        <v>456</v>
      </c>
      <c r="D4582" s="6" t="s">
        <v>148</v>
      </c>
      <c r="E4582" s="11">
        <v>6.3852205276489258</v>
      </c>
      <c r="F4582" s="11">
        <v>6.8653984069824219</v>
      </c>
    </row>
    <row r="4583" spans="1:6" hidden="1" x14ac:dyDescent="0.3">
      <c r="A4583" s="6">
        <v>33</v>
      </c>
      <c r="B4583" s="6" t="s">
        <v>147</v>
      </c>
      <c r="C4583" s="6" t="s">
        <v>457</v>
      </c>
      <c r="D4583" s="6" t="s">
        <v>148</v>
      </c>
      <c r="E4583" s="11">
        <v>7.8849940299987793</v>
      </c>
      <c r="F4583" s="11">
        <v>6.8653984069824219</v>
      </c>
    </row>
    <row r="4584" spans="1:6" hidden="1" x14ac:dyDescent="0.3">
      <c r="A4584" s="6">
        <v>33</v>
      </c>
      <c r="B4584" s="6" t="s">
        <v>147</v>
      </c>
      <c r="C4584" s="6" t="s">
        <v>458</v>
      </c>
      <c r="D4584" s="6" t="s">
        <v>148</v>
      </c>
      <c r="E4584" s="11">
        <v>5.679783821105957</v>
      </c>
      <c r="F4584" s="11">
        <v>6.8653984069824219</v>
      </c>
    </row>
    <row r="4585" spans="1:6" hidden="1" x14ac:dyDescent="0.3">
      <c r="A4585" s="6">
        <v>33</v>
      </c>
      <c r="B4585" s="6" t="s">
        <v>147</v>
      </c>
      <c r="C4585" s="6" t="s">
        <v>459</v>
      </c>
      <c r="D4585" s="6" t="s">
        <v>148</v>
      </c>
      <c r="E4585" s="11">
        <v>5.7824616432189941</v>
      </c>
      <c r="F4585" s="11">
        <v>6.8653984069824219</v>
      </c>
    </row>
    <row r="4586" spans="1:6" hidden="1" x14ac:dyDescent="0.3">
      <c r="A4586" s="6">
        <v>33</v>
      </c>
      <c r="B4586" s="6" t="s">
        <v>147</v>
      </c>
      <c r="C4586" s="6" t="s">
        <v>460</v>
      </c>
      <c r="D4586" s="6" t="s">
        <v>148</v>
      </c>
      <c r="E4586" s="11">
        <v>22.266031265258789</v>
      </c>
      <c r="F4586" s="11">
        <v>6.8653984069824219</v>
      </c>
    </row>
    <row r="4587" spans="1:6" hidden="1" x14ac:dyDescent="0.3">
      <c r="A4587" s="6">
        <v>33</v>
      </c>
      <c r="B4587" s="6" t="s">
        <v>147</v>
      </c>
      <c r="C4587" s="6" t="s">
        <v>461</v>
      </c>
      <c r="D4587" s="6" t="s">
        <v>148</v>
      </c>
      <c r="E4587" s="11">
        <v>5.8408474922180176</v>
      </c>
      <c r="F4587" s="11">
        <v>6.8653984069824219</v>
      </c>
    </row>
    <row r="4588" spans="1:6" hidden="1" x14ac:dyDescent="0.3">
      <c r="A4588" s="6">
        <v>33</v>
      </c>
      <c r="B4588" s="6" t="s">
        <v>147</v>
      </c>
      <c r="C4588" s="6" t="s">
        <v>462</v>
      </c>
      <c r="D4588" s="6" t="s">
        <v>148</v>
      </c>
      <c r="E4588" s="11">
        <v>3.2712643146514893</v>
      </c>
      <c r="F4588" s="11">
        <v>6.8653984069824219</v>
      </c>
    </row>
    <row r="4589" spans="1:6" hidden="1" x14ac:dyDescent="0.3">
      <c r="A4589" s="6">
        <v>33</v>
      </c>
      <c r="B4589" s="6" t="s">
        <v>147</v>
      </c>
      <c r="C4589" s="6" t="s">
        <v>463</v>
      </c>
      <c r="D4589" s="6" t="s">
        <v>148</v>
      </c>
      <c r="E4589" s="11">
        <v>8.4102468490600586</v>
      </c>
      <c r="F4589" s="11">
        <v>6.8653984069824219</v>
      </c>
    </row>
    <row r="4590" spans="1:6" hidden="1" x14ac:dyDescent="0.3">
      <c r="A4590" s="6">
        <v>33</v>
      </c>
      <c r="B4590" s="6" t="s">
        <v>147</v>
      </c>
      <c r="C4590" s="6" t="s">
        <v>464</v>
      </c>
      <c r="D4590" s="6" t="s">
        <v>148</v>
      </c>
      <c r="E4590" s="11">
        <v>6.5097689628601074</v>
      </c>
      <c r="F4590" s="11">
        <v>6.8653984069824219</v>
      </c>
    </row>
    <row r="4591" spans="1:6" hidden="1" x14ac:dyDescent="0.3">
      <c r="A4591" s="6">
        <v>33</v>
      </c>
      <c r="B4591" s="6" t="s">
        <v>147</v>
      </c>
      <c r="C4591" s="6" t="s">
        <v>465</v>
      </c>
      <c r="D4591" s="6" t="s">
        <v>148</v>
      </c>
      <c r="E4591" s="11">
        <v>9.5578069686889648</v>
      </c>
      <c r="F4591" s="11">
        <v>6.8653984069824219</v>
      </c>
    </row>
    <row r="4592" spans="1:6" hidden="1" x14ac:dyDescent="0.3">
      <c r="A4592" s="6">
        <v>33</v>
      </c>
      <c r="B4592" s="6" t="s">
        <v>147</v>
      </c>
      <c r="C4592" s="6" t="s">
        <v>466</v>
      </c>
      <c r="D4592" s="6" t="s">
        <v>148</v>
      </c>
      <c r="E4592" s="11">
        <v>6.5356903076171875</v>
      </c>
      <c r="F4592" s="11">
        <v>6.8653984069824219</v>
      </c>
    </row>
    <row r="4593" spans="1:6" hidden="1" x14ac:dyDescent="0.3">
      <c r="A4593" s="6">
        <v>33</v>
      </c>
      <c r="B4593" s="6" t="s">
        <v>147</v>
      </c>
      <c r="C4593" s="6" t="s">
        <v>467</v>
      </c>
      <c r="D4593" s="6" t="s">
        <v>148</v>
      </c>
      <c r="E4593" s="11">
        <v>6.7041659355163574</v>
      </c>
      <c r="F4593" s="11">
        <v>6.8653984069824219</v>
      </c>
    </row>
    <row r="4594" spans="1:6" hidden="1" x14ac:dyDescent="0.3">
      <c r="A4594" s="6">
        <v>33</v>
      </c>
      <c r="B4594" s="6" t="s">
        <v>147</v>
      </c>
      <c r="C4594" s="6" t="s">
        <v>468</v>
      </c>
      <c r="D4594" s="6" t="s">
        <v>148</v>
      </c>
      <c r="E4594" s="11">
        <v>21.801259994506836</v>
      </c>
      <c r="F4594" s="11">
        <v>6.8653984069824219</v>
      </c>
    </row>
    <row r="4595" spans="1:6" hidden="1" x14ac:dyDescent="0.3">
      <c r="A4595" s="6">
        <v>33</v>
      </c>
      <c r="B4595" s="6" t="s">
        <v>147</v>
      </c>
      <c r="C4595" s="6" t="s">
        <v>469</v>
      </c>
      <c r="D4595" s="6" t="s">
        <v>148</v>
      </c>
      <c r="E4595" s="11">
        <v>6.2584381103515625</v>
      </c>
      <c r="F4595" s="11">
        <v>6.8653984069824219</v>
      </c>
    </row>
    <row r="4596" spans="1:6" hidden="1" x14ac:dyDescent="0.3">
      <c r="A4596" s="6">
        <v>33</v>
      </c>
      <c r="B4596" s="6" t="s">
        <v>147</v>
      </c>
      <c r="C4596" s="6" t="s">
        <v>470</v>
      </c>
      <c r="D4596" s="6" t="s">
        <v>148</v>
      </c>
      <c r="E4596" s="11">
        <v>5.7640800476074219</v>
      </c>
      <c r="F4596" s="11">
        <v>6.8653984069824219</v>
      </c>
    </row>
    <row r="4597" spans="1:6" hidden="1" x14ac:dyDescent="0.3">
      <c r="A4597" s="6">
        <v>33</v>
      </c>
      <c r="B4597" s="6" t="s">
        <v>147</v>
      </c>
      <c r="C4597" s="6" t="s">
        <v>471</v>
      </c>
      <c r="D4597" s="6" t="s">
        <v>148</v>
      </c>
      <c r="E4597" s="11">
        <v>4.997469425201416</v>
      </c>
      <c r="F4597" s="11">
        <v>6.8653984069824219</v>
      </c>
    </row>
    <row r="4598" spans="1:6" hidden="1" x14ac:dyDescent="0.3">
      <c r="A4598" s="6">
        <v>33</v>
      </c>
      <c r="B4598" s="6" t="s">
        <v>147</v>
      </c>
      <c r="C4598" s="6" t="s">
        <v>472</v>
      </c>
      <c r="D4598" s="6" t="s">
        <v>148</v>
      </c>
      <c r="E4598" s="11">
        <v>7.3346943855285645</v>
      </c>
      <c r="F4598" s="11">
        <v>6.8653984069824219</v>
      </c>
    </row>
    <row r="4599" spans="1:6" hidden="1" x14ac:dyDescent="0.3">
      <c r="A4599" s="6">
        <v>33</v>
      </c>
      <c r="B4599" s="6" t="s">
        <v>147</v>
      </c>
      <c r="C4599" s="6" t="s">
        <v>473</v>
      </c>
      <c r="D4599" s="6" t="s">
        <v>148</v>
      </c>
      <c r="E4599" s="11">
        <v>6.8114309310913086</v>
      </c>
      <c r="F4599" s="11">
        <v>6.8653984069824219</v>
      </c>
    </row>
    <row r="4600" spans="1:6" hidden="1" x14ac:dyDescent="0.3">
      <c r="A4600" s="6">
        <v>33</v>
      </c>
      <c r="B4600" s="6" t="s">
        <v>147</v>
      </c>
      <c r="C4600" s="6" t="s">
        <v>474</v>
      </c>
      <c r="D4600" s="6" t="s">
        <v>148</v>
      </c>
      <c r="E4600" s="11">
        <v>10.173108100891113</v>
      </c>
      <c r="F4600" s="11">
        <v>6.8653984069824219</v>
      </c>
    </row>
    <row r="4601" spans="1:6" hidden="1" x14ac:dyDescent="0.3">
      <c r="A4601" s="6">
        <v>33</v>
      </c>
      <c r="B4601" s="6" t="s">
        <v>147</v>
      </c>
      <c r="C4601" s="6" t="s">
        <v>475</v>
      </c>
      <c r="D4601" s="6" t="s">
        <v>148</v>
      </c>
      <c r="E4601" s="11">
        <v>6.167081356048584</v>
      </c>
      <c r="F4601" s="11">
        <v>6.8653984069824219</v>
      </c>
    </row>
    <row r="4602" spans="1:6" hidden="1" x14ac:dyDescent="0.3">
      <c r="A4602" s="6">
        <v>33</v>
      </c>
      <c r="B4602" s="6" t="s">
        <v>147</v>
      </c>
      <c r="C4602" s="6" t="s">
        <v>476</v>
      </c>
      <c r="D4602" s="6" t="s">
        <v>148</v>
      </c>
      <c r="E4602" s="11">
        <v>3.9345030784606934</v>
      </c>
      <c r="F4602" s="11">
        <v>6.8653984069824219</v>
      </c>
    </row>
    <row r="4603" spans="1:6" hidden="1" x14ac:dyDescent="0.3">
      <c r="A4603" s="6">
        <v>33</v>
      </c>
      <c r="B4603" s="6" t="s">
        <v>147</v>
      </c>
      <c r="C4603" s="6" t="s">
        <v>477</v>
      </c>
      <c r="D4603" s="6" t="s">
        <v>148</v>
      </c>
      <c r="E4603" s="11">
        <v>8.1737251281738281</v>
      </c>
      <c r="F4603" s="11">
        <v>6.8653984069824219</v>
      </c>
    </row>
    <row r="4604" spans="1:6" hidden="1" x14ac:dyDescent="0.3">
      <c r="A4604" s="6">
        <v>33</v>
      </c>
      <c r="B4604" s="6" t="s">
        <v>147</v>
      </c>
      <c r="C4604" s="6" t="s">
        <v>478</v>
      </c>
      <c r="D4604" s="6" t="s">
        <v>148</v>
      </c>
      <c r="E4604" s="11">
        <v>4.8285484313964844</v>
      </c>
      <c r="F4604" s="11">
        <v>6.8653984069824219</v>
      </c>
    </row>
    <row r="4605" spans="1:6" hidden="1" x14ac:dyDescent="0.3">
      <c r="A4605" s="6">
        <v>33</v>
      </c>
      <c r="B4605" s="6" t="s">
        <v>147</v>
      </c>
      <c r="C4605" s="6" t="s">
        <v>479</v>
      </c>
      <c r="D4605" s="6" t="s">
        <v>148</v>
      </c>
      <c r="E4605" s="11">
        <v>20.011011123657227</v>
      </c>
      <c r="F4605" s="11">
        <v>6.8653984069824219</v>
      </c>
    </row>
    <row r="4606" spans="1:6" hidden="1" x14ac:dyDescent="0.3">
      <c r="A4606" s="6">
        <v>33</v>
      </c>
      <c r="B4606" s="6" t="s">
        <v>147</v>
      </c>
      <c r="C4606" s="6" t="s">
        <v>480</v>
      </c>
      <c r="D4606" s="6" t="s">
        <v>148</v>
      </c>
      <c r="E4606" s="11">
        <v>6.741584300994873</v>
      </c>
      <c r="F4606" s="11">
        <v>6.8653984069824219</v>
      </c>
    </row>
    <row r="4607" spans="1:6" hidden="1" x14ac:dyDescent="0.3">
      <c r="A4607" s="6">
        <v>33</v>
      </c>
      <c r="B4607" s="6" t="s">
        <v>147</v>
      </c>
      <c r="C4607" s="6" t="s">
        <v>481</v>
      </c>
      <c r="D4607" s="6" t="s">
        <v>148</v>
      </c>
      <c r="E4607" s="11">
        <v>7.1396722793579102</v>
      </c>
      <c r="F4607" s="11">
        <v>6.8653984069824219</v>
      </c>
    </row>
    <row r="4608" spans="1:6" hidden="1" x14ac:dyDescent="0.3">
      <c r="A4608" s="6">
        <v>33</v>
      </c>
      <c r="B4608" s="6" t="s">
        <v>147</v>
      </c>
      <c r="C4608" s="6" t="s">
        <v>482</v>
      </c>
      <c r="D4608" s="6" t="s">
        <v>148</v>
      </c>
      <c r="E4608" s="11">
        <v>6.8021550178527832</v>
      </c>
      <c r="F4608" s="11">
        <v>6.8653984069824219</v>
      </c>
    </row>
    <row r="4609" spans="1:6" hidden="1" x14ac:dyDescent="0.3">
      <c r="A4609" s="6">
        <v>33</v>
      </c>
      <c r="B4609" s="6" t="s">
        <v>147</v>
      </c>
      <c r="C4609" s="6" t="s">
        <v>483</v>
      </c>
      <c r="D4609" s="6" t="s">
        <v>148</v>
      </c>
      <c r="E4609" s="11">
        <v>9.042851448059082</v>
      </c>
      <c r="F4609" s="11">
        <v>6.8653984069824219</v>
      </c>
    </row>
    <row r="4610" spans="1:6" hidden="1" x14ac:dyDescent="0.3">
      <c r="A4610" s="6">
        <v>33</v>
      </c>
      <c r="B4610" s="6" t="s">
        <v>147</v>
      </c>
      <c r="C4610" s="6" t="s">
        <v>484</v>
      </c>
      <c r="D4610" s="6" t="s">
        <v>148</v>
      </c>
      <c r="E4610" s="11">
        <v>6.8167171478271484</v>
      </c>
      <c r="F4610" s="11">
        <v>6.8653984069824219</v>
      </c>
    </row>
    <row r="4611" spans="1:6" hidden="1" x14ac:dyDescent="0.3">
      <c r="A4611" s="6">
        <v>33</v>
      </c>
      <c r="B4611" s="6" t="s">
        <v>147</v>
      </c>
      <c r="C4611" s="6" t="s">
        <v>485</v>
      </c>
      <c r="D4611" s="6" t="s">
        <v>148</v>
      </c>
      <c r="E4611" s="11">
        <v>34.035121917724609</v>
      </c>
      <c r="F4611" s="11">
        <v>6.8653984069824219</v>
      </c>
    </row>
    <row r="4612" spans="1:6" hidden="1" x14ac:dyDescent="0.3">
      <c r="A4612" s="6">
        <v>33</v>
      </c>
      <c r="B4612" s="6" t="s">
        <v>147</v>
      </c>
      <c r="C4612" s="6" t="s">
        <v>486</v>
      </c>
      <c r="D4612" s="6" t="s">
        <v>148</v>
      </c>
      <c r="E4612" s="11">
        <v>6.8720288276672363</v>
      </c>
      <c r="F4612" s="11">
        <v>6.8653984069824219</v>
      </c>
    </row>
    <row r="4613" spans="1:6" hidden="1" x14ac:dyDescent="0.3">
      <c r="A4613" s="6">
        <v>33</v>
      </c>
      <c r="B4613" s="6" t="s">
        <v>147</v>
      </c>
      <c r="C4613" s="6" t="s">
        <v>487</v>
      </c>
      <c r="D4613" s="6" t="s">
        <v>148</v>
      </c>
      <c r="E4613" s="11">
        <v>19.236310958862305</v>
      </c>
      <c r="F4613" s="11">
        <v>6.8653984069824219</v>
      </c>
    </row>
    <row r="4614" spans="1:6" hidden="1" x14ac:dyDescent="0.3">
      <c r="A4614" s="6">
        <v>33</v>
      </c>
      <c r="B4614" s="6" t="s">
        <v>147</v>
      </c>
      <c r="C4614" s="6" t="s">
        <v>488</v>
      </c>
      <c r="D4614" s="6" t="s">
        <v>148</v>
      </c>
      <c r="E4614" s="11">
        <v>5.6662569046020508</v>
      </c>
      <c r="F4614" s="11">
        <v>6.8653984069824219</v>
      </c>
    </row>
    <row r="4615" spans="1:6" hidden="1" x14ac:dyDescent="0.3">
      <c r="A4615" s="6">
        <v>33</v>
      </c>
      <c r="B4615" s="6" t="s">
        <v>147</v>
      </c>
      <c r="C4615" s="6" t="s">
        <v>489</v>
      </c>
      <c r="D4615" s="6" t="s">
        <v>148</v>
      </c>
      <c r="E4615" s="11">
        <v>1560.01220703125</v>
      </c>
      <c r="F4615" s="11">
        <v>6.8653984069824219</v>
      </c>
    </row>
    <row r="4616" spans="1:6" hidden="1" x14ac:dyDescent="0.3">
      <c r="A4616" s="6">
        <v>33</v>
      </c>
      <c r="B4616" s="6" t="s">
        <v>147</v>
      </c>
      <c r="C4616" s="6" t="s">
        <v>490</v>
      </c>
      <c r="D4616" s="6" t="s">
        <v>148</v>
      </c>
      <c r="E4616" s="11">
        <v>7.299323558807373</v>
      </c>
      <c r="F4616" s="11">
        <v>6.8653984069824219</v>
      </c>
    </row>
    <row r="4617" spans="1:6" hidden="1" x14ac:dyDescent="0.3">
      <c r="A4617" s="6">
        <v>33</v>
      </c>
      <c r="B4617" s="6" t="s">
        <v>147</v>
      </c>
      <c r="C4617" s="6" t="s">
        <v>491</v>
      </c>
      <c r="D4617" s="6" t="s">
        <v>148</v>
      </c>
      <c r="E4617" s="11">
        <v>8.8494119644165039</v>
      </c>
      <c r="F4617" s="11">
        <v>6.8653984069824219</v>
      </c>
    </row>
    <row r="4618" spans="1:6" hidden="1" x14ac:dyDescent="0.3">
      <c r="A4618" s="6">
        <v>33</v>
      </c>
      <c r="B4618" s="6" t="s">
        <v>147</v>
      </c>
      <c r="C4618" s="6" t="s">
        <v>492</v>
      </c>
      <c r="D4618" s="6" t="s">
        <v>148</v>
      </c>
      <c r="E4618" s="11">
        <v>10.42165470123291</v>
      </c>
      <c r="F4618" s="11">
        <v>6.8653984069824219</v>
      </c>
    </row>
    <row r="4619" spans="1:6" hidden="1" x14ac:dyDescent="0.3">
      <c r="A4619" s="6">
        <v>33</v>
      </c>
      <c r="B4619" s="6" t="s">
        <v>147</v>
      </c>
      <c r="C4619" s="6" t="s">
        <v>493</v>
      </c>
      <c r="D4619" s="6" t="s">
        <v>148</v>
      </c>
      <c r="E4619" s="11">
        <v>8.5636053085327148</v>
      </c>
      <c r="F4619" s="11">
        <v>6.8653984069824219</v>
      </c>
    </row>
    <row r="4620" spans="1:6" hidden="1" x14ac:dyDescent="0.3">
      <c r="A4620" s="6">
        <v>33</v>
      </c>
      <c r="B4620" s="6" t="s">
        <v>147</v>
      </c>
      <c r="C4620" s="6" t="s">
        <v>494</v>
      </c>
      <c r="D4620" s="6" t="s">
        <v>148</v>
      </c>
      <c r="E4620" s="11">
        <v>35.948833465576172</v>
      </c>
      <c r="F4620" s="11">
        <v>6.8653984069824219</v>
      </c>
    </row>
    <row r="4621" spans="1:6" hidden="1" x14ac:dyDescent="0.3">
      <c r="A4621" s="6">
        <v>33</v>
      </c>
      <c r="B4621" s="6" t="s">
        <v>147</v>
      </c>
      <c r="C4621" s="6" t="s">
        <v>495</v>
      </c>
      <c r="D4621" s="6" t="s">
        <v>148</v>
      </c>
      <c r="E4621" s="11">
        <v>41.328197479248047</v>
      </c>
      <c r="F4621" s="11">
        <v>6.8653984069824219</v>
      </c>
    </row>
    <row r="4622" spans="1:6" hidden="1" x14ac:dyDescent="0.3">
      <c r="A4622" s="6">
        <v>34</v>
      </c>
      <c r="B4622" s="6" t="s">
        <v>149</v>
      </c>
      <c r="C4622" s="6" t="s">
        <v>356</v>
      </c>
      <c r="D4622" s="6" t="s">
        <v>150</v>
      </c>
      <c r="E4622" s="11">
        <v>5.9813261032104492</v>
      </c>
      <c r="F4622" s="11">
        <v>6.0008015632629395</v>
      </c>
    </row>
    <row r="4623" spans="1:6" hidden="1" x14ac:dyDescent="0.3">
      <c r="A4623" s="6">
        <v>34</v>
      </c>
      <c r="B4623" s="6" t="s">
        <v>149</v>
      </c>
      <c r="C4623" s="6" t="s">
        <v>357</v>
      </c>
      <c r="D4623" s="6" t="s">
        <v>150</v>
      </c>
      <c r="E4623" s="11">
        <v>3.468726634979248</v>
      </c>
      <c r="F4623" s="11">
        <v>6.0008015632629395</v>
      </c>
    </row>
    <row r="4624" spans="1:6" hidden="1" x14ac:dyDescent="0.3">
      <c r="A4624" s="6">
        <v>34</v>
      </c>
      <c r="B4624" s="6" t="s">
        <v>149</v>
      </c>
      <c r="C4624" s="6" t="s">
        <v>358</v>
      </c>
      <c r="D4624" s="6" t="s">
        <v>150</v>
      </c>
      <c r="E4624" s="11">
        <v>5.3019533157348633</v>
      </c>
      <c r="F4624" s="11">
        <v>6.0008015632629395</v>
      </c>
    </row>
    <row r="4625" spans="1:6" hidden="1" x14ac:dyDescent="0.3">
      <c r="A4625" s="6">
        <v>34</v>
      </c>
      <c r="B4625" s="6" t="s">
        <v>149</v>
      </c>
      <c r="C4625" s="6" t="s">
        <v>359</v>
      </c>
      <c r="D4625" s="6" t="s">
        <v>150</v>
      </c>
      <c r="E4625" s="11">
        <v>15.77165699005127</v>
      </c>
      <c r="F4625" s="11">
        <v>6.0008015632629395</v>
      </c>
    </row>
    <row r="4626" spans="1:6" hidden="1" x14ac:dyDescent="0.3">
      <c r="A4626" s="6">
        <v>34</v>
      </c>
      <c r="B4626" s="6" t="s">
        <v>149</v>
      </c>
      <c r="C4626" s="6" t="s">
        <v>360</v>
      </c>
      <c r="D4626" s="6" t="s">
        <v>150</v>
      </c>
      <c r="E4626" s="11">
        <v>6.4908852577209473</v>
      </c>
      <c r="F4626" s="11">
        <v>6.0008015632629395</v>
      </c>
    </row>
    <row r="4627" spans="1:6" hidden="1" x14ac:dyDescent="0.3">
      <c r="A4627" s="6">
        <v>34</v>
      </c>
      <c r="B4627" s="6" t="s">
        <v>149</v>
      </c>
      <c r="C4627" s="6" t="s">
        <v>361</v>
      </c>
      <c r="D4627" s="6" t="s">
        <v>150</v>
      </c>
      <c r="E4627" s="11">
        <v>5.7067656517028809</v>
      </c>
      <c r="F4627" s="11">
        <v>6.0008015632629395</v>
      </c>
    </row>
    <row r="4628" spans="1:6" hidden="1" x14ac:dyDescent="0.3">
      <c r="A4628" s="6">
        <v>34</v>
      </c>
      <c r="B4628" s="6" t="s">
        <v>149</v>
      </c>
      <c r="C4628" s="6" t="s">
        <v>362</v>
      </c>
      <c r="D4628" s="6" t="s">
        <v>150</v>
      </c>
      <c r="E4628" s="11">
        <v>4.6545290946960449</v>
      </c>
      <c r="F4628" s="11">
        <v>6.0008015632629395</v>
      </c>
    </row>
    <row r="4629" spans="1:6" hidden="1" x14ac:dyDescent="0.3">
      <c r="A4629" s="6">
        <v>34</v>
      </c>
      <c r="B4629" s="6" t="s">
        <v>149</v>
      </c>
      <c r="C4629" s="6" t="s">
        <v>363</v>
      </c>
      <c r="D4629" s="6" t="s">
        <v>150</v>
      </c>
      <c r="E4629" s="11">
        <v>7.7260241508483887</v>
      </c>
      <c r="F4629" s="11">
        <v>6.0008015632629395</v>
      </c>
    </row>
    <row r="4630" spans="1:6" hidden="1" x14ac:dyDescent="0.3">
      <c r="A4630" s="6">
        <v>34</v>
      </c>
      <c r="B4630" s="6" t="s">
        <v>149</v>
      </c>
      <c r="C4630" s="6" t="s">
        <v>364</v>
      </c>
      <c r="D4630" s="6" t="s">
        <v>150</v>
      </c>
      <c r="E4630" s="11"/>
      <c r="F4630" s="11">
        <v>6.0008015632629395</v>
      </c>
    </row>
    <row r="4631" spans="1:6" hidden="1" x14ac:dyDescent="0.3">
      <c r="A4631" s="6">
        <v>34</v>
      </c>
      <c r="B4631" s="6" t="s">
        <v>149</v>
      </c>
      <c r="C4631" s="6" t="s">
        <v>365</v>
      </c>
      <c r="D4631" s="6" t="s">
        <v>150</v>
      </c>
      <c r="E4631" s="11">
        <v>3.7131655216217041</v>
      </c>
      <c r="F4631" s="11">
        <v>6.0008015632629395</v>
      </c>
    </row>
    <row r="4632" spans="1:6" hidden="1" x14ac:dyDescent="0.3">
      <c r="A4632" s="6">
        <v>34</v>
      </c>
      <c r="B4632" s="6" t="s">
        <v>149</v>
      </c>
      <c r="C4632" s="6" t="s">
        <v>366</v>
      </c>
      <c r="D4632" s="6" t="s">
        <v>150</v>
      </c>
      <c r="E4632" s="11">
        <v>9.4807701110839844</v>
      </c>
      <c r="F4632" s="11">
        <v>6.0008015632629395</v>
      </c>
    </row>
    <row r="4633" spans="1:6" hidden="1" x14ac:dyDescent="0.3">
      <c r="A4633" s="6">
        <v>34</v>
      </c>
      <c r="B4633" s="6" t="s">
        <v>149</v>
      </c>
      <c r="C4633" s="6" t="s">
        <v>367</v>
      </c>
      <c r="D4633" s="6" t="s">
        <v>150</v>
      </c>
      <c r="E4633" s="11">
        <v>9.965275764465332</v>
      </c>
      <c r="F4633" s="11">
        <v>6.0008015632629395</v>
      </c>
    </row>
    <row r="4634" spans="1:6" hidden="1" x14ac:dyDescent="0.3">
      <c r="A4634" s="6">
        <v>34</v>
      </c>
      <c r="B4634" s="6" t="s">
        <v>149</v>
      </c>
      <c r="C4634" s="6" t="s">
        <v>368</v>
      </c>
      <c r="D4634" s="6" t="s">
        <v>150</v>
      </c>
      <c r="E4634" s="11">
        <v>5.0013589859008789</v>
      </c>
      <c r="F4634" s="11">
        <v>6.0008015632629395</v>
      </c>
    </row>
    <row r="4635" spans="1:6" hidden="1" x14ac:dyDescent="0.3">
      <c r="A4635" s="6">
        <v>34</v>
      </c>
      <c r="B4635" s="6" t="s">
        <v>149</v>
      </c>
      <c r="C4635" s="6" t="s">
        <v>369</v>
      </c>
      <c r="D4635" s="6" t="s">
        <v>150</v>
      </c>
      <c r="E4635" s="11">
        <v>151201.671875</v>
      </c>
      <c r="F4635" s="11">
        <v>6.0008015632629395</v>
      </c>
    </row>
    <row r="4636" spans="1:6" hidden="1" x14ac:dyDescent="0.3">
      <c r="A4636" s="6">
        <v>34</v>
      </c>
      <c r="B4636" s="6" t="s">
        <v>149</v>
      </c>
      <c r="C4636" s="6" t="s">
        <v>370</v>
      </c>
      <c r="D4636" s="6" t="s">
        <v>150</v>
      </c>
      <c r="E4636" s="11">
        <v>4.3235373497009277</v>
      </c>
      <c r="F4636" s="11">
        <v>6.0008015632629395</v>
      </c>
    </row>
    <row r="4637" spans="1:6" hidden="1" x14ac:dyDescent="0.3">
      <c r="A4637" s="6">
        <v>34</v>
      </c>
      <c r="B4637" s="6" t="s">
        <v>149</v>
      </c>
      <c r="C4637" s="6" t="s">
        <v>371</v>
      </c>
      <c r="D4637" s="6" t="s">
        <v>150</v>
      </c>
      <c r="E4637" s="11">
        <v>5.2576026916503906</v>
      </c>
      <c r="F4637" s="11">
        <v>6.0008015632629395</v>
      </c>
    </row>
    <row r="4638" spans="1:6" hidden="1" x14ac:dyDescent="0.3">
      <c r="A4638" s="6">
        <v>34</v>
      </c>
      <c r="B4638" s="6" t="s">
        <v>149</v>
      </c>
      <c r="C4638" s="6" t="s">
        <v>372</v>
      </c>
      <c r="D4638" s="6" t="s">
        <v>150</v>
      </c>
      <c r="E4638" s="11">
        <v>16.969999313354492</v>
      </c>
      <c r="F4638" s="11">
        <v>6.0008015632629395</v>
      </c>
    </row>
    <row r="4639" spans="1:6" hidden="1" x14ac:dyDescent="0.3">
      <c r="A4639" s="6">
        <v>34</v>
      </c>
      <c r="B4639" s="6" t="s">
        <v>149</v>
      </c>
      <c r="C4639" s="6" t="s">
        <v>373</v>
      </c>
      <c r="D4639" s="6" t="s">
        <v>150</v>
      </c>
      <c r="E4639" s="11">
        <v>4.0825576782226563</v>
      </c>
      <c r="F4639" s="11">
        <v>6.0008015632629395</v>
      </c>
    </row>
    <row r="4640" spans="1:6" hidden="1" x14ac:dyDescent="0.3">
      <c r="A4640" s="6">
        <v>34</v>
      </c>
      <c r="B4640" s="6" t="s">
        <v>149</v>
      </c>
      <c r="C4640" s="6" t="s">
        <v>374</v>
      </c>
      <c r="D4640" s="6" t="s">
        <v>150</v>
      </c>
      <c r="E4640" s="11">
        <v>5.001734733581543</v>
      </c>
      <c r="F4640" s="11">
        <v>6.0008015632629395</v>
      </c>
    </row>
    <row r="4641" spans="1:6" hidden="1" x14ac:dyDescent="0.3">
      <c r="A4641" s="6">
        <v>34</v>
      </c>
      <c r="B4641" s="6" t="s">
        <v>149</v>
      </c>
      <c r="C4641" s="6" t="s">
        <v>375</v>
      </c>
      <c r="D4641" s="6" t="s">
        <v>150</v>
      </c>
      <c r="E4641" s="11">
        <v>5.789799690246582</v>
      </c>
      <c r="F4641" s="11">
        <v>6.0008015632629395</v>
      </c>
    </row>
    <row r="4642" spans="1:6" hidden="1" x14ac:dyDescent="0.3">
      <c r="A4642" s="6">
        <v>34</v>
      </c>
      <c r="B4642" s="6" t="s">
        <v>149</v>
      </c>
      <c r="C4642" s="6" t="s">
        <v>376</v>
      </c>
      <c r="D4642" s="6" t="s">
        <v>150</v>
      </c>
      <c r="E4642" s="11">
        <v>4.4947633743286133</v>
      </c>
      <c r="F4642" s="11">
        <v>6.0008015632629395</v>
      </c>
    </row>
    <row r="4643" spans="1:6" hidden="1" x14ac:dyDescent="0.3">
      <c r="A4643" s="6">
        <v>34</v>
      </c>
      <c r="B4643" s="6" t="s">
        <v>149</v>
      </c>
      <c r="C4643" s="6" t="s">
        <v>377</v>
      </c>
      <c r="D4643" s="6" t="s">
        <v>150</v>
      </c>
      <c r="E4643" s="11">
        <v>7.2106614112854004</v>
      </c>
      <c r="F4643" s="11">
        <v>6.0008015632629395</v>
      </c>
    </row>
    <row r="4644" spans="1:6" hidden="1" x14ac:dyDescent="0.3">
      <c r="A4644" s="6">
        <v>34</v>
      </c>
      <c r="B4644" s="6" t="s">
        <v>149</v>
      </c>
      <c r="C4644" s="6" t="s">
        <v>378</v>
      </c>
      <c r="D4644" s="6" t="s">
        <v>150</v>
      </c>
      <c r="E4644" s="11">
        <v>4.8734822273254395</v>
      </c>
      <c r="F4644" s="11">
        <v>6.0008015632629395</v>
      </c>
    </row>
    <row r="4645" spans="1:6" hidden="1" x14ac:dyDescent="0.3">
      <c r="A4645" s="6">
        <v>34</v>
      </c>
      <c r="B4645" s="6" t="s">
        <v>149</v>
      </c>
      <c r="C4645" s="6" t="s">
        <v>379</v>
      </c>
      <c r="D4645" s="6" t="s">
        <v>150</v>
      </c>
      <c r="E4645" s="11">
        <v>6.3737802505493164</v>
      </c>
      <c r="F4645" s="11">
        <v>6.0008015632629395</v>
      </c>
    </row>
    <row r="4646" spans="1:6" hidden="1" x14ac:dyDescent="0.3">
      <c r="A4646" s="6">
        <v>34</v>
      </c>
      <c r="B4646" s="6" t="s">
        <v>149</v>
      </c>
      <c r="C4646" s="6" t="s">
        <v>380</v>
      </c>
      <c r="D4646" s="6" t="s">
        <v>150</v>
      </c>
      <c r="E4646" s="11">
        <v>4.1207871437072754</v>
      </c>
      <c r="F4646" s="11">
        <v>6.0008015632629395</v>
      </c>
    </row>
    <row r="4647" spans="1:6" hidden="1" x14ac:dyDescent="0.3">
      <c r="A4647" s="6">
        <v>34</v>
      </c>
      <c r="B4647" s="6" t="s">
        <v>149</v>
      </c>
      <c r="C4647" s="6" t="s">
        <v>381</v>
      </c>
      <c r="D4647" s="6" t="s">
        <v>150</v>
      </c>
      <c r="E4647" s="11">
        <v>5.4552674293518066</v>
      </c>
      <c r="F4647" s="11">
        <v>6.0008015632629395</v>
      </c>
    </row>
    <row r="4648" spans="1:6" hidden="1" x14ac:dyDescent="0.3">
      <c r="A4648" s="6">
        <v>34</v>
      </c>
      <c r="B4648" s="6" t="s">
        <v>149</v>
      </c>
      <c r="C4648" s="6" t="s">
        <v>382</v>
      </c>
      <c r="D4648" s="6" t="s">
        <v>150</v>
      </c>
      <c r="E4648" s="11">
        <v>7.4133496284484863</v>
      </c>
      <c r="F4648" s="11">
        <v>6.0008015632629395</v>
      </c>
    </row>
    <row r="4649" spans="1:6" hidden="1" x14ac:dyDescent="0.3">
      <c r="A4649" s="6">
        <v>34</v>
      </c>
      <c r="B4649" s="6" t="s">
        <v>149</v>
      </c>
      <c r="C4649" s="6" t="s">
        <v>383</v>
      </c>
      <c r="D4649" s="6" t="s">
        <v>150</v>
      </c>
      <c r="E4649" s="11">
        <v>5.8289370536804199</v>
      </c>
      <c r="F4649" s="11">
        <v>6.0008015632629395</v>
      </c>
    </row>
    <row r="4650" spans="1:6" hidden="1" x14ac:dyDescent="0.3">
      <c r="A4650" s="6">
        <v>34</v>
      </c>
      <c r="B4650" s="6" t="s">
        <v>149</v>
      </c>
      <c r="C4650" s="6" t="s">
        <v>384</v>
      </c>
      <c r="D4650" s="6" t="s">
        <v>150</v>
      </c>
      <c r="E4650" s="11">
        <v>6.105283260345459</v>
      </c>
      <c r="F4650" s="11">
        <v>6.0008015632629395</v>
      </c>
    </row>
    <row r="4651" spans="1:6" hidden="1" x14ac:dyDescent="0.3">
      <c r="A4651" s="6">
        <v>34</v>
      </c>
      <c r="B4651" s="6" t="s">
        <v>149</v>
      </c>
      <c r="C4651" s="6" t="s">
        <v>385</v>
      </c>
      <c r="D4651" s="6" t="s">
        <v>150</v>
      </c>
      <c r="E4651" s="11">
        <v>4.7251801490783691</v>
      </c>
      <c r="F4651" s="11">
        <v>6.0008015632629395</v>
      </c>
    </row>
    <row r="4652" spans="1:6" hidden="1" x14ac:dyDescent="0.3">
      <c r="A4652" s="6">
        <v>34</v>
      </c>
      <c r="B4652" s="6" t="s">
        <v>149</v>
      </c>
      <c r="C4652" s="6" t="s">
        <v>386</v>
      </c>
      <c r="D4652" s="6" t="s">
        <v>150</v>
      </c>
      <c r="E4652" s="11">
        <v>3.8066153526306152</v>
      </c>
      <c r="F4652" s="11">
        <v>6.0008015632629395</v>
      </c>
    </row>
    <row r="4653" spans="1:6" hidden="1" x14ac:dyDescent="0.3">
      <c r="A4653" s="6">
        <v>34</v>
      </c>
      <c r="B4653" s="6" t="s">
        <v>149</v>
      </c>
      <c r="C4653" s="6" t="s">
        <v>387</v>
      </c>
      <c r="D4653" s="6" t="s">
        <v>150</v>
      </c>
      <c r="E4653" s="11">
        <v>6.1765332221984863</v>
      </c>
      <c r="F4653" s="11">
        <v>6.0008015632629395</v>
      </c>
    </row>
    <row r="4654" spans="1:6" hidden="1" x14ac:dyDescent="0.3">
      <c r="A4654" s="6">
        <v>34</v>
      </c>
      <c r="B4654" s="6" t="s">
        <v>149</v>
      </c>
      <c r="C4654" s="6" t="s">
        <v>388</v>
      </c>
      <c r="D4654" s="6" t="s">
        <v>150</v>
      </c>
      <c r="E4654" s="11">
        <v>4.0444364547729492</v>
      </c>
      <c r="F4654" s="11">
        <v>6.0008015632629395</v>
      </c>
    </row>
    <row r="4655" spans="1:6" hidden="1" x14ac:dyDescent="0.3">
      <c r="A4655" s="6">
        <v>34</v>
      </c>
      <c r="B4655" s="6" t="s">
        <v>149</v>
      </c>
      <c r="C4655" s="6" t="s">
        <v>389</v>
      </c>
      <c r="D4655" s="6" t="s">
        <v>150</v>
      </c>
      <c r="E4655" s="11">
        <v>6.0462875366210938</v>
      </c>
      <c r="F4655" s="11">
        <v>6.0008015632629395</v>
      </c>
    </row>
    <row r="4656" spans="1:6" hidden="1" x14ac:dyDescent="0.3">
      <c r="A4656" s="6">
        <v>34</v>
      </c>
      <c r="B4656" s="6" t="s">
        <v>149</v>
      </c>
      <c r="C4656" s="6" t="s">
        <v>390</v>
      </c>
      <c r="D4656" s="6" t="s">
        <v>150</v>
      </c>
      <c r="E4656" s="11">
        <v>6.5856671333312988</v>
      </c>
      <c r="F4656" s="11">
        <v>6.0008015632629395</v>
      </c>
    </row>
    <row r="4657" spans="1:6" hidden="1" x14ac:dyDescent="0.3">
      <c r="A4657" s="6">
        <v>34</v>
      </c>
      <c r="B4657" s="6" t="s">
        <v>149</v>
      </c>
      <c r="C4657" s="6" t="s">
        <v>391</v>
      </c>
      <c r="D4657" s="6" t="s">
        <v>150</v>
      </c>
      <c r="E4657" s="11">
        <v>9.6111040115356445</v>
      </c>
      <c r="F4657" s="11">
        <v>6.0008015632629395</v>
      </c>
    </row>
    <row r="4658" spans="1:6" hidden="1" x14ac:dyDescent="0.3">
      <c r="A4658" s="6">
        <v>34</v>
      </c>
      <c r="B4658" s="6" t="s">
        <v>149</v>
      </c>
      <c r="C4658" s="6" t="s">
        <v>392</v>
      </c>
      <c r="D4658" s="6" t="s">
        <v>150</v>
      </c>
      <c r="E4658" s="11">
        <v>5.3327517509460449</v>
      </c>
      <c r="F4658" s="11">
        <v>6.0008015632629395</v>
      </c>
    </row>
    <row r="4659" spans="1:6" hidden="1" x14ac:dyDescent="0.3">
      <c r="A4659" s="6">
        <v>34</v>
      </c>
      <c r="B4659" s="6" t="s">
        <v>149</v>
      </c>
      <c r="C4659" s="6" t="s">
        <v>393</v>
      </c>
      <c r="D4659" s="6" t="s">
        <v>150</v>
      </c>
      <c r="E4659" s="11">
        <v>6.7936129570007324</v>
      </c>
      <c r="F4659" s="11">
        <v>6.0008015632629395</v>
      </c>
    </row>
    <row r="4660" spans="1:6" hidden="1" x14ac:dyDescent="0.3">
      <c r="A4660" s="6">
        <v>34</v>
      </c>
      <c r="B4660" s="6" t="s">
        <v>149</v>
      </c>
      <c r="C4660" s="6" t="s">
        <v>394</v>
      </c>
      <c r="D4660" s="6" t="s">
        <v>150</v>
      </c>
      <c r="E4660" s="11">
        <v>5.5041079521179199</v>
      </c>
      <c r="F4660" s="11">
        <v>6.0008015632629395</v>
      </c>
    </row>
    <row r="4661" spans="1:6" hidden="1" x14ac:dyDescent="0.3">
      <c r="A4661" s="6">
        <v>34</v>
      </c>
      <c r="B4661" s="6" t="s">
        <v>149</v>
      </c>
      <c r="C4661" s="6" t="s">
        <v>395</v>
      </c>
      <c r="D4661" s="6" t="s">
        <v>150</v>
      </c>
      <c r="E4661" s="11">
        <v>9.3960981369018555</v>
      </c>
      <c r="F4661" s="11">
        <v>6.0008015632629395</v>
      </c>
    </row>
    <row r="4662" spans="1:6" hidden="1" x14ac:dyDescent="0.3">
      <c r="A4662" s="6">
        <v>34</v>
      </c>
      <c r="B4662" s="6" t="s">
        <v>149</v>
      </c>
      <c r="C4662" s="6" t="s">
        <v>396</v>
      </c>
      <c r="D4662" s="6" t="s">
        <v>150</v>
      </c>
      <c r="E4662" s="11">
        <v>4.6646394729614258</v>
      </c>
      <c r="F4662" s="11">
        <v>6.0008015632629395</v>
      </c>
    </row>
    <row r="4663" spans="1:6" hidden="1" x14ac:dyDescent="0.3">
      <c r="A4663" s="6">
        <v>34</v>
      </c>
      <c r="B4663" s="6" t="s">
        <v>149</v>
      </c>
      <c r="C4663" s="6" t="s">
        <v>397</v>
      </c>
      <c r="D4663" s="6" t="s">
        <v>150</v>
      </c>
      <c r="E4663" s="11">
        <v>7.0698037147521973</v>
      </c>
      <c r="F4663" s="11">
        <v>6.0008015632629395</v>
      </c>
    </row>
    <row r="4664" spans="1:6" hidden="1" x14ac:dyDescent="0.3">
      <c r="A4664" s="6">
        <v>34</v>
      </c>
      <c r="B4664" s="6" t="s">
        <v>149</v>
      </c>
      <c r="C4664" s="6" t="s">
        <v>398</v>
      </c>
      <c r="D4664" s="6" t="s">
        <v>150</v>
      </c>
      <c r="E4664" s="11">
        <v>8.7500104904174805</v>
      </c>
      <c r="F4664" s="11">
        <v>6.0008015632629395</v>
      </c>
    </row>
    <row r="4665" spans="1:6" hidden="1" x14ac:dyDescent="0.3">
      <c r="A4665" s="6">
        <v>34</v>
      </c>
      <c r="B4665" s="6" t="s">
        <v>149</v>
      </c>
      <c r="C4665" s="6" t="s">
        <v>399</v>
      </c>
      <c r="D4665" s="6" t="s">
        <v>150</v>
      </c>
      <c r="E4665" s="11">
        <v>5.4718141555786133</v>
      </c>
      <c r="F4665" s="11">
        <v>6.0008015632629395</v>
      </c>
    </row>
    <row r="4666" spans="1:6" hidden="1" x14ac:dyDescent="0.3">
      <c r="A4666" s="6">
        <v>34</v>
      </c>
      <c r="B4666" s="6" t="s">
        <v>149</v>
      </c>
      <c r="C4666" s="6" t="s">
        <v>400</v>
      </c>
      <c r="D4666" s="6" t="s">
        <v>150</v>
      </c>
      <c r="E4666" s="11">
        <v>17.211614608764648</v>
      </c>
      <c r="F4666" s="11">
        <v>6.0008015632629395</v>
      </c>
    </row>
    <row r="4667" spans="1:6" hidden="1" x14ac:dyDescent="0.3">
      <c r="A4667" s="6">
        <v>34</v>
      </c>
      <c r="B4667" s="6" t="s">
        <v>149</v>
      </c>
      <c r="C4667" s="6" t="s">
        <v>401</v>
      </c>
      <c r="D4667" s="6" t="s">
        <v>150</v>
      </c>
      <c r="E4667" s="11">
        <v>5.1926412582397461</v>
      </c>
      <c r="F4667" s="11">
        <v>6.0008015632629395</v>
      </c>
    </row>
    <row r="4668" spans="1:6" hidden="1" x14ac:dyDescent="0.3">
      <c r="A4668" s="6">
        <v>34</v>
      </c>
      <c r="B4668" s="6" t="s">
        <v>149</v>
      </c>
      <c r="C4668" s="6" t="s">
        <v>402</v>
      </c>
      <c r="D4668" s="6" t="s">
        <v>150</v>
      </c>
      <c r="E4668" s="11">
        <v>7.0426478385925293</v>
      </c>
      <c r="F4668" s="11">
        <v>6.0008015632629395</v>
      </c>
    </row>
    <row r="4669" spans="1:6" hidden="1" x14ac:dyDescent="0.3">
      <c r="A4669" s="6">
        <v>34</v>
      </c>
      <c r="B4669" s="6" t="s">
        <v>149</v>
      </c>
      <c r="C4669" s="6" t="s">
        <v>403</v>
      </c>
      <c r="D4669" s="6" t="s">
        <v>150</v>
      </c>
      <c r="E4669" s="11">
        <v>5.4887142181396484</v>
      </c>
      <c r="F4669" s="11">
        <v>6.0008015632629395</v>
      </c>
    </row>
    <row r="4670" spans="1:6" hidden="1" x14ac:dyDescent="0.3">
      <c r="A4670" s="6">
        <v>34</v>
      </c>
      <c r="B4670" s="6" t="s">
        <v>149</v>
      </c>
      <c r="C4670" s="6" t="s">
        <v>404</v>
      </c>
      <c r="D4670" s="6" t="s">
        <v>150</v>
      </c>
      <c r="E4670" s="11">
        <v>4.3536796569824219</v>
      </c>
      <c r="F4670" s="11">
        <v>6.0008015632629395</v>
      </c>
    </row>
    <row r="4671" spans="1:6" hidden="1" x14ac:dyDescent="0.3">
      <c r="A4671" s="6">
        <v>34</v>
      </c>
      <c r="B4671" s="6" t="s">
        <v>149</v>
      </c>
      <c r="C4671" s="6" t="s">
        <v>405</v>
      </c>
      <c r="D4671" s="6" t="s">
        <v>150</v>
      </c>
      <c r="E4671" s="11">
        <v>6.2627248764038086</v>
      </c>
      <c r="F4671" s="11">
        <v>6.0008015632629395</v>
      </c>
    </row>
    <row r="4672" spans="1:6" hidden="1" x14ac:dyDescent="0.3">
      <c r="A4672" s="6">
        <v>34</v>
      </c>
      <c r="B4672" s="6" t="s">
        <v>149</v>
      </c>
      <c r="C4672" s="6" t="s">
        <v>406</v>
      </c>
      <c r="D4672" s="6" t="s">
        <v>150</v>
      </c>
      <c r="E4672" s="11">
        <v>4.787989616394043</v>
      </c>
      <c r="F4672" s="11">
        <v>6.0008015632629395</v>
      </c>
    </row>
    <row r="4673" spans="1:6" hidden="1" x14ac:dyDescent="0.3">
      <c r="A4673" s="6">
        <v>34</v>
      </c>
      <c r="B4673" s="6" t="s">
        <v>149</v>
      </c>
      <c r="C4673" s="6" t="s">
        <v>407</v>
      </c>
      <c r="D4673" s="6" t="s">
        <v>150</v>
      </c>
      <c r="E4673" s="11">
        <v>4.4604768753051758</v>
      </c>
      <c r="F4673" s="11">
        <v>6.0008015632629395</v>
      </c>
    </row>
    <row r="4674" spans="1:6" hidden="1" x14ac:dyDescent="0.3">
      <c r="A4674" s="6">
        <v>34</v>
      </c>
      <c r="B4674" s="6" t="s">
        <v>149</v>
      </c>
      <c r="C4674" s="6" t="s">
        <v>408</v>
      </c>
      <c r="D4674" s="6" t="s">
        <v>150</v>
      </c>
      <c r="E4674" s="11">
        <v>6.6485176086425781</v>
      </c>
      <c r="F4674" s="11">
        <v>6.0008015632629395</v>
      </c>
    </row>
    <row r="4675" spans="1:6" hidden="1" x14ac:dyDescent="0.3">
      <c r="A4675" s="6">
        <v>34</v>
      </c>
      <c r="B4675" s="6" t="s">
        <v>149</v>
      </c>
      <c r="C4675" s="6" t="s">
        <v>409</v>
      </c>
      <c r="D4675" s="6" t="s">
        <v>150</v>
      </c>
      <c r="E4675" s="11">
        <v>6.7366805076599121</v>
      </c>
      <c r="F4675" s="11">
        <v>6.0008015632629395</v>
      </c>
    </row>
    <row r="4676" spans="1:6" hidden="1" x14ac:dyDescent="0.3">
      <c r="A4676" s="6">
        <v>34</v>
      </c>
      <c r="B4676" s="6" t="s">
        <v>149</v>
      </c>
      <c r="C4676" s="6" t="s">
        <v>410</v>
      </c>
      <c r="D4676" s="6" t="s">
        <v>150</v>
      </c>
      <c r="E4676" s="11">
        <v>4.7858033180236816</v>
      </c>
      <c r="F4676" s="11">
        <v>6.0008015632629395</v>
      </c>
    </row>
    <row r="4677" spans="1:6" hidden="1" x14ac:dyDescent="0.3">
      <c r="A4677" s="6">
        <v>34</v>
      </c>
      <c r="B4677" s="6" t="s">
        <v>149</v>
      </c>
      <c r="C4677" s="6" t="s">
        <v>411</v>
      </c>
      <c r="D4677" s="6" t="s">
        <v>150</v>
      </c>
      <c r="E4677" s="11">
        <v>5.9105734825134277</v>
      </c>
      <c r="F4677" s="11">
        <v>6.0008015632629395</v>
      </c>
    </row>
    <row r="4678" spans="1:6" hidden="1" x14ac:dyDescent="0.3">
      <c r="A4678" s="6">
        <v>34</v>
      </c>
      <c r="B4678" s="6" t="s">
        <v>149</v>
      </c>
      <c r="C4678" s="6" t="s">
        <v>412</v>
      </c>
      <c r="D4678" s="6" t="s">
        <v>150</v>
      </c>
      <c r="E4678" s="11">
        <v>6.040398120880127</v>
      </c>
      <c r="F4678" s="11">
        <v>6.0008015632629395</v>
      </c>
    </row>
    <row r="4679" spans="1:6" hidden="1" x14ac:dyDescent="0.3">
      <c r="A4679" s="6">
        <v>34</v>
      </c>
      <c r="B4679" s="6" t="s">
        <v>149</v>
      </c>
      <c r="C4679" s="6" t="s">
        <v>413</v>
      </c>
      <c r="D4679" s="6" t="s">
        <v>150</v>
      </c>
      <c r="E4679" s="11">
        <v>7.1322188377380371</v>
      </c>
      <c r="F4679" s="11">
        <v>6.0008015632629395</v>
      </c>
    </row>
    <row r="4680" spans="1:6" hidden="1" x14ac:dyDescent="0.3">
      <c r="A4680" s="6">
        <v>34</v>
      </c>
      <c r="B4680" s="6" t="s">
        <v>149</v>
      </c>
      <c r="C4680" s="6" t="s">
        <v>414</v>
      </c>
      <c r="D4680" s="6" t="s">
        <v>150</v>
      </c>
      <c r="E4680" s="11">
        <v>4.1426148414611816</v>
      </c>
      <c r="F4680" s="11">
        <v>6.0008015632629395</v>
      </c>
    </row>
    <row r="4681" spans="1:6" hidden="1" x14ac:dyDescent="0.3">
      <c r="A4681" s="6">
        <v>34</v>
      </c>
      <c r="B4681" s="6" t="s">
        <v>149</v>
      </c>
      <c r="C4681" s="6" t="s">
        <v>415</v>
      </c>
      <c r="D4681" s="6" t="s">
        <v>150</v>
      </c>
      <c r="E4681" s="11">
        <v>6.8808941841125488</v>
      </c>
      <c r="F4681" s="11">
        <v>6.0008015632629395</v>
      </c>
    </row>
    <row r="4682" spans="1:6" hidden="1" x14ac:dyDescent="0.3">
      <c r="A4682" s="6">
        <v>34</v>
      </c>
      <c r="B4682" s="6" t="s">
        <v>149</v>
      </c>
      <c r="C4682" s="6" t="s">
        <v>416</v>
      </c>
      <c r="D4682" s="6" t="s">
        <v>150</v>
      </c>
      <c r="E4682" s="11">
        <v>27.349025726318359</v>
      </c>
      <c r="F4682" s="11">
        <v>6.0008015632629395</v>
      </c>
    </row>
    <row r="4683" spans="1:6" hidden="1" x14ac:dyDescent="0.3">
      <c r="A4683" s="6">
        <v>34</v>
      </c>
      <c r="B4683" s="6" t="s">
        <v>149</v>
      </c>
      <c r="C4683" s="6" t="s">
        <v>417</v>
      </c>
      <c r="D4683" s="6" t="s">
        <v>150</v>
      </c>
      <c r="E4683" s="11">
        <v>5.9236783981323242</v>
      </c>
      <c r="F4683" s="11">
        <v>6.0008015632629395</v>
      </c>
    </row>
    <row r="4684" spans="1:6" hidden="1" x14ac:dyDescent="0.3">
      <c r="A4684" s="6">
        <v>34</v>
      </c>
      <c r="B4684" s="6" t="s">
        <v>149</v>
      </c>
      <c r="C4684" s="6" t="s">
        <v>418</v>
      </c>
      <c r="D4684" s="6" t="s">
        <v>150</v>
      </c>
      <c r="E4684" s="11">
        <v>3.1942925453186035</v>
      </c>
      <c r="F4684" s="11">
        <v>6.0008015632629395</v>
      </c>
    </row>
    <row r="4685" spans="1:6" hidden="1" x14ac:dyDescent="0.3">
      <c r="A4685" s="6">
        <v>34</v>
      </c>
      <c r="B4685" s="6" t="s">
        <v>149</v>
      </c>
      <c r="C4685" s="6" t="s">
        <v>419</v>
      </c>
      <c r="D4685" s="6" t="s">
        <v>150</v>
      </c>
      <c r="E4685" s="11">
        <v>4.6910915374755859</v>
      </c>
      <c r="F4685" s="11">
        <v>6.0008015632629395</v>
      </c>
    </row>
    <row r="4686" spans="1:6" hidden="1" x14ac:dyDescent="0.3">
      <c r="A4686" s="6">
        <v>34</v>
      </c>
      <c r="B4686" s="6" t="s">
        <v>149</v>
      </c>
      <c r="C4686" s="6" t="s">
        <v>420</v>
      </c>
      <c r="D4686" s="6" t="s">
        <v>150</v>
      </c>
      <c r="E4686" s="11">
        <v>3.6479787826538086</v>
      </c>
      <c r="F4686" s="11">
        <v>6.0008015632629395</v>
      </c>
    </row>
    <row r="4687" spans="1:6" hidden="1" x14ac:dyDescent="0.3">
      <c r="A4687" s="6">
        <v>34</v>
      </c>
      <c r="B4687" s="6" t="s">
        <v>149</v>
      </c>
      <c r="C4687" s="6" t="s">
        <v>421</v>
      </c>
      <c r="D4687" s="6" t="s">
        <v>150</v>
      </c>
      <c r="E4687" s="11">
        <v>8.4840898513793945</v>
      </c>
      <c r="F4687" s="11">
        <v>6.0008015632629395</v>
      </c>
    </row>
    <row r="4688" spans="1:6" hidden="1" x14ac:dyDescent="0.3">
      <c r="A4688" s="6">
        <v>34</v>
      </c>
      <c r="B4688" s="6" t="s">
        <v>149</v>
      </c>
      <c r="C4688" s="6" t="s">
        <v>422</v>
      </c>
      <c r="D4688" s="6" t="s">
        <v>150</v>
      </c>
      <c r="E4688" s="11">
        <v>5.1496767997741699</v>
      </c>
      <c r="F4688" s="11">
        <v>6.0008015632629395</v>
      </c>
    </row>
    <row r="4689" spans="1:6" hidden="1" x14ac:dyDescent="0.3">
      <c r="A4689" s="6">
        <v>34</v>
      </c>
      <c r="B4689" s="6" t="s">
        <v>149</v>
      </c>
      <c r="C4689" s="6" t="s">
        <v>423</v>
      </c>
      <c r="D4689" s="6" t="s">
        <v>150</v>
      </c>
      <c r="E4689" s="11">
        <v>7.3243494033813477</v>
      </c>
      <c r="F4689" s="11">
        <v>6.0008015632629395</v>
      </c>
    </row>
    <row r="4690" spans="1:6" hidden="1" x14ac:dyDescent="0.3">
      <c r="A4690" s="6">
        <v>34</v>
      </c>
      <c r="B4690" s="6" t="s">
        <v>149</v>
      </c>
      <c r="C4690" s="6" t="s">
        <v>424</v>
      </c>
      <c r="D4690" s="6" t="s">
        <v>150</v>
      </c>
      <c r="E4690" s="11">
        <v>7.4954404830932617</v>
      </c>
      <c r="F4690" s="11">
        <v>6.0008015632629395</v>
      </c>
    </row>
    <row r="4691" spans="1:6" hidden="1" x14ac:dyDescent="0.3">
      <c r="A4691" s="6">
        <v>34</v>
      </c>
      <c r="B4691" s="6" t="s">
        <v>149</v>
      </c>
      <c r="C4691" s="6" t="s">
        <v>425</v>
      </c>
      <c r="D4691" s="6" t="s">
        <v>150</v>
      </c>
      <c r="E4691" s="11"/>
      <c r="F4691" s="11">
        <v>6.0008015632629395</v>
      </c>
    </row>
    <row r="4692" spans="1:6" hidden="1" x14ac:dyDescent="0.3">
      <c r="A4692" s="6">
        <v>34</v>
      </c>
      <c r="B4692" s="6" t="s">
        <v>149</v>
      </c>
      <c r="C4692" s="6" t="s">
        <v>426</v>
      </c>
      <c r="D4692" s="6" t="s">
        <v>150</v>
      </c>
      <c r="E4692" s="11">
        <v>4.3670258522033691</v>
      </c>
      <c r="F4692" s="11">
        <v>6.0008015632629395</v>
      </c>
    </row>
    <row r="4693" spans="1:6" hidden="1" x14ac:dyDescent="0.3">
      <c r="A4693" s="6">
        <v>34</v>
      </c>
      <c r="B4693" s="6" t="s">
        <v>149</v>
      </c>
      <c r="C4693" s="6" t="s">
        <v>427</v>
      </c>
      <c r="D4693" s="6" t="s">
        <v>150</v>
      </c>
      <c r="E4693" s="11">
        <v>6.1961050033569336</v>
      </c>
      <c r="F4693" s="11">
        <v>6.0008015632629395</v>
      </c>
    </row>
    <row r="4694" spans="1:6" hidden="1" x14ac:dyDescent="0.3">
      <c r="A4694" s="6">
        <v>34</v>
      </c>
      <c r="B4694" s="6" t="s">
        <v>149</v>
      </c>
      <c r="C4694" s="6" t="s">
        <v>428</v>
      </c>
      <c r="D4694" s="6" t="s">
        <v>150</v>
      </c>
      <c r="E4694" s="11">
        <v>8.4059267044067383</v>
      </c>
      <c r="F4694" s="11">
        <v>6.0008015632629395</v>
      </c>
    </row>
    <row r="4695" spans="1:6" hidden="1" x14ac:dyDescent="0.3">
      <c r="A4695" s="6">
        <v>34</v>
      </c>
      <c r="B4695" s="6" t="s">
        <v>149</v>
      </c>
      <c r="C4695" s="6" t="s">
        <v>429</v>
      </c>
      <c r="D4695" s="6" t="s">
        <v>150</v>
      </c>
      <c r="E4695" s="11">
        <v>9.3206872940063477</v>
      </c>
      <c r="F4695" s="11">
        <v>6.0008015632629395</v>
      </c>
    </row>
    <row r="4696" spans="1:6" hidden="1" x14ac:dyDescent="0.3">
      <c r="A4696" s="6">
        <v>34</v>
      </c>
      <c r="B4696" s="6" t="s">
        <v>149</v>
      </c>
      <c r="C4696" s="6" t="s">
        <v>430</v>
      </c>
      <c r="D4696" s="6" t="s">
        <v>150</v>
      </c>
      <c r="E4696" s="11">
        <v>7.8633480072021484</v>
      </c>
      <c r="F4696" s="11">
        <v>6.0008015632629395</v>
      </c>
    </row>
    <row r="4697" spans="1:6" hidden="1" x14ac:dyDescent="0.3">
      <c r="A4697" s="6">
        <v>34</v>
      </c>
      <c r="B4697" s="6" t="s">
        <v>149</v>
      </c>
      <c r="C4697" s="6" t="s">
        <v>431</v>
      </c>
      <c r="D4697" s="6" t="s">
        <v>150</v>
      </c>
      <c r="E4697" s="11"/>
      <c r="F4697" s="11">
        <v>6.0008015632629395</v>
      </c>
    </row>
    <row r="4698" spans="1:6" hidden="1" x14ac:dyDescent="0.3">
      <c r="A4698" s="6">
        <v>34</v>
      </c>
      <c r="B4698" s="6" t="s">
        <v>149</v>
      </c>
      <c r="C4698" s="6" t="s">
        <v>432</v>
      </c>
      <c r="D4698" s="6" t="s">
        <v>150</v>
      </c>
      <c r="E4698" s="11">
        <v>5.5350937843322754</v>
      </c>
      <c r="F4698" s="11">
        <v>6.0008015632629395</v>
      </c>
    </row>
    <row r="4699" spans="1:6" hidden="1" x14ac:dyDescent="0.3">
      <c r="A4699" s="6">
        <v>34</v>
      </c>
      <c r="B4699" s="6" t="s">
        <v>149</v>
      </c>
      <c r="C4699" s="6" t="s">
        <v>433</v>
      </c>
      <c r="D4699" s="6" t="s">
        <v>150</v>
      </c>
      <c r="E4699" s="11">
        <v>5.4887099266052246</v>
      </c>
      <c r="F4699" s="11">
        <v>6.0008015632629395</v>
      </c>
    </row>
    <row r="4700" spans="1:6" hidden="1" x14ac:dyDescent="0.3">
      <c r="A4700" s="6">
        <v>34</v>
      </c>
      <c r="B4700" s="6" t="s">
        <v>149</v>
      </c>
      <c r="C4700" s="6" t="s">
        <v>434</v>
      </c>
      <c r="D4700" s="6" t="s">
        <v>150</v>
      </c>
      <c r="E4700" s="11">
        <v>3.8575327396392822</v>
      </c>
      <c r="F4700" s="11">
        <v>6.0008015632629395</v>
      </c>
    </row>
    <row r="4701" spans="1:6" hidden="1" x14ac:dyDescent="0.3">
      <c r="A4701" s="6">
        <v>34</v>
      </c>
      <c r="B4701" s="6" t="s">
        <v>149</v>
      </c>
      <c r="C4701" s="6" t="s">
        <v>435</v>
      </c>
      <c r="D4701" s="6" t="s">
        <v>150</v>
      </c>
      <c r="E4701" s="11">
        <v>8.2315731048583984</v>
      </c>
      <c r="F4701" s="11">
        <v>6.0008015632629395</v>
      </c>
    </row>
    <row r="4702" spans="1:6" hidden="1" x14ac:dyDescent="0.3">
      <c r="A4702" s="6">
        <v>34</v>
      </c>
      <c r="B4702" s="6" t="s">
        <v>149</v>
      </c>
      <c r="C4702" s="6" t="s">
        <v>436</v>
      </c>
      <c r="D4702" s="6" t="s">
        <v>150</v>
      </c>
      <c r="E4702" s="11">
        <v>5.4566025733947754</v>
      </c>
      <c r="F4702" s="11">
        <v>6.0008015632629395</v>
      </c>
    </row>
    <row r="4703" spans="1:6" hidden="1" x14ac:dyDescent="0.3">
      <c r="A4703" s="6">
        <v>34</v>
      </c>
      <c r="B4703" s="6" t="s">
        <v>149</v>
      </c>
      <c r="C4703" s="6" t="s">
        <v>437</v>
      </c>
      <c r="D4703" s="6" t="s">
        <v>150</v>
      </c>
      <c r="E4703" s="11">
        <v>6.5122971534729004</v>
      </c>
      <c r="F4703" s="11">
        <v>6.0008015632629395</v>
      </c>
    </row>
    <row r="4704" spans="1:6" hidden="1" x14ac:dyDescent="0.3">
      <c r="A4704" s="6">
        <v>34</v>
      </c>
      <c r="B4704" s="6" t="s">
        <v>149</v>
      </c>
      <c r="C4704" s="6" t="s">
        <v>438</v>
      </c>
      <c r="D4704" s="6" t="s">
        <v>150</v>
      </c>
      <c r="E4704" s="11">
        <v>22.365633010864258</v>
      </c>
      <c r="F4704" s="11">
        <v>6.0008015632629395</v>
      </c>
    </row>
    <row r="4705" spans="1:6" hidden="1" x14ac:dyDescent="0.3">
      <c r="A4705" s="6">
        <v>34</v>
      </c>
      <c r="B4705" s="6" t="s">
        <v>149</v>
      </c>
      <c r="C4705" s="6" t="s">
        <v>439</v>
      </c>
      <c r="D4705" s="6" t="s">
        <v>150</v>
      </c>
      <c r="E4705" s="11">
        <v>5.0206913948059082</v>
      </c>
      <c r="F4705" s="11">
        <v>6.0008015632629395</v>
      </c>
    </row>
    <row r="4706" spans="1:6" hidden="1" x14ac:dyDescent="0.3">
      <c r="A4706" s="6">
        <v>34</v>
      </c>
      <c r="B4706" s="6" t="s">
        <v>149</v>
      </c>
      <c r="C4706" s="6" t="s">
        <v>440</v>
      </c>
      <c r="D4706" s="6" t="s">
        <v>150</v>
      </c>
      <c r="E4706" s="11">
        <v>4.357001781463623</v>
      </c>
      <c r="F4706" s="11">
        <v>6.0008015632629395</v>
      </c>
    </row>
    <row r="4707" spans="1:6" hidden="1" x14ac:dyDescent="0.3">
      <c r="A4707" s="6">
        <v>34</v>
      </c>
      <c r="B4707" s="6" t="s">
        <v>149</v>
      </c>
      <c r="C4707" s="6" t="s">
        <v>441</v>
      </c>
      <c r="D4707" s="6" t="s">
        <v>150</v>
      </c>
      <c r="E4707" s="11">
        <v>16.4422607421875</v>
      </c>
      <c r="F4707" s="11">
        <v>6.0008015632629395</v>
      </c>
    </row>
    <row r="4708" spans="1:6" hidden="1" x14ac:dyDescent="0.3">
      <c r="A4708" s="6">
        <v>34</v>
      </c>
      <c r="B4708" s="6" t="s">
        <v>149</v>
      </c>
      <c r="C4708" s="6" t="s">
        <v>442</v>
      </c>
      <c r="D4708" s="6" t="s">
        <v>150</v>
      </c>
      <c r="E4708" s="11">
        <v>8.1703310012817383</v>
      </c>
      <c r="F4708" s="11">
        <v>6.0008015632629395</v>
      </c>
    </row>
    <row r="4709" spans="1:6" hidden="1" x14ac:dyDescent="0.3">
      <c r="A4709" s="6">
        <v>34</v>
      </c>
      <c r="B4709" s="6" t="s">
        <v>149</v>
      </c>
      <c r="C4709" s="6" t="s">
        <v>443</v>
      </c>
      <c r="D4709" s="6" t="s">
        <v>150</v>
      </c>
      <c r="E4709" s="11">
        <v>4.2022848129272461</v>
      </c>
      <c r="F4709" s="11">
        <v>6.0008015632629395</v>
      </c>
    </row>
    <row r="4710" spans="1:6" hidden="1" x14ac:dyDescent="0.3">
      <c r="A4710" s="6">
        <v>34</v>
      </c>
      <c r="B4710" s="6" t="s">
        <v>149</v>
      </c>
      <c r="C4710" s="6" t="s">
        <v>444</v>
      </c>
      <c r="D4710" s="6" t="s">
        <v>150</v>
      </c>
      <c r="E4710" s="11">
        <v>4.5048470497131348</v>
      </c>
      <c r="F4710" s="11">
        <v>6.0008015632629395</v>
      </c>
    </row>
    <row r="4711" spans="1:6" hidden="1" x14ac:dyDescent="0.3">
      <c r="A4711" s="6">
        <v>34</v>
      </c>
      <c r="B4711" s="6" t="s">
        <v>149</v>
      </c>
      <c r="C4711" s="6" t="s">
        <v>445</v>
      </c>
      <c r="D4711" s="6" t="s">
        <v>150</v>
      </c>
      <c r="E4711" s="11">
        <v>5.160616397857666</v>
      </c>
      <c r="F4711" s="11">
        <v>6.0008015632629395</v>
      </c>
    </row>
    <row r="4712" spans="1:6" hidden="1" x14ac:dyDescent="0.3">
      <c r="A4712" s="6">
        <v>34</v>
      </c>
      <c r="B4712" s="6" t="s">
        <v>149</v>
      </c>
      <c r="C4712" s="6" t="s">
        <v>446</v>
      </c>
      <c r="D4712" s="6" t="s">
        <v>150</v>
      </c>
      <c r="E4712" s="11">
        <v>6.6366658210754395</v>
      </c>
      <c r="F4712" s="11">
        <v>6.0008015632629395</v>
      </c>
    </row>
    <row r="4713" spans="1:6" hidden="1" x14ac:dyDescent="0.3">
      <c r="A4713" s="6">
        <v>34</v>
      </c>
      <c r="B4713" s="6" t="s">
        <v>149</v>
      </c>
      <c r="C4713" s="6" t="s">
        <v>447</v>
      </c>
      <c r="D4713" s="6" t="s">
        <v>150</v>
      </c>
      <c r="E4713" s="11">
        <v>5.6847958564758301</v>
      </c>
      <c r="F4713" s="11">
        <v>6.0008015632629395</v>
      </c>
    </row>
    <row r="4714" spans="1:6" hidden="1" x14ac:dyDescent="0.3">
      <c r="A4714" s="6">
        <v>34</v>
      </c>
      <c r="B4714" s="6" t="s">
        <v>149</v>
      </c>
      <c r="C4714" s="6" t="s">
        <v>448</v>
      </c>
      <c r="D4714" s="6" t="s">
        <v>150</v>
      </c>
      <c r="E4714" s="11">
        <v>4.237675666809082</v>
      </c>
      <c r="F4714" s="11">
        <v>6.0008015632629395</v>
      </c>
    </row>
    <row r="4715" spans="1:6" hidden="1" x14ac:dyDescent="0.3">
      <c r="A4715" s="6">
        <v>34</v>
      </c>
      <c r="B4715" s="6" t="s">
        <v>149</v>
      </c>
      <c r="C4715" s="6" t="s">
        <v>449</v>
      </c>
      <c r="D4715" s="6" t="s">
        <v>150</v>
      </c>
      <c r="E4715" s="11">
        <v>3.2411632537841797</v>
      </c>
      <c r="F4715" s="11">
        <v>6.0008015632629395</v>
      </c>
    </row>
    <row r="4716" spans="1:6" hidden="1" x14ac:dyDescent="0.3">
      <c r="A4716" s="6">
        <v>34</v>
      </c>
      <c r="B4716" s="6" t="s">
        <v>149</v>
      </c>
      <c r="C4716" s="6" t="s">
        <v>450</v>
      </c>
      <c r="D4716" s="6" t="s">
        <v>150</v>
      </c>
      <c r="E4716" s="11">
        <v>5.8109674453735352</v>
      </c>
      <c r="F4716" s="11">
        <v>6.0008015632629395</v>
      </c>
    </row>
    <row r="4717" spans="1:6" hidden="1" x14ac:dyDescent="0.3">
      <c r="A4717" s="6">
        <v>34</v>
      </c>
      <c r="B4717" s="6" t="s">
        <v>149</v>
      </c>
      <c r="C4717" s="6" t="s">
        <v>451</v>
      </c>
      <c r="D4717" s="6" t="s">
        <v>150</v>
      </c>
      <c r="E4717" s="11">
        <v>6.7756748199462891</v>
      </c>
      <c r="F4717" s="11">
        <v>6.0008015632629395</v>
      </c>
    </row>
    <row r="4718" spans="1:6" hidden="1" x14ac:dyDescent="0.3">
      <c r="A4718" s="6">
        <v>34</v>
      </c>
      <c r="B4718" s="6" t="s">
        <v>149</v>
      </c>
      <c r="C4718" s="6" t="s">
        <v>452</v>
      </c>
      <c r="D4718" s="6" t="s">
        <v>150</v>
      </c>
      <c r="E4718" s="11">
        <v>4.5822277069091797</v>
      </c>
      <c r="F4718" s="11">
        <v>6.0008015632629395</v>
      </c>
    </row>
    <row r="4719" spans="1:6" hidden="1" x14ac:dyDescent="0.3">
      <c r="A4719" s="6">
        <v>34</v>
      </c>
      <c r="B4719" s="6" t="s">
        <v>149</v>
      </c>
      <c r="C4719" s="6" t="s">
        <v>453</v>
      </c>
      <c r="D4719" s="6" t="s">
        <v>150</v>
      </c>
      <c r="E4719" s="11">
        <v>3.3093948364257813</v>
      </c>
      <c r="F4719" s="11">
        <v>6.0008015632629395</v>
      </c>
    </row>
    <row r="4720" spans="1:6" hidden="1" x14ac:dyDescent="0.3">
      <c r="A4720" s="6">
        <v>34</v>
      </c>
      <c r="B4720" s="6" t="s">
        <v>149</v>
      </c>
      <c r="C4720" s="6" t="s">
        <v>454</v>
      </c>
      <c r="D4720" s="6" t="s">
        <v>150</v>
      </c>
      <c r="E4720" s="11">
        <v>7.5128226280212402</v>
      </c>
      <c r="F4720" s="11">
        <v>6.0008015632629395</v>
      </c>
    </row>
    <row r="4721" spans="1:6" hidden="1" x14ac:dyDescent="0.3">
      <c r="A4721" s="6">
        <v>34</v>
      </c>
      <c r="B4721" s="6" t="s">
        <v>149</v>
      </c>
      <c r="C4721" s="6" t="s">
        <v>455</v>
      </c>
      <c r="D4721" s="6" t="s">
        <v>150</v>
      </c>
      <c r="E4721" s="11">
        <v>6.0081601142883301</v>
      </c>
      <c r="F4721" s="11">
        <v>6.0008015632629395</v>
      </c>
    </row>
    <row r="4722" spans="1:6" hidden="1" x14ac:dyDescent="0.3">
      <c r="A4722" s="6">
        <v>34</v>
      </c>
      <c r="B4722" s="6" t="s">
        <v>149</v>
      </c>
      <c r="C4722" s="6" t="s">
        <v>456</v>
      </c>
      <c r="D4722" s="6" t="s">
        <v>150</v>
      </c>
      <c r="E4722" s="11">
        <v>4.119318962097168</v>
      </c>
      <c r="F4722" s="11">
        <v>6.0008015632629395</v>
      </c>
    </row>
    <row r="4723" spans="1:6" hidden="1" x14ac:dyDescent="0.3">
      <c r="A4723" s="6">
        <v>34</v>
      </c>
      <c r="B4723" s="6" t="s">
        <v>149</v>
      </c>
      <c r="C4723" s="6" t="s">
        <v>457</v>
      </c>
      <c r="D4723" s="6" t="s">
        <v>150</v>
      </c>
      <c r="E4723" s="11">
        <v>6.6825771331787109</v>
      </c>
      <c r="F4723" s="11">
        <v>6.0008015632629395</v>
      </c>
    </row>
    <row r="4724" spans="1:6" hidden="1" x14ac:dyDescent="0.3">
      <c r="A4724" s="6">
        <v>34</v>
      </c>
      <c r="B4724" s="6" t="s">
        <v>149</v>
      </c>
      <c r="C4724" s="6" t="s">
        <v>458</v>
      </c>
      <c r="D4724" s="6" t="s">
        <v>150</v>
      </c>
      <c r="E4724" s="11">
        <v>6.0106563568115234</v>
      </c>
      <c r="F4724" s="11">
        <v>6.0008015632629395</v>
      </c>
    </row>
    <row r="4725" spans="1:6" hidden="1" x14ac:dyDescent="0.3">
      <c r="A4725" s="6">
        <v>34</v>
      </c>
      <c r="B4725" s="6" t="s">
        <v>149</v>
      </c>
      <c r="C4725" s="6" t="s">
        <v>459</v>
      </c>
      <c r="D4725" s="6" t="s">
        <v>150</v>
      </c>
      <c r="E4725" s="11">
        <v>7.4385480880737305</v>
      </c>
      <c r="F4725" s="11">
        <v>6.0008015632629395</v>
      </c>
    </row>
    <row r="4726" spans="1:6" hidden="1" x14ac:dyDescent="0.3">
      <c r="A4726" s="6">
        <v>34</v>
      </c>
      <c r="B4726" s="6" t="s">
        <v>149</v>
      </c>
      <c r="C4726" s="6" t="s">
        <v>460</v>
      </c>
      <c r="D4726" s="6" t="s">
        <v>150</v>
      </c>
      <c r="E4726" s="11">
        <v>8.7791061401367188</v>
      </c>
      <c r="F4726" s="11">
        <v>6.0008015632629395</v>
      </c>
    </row>
    <row r="4727" spans="1:6" hidden="1" x14ac:dyDescent="0.3">
      <c r="A4727" s="6">
        <v>34</v>
      </c>
      <c r="B4727" s="6" t="s">
        <v>149</v>
      </c>
      <c r="C4727" s="6" t="s">
        <v>461</v>
      </c>
      <c r="D4727" s="6" t="s">
        <v>150</v>
      </c>
      <c r="E4727" s="11">
        <v>5.5213255882263184</v>
      </c>
      <c r="F4727" s="11">
        <v>6.0008015632629395</v>
      </c>
    </row>
    <row r="4728" spans="1:6" hidden="1" x14ac:dyDescent="0.3">
      <c r="A4728" s="6">
        <v>34</v>
      </c>
      <c r="B4728" s="6" t="s">
        <v>149</v>
      </c>
      <c r="C4728" s="6" t="s">
        <v>462</v>
      </c>
      <c r="D4728" s="6" t="s">
        <v>150</v>
      </c>
      <c r="E4728" s="11">
        <v>4.0601649284362793</v>
      </c>
      <c r="F4728" s="11">
        <v>6.0008015632629395</v>
      </c>
    </row>
    <row r="4729" spans="1:6" hidden="1" x14ac:dyDescent="0.3">
      <c r="A4729" s="6">
        <v>34</v>
      </c>
      <c r="B4729" s="6" t="s">
        <v>149</v>
      </c>
      <c r="C4729" s="6" t="s">
        <v>463</v>
      </c>
      <c r="D4729" s="6" t="s">
        <v>150</v>
      </c>
      <c r="E4729" s="11">
        <v>4782.1689453125</v>
      </c>
      <c r="F4729" s="11">
        <v>6.0008015632629395</v>
      </c>
    </row>
    <row r="4730" spans="1:6" hidden="1" x14ac:dyDescent="0.3">
      <c r="A4730" s="6">
        <v>34</v>
      </c>
      <c r="B4730" s="6" t="s">
        <v>149</v>
      </c>
      <c r="C4730" s="6" t="s">
        <v>464</v>
      </c>
      <c r="D4730" s="6" t="s">
        <v>150</v>
      </c>
      <c r="E4730" s="11">
        <v>5.2803678512573242</v>
      </c>
      <c r="F4730" s="11">
        <v>6.0008015632629395</v>
      </c>
    </row>
    <row r="4731" spans="1:6" hidden="1" x14ac:dyDescent="0.3">
      <c r="A4731" s="6">
        <v>34</v>
      </c>
      <c r="B4731" s="6" t="s">
        <v>149</v>
      </c>
      <c r="C4731" s="6" t="s">
        <v>465</v>
      </c>
      <c r="D4731" s="6" t="s">
        <v>150</v>
      </c>
      <c r="E4731" s="11">
        <v>6.4832229614257813</v>
      </c>
      <c r="F4731" s="11">
        <v>6.0008015632629395</v>
      </c>
    </row>
    <row r="4732" spans="1:6" hidden="1" x14ac:dyDescent="0.3">
      <c r="A4732" s="6">
        <v>34</v>
      </c>
      <c r="B4732" s="6" t="s">
        <v>149</v>
      </c>
      <c r="C4732" s="6" t="s">
        <v>466</v>
      </c>
      <c r="D4732" s="6" t="s">
        <v>150</v>
      </c>
      <c r="E4732" s="11">
        <v>4.1643757820129395</v>
      </c>
      <c r="F4732" s="11">
        <v>6.0008015632629395</v>
      </c>
    </row>
    <row r="4733" spans="1:6" hidden="1" x14ac:dyDescent="0.3">
      <c r="A4733" s="6">
        <v>34</v>
      </c>
      <c r="B4733" s="6" t="s">
        <v>149</v>
      </c>
      <c r="C4733" s="6" t="s">
        <v>467</v>
      </c>
      <c r="D4733" s="6" t="s">
        <v>150</v>
      </c>
      <c r="E4733" s="11">
        <v>4.1951713562011719</v>
      </c>
      <c r="F4733" s="11">
        <v>6.0008015632629395</v>
      </c>
    </row>
    <row r="4734" spans="1:6" hidden="1" x14ac:dyDescent="0.3">
      <c r="A4734" s="6">
        <v>34</v>
      </c>
      <c r="B4734" s="6" t="s">
        <v>149</v>
      </c>
      <c r="C4734" s="6" t="s">
        <v>468</v>
      </c>
      <c r="D4734" s="6" t="s">
        <v>150</v>
      </c>
      <c r="E4734" s="11">
        <v>10.63630485534668</v>
      </c>
      <c r="F4734" s="11">
        <v>6.0008015632629395</v>
      </c>
    </row>
    <row r="4735" spans="1:6" hidden="1" x14ac:dyDescent="0.3">
      <c r="A4735" s="6">
        <v>34</v>
      </c>
      <c r="B4735" s="6" t="s">
        <v>149</v>
      </c>
      <c r="C4735" s="6" t="s">
        <v>469</v>
      </c>
      <c r="D4735" s="6" t="s">
        <v>150</v>
      </c>
      <c r="E4735" s="11">
        <v>4.959294319152832</v>
      </c>
      <c r="F4735" s="11">
        <v>6.0008015632629395</v>
      </c>
    </row>
    <row r="4736" spans="1:6" hidden="1" x14ac:dyDescent="0.3">
      <c r="A4736" s="6">
        <v>34</v>
      </c>
      <c r="B4736" s="6" t="s">
        <v>149</v>
      </c>
      <c r="C4736" s="6" t="s">
        <v>470</v>
      </c>
      <c r="D4736" s="6" t="s">
        <v>150</v>
      </c>
      <c r="E4736" s="11">
        <v>5.3205971717834473</v>
      </c>
      <c r="F4736" s="11">
        <v>6.0008015632629395</v>
      </c>
    </row>
    <row r="4737" spans="1:6" hidden="1" x14ac:dyDescent="0.3">
      <c r="A4737" s="6">
        <v>34</v>
      </c>
      <c r="B4737" s="6" t="s">
        <v>149</v>
      </c>
      <c r="C4737" s="6" t="s">
        <v>471</v>
      </c>
      <c r="D4737" s="6" t="s">
        <v>150</v>
      </c>
      <c r="E4737" s="11">
        <v>4.6566858291625977</v>
      </c>
      <c r="F4737" s="11">
        <v>6.0008015632629395</v>
      </c>
    </row>
    <row r="4738" spans="1:6" hidden="1" x14ac:dyDescent="0.3">
      <c r="A4738" s="6">
        <v>34</v>
      </c>
      <c r="B4738" s="6" t="s">
        <v>149</v>
      </c>
      <c r="C4738" s="6" t="s">
        <v>472</v>
      </c>
      <c r="D4738" s="6" t="s">
        <v>150</v>
      </c>
      <c r="E4738" s="11">
        <v>6.200294017791748</v>
      </c>
      <c r="F4738" s="11">
        <v>6.0008015632629395</v>
      </c>
    </row>
    <row r="4739" spans="1:6" hidden="1" x14ac:dyDescent="0.3">
      <c r="A4739" s="6">
        <v>34</v>
      </c>
      <c r="B4739" s="6" t="s">
        <v>149</v>
      </c>
      <c r="C4739" s="6" t="s">
        <v>473</v>
      </c>
      <c r="D4739" s="6" t="s">
        <v>150</v>
      </c>
      <c r="E4739" s="11">
        <v>5.7913646697998047</v>
      </c>
      <c r="F4739" s="11">
        <v>6.0008015632629395</v>
      </c>
    </row>
    <row r="4740" spans="1:6" hidden="1" x14ac:dyDescent="0.3">
      <c r="A4740" s="6">
        <v>34</v>
      </c>
      <c r="B4740" s="6" t="s">
        <v>149</v>
      </c>
      <c r="C4740" s="6" t="s">
        <v>474</v>
      </c>
      <c r="D4740" s="6" t="s">
        <v>150</v>
      </c>
      <c r="E4740" s="11">
        <v>6.6610407829284668</v>
      </c>
      <c r="F4740" s="11">
        <v>6.0008015632629395</v>
      </c>
    </row>
    <row r="4741" spans="1:6" hidden="1" x14ac:dyDescent="0.3">
      <c r="A4741" s="6">
        <v>34</v>
      </c>
      <c r="B4741" s="6" t="s">
        <v>149</v>
      </c>
      <c r="C4741" s="6" t="s">
        <v>475</v>
      </c>
      <c r="D4741" s="6" t="s">
        <v>150</v>
      </c>
      <c r="E4741" s="11">
        <v>4.8679342269897461</v>
      </c>
      <c r="F4741" s="11">
        <v>6.0008015632629395</v>
      </c>
    </row>
    <row r="4742" spans="1:6" hidden="1" x14ac:dyDescent="0.3">
      <c r="A4742" s="6">
        <v>34</v>
      </c>
      <c r="B4742" s="6" t="s">
        <v>149</v>
      </c>
      <c r="C4742" s="6" t="s">
        <v>476</v>
      </c>
      <c r="D4742" s="6" t="s">
        <v>150</v>
      </c>
      <c r="E4742" s="11">
        <v>5.7796602249145508</v>
      </c>
      <c r="F4742" s="11">
        <v>6.0008015632629395</v>
      </c>
    </row>
    <row r="4743" spans="1:6" hidden="1" x14ac:dyDescent="0.3">
      <c r="A4743" s="6">
        <v>34</v>
      </c>
      <c r="B4743" s="6" t="s">
        <v>149</v>
      </c>
      <c r="C4743" s="6" t="s">
        <v>477</v>
      </c>
      <c r="D4743" s="6" t="s">
        <v>150</v>
      </c>
      <c r="E4743" s="11">
        <v>7.9713497161865234</v>
      </c>
      <c r="F4743" s="11">
        <v>6.0008015632629395</v>
      </c>
    </row>
    <row r="4744" spans="1:6" hidden="1" x14ac:dyDescent="0.3">
      <c r="A4744" s="6">
        <v>34</v>
      </c>
      <c r="B4744" s="6" t="s">
        <v>149</v>
      </c>
      <c r="C4744" s="6" t="s">
        <v>478</v>
      </c>
      <c r="D4744" s="6" t="s">
        <v>150</v>
      </c>
      <c r="E4744" s="11">
        <v>5.4163103103637695</v>
      </c>
      <c r="F4744" s="11">
        <v>6.0008015632629395</v>
      </c>
    </row>
    <row r="4745" spans="1:6" hidden="1" x14ac:dyDescent="0.3">
      <c r="A4745" s="6">
        <v>34</v>
      </c>
      <c r="B4745" s="6" t="s">
        <v>149</v>
      </c>
      <c r="C4745" s="6" t="s">
        <v>479</v>
      </c>
      <c r="D4745" s="6" t="s">
        <v>150</v>
      </c>
      <c r="E4745" s="11">
        <v>12.551828384399414</v>
      </c>
      <c r="F4745" s="11">
        <v>6.0008015632629395</v>
      </c>
    </row>
    <row r="4746" spans="1:6" hidden="1" x14ac:dyDescent="0.3">
      <c r="A4746" s="6">
        <v>34</v>
      </c>
      <c r="B4746" s="6" t="s">
        <v>149</v>
      </c>
      <c r="C4746" s="6" t="s">
        <v>480</v>
      </c>
      <c r="D4746" s="6" t="s">
        <v>150</v>
      </c>
      <c r="E4746" s="11">
        <v>6.1848049163818359</v>
      </c>
      <c r="F4746" s="11">
        <v>6.0008015632629395</v>
      </c>
    </row>
    <row r="4747" spans="1:6" hidden="1" x14ac:dyDescent="0.3">
      <c r="A4747" s="6">
        <v>34</v>
      </c>
      <c r="B4747" s="6" t="s">
        <v>149</v>
      </c>
      <c r="C4747" s="6" t="s">
        <v>481</v>
      </c>
      <c r="D4747" s="6" t="s">
        <v>150</v>
      </c>
      <c r="E4747" s="11">
        <v>7.011263370513916</v>
      </c>
      <c r="F4747" s="11">
        <v>6.0008015632629395</v>
      </c>
    </row>
    <row r="4748" spans="1:6" hidden="1" x14ac:dyDescent="0.3">
      <c r="A4748" s="6">
        <v>34</v>
      </c>
      <c r="B4748" s="6" t="s">
        <v>149</v>
      </c>
      <c r="C4748" s="6" t="s">
        <v>482</v>
      </c>
      <c r="D4748" s="6" t="s">
        <v>150</v>
      </c>
      <c r="E4748" s="11">
        <v>6.7979087829589844</v>
      </c>
      <c r="F4748" s="11">
        <v>6.0008015632629395</v>
      </c>
    </row>
    <row r="4749" spans="1:6" hidden="1" x14ac:dyDescent="0.3">
      <c r="A4749" s="6">
        <v>34</v>
      </c>
      <c r="B4749" s="6" t="s">
        <v>149</v>
      </c>
      <c r="C4749" s="6" t="s">
        <v>483</v>
      </c>
      <c r="D4749" s="6" t="s">
        <v>150</v>
      </c>
      <c r="E4749" s="11">
        <v>122.51310729980469</v>
      </c>
      <c r="F4749" s="11">
        <v>6.0008015632629395</v>
      </c>
    </row>
    <row r="4750" spans="1:6" hidden="1" x14ac:dyDescent="0.3">
      <c r="A4750" s="6">
        <v>34</v>
      </c>
      <c r="B4750" s="6" t="s">
        <v>149</v>
      </c>
      <c r="C4750" s="6" t="s">
        <v>484</v>
      </c>
      <c r="D4750" s="6" t="s">
        <v>150</v>
      </c>
      <c r="E4750" s="11">
        <v>6.0969910621643066</v>
      </c>
      <c r="F4750" s="11">
        <v>6.0008015632629395</v>
      </c>
    </row>
    <row r="4751" spans="1:6" hidden="1" x14ac:dyDescent="0.3">
      <c r="A4751" s="6">
        <v>34</v>
      </c>
      <c r="B4751" s="6" t="s">
        <v>149</v>
      </c>
      <c r="C4751" s="6" t="s">
        <v>485</v>
      </c>
      <c r="D4751" s="6" t="s">
        <v>150</v>
      </c>
      <c r="E4751" s="11">
        <v>13.28852653503418</v>
      </c>
      <c r="F4751" s="11">
        <v>6.0008015632629395</v>
      </c>
    </row>
    <row r="4752" spans="1:6" hidden="1" x14ac:dyDescent="0.3">
      <c r="A4752" s="6">
        <v>34</v>
      </c>
      <c r="B4752" s="6" t="s">
        <v>149</v>
      </c>
      <c r="C4752" s="6" t="s">
        <v>486</v>
      </c>
      <c r="D4752" s="6" t="s">
        <v>150</v>
      </c>
      <c r="E4752" s="11">
        <v>5.4311704635620117</v>
      </c>
      <c r="F4752" s="11">
        <v>6.0008015632629395</v>
      </c>
    </row>
    <row r="4753" spans="1:6" hidden="1" x14ac:dyDescent="0.3">
      <c r="A4753" s="6">
        <v>34</v>
      </c>
      <c r="B4753" s="6" t="s">
        <v>149</v>
      </c>
      <c r="C4753" s="6" t="s">
        <v>487</v>
      </c>
      <c r="D4753" s="6" t="s">
        <v>150</v>
      </c>
      <c r="E4753" s="11">
        <v>4.2624659538269043</v>
      </c>
      <c r="F4753" s="11">
        <v>6.0008015632629395</v>
      </c>
    </row>
    <row r="4754" spans="1:6" hidden="1" x14ac:dyDescent="0.3">
      <c r="A4754" s="6">
        <v>34</v>
      </c>
      <c r="B4754" s="6" t="s">
        <v>149</v>
      </c>
      <c r="C4754" s="6" t="s">
        <v>488</v>
      </c>
      <c r="D4754" s="6" t="s">
        <v>150</v>
      </c>
      <c r="E4754" s="11">
        <v>4.7298002243041992</v>
      </c>
      <c r="F4754" s="11">
        <v>6.0008015632629395</v>
      </c>
    </row>
    <row r="4755" spans="1:6" hidden="1" x14ac:dyDescent="0.3">
      <c r="A4755" s="6">
        <v>34</v>
      </c>
      <c r="B4755" s="6" t="s">
        <v>149</v>
      </c>
      <c r="C4755" s="6" t="s">
        <v>489</v>
      </c>
      <c r="D4755" s="6" t="s">
        <v>150</v>
      </c>
      <c r="E4755" s="11">
        <v>6.3017206192016602</v>
      </c>
      <c r="F4755" s="11">
        <v>6.0008015632629395</v>
      </c>
    </row>
    <row r="4756" spans="1:6" hidden="1" x14ac:dyDescent="0.3">
      <c r="A4756" s="6">
        <v>34</v>
      </c>
      <c r="B4756" s="6" t="s">
        <v>149</v>
      </c>
      <c r="C4756" s="6" t="s">
        <v>490</v>
      </c>
      <c r="D4756" s="6" t="s">
        <v>150</v>
      </c>
      <c r="E4756" s="11">
        <v>6.3245687484741211</v>
      </c>
      <c r="F4756" s="11">
        <v>6.0008015632629395</v>
      </c>
    </row>
    <row r="4757" spans="1:6" hidden="1" x14ac:dyDescent="0.3">
      <c r="A4757" s="6">
        <v>34</v>
      </c>
      <c r="B4757" s="6" t="s">
        <v>149</v>
      </c>
      <c r="C4757" s="6" t="s">
        <v>491</v>
      </c>
      <c r="D4757" s="6" t="s">
        <v>150</v>
      </c>
      <c r="E4757" s="11">
        <v>8.9502248764038086</v>
      </c>
      <c r="F4757" s="11">
        <v>6.0008015632629395</v>
      </c>
    </row>
    <row r="4758" spans="1:6" hidden="1" x14ac:dyDescent="0.3">
      <c r="A4758" s="6">
        <v>34</v>
      </c>
      <c r="B4758" s="6" t="s">
        <v>149</v>
      </c>
      <c r="C4758" s="6" t="s">
        <v>492</v>
      </c>
      <c r="D4758" s="6" t="s">
        <v>150</v>
      </c>
      <c r="E4758" s="11">
        <v>7.167625904083252</v>
      </c>
      <c r="F4758" s="11">
        <v>6.0008015632629395</v>
      </c>
    </row>
    <row r="4759" spans="1:6" hidden="1" x14ac:dyDescent="0.3">
      <c r="A4759" s="6">
        <v>34</v>
      </c>
      <c r="B4759" s="6" t="s">
        <v>149</v>
      </c>
      <c r="C4759" s="6" t="s">
        <v>493</v>
      </c>
      <c r="D4759" s="6" t="s">
        <v>150</v>
      </c>
      <c r="E4759" s="11">
        <v>5.1913356781005859</v>
      </c>
      <c r="F4759" s="11">
        <v>6.0008015632629395</v>
      </c>
    </row>
    <row r="4760" spans="1:6" hidden="1" x14ac:dyDescent="0.3">
      <c r="A4760" s="6">
        <v>34</v>
      </c>
      <c r="B4760" s="6" t="s">
        <v>149</v>
      </c>
      <c r="C4760" s="6" t="s">
        <v>494</v>
      </c>
      <c r="D4760" s="6" t="s">
        <v>150</v>
      </c>
      <c r="E4760" s="11">
        <v>10.869908332824707</v>
      </c>
      <c r="F4760" s="11">
        <v>6.0008015632629395</v>
      </c>
    </row>
    <row r="4761" spans="1:6" hidden="1" x14ac:dyDescent="0.3">
      <c r="A4761" s="6">
        <v>34</v>
      </c>
      <c r="B4761" s="6" t="s">
        <v>149</v>
      </c>
      <c r="C4761" s="6" t="s">
        <v>495</v>
      </c>
      <c r="D4761" s="6" t="s">
        <v>150</v>
      </c>
      <c r="E4761" s="11">
        <v>7.3623175621032715</v>
      </c>
      <c r="F4761" s="11">
        <v>6.0008015632629395</v>
      </c>
    </row>
    <row r="4762" spans="1:6" hidden="1" x14ac:dyDescent="0.3">
      <c r="A4762" s="6">
        <v>35</v>
      </c>
      <c r="B4762" s="6" t="s">
        <v>151</v>
      </c>
      <c r="C4762" s="6" t="s">
        <v>356</v>
      </c>
      <c r="D4762" s="6" t="s">
        <v>152</v>
      </c>
      <c r="E4762" s="11">
        <v>7.8165907859802246</v>
      </c>
      <c r="F4762" s="11">
        <v>7.9023118019104004</v>
      </c>
    </row>
    <row r="4763" spans="1:6" hidden="1" x14ac:dyDescent="0.3">
      <c r="A4763" s="6">
        <v>35</v>
      </c>
      <c r="B4763" s="6" t="s">
        <v>151</v>
      </c>
      <c r="C4763" s="6" t="s">
        <v>357</v>
      </c>
      <c r="D4763" s="6" t="s">
        <v>152</v>
      </c>
      <c r="E4763" s="11">
        <v>3.5800197124481201</v>
      </c>
      <c r="F4763" s="11">
        <v>7.9023118019104004</v>
      </c>
    </row>
    <row r="4764" spans="1:6" hidden="1" x14ac:dyDescent="0.3">
      <c r="A4764" s="6">
        <v>35</v>
      </c>
      <c r="B4764" s="6" t="s">
        <v>151</v>
      </c>
      <c r="C4764" s="6" t="s">
        <v>358</v>
      </c>
      <c r="D4764" s="6" t="s">
        <v>152</v>
      </c>
      <c r="E4764" s="11">
        <v>6.9972190856933594</v>
      </c>
      <c r="F4764" s="11">
        <v>7.9023118019104004</v>
      </c>
    </row>
    <row r="4765" spans="1:6" hidden="1" x14ac:dyDescent="0.3">
      <c r="A4765" s="6">
        <v>35</v>
      </c>
      <c r="B4765" s="6" t="s">
        <v>151</v>
      </c>
      <c r="C4765" s="6" t="s">
        <v>359</v>
      </c>
      <c r="D4765" s="6" t="s">
        <v>152</v>
      </c>
      <c r="E4765" s="11">
        <v>6.3862886428833008</v>
      </c>
      <c r="F4765" s="11">
        <v>7.9023118019104004</v>
      </c>
    </row>
    <row r="4766" spans="1:6" hidden="1" x14ac:dyDescent="0.3">
      <c r="A4766" s="6">
        <v>35</v>
      </c>
      <c r="B4766" s="6" t="s">
        <v>151</v>
      </c>
      <c r="C4766" s="6" t="s">
        <v>360</v>
      </c>
      <c r="D4766" s="6" t="s">
        <v>152</v>
      </c>
      <c r="E4766" s="11">
        <v>6.8612184524536133</v>
      </c>
      <c r="F4766" s="11">
        <v>7.9023118019104004</v>
      </c>
    </row>
    <row r="4767" spans="1:6" hidden="1" x14ac:dyDescent="0.3">
      <c r="A4767" s="6">
        <v>35</v>
      </c>
      <c r="B4767" s="6" t="s">
        <v>151</v>
      </c>
      <c r="C4767" s="6" t="s">
        <v>361</v>
      </c>
      <c r="D4767" s="6" t="s">
        <v>152</v>
      </c>
      <c r="E4767" s="11">
        <v>6.6569299697875977</v>
      </c>
      <c r="F4767" s="11">
        <v>7.9023118019104004</v>
      </c>
    </row>
    <row r="4768" spans="1:6" hidden="1" x14ac:dyDescent="0.3">
      <c r="A4768" s="6">
        <v>35</v>
      </c>
      <c r="B4768" s="6" t="s">
        <v>151</v>
      </c>
      <c r="C4768" s="6" t="s">
        <v>362</v>
      </c>
      <c r="D4768" s="6" t="s">
        <v>152</v>
      </c>
      <c r="E4768" s="11">
        <v>5.862236499786377</v>
      </c>
      <c r="F4768" s="11">
        <v>7.9023118019104004</v>
      </c>
    </row>
    <row r="4769" spans="1:6" hidden="1" x14ac:dyDescent="0.3">
      <c r="A4769" s="6">
        <v>35</v>
      </c>
      <c r="B4769" s="6" t="s">
        <v>151</v>
      </c>
      <c r="C4769" s="6" t="s">
        <v>363</v>
      </c>
      <c r="D4769" s="6" t="s">
        <v>152</v>
      </c>
      <c r="E4769" s="11">
        <v>9.6597843170166016</v>
      </c>
      <c r="F4769" s="11">
        <v>7.9023118019104004</v>
      </c>
    </row>
    <row r="4770" spans="1:6" hidden="1" x14ac:dyDescent="0.3">
      <c r="A4770" s="6">
        <v>35</v>
      </c>
      <c r="B4770" s="6" t="s">
        <v>151</v>
      </c>
      <c r="C4770" s="6" t="s">
        <v>364</v>
      </c>
      <c r="D4770" s="6" t="s">
        <v>152</v>
      </c>
      <c r="E4770" s="11">
        <v>4.6814088821411133</v>
      </c>
      <c r="F4770" s="11">
        <v>7.9023118019104004</v>
      </c>
    </row>
    <row r="4771" spans="1:6" hidden="1" x14ac:dyDescent="0.3">
      <c r="A4771" s="6">
        <v>35</v>
      </c>
      <c r="B4771" s="6" t="s">
        <v>151</v>
      </c>
      <c r="C4771" s="6" t="s">
        <v>365</v>
      </c>
      <c r="D4771" s="6" t="s">
        <v>152</v>
      </c>
      <c r="E4771" s="11">
        <v>6.4138731956481934</v>
      </c>
      <c r="F4771" s="11">
        <v>7.9023118019104004</v>
      </c>
    </row>
    <row r="4772" spans="1:6" hidden="1" x14ac:dyDescent="0.3">
      <c r="A4772" s="6">
        <v>35</v>
      </c>
      <c r="B4772" s="6" t="s">
        <v>151</v>
      </c>
      <c r="C4772" s="6" t="s">
        <v>366</v>
      </c>
      <c r="D4772" s="6" t="s">
        <v>152</v>
      </c>
      <c r="E4772" s="11"/>
      <c r="F4772" s="11">
        <v>7.9023118019104004</v>
      </c>
    </row>
    <row r="4773" spans="1:6" hidden="1" x14ac:dyDescent="0.3">
      <c r="A4773" s="6">
        <v>35</v>
      </c>
      <c r="B4773" s="6" t="s">
        <v>151</v>
      </c>
      <c r="C4773" s="6" t="s">
        <v>367</v>
      </c>
      <c r="D4773" s="6" t="s">
        <v>152</v>
      </c>
      <c r="E4773" s="11">
        <v>9.6900968551635742</v>
      </c>
      <c r="F4773" s="11">
        <v>7.9023118019104004</v>
      </c>
    </row>
    <row r="4774" spans="1:6" hidden="1" x14ac:dyDescent="0.3">
      <c r="A4774" s="6">
        <v>35</v>
      </c>
      <c r="B4774" s="6" t="s">
        <v>151</v>
      </c>
      <c r="C4774" s="6" t="s">
        <v>368</v>
      </c>
      <c r="D4774" s="6" t="s">
        <v>152</v>
      </c>
      <c r="E4774" s="11">
        <v>3.4717187881469727</v>
      </c>
      <c r="F4774" s="11">
        <v>7.9023118019104004</v>
      </c>
    </row>
    <row r="4775" spans="1:6" hidden="1" x14ac:dyDescent="0.3">
      <c r="A4775" s="6">
        <v>35</v>
      </c>
      <c r="B4775" s="6" t="s">
        <v>151</v>
      </c>
      <c r="C4775" s="6" t="s">
        <v>369</v>
      </c>
      <c r="D4775" s="6" t="s">
        <v>152</v>
      </c>
      <c r="E4775" s="11">
        <v>12.481783866882324</v>
      </c>
      <c r="F4775" s="11">
        <v>7.9023118019104004</v>
      </c>
    </row>
    <row r="4776" spans="1:6" hidden="1" x14ac:dyDescent="0.3">
      <c r="A4776" s="6">
        <v>35</v>
      </c>
      <c r="B4776" s="6" t="s">
        <v>151</v>
      </c>
      <c r="C4776" s="6" t="s">
        <v>370</v>
      </c>
      <c r="D4776" s="6" t="s">
        <v>152</v>
      </c>
      <c r="E4776" s="11">
        <v>28.022121429443359</v>
      </c>
      <c r="F4776" s="11">
        <v>7.9023118019104004</v>
      </c>
    </row>
    <row r="4777" spans="1:6" hidden="1" x14ac:dyDescent="0.3">
      <c r="A4777" s="6">
        <v>35</v>
      </c>
      <c r="B4777" s="6" t="s">
        <v>151</v>
      </c>
      <c r="C4777" s="6" t="s">
        <v>371</v>
      </c>
      <c r="D4777" s="6" t="s">
        <v>152</v>
      </c>
      <c r="E4777" s="11">
        <v>6.0362548828125</v>
      </c>
      <c r="F4777" s="11">
        <v>7.9023118019104004</v>
      </c>
    </row>
    <row r="4778" spans="1:6" hidden="1" x14ac:dyDescent="0.3">
      <c r="A4778" s="6">
        <v>35</v>
      </c>
      <c r="B4778" s="6" t="s">
        <v>151</v>
      </c>
      <c r="C4778" s="6" t="s">
        <v>372</v>
      </c>
      <c r="D4778" s="6" t="s">
        <v>152</v>
      </c>
      <c r="E4778" s="11">
        <v>37.980113983154297</v>
      </c>
      <c r="F4778" s="11">
        <v>7.9023118019104004</v>
      </c>
    </row>
    <row r="4779" spans="1:6" hidden="1" x14ac:dyDescent="0.3">
      <c r="A4779" s="6">
        <v>35</v>
      </c>
      <c r="B4779" s="6" t="s">
        <v>151</v>
      </c>
      <c r="C4779" s="6" t="s">
        <v>373</v>
      </c>
      <c r="D4779" s="6" t="s">
        <v>152</v>
      </c>
      <c r="E4779" s="11">
        <v>12.125962257385254</v>
      </c>
      <c r="F4779" s="11">
        <v>7.9023118019104004</v>
      </c>
    </row>
    <row r="4780" spans="1:6" hidden="1" x14ac:dyDescent="0.3">
      <c r="A4780" s="6">
        <v>35</v>
      </c>
      <c r="B4780" s="6" t="s">
        <v>151</v>
      </c>
      <c r="C4780" s="6" t="s">
        <v>374</v>
      </c>
      <c r="D4780" s="6" t="s">
        <v>152</v>
      </c>
      <c r="E4780" s="11">
        <v>7.0686817169189453</v>
      </c>
      <c r="F4780" s="11">
        <v>7.9023118019104004</v>
      </c>
    </row>
    <row r="4781" spans="1:6" hidden="1" x14ac:dyDescent="0.3">
      <c r="A4781" s="6">
        <v>35</v>
      </c>
      <c r="B4781" s="6" t="s">
        <v>151</v>
      </c>
      <c r="C4781" s="6" t="s">
        <v>375</v>
      </c>
      <c r="D4781" s="6" t="s">
        <v>152</v>
      </c>
      <c r="E4781" s="11">
        <v>5.8659615516662598</v>
      </c>
      <c r="F4781" s="11">
        <v>7.9023118019104004</v>
      </c>
    </row>
    <row r="4782" spans="1:6" hidden="1" x14ac:dyDescent="0.3">
      <c r="A4782" s="6">
        <v>35</v>
      </c>
      <c r="B4782" s="6" t="s">
        <v>151</v>
      </c>
      <c r="C4782" s="6" t="s">
        <v>376</v>
      </c>
      <c r="D4782" s="6" t="s">
        <v>152</v>
      </c>
      <c r="E4782" s="11">
        <v>5.2840142250061035</v>
      </c>
      <c r="F4782" s="11">
        <v>7.9023118019104004</v>
      </c>
    </row>
    <row r="4783" spans="1:6" hidden="1" x14ac:dyDescent="0.3">
      <c r="A4783" s="6">
        <v>35</v>
      </c>
      <c r="B4783" s="6" t="s">
        <v>151</v>
      </c>
      <c r="C4783" s="6" t="s">
        <v>377</v>
      </c>
      <c r="D4783" s="6" t="s">
        <v>152</v>
      </c>
      <c r="E4783" s="11">
        <v>9.0248689651489258</v>
      </c>
      <c r="F4783" s="11">
        <v>7.9023118019104004</v>
      </c>
    </row>
    <row r="4784" spans="1:6" hidden="1" x14ac:dyDescent="0.3">
      <c r="A4784" s="6">
        <v>35</v>
      </c>
      <c r="B4784" s="6" t="s">
        <v>151</v>
      </c>
      <c r="C4784" s="6" t="s">
        <v>378</v>
      </c>
      <c r="D4784" s="6" t="s">
        <v>152</v>
      </c>
      <c r="E4784" s="11">
        <v>10.38481616973877</v>
      </c>
      <c r="F4784" s="11">
        <v>7.9023118019104004</v>
      </c>
    </row>
    <row r="4785" spans="1:6" hidden="1" x14ac:dyDescent="0.3">
      <c r="A4785" s="6">
        <v>35</v>
      </c>
      <c r="B4785" s="6" t="s">
        <v>151</v>
      </c>
      <c r="C4785" s="6" t="s">
        <v>379</v>
      </c>
      <c r="D4785" s="6" t="s">
        <v>152</v>
      </c>
      <c r="E4785" s="11">
        <v>9.1667690277099609</v>
      </c>
      <c r="F4785" s="11">
        <v>7.9023118019104004</v>
      </c>
    </row>
    <row r="4786" spans="1:6" hidden="1" x14ac:dyDescent="0.3">
      <c r="A4786" s="6">
        <v>35</v>
      </c>
      <c r="B4786" s="6" t="s">
        <v>151</v>
      </c>
      <c r="C4786" s="6" t="s">
        <v>380</v>
      </c>
      <c r="D4786" s="6" t="s">
        <v>152</v>
      </c>
      <c r="E4786" s="11">
        <v>5.7329506874084473</v>
      </c>
      <c r="F4786" s="11">
        <v>7.9023118019104004</v>
      </c>
    </row>
    <row r="4787" spans="1:6" hidden="1" x14ac:dyDescent="0.3">
      <c r="A4787" s="6">
        <v>35</v>
      </c>
      <c r="B4787" s="6" t="s">
        <v>151</v>
      </c>
      <c r="C4787" s="6" t="s">
        <v>381</v>
      </c>
      <c r="D4787" s="6" t="s">
        <v>152</v>
      </c>
      <c r="E4787" s="11">
        <v>16.548210144042969</v>
      </c>
      <c r="F4787" s="11">
        <v>7.9023118019104004</v>
      </c>
    </row>
    <row r="4788" spans="1:6" hidden="1" x14ac:dyDescent="0.3">
      <c r="A4788" s="6">
        <v>35</v>
      </c>
      <c r="B4788" s="6" t="s">
        <v>151</v>
      </c>
      <c r="C4788" s="6" t="s">
        <v>382</v>
      </c>
      <c r="D4788" s="6" t="s">
        <v>152</v>
      </c>
      <c r="E4788" s="11">
        <v>7.1755161285400391</v>
      </c>
      <c r="F4788" s="11">
        <v>7.9023118019104004</v>
      </c>
    </row>
    <row r="4789" spans="1:6" hidden="1" x14ac:dyDescent="0.3">
      <c r="A4789" s="6">
        <v>35</v>
      </c>
      <c r="B4789" s="6" t="s">
        <v>151</v>
      </c>
      <c r="C4789" s="6" t="s">
        <v>383</v>
      </c>
      <c r="D4789" s="6" t="s">
        <v>152</v>
      </c>
      <c r="E4789" s="11">
        <v>9.3126230239868164</v>
      </c>
      <c r="F4789" s="11">
        <v>7.9023118019104004</v>
      </c>
    </row>
    <row r="4790" spans="1:6" hidden="1" x14ac:dyDescent="0.3">
      <c r="A4790" s="6">
        <v>35</v>
      </c>
      <c r="B4790" s="6" t="s">
        <v>151</v>
      </c>
      <c r="C4790" s="6" t="s">
        <v>384</v>
      </c>
      <c r="D4790" s="6" t="s">
        <v>152</v>
      </c>
      <c r="E4790" s="11">
        <v>8.0115737915039063</v>
      </c>
      <c r="F4790" s="11">
        <v>7.9023118019104004</v>
      </c>
    </row>
    <row r="4791" spans="1:6" hidden="1" x14ac:dyDescent="0.3">
      <c r="A4791" s="6">
        <v>35</v>
      </c>
      <c r="B4791" s="6" t="s">
        <v>151</v>
      </c>
      <c r="C4791" s="6" t="s">
        <v>385</v>
      </c>
      <c r="D4791" s="6" t="s">
        <v>152</v>
      </c>
      <c r="E4791" s="11">
        <v>5.4496707916259766</v>
      </c>
      <c r="F4791" s="11">
        <v>7.9023118019104004</v>
      </c>
    </row>
    <row r="4792" spans="1:6" hidden="1" x14ac:dyDescent="0.3">
      <c r="A4792" s="6">
        <v>35</v>
      </c>
      <c r="B4792" s="6" t="s">
        <v>151</v>
      </c>
      <c r="C4792" s="6" t="s">
        <v>386</v>
      </c>
      <c r="D4792" s="6" t="s">
        <v>152</v>
      </c>
      <c r="E4792" s="11">
        <v>8.3755760192871094</v>
      </c>
      <c r="F4792" s="11">
        <v>7.9023118019104004</v>
      </c>
    </row>
    <row r="4793" spans="1:6" hidden="1" x14ac:dyDescent="0.3">
      <c r="A4793" s="6">
        <v>35</v>
      </c>
      <c r="B4793" s="6" t="s">
        <v>151</v>
      </c>
      <c r="C4793" s="6" t="s">
        <v>387</v>
      </c>
      <c r="D4793" s="6" t="s">
        <v>152</v>
      </c>
      <c r="E4793" s="11">
        <v>23.953298568725586</v>
      </c>
      <c r="F4793" s="11">
        <v>7.9023118019104004</v>
      </c>
    </row>
    <row r="4794" spans="1:6" hidden="1" x14ac:dyDescent="0.3">
      <c r="A4794" s="6">
        <v>35</v>
      </c>
      <c r="B4794" s="6" t="s">
        <v>151</v>
      </c>
      <c r="C4794" s="6" t="s">
        <v>388</v>
      </c>
      <c r="D4794" s="6" t="s">
        <v>152</v>
      </c>
      <c r="E4794" s="11">
        <v>6.292208194732666</v>
      </c>
      <c r="F4794" s="11">
        <v>7.9023118019104004</v>
      </c>
    </row>
    <row r="4795" spans="1:6" hidden="1" x14ac:dyDescent="0.3">
      <c r="A4795" s="6">
        <v>35</v>
      </c>
      <c r="B4795" s="6" t="s">
        <v>151</v>
      </c>
      <c r="C4795" s="6" t="s">
        <v>389</v>
      </c>
      <c r="D4795" s="6" t="s">
        <v>152</v>
      </c>
      <c r="E4795" s="11">
        <v>6.7462606430053711</v>
      </c>
      <c r="F4795" s="11">
        <v>7.9023118019104004</v>
      </c>
    </row>
    <row r="4796" spans="1:6" hidden="1" x14ac:dyDescent="0.3">
      <c r="A4796" s="6">
        <v>35</v>
      </c>
      <c r="B4796" s="6" t="s">
        <v>151</v>
      </c>
      <c r="C4796" s="6" t="s">
        <v>390</v>
      </c>
      <c r="D4796" s="6" t="s">
        <v>152</v>
      </c>
      <c r="E4796" s="11">
        <v>8.5596389770507813</v>
      </c>
      <c r="F4796" s="11">
        <v>7.9023118019104004</v>
      </c>
    </row>
    <row r="4797" spans="1:6" hidden="1" x14ac:dyDescent="0.3">
      <c r="A4797" s="6">
        <v>35</v>
      </c>
      <c r="B4797" s="6" t="s">
        <v>151</v>
      </c>
      <c r="C4797" s="6" t="s">
        <v>391</v>
      </c>
      <c r="D4797" s="6" t="s">
        <v>152</v>
      </c>
      <c r="E4797" s="11">
        <v>12.559329986572266</v>
      </c>
      <c r="F4797" s="11">
        <v>7.9023118019104004</v>
      </c>
    </row>
    <row r="4798" spans="1:6" hidden="1" x14ac:dyDescent="0.3">
      <c r="A4798" s="6">
        <v>35</v>
      </c>
      <c r="B4798" s="6" t="s">
        <v>151</v>
      </c>
      <c r="C4798" s="6" t="s">
        <v>392</v>
      </c>
      <c r="D4798" s="6" t="s">
        <v>152</v>
      </c>
      <c r="E4798" s="11">
        <v>8.2565221786499023</v>
      </c>
      <c r="F4798" s="11">
        <v>7.9023118019104004</v>
      </c>
    </row>
    <row r="4799" spans="1:6" hidden="1" x14ac:dyDescent="0.3">
      <c r="A4799" s="6">
        <v>35</v>
      </c>
      <c r="B4799" s="6" t="s">
        <v>151</v>
      </c>
      <c r="C4799" s="6" t="s">
        <v>393</v>
      </c>
      <c r="D4799" s="6" t="s">
        <v>152</v>
      </c>
      <c r="E4799" s="11">
        <v>8.6738252639770508</v>
      </c>
      <c r="F4799" s="11">
        <v>7.9023118019104004</v>
      </c>
    </row>
    <row r="4800" spans="1:6" hidden="1" x14ac:dyDescent="0.3">
      <c r="A4800" s="6">
        <v>35</v>
      </c>
      <c r="B4800" s="6" t="s">
        <v>151</v>
      </c>
      <c r="C4800" s="6" t="s">
        <v>394</v>
      </c>
      <c r="D4800" s="6" t="s">
        <v>152</v>
      </c>
      <c r="E4800" s="11">
        <v>7.5824651718139648</v>
      </c>
      <c r="F4800" s="11">
        <v>7.9023118019104004</v>
      </c>
    </row>
    <row r="4801" spans="1:6" hidden="1" x14ac:dyDescent="0.3">
      <c r="A4801" s="6">
        <v>35</v>
      </c>
      <c r="B4801" s="6" t="s">
        <v>151</v>
      </c>
      <c r="C4801" s="6" t="s">
        <v>395</v>
      </c>
      <c r="D4801" s="6" t="s">
        <v>152</v>
      </c>
      <c r="E4801" s="11">
        <v>11.654768943786621</v>
      </c>
      <c r="F4801" s="11">
        <v>7.9023118019104004</v>
      </c>
    </row>
    <row r="4802" spans="1:6" hidden="1" x14ac:dyDescent="0.3">
      <c r="A4802" s="6">
        <v>35</v>
      </c>
      <c r="B4802" s="6" t="s">
        <v>151</v>
      </c>
      <c r="C4802" s="6" t="s">
        <v>396</v>
      </c>
      <c r="D4802" s="6" t="s">
        <v>152</v>
      </c>
      <c r="E4802" s="11">
        <v>4.4157400131225586</v>
      </c>
      <c r="F4802" s="11">
        <v>7.9023118019104004</v>
      </c>
    </row>
    <row r="4803" spans="1:6" hidden="1" x14ac:dyDescent="0.3">
      <c r="A4803" s="6">
        <v>35</v>
      </c>
      <c r="B4803" s="6" t="s">
        <v>151</v>
      </c>
      <c r="C4803" s="6" t="s">
        <v>397</v>
      </c>
      <c r="D4803" s="6" t="s">
        <v>152</v>
      </c>
      <c r="E4803" s="11">
        <v>8.6583662033081055</v>
      </c>
      <c r="F4803" s="11">
        <v>7.9023118019104004</v>
      </c>
    </row>
    <row r="4804" spans="1:6" hidden="1" x14ac:dyDescent="0.3">
      <c r="A4804" s="6">
        <v>35</v>
      </c>
      <c r="B4804" s="6" t="s">
        <v>151</v>
      </c>
      <c r="C4804" s="6" t="s">
        <v>398</v>
      </c>
      <c r="D4804" s="6" t="s">
        <v>152</v>
      </c>
      <c r="E4804" s="11">
        <v>6.3342390060424805</v>
      </c>
      <c r="F4804" s="11">
        <v>7.9023118019104004</v>
      </c>
    </row>
    <row r="4805" spans="1:6" hidden="1" x14ac:dyDescent="0.3">
      <c r="A4805" s="6">
        <v>35</v>
      </c>
      <c r="B4805" s="6" t="s">
        <v>151</v>
      </c>
      <c r="C4805" s="6" t="s">
        <v>399</v>
      </c>
      <c r="D4805" s="6" t="s">
        <v>152</v>
      </c>
      <c r="E4805" s="11">
        <v>7.7903470993041992</v>
      </c>
      <c r="F4805" s="11">
        <v>7.9023118019104004</v>
      </c>
    </row>
    <row r="4806" spans="1:6" hidden="1" x14ac:dyDescent="0.3">
      <c r="A4806" s="6">
        <v>35</v>
      </c>
      <c r="B4806" s="6" t="s">
        <v>151</v>
      </c>
      <c r="C4806" s="6" t="s">
        <v>400</v>
      </c>
      <c r="D4806" s="6" t="s">
        <v>152</v>
      </c>
      <c r="E4806" s="11">
        <v>6.6028270721435547</v>
      </c>
      <c r="F4806" s="11">
        <v>7.9023118019104004</v>
      </c>
    </row>
    <row r="4807" spans="1:6" hidden="1" x14ac:dyDescent="0.3">
      <c r="A4807" s="6">
        <v>35</v>
      </c>
      <c r="B4807" s="6" t="s">
        <v>151</v>
      </c>
      <c r="C4807" s="6" t="s">
        <v>401</v>
      </c>
      <c r="D4807" s="6" t="s">
        <v>152</v>
      </c>
      <c r="E4807" s="11">
        <v>42.456707000732422</v>
      </c>
      <c r="F4807" s="11">
        <v>7.9023118019104004</v>
      </c>
    </row>
    <row r="4808" spans="1:6" hidden="1" x14ac:dyDescent="0.3">
      <c r="A4808" s="6">
        <v>35</v>
      </c>
      <c r="B4808" s="6" t="s">
        <v>151</v>
      </c>
      <c r="C4808" s="6" t="s">
        <v>402</v>
      </c>
      <c r="D4808" s="6" t="s">
        <v>152</v>
      </c>
      <c r="E4808" s="11">
        <v>20.784029006958008</v>
      </c>
      <c r="F4808" s="11">
        <v>7.9023118019104004</v>
      </c>
    </row>
    <row r="4809" spans="1:6" hidden="1" x14ac:dyDescent="0.3">
      <c r="A4809" s="6">
        <v>35</v>
      </c>
      <c r="B4809" s="6" t="s">
        <v>151</v>
      </c>
      <c r="C4809" s="6" t="s">
        <v>403</v>
      </c>
      <c r="D4809" s="6" t="s">
        <v>152</v>
      </c>
      <c r="E4809" s="11">
        <v>9.5602636337280273</v>
      </c>
      <c r="F4809" s="11">
        <v>7.9023118019104004</v>
      </c>
    </row>
    <row r="4810" spans="1:6" hidden="1" x14ac:dyDescent="0.3">
      <c r="A4810" s="6">
        <v>35</v>
      </c>
      <c r="B4810" s="6" t="s">
        <v>151</v>
      </c>
      <c r="C4810" s="6" t="s">
        <v>404</v>
      </c>
      <c r="D4810" s="6" t="s">
        <v>152</v>
      </c>
      <c r="E4810" s="11">
        <v>5.1586403846740723</v>
      </c>
      <c r="F4810" s="11">
        <v>7.9023118019104004</v>
      </c>
    </row>
    <row r="4811" spans="1:6" hidden="1" x14ac:dyDescent="0.3">
      <c r="A4811" s="6">
        <v>35</v>
      </c>
      <c r="B4811" s="6" t="s">
        <v>151</v>
      </c>
      <c r="C4811" s="6" t="s">
        <v>405</v>
      </c>
      <c r="D4811" s="6" t="s">
        <v>152</v>
      </c>
      <c r="E4811" s="11">
        <v>6.9339032173156738</v>
      </c>
      <c r="F4811" s="11">
        <v>7.9023118019104004</v>
      </c>
    </row>
    <row r="4812" spans="1:6" hidden="1" x14ac:dyDescent="0.3">
      <c r="A4812" s="6">
        <v>35</v>
      </c>
      <c r="B4812" s="6" t="s">
        <v>151</v>
      </c>
      <c r="C4812" s="6" t="s">
        <v>406</v>
      </c>
      <c r="D4812" s="6" t="s">
        <v>152</v>
      </c>
      <c r="E4812" s="11">
        <v>4.4520487785339355</v>
      </c>
      <c r="F4812" s="11">
        <v>7.9023118019104004</v>
      </c>
    </row>
    <row r="4813" spans="1:6" hidden="1" x14ac:dyDescent="0.3">
      <c r="A4813" s="6">
        <v>35</v>
      </c>
      <c r="B4813" s="6" t="s">
        <v>151</v>
      </c>
      <c r="C4813" s="6" t="s">
        <v>407</v>
      </c>
      <c r="D4813" s="6" t="s">
        <v>152</v>
      </c>
      <c r="E4813" s="11">
        <v>7.1200351715087891</v>
      </c>
      <c r="F4813" s="11">
        <v>7.9023118019104004</v>
      </c>
    </row>
    <row r="4814" spans="1:6" hidden="1" x14ac:dyDescent="0.3">
      <c r="A4814" s="6">
        <v>35</v>
      </c>
      <c r="B4814" s="6" t="s">
        <v>151</v>
      </c>
      <c r="C4814" s="6" t="s">
        <v>408</v>
      </c>
      <c r="D4814" s="6" t="s">
        <v>152</v>
      </c>
      <c r="E4814" s="11">
        <v>8.0086240768432617</v>
      </c>
      <c r="F4814" s="11">
        <v>7.9023118019104004</v>
      </c>
    </row>
    <row r="4815" spans="1:6" hidden="1" x14ac:dyDescent="0.3">
      <c r="A4815" s="6">
        <v>35</v>
      </c>
      <c r="B4815" s="6" t="s">
        <v>151</v>
      </c>
      <c r="C4815" s="6" t="s">
        <v>409</v>
      </c>
      <c r="D4815" s="6" t="s">
        <v>152</v>
      </c>
      <c r="E4815" s="11">
        <v>10.142736434936523</v>
      </c>
      <c r="F4815" s="11">
        <v>7.9023118019104004</v>
      </c>
    </row>
    <row r="4816" spans="1:6" hidden="1" x14ac:dyDescent="0.3">
      <c r="A4816" s="6">
        <v>35</v>
      </c>
      <c r="B4816" s="6" t="s">
        <v>151</v>
      </c>
      <c r="C4816" s="6" t="s">
        <v>410</v>
      </c>
      <c r="D4816" s="6" t="s">
        <v>152</v>
      </c>
      <c r="E4816" s="11">
        <v>9.0100173950195313</v>
      </c>
      <c r="F4816" s="11">
        <v>7.9023118019104004</v>
      </c>
    </row>
    <row r="4817" spans="1:6" hidden="1" x14ac:dyDescent="0.3">
      <c r="A4817" s="6">
        <v>35</v>
      </c>
      <c r="B4817" s="6" t="s">
        <v>151</v>
      </c>
      <c r="C4817" s="6" t="s">
        <v>411</v>
      </c>
      <c r="D4817" s="6" t="s">
        <v>152</v>
      </c>
      <c r="E4817" s="11">
        <v>6.3181281089782715</v>
      </c>
      <c r="F4817" s="11">
        <v>7.9023118019104004</v>
      </c>
    </row>
    <row r="4818" spans="1:6" hidden="1" x14ac:dyDescent="0.3">
      <c r="A4818" s="6">
        <v>35</v>
      </c>
      <c r="B4818" s="6" t="s">
        <v>151</v>
      </c>
      <c r="C4818" s="6" t="s">
        <v>412</v>
      </c>
      <c r="D4818" s="6" t="s">
        <v>152</v>
      </c>
      <c r="E4818" s="11">
        <v>9.1071357727050781</v>
      </c>
      <c r="F4818" s="11">
        <v>7.9023118019104004</v>
      </c>
    </row>
    <row r="4819" spans="1:6" hidden="1" x14ac:dyDescent="0.3">
      <c r="A4819" s="6">
        <v>35</v>
      </c>
      <c r="B4819" s="6" t="s">
        <v>151</v>
      </c>
      <c r="C4819" s="6" t="s">
        <v>413</v>
      </c>
      <c r="D4819" s="6" t="s">
        <v>152</v>
      </c>
      <c r="E4819" s="11">
        <v>9.1016159057617188</v>
      </c>
      <c r="F4819" s="11">
        <v>7.9023118019104004</v>
      </c>
    </row>
    <row r="4820" spans="1:6" hidden="1" x14ac:dyDescent="0.3">
      <c r="A4820" s="6">
        <v>35</v>
      </c>
      <c r="B4820" s="6" t="s">
        <v>151</v>
      </c>
      <c r="C4820" s="6" t="s">
        <v>414</v>
      </c>
      <c r="D4820" s="6" t="s">
        <v>152</v>
      </c>
      <c r="E4820" s="11">
        <v>21.007932662963867</v>
      </c>
      <c r="F4820" s="11">
        <v>7.9023118019104004</v>
      </c>
    </row>
    <row r="4821" spans="1:6" hidden="1" x14ac:dyDescent="0.3">
      <c r="A4821" s="6">
        <v>35</v>
      </c>
      <c r="B4821" s="6" t="s">
        <v>151</v>
      </c>
      <c r="C4821" s="6" t="s">
        <v>415</v>
      </c>
      <c r="D4821" s="6" t="s">
        <v>152</v>
      </c>
      <c r="E4821" s="11">
        <v>9.8673582077026367</v>
      </c>
      <c r="F4821" s="11">
        <v>7.9023118019104004</v>
      </c>
    </row>
    <row r="4822" spans="1:6" hidden="1" x14ac:dyDescent="0.3">
      <c r="A4822" s="6">
        <v>35</v>
      </c>
      <c r="B4822" s="6" t="s">
        <v>151</v>
      </c>
      <c r="C4822" s="6" t="s">
        <v>416</v>
      </c>
      <c r="D4822" s="6" t="s">
        <v>152</v>
      </c>
      <c r="E4822" s="11">
        <v>38.501979827880859</v>
      </c>
      <c r="F4822" s="11">
        <v>7.9023118019104004</v>
      </c>
    </row>
    <row r="4823" spans="1:6" hidden="1" x14ac:dyDescent="0.3">
      <c r="A4823" s="6">
        <v>35</v>
      </c>
      <c r="B4823" s="6" t="s">
        <v>151</v>
      </c>
      <c r="C4823" s="6" t="s">
        <v>417</v>
      </c>
      <c r="D4823" s="6" t="s">
        <v>152</v>
      </c>
      <c r="E4823" s="11">
        <v>10.529148101806641</v>
      </c>
      <c r="F4823" s="11">
        <v>7.9023118019104004</v>
      </c>
    </row>
    <row r="4824" spans="1:6" hidden="1" x14ac:dyDescent="0.3">
      <c r="A4824" s="6">
        <v>35</v>
      </c>
      <c r="B4824" s="6" t="s">
        <v>151</v>
      </c>
      <c r="C4824" s="6" t="s">
        <v>418</v>
      </c>
      <c r="D4824" s="6" t="s">
        <v>152</v>
      </c>
      <c r="E4824" s="11">
        <v>3.5491111278533936</v>
      </c>
      <c r="F4824" s="11">
        <v>7.9023118019104004</v>
      </c>
    </row>
    <row r="4825" spans="1:6" hidden="1" x14ac:dyDescent="0.3">
      <c r="A4825" s="6">
        <v>35</v>
      </c>
      <c r="B4825" s="6" t="s">
        <v>151</v>
      </c>
      <c r="C4825" s="6" t="s">
        <v>419</v>
      </c>
      <c r="D4825" s="6" t="s">
        <v>152</v>
      </c>
      <c r="E4825" s="11">
        <v>572.97705078125</v>
      </c>
      <c r="F4825" s="11">
        <v>7.9023118019104004</v>
      </c>
    </row>
    <row r="4826" spans="1:6" hidden="1" x14ac:dyDescent="0.3">
      <c r="A4826" s="6">
        <v>35</v>
      </c>
      <c r="B4826" s="6" t="s">
        <v>151</v>
      </c>
      <c r="C4826" s="6" t="s">
        <v>420</v>
      </c>
      <c r="D4826" s="6" t="s">
        <v>152</v>
      </c>
      <c r="E4826" s="11">
        <v>24.947031021118164</v>
      </c>
      <c r="F4826" s="11">
        <v>7.9023118019104004</v>
      </c>
    </row>
    <row r="4827" spans="1:6" hidden="1" x14ac:dyDescent="0.3">
      <c r="A4827" s="6">
        <v>35</v>
      </c>
      <c r="B4827" s="6" t="s">
        <v>151</v>
      </c>
      <c r="C4827" s="6" t="s">
        <v>421</v>
      </c>
      <c r="D4827" s="6" t="s">
        <v>152</v>
      </c>
      <c r="E4827" s="11">
        <v>12.460977554321289</v>
      </c>
      <c r="F4827" s="11">
        <v>7.9023118019104004</v>
      </c>
    </row>
    <row r="4828" spans="1:6" hidden="1" x14ac:dyDescent="0.3">
      <c r="A4828" s="6">
        <v>35</v>
      </c>
      <c r="B4828" s="6" t="s">
        <v>151</v>
      </c>
      <c r="C4828" s="6" t="s">
        <v>422</v>
      </c>
      <c r="D4828" s="6" t="s">
        <v>152</v>
      </c>
      <c r="E4828" s="11">
        <v>7.199007511138916</v>
      </c>
      <c r="F4828" s="11">
        <v>7.9023118019104004</v>
      </c>
    </row>
    <row r="4829" spans="1:6" hidden="1" x14ac:dyDescent="0.3">
      <c r="A4829" s="6">
        <v>35</v>
      </c>
      <c r="B4829" s="6" t="s">
        <v>151</v>
      </c>
      <c r="C4829" s="6" t="s">
        <v>423</v>
      </c>
      <c r="D4829" s="6" t="s">
        <v>152</v>
      </c>
      <c r="E4829" s="11">
        <v>11.486490249633789</v>
      </c>
      <c r="F4829" s="11">
        <v>7.9023118019104004</v>
      </c>
    </row>
    <row r="4830" spans="1:6" hidden="1" x14ac:dyDescent="0.3">
      <c r="A4830" s="6">
        <v>35</v>
      </c>
      <c r="B4830" s="6" t="s">
        <v>151</v>
      </c>
      <c r="C4830" s="6" t="s">
        <v>424</v>
      </c>
      <c r="D4830" s="6" t="s">
        <v>152</v>
      </c>
      <c r="E4830" s="11">
        <v>8.087071418762207</v>
      </c>
      <c r="F4830" s="11">
        <v>7.9023118019104004</v>
      </c>
    </row>
    <row r="4831" spans="1:6" hidden="1" x14ac:dyDescent="0.3">
      <c r="A4831" s="6">
        <v>35</v>
      </c>
      <c r="B4831" s="6" t="s">
        <v>151</v>
      </c>
      <c r="C4831" s="6" t="s">
        <v>425</v>
      </c>
      <c r="D4831" s="6" t="s">
        <v>152</v>
      </c>
      <c r="E4831" s="11">
        <v>465.77615356445313</v>
      </c>
      <c r="F4831" s="11">
        <v>7.9023118019104004</v>
      </c>
    </row>
    <row r="4832" spans="1:6" hidden="1" x14ac:dyDescent="0.3">
      <c r="A4832" s="6">
        <v>35</v>
      </c>
      <c r="B4832" s="6" t="s">
        <v>151</v>
      </c>
      <c r="C4832" s="6" t="s">
        <v>426</v>
      </c>
      <c r="D4832" s="6" t="s">
        <v>152</v>
      </c>
      <c r="E4832" s="11">
        <v>5.3851122856140137</v>
      </c>
      <c r="F4832" s="11">
        <v>7.9023118019104004</v>
      </c>
    </row>
    <row r="4833" spans="1:6" hidden="1" x14ac:dyDescent="0.3">
      <c r="A4833" s="6">
        <v>35</v>
      </c>
      <c r="B4833" s="6" t="s">
        <v>151</v>
      </c>
      <c r="C4833" s="6" t="s">
        <v>427</v>
      </c>
      <c r="D4833" s="6" t="s">
        <v>152</v>
      </c>
      <c r="E4833" s="11">
        <v>19.796138763427734</v>
      </c>
      <c r="F4833" s="11">
        <v>7.9023118019104004</v>
      </c>
    </row>
    <row r="4834" spans="1:6" hidden="1" x14ac:dyDescent="0.3">
      <c r="A4834" s="6">
        <v>35</v>
      </c>
      <c r="B4834" s="6" t="s">
        <v>151</v>
      </c>
      <c r="C4834" s="6" t="s">
        <v>428</v>
      </c>
      <c r="D4834" s="6" t="s">
        <v>152</v>
      </c>
      <c r="E4834" s="11">
        <v>5744.87451171875</v>
      </c>
      <c r="F4834" s="11">
        <v>7.9023118019104004</v>
      </c>
    </row>
    <row r="4835" spans="1:6" hidden="1" x14ac:dyDescent="0.3">
      <c r="A4835" s="6">
        <v>35</v>
      </c>
      <c r="B4835" s="6" t="s">
        <v>151</v>
      </c>
      <c r="C4835" s="6" t="s">
        <v>429</v>
      </c>
      <c r="D4835" s="6" t="s">
        <v>152</v>
      </c>
      <c r="E4835" s="11">
        <v>4.8906402587890625</v>
      </c>
      <c r="F4835" s="11">
        <v>7.9023118019104004</v>
      </c>
    </row>
    <row r="4836" spans="1:6" hidden="1" x14ac:dyDescent="0.3">
      <c r="A4836" s="6">
        <v>35</v>
      </c>
      <c r="B4836" s="6" t="s">
        <v>151</v>
      </c>
      <c r="C4836" s="6" t="s">
        <v>430</v>
      </c>
      <c r="D4836" s="6" t="s">
        <v>152</v>
      </c>
      <c r="E4836" s="11">
        <v>17.330755233764648</v>
      </c>
      <c r="F4836" s="11">
        <v>7.9023118019104004</v>
      </c>
    </row>
    <row r="4837" spans="1:6" hidden="1" x14ac:dyDescent="0.3">
      <c r="A4837" s="6">
        <v>35</v>
      </c>
      <c r="B4837" s="6" t="s">
        <v>151</v>
      </c>
      <c r="C4837" s="6" t="s">
        <v>431</v>
      </c>
      <c r="D4837" s="6" t="s">
        <v>152</v>
      </c>
      <c r="E4837" s="11">
        <v>10.009126663208008</v>
      </c>
      <c r="F4837" s="11">
        <v>7.9023118019104004</v>
      </c>
    </row>
    <row r="4838" spans="1:6" hidden="1" x14ac:dyDescent="0.3">
      <c r="A4838" s="6">
        <v>35</v>
      </c>
      <c r="B4838" s="6" t="s">
        <v>151</v>
      </c>
      <c r="C4838" s="6" t="s">
        <v>432</v>
      </c>
      <c r="D4838" s="6" t="s">
        <v>152</v>
      </c>
      <c r="E4838" s="11">
        <v>9.7155065536499023</v>
      </c>
      <c r="F4838" s="11">
        <v>7.9023118019104004</v>
      </c>
    </row>
    <row r="4839" spans="1:6" hidden="1" x14ac:dyDescent="0.3">
      <c r="A4839" s="6">
        <v>35</v>
      </c>
      <c r="B4839" s="6" t="s">
        <v>151</v>
      </c>
      <c r="C4839" s="6" t="s">
        <v>433</v>
      </c>
      <c r="D4839" s="6" t="s">
        <v>152</v>
      </c>
      <c r="E4839" s="11">
        <v>5.6607189178466797</v>
      </c>
      <c r="F4839" s="11">
        <v>7.9023118019104004</v>
      </c>
    </row>
    <row r="4840" spans="1:6" hidden="1" x14ac:dyDescent="0.3">
      <c r="A4840" s="6">
        <v>35</v>
      </c>
      <c r="B4840" s="6" t="s">
        <v>151</v>
      </c>
      <c r="C4840" s="6" t="s">
        <v>434</v>
      </c>
      <c r="D4840" s="6" t="s">
        <v>152</v>
      </c>
      <c r="E4840" s="11">
        <v>4.8901853561401367</v>
      </c>
      <c r="F4840" s="11">
        <v>7.9023118019104004</v>
      </c>
    </row>
    <row r="4841" spans="1:6" hidden="1" x14ac:dyDescent="0.3">
      <c r="A4841" s="6">
        <v>35</v>
      </c>
      <c r="B4841" s="6" t="s">
        <v>151</v>
      </c>
      <c r="C4841" s="6" t="s">
        <v>435</v>
      </c>
      <c r="D4841" s="6" t="s">
        <v>152</v>
      </c>
      <c r="E4841" s="11">
        <v>42.933982849121094</v>
      </c>
      <c r="F4841" s="11">
        <v>7.9023118019104004</v>
      </c>
    </row>
    <row r="4842" spans="1:6" hidden="1" x14ac:dyDescent="0.3">
      <c r="A4842" s="6">
        <v>35</v>
      </c>
      <c r="B4842" s="6" t="s">
        <v>151</v>
      </c>
      <c r="C4842" s="6" t="s">
        <v>436</v>
      </c>
      <c r="D4842" s="6" t="s">
        <v>152</v>
      </c>
      <c r="E4842" s="11">
        <v>6.8382725715637207</v>
      </c>
      <c r="F4842" s="11">
        <v>7.9023118019104004</v>
      </c>
    </row>
    <row r="4843" spans="1:6" hidden="1" x14ac:dyDescent="0.3">
      <c r="A4843" s="6">
        <v>35</v>
      </c>
      <c r="B4843" s="6" t="s">
        <v>151</v>
      </c>
      <c r="C4843" s="6" t="s">
        <v>437</v>
      </c>
      <c r="D4843" s="6" t="s">
        <v>152</v>
      </c>
      <c r="E4843" s="11">
        <v>10.667028427124023</v>
      </c>
      <c r="F4843" s="11">
        <v>7.9023118019104004</v>
      </c>
    </row>
    <row r="4844" spans="1:6" hidden="1" x14ac:dyDescent="0.3">
      <c r="A4844" s="6">
        <v>35</v>
      </c>
      <c r="B4844" s="6" t="s">
        <v>151</v>
      </c>
      <c r="C4844" s="6" t="s">
        <v>438</v>
      </c>
      <c r="D4844" s="6" t="s">
        <v>152</v>
      </c>
      <c r="E4844" s="11">
        <v>34.480899810791016</v>
      </c>
      <c r="F4844" s="11">
        <v>7.9023118019104004</v>
      </c>
    </row>
    <row r="4845" spans="1:6" hidden="1" x14ac:dyDescent="0.3">
      <c r="A4845" s="6">
        <v>35</v>
      </c>
      <c r="B4845" s="6" t="s">
        <v>151</v>
      </c>
      <c r="C4845" s="6" t="s">
        <v>439</v>
      </c>
      <c r="D4845" s="6" t="s">
        <v>152</v>
      </c>
      <c r="E4845" s="11">
        <v>7.7524600028991699</v>
      </c>
      <c r="F4845" s="11">
        <v>7.9023118019104004</v>
      </c>
    </row>
    <row r="4846" spans="1:6" hidden="1" x14ac:dyDescent="0.3">
      <c r="A4846" s="6">
        <v>35</v>
      </c>
      <c r="B4846" s="6" t="s">
        <v>151</v>
      </c>
      <c r="C4846" s="6" t="s">
        <v>440</v>
      </c>
      <c r="D4846" s="6" t="s">
        <v>152</v>
      </c>
      <c r="E4846" s="11">
        <v>3.989473819732666</v>
      </c>
      <c r="F4846" s="11">
        <v>7.9023118019104004</v>
      </c>
    </row>
    <row r="4847" spans="1:6" hidden="1" x14ac:dyDescent="0.3">
      <c r="A4847" s="6">
        <v>35</v>
      </c>
      <c r="B4847" s="6" t="s">
        <v>151</v>
      </c>
      <c r="C4847" s="6" t="s">
        <v>441</v>
      </c>
      <c r="D4847" s="6" t="s">
        <v>152</v>
      </c>
      <c r="E4847" s="11">
        <v>37.934192657470703</v>
      </c>
      <c r="F4847" s="11">
        <v>7.9023118019104004</v>
      </c>
    </row>
    <row r="4848" spans="1:6" hidden="1" x14ac:dyDescent="0.3">
      <c r="A4848" s="6">
        <v>35</v>
      </c>
      <c r="B4848" s="6" t="s">
        <v>151</v>
      </c>
      <c r="C4848" s="6" t="s">
        <v>442</v>
      </c>
      <c r="D4848" s="6" t="s">
        <v>152</v>
      </c>
      <c r="E4848" s="11">
        <v>13.929098129272461</v>
      </c>
      <c r="F4848" s="11">
        <v>7.9023118019104004</v>
      </c>
    </row>
    <row r="4849" spans="1:6" hidden="1" x14ac:dyDescent="0.3">
      <c r="A4849" s="6">
        <v>35</v>
      </c>
      <c r="B4849" s="6" t="s">
        <v>151</v>
      </c>
      <c r="C4849" s="6" t="s">
        <v>443</v>
      </c>
      <c r="D4849" s="6" t="s">
        <v>152</v>
      </c>
      <c r="E4849" s="11">
        <v>29.063945770263672</v>
      </c>
      <c r="F4849" s="11">
        <v>7.9023118019104004</v>
      </c>
    </row>
    <row r="4850" spans="1:6" hidden="1" x14ac:dyDescent="0.3">
      <c r="A4850" s="6">
        <v>35</v>
      </c>
      <c r="B4850" s="6" t="s">
        <v>151</v>
      </c>
      <c r="C4850" s="6" t="s">
        <v>444</v>
      </c>
      <c r="D4850" s="6" t="s">
        <v>152</v>
      </c>
      <c r="E4850" s="11">
        <v>5.0209255218505859</v>
      </c>
      <c r="F4850" s="11">
        <v>7.9023118019104004</v>
      </c>
    </row>
    <row r="4851" spans="1:6" hidden="1" x14ac:dyDescent="0.3">
      <c r="A4851" s="6">
        <v>35</v>
      </c>
      <c r="B4851" s="6" t="s">
        <v>151</v>
      </c>
      <c r="C4851" s="6" t="s">
        <v>445</v>
      </c>
      <c r="D4851" s="6" t="s">
        <v>152</v>
      </c>
      <c r="E4851" s="11">
        <v>6.5677051544189453</v>
      </c>
      <c r="F4851" s="11">
        <v>7.9023118019104004</v>
      </c>
    </row>
    <row r="4852" spans="1:6" hidden="1" x14ac:dyDescent="0.3">
      <c r="A4852" s="6">
        <v>35</v>
      </c>
      <c r="B4852" s="6" t="s">
        <v>151</v>
      </c>
      <c r="C4852" s="6" t="s">
        <v>446</v>
      </c>
      <c r="D4852" s="6" t="s">
        <v>152</v>
      </c>
      <c r="E4852" s="11">
        <v>7.2657151222229004</v>
      </c>
      <c r="F4852" s="11">
        <v>7.9023118019104004</v>
      </c>
    </row>
    <row r="4853" spans="1:6" hidden="1" x14ac:dyDescent="0.3">
      <c r="A4853" s="6">
        <v>35</v>
      </c>
      <c r="B4853" s="6" t="s">
        <v>151</v>
      </c>
      <c r="C4853" s="6" t="s">
        <v>447</v>
      </c>
      <c r="D4853" s="6" t="s">
        <v>152</v>
      </c>
      <c r="E4853" s="11">
        <v>6.2627215385437012</v>
      </c>
      <c r="F4853" s="11">
        <v>7.9023118019104004</v>
      </c>
    </row>
    <row r="4854" spans="1:6" hidden="1" x14ac:dyDescent="0.3">
      <c r="A4854" s="6">
        <v>35</v>
      </c>
      <c r="B4854" s="6" t="s">
        <v>151</v>
      </c>
      <c r="C4854" s="6" t="s">
        <v>448</v>
      </c>
      <c r="D4854" s="6" t="s">
        <v>152</v>
      </c>
      <c r="E4854" s="11">
        <v>5.0923337936401367</v>
      </c>
      <c r="F4854" s="11">
        <v>7.9023118019104004</v>
      </c>
    </row>
    <row r="4855" spans="1:6" hidden="1" x14ac:dyDescent="0.3">
      <c r="A4855" s="6">
        <v>35</v>
      </c>
      <c r="B4855" s="6" t="s">
        <v>151</v>
      </c>
      <c r="C4855" s="6" t="s">
        <v>449</v>
      </c>
      <c r="D4855" s="6" t="s">
        <v>152</v>
      </c>
      <c r="E4855" s="11">
        <v>3.2704176902770996</v>
      </c>
      <c r="F4855" s="11">
        <v>7.9023118019104004</v>
      </c>
    </row>
    <row r="4856" spans="1:6" hidden="1" x14ac:dyDescent="0.3">
      <c r="A4856" s="6">
        <v>35</v>
      </c>
      <c r="B4856" s="6" t="s">
        <v>151</v>
      </c>
      <c r="C4856" s="6" t="s">
        <v>450</v>
      </c>
      <c r="D4856" s="6" t="s">
        <v>152</v>
      </c>
      <c r="E4856" s="11">
        <v>9.10101318359375</v>
      </c>
      <c r="F4856" s="11">
        <v>7.9023118019104004</v>
      </c>
    </row>
    <row r="4857" spans="1:6" hidden="1" x14ac:dyDescent="0.3">
      <c r="A4857" s="6">
        <v>35</v>
      </c>
      <c r="B4857" s="6" t="s">
        <v>151</v>
      </c>
      <c r="C4857" s="6" t="s">
        <v>451</v>
      </c>
      <c r="D4857" s="6" t="s">
        <v>152</v>
      </c>
      <c r="E4857" s="11">
        <v>7.2879366874694824</v>
      </c>
      <c r="F4857" s="11">
        <v>7.9023118019104004</v>
      </c>
    </row>
    <row r="4858" spans="1:6" hidden="1" x14ac:dyDescent="0.3">
      <c r="A4858" s="6">
        <v>35</v>
      </c>
      <c r="B4858" s="6" t="s">
        <v>151</v>
      </c>
      <c r="C4858" s="6" t="s">
        <v>452</v>
      </c>
      <c r="D4858" s="6" t="s">
        <v>152</v>
      </c>
      <c r="E4858" s="11">
        <v>13.622760772705078</v>
      </c>
      <c r="F4858" s="11">
        <v>7.9023118019104004</v>
      </c>
    </row>
    <row r="4859" spans="1:6" hidden="1" x14ac:dyDescent="0.3">
      <c r="A4859" s="6">
        <v>35</v>
      </c>
      <c r="B4859" s="6" t="s">
        <v>151</v>
      </c>
      <c r="C4859" s="6" t="s">
        <v>453</v>
      </c>
      <c r="D4859" s="6" t="s">
        <v>152</v>
      </c>
      <c r="E4859" s="11">
        <v>3.5497510433197021</v>
      </c>
      <c r="F4859" s="11">
        <v>7.9023118019104004</v>
      </c>
    </row>
    <row r="4860" spans="1:6" hidden="1" x14ac:dyDescent="0.3">
      <c r="A4860" s="6">
        <v>35</v>
      </c>
      <c r="B4860" s="6" t="s">
        <v>151</v>
      </c>
      <c r="C4860" s="6" t="s">
        <v>454</v>
      </c>
      <c r="D4860" s="6" t="s">
        <v>152</v>
      </c>
      <c r="E4860" s="11">
        <v>6.0893621444702148</v>
      </c>
      <c r="F4860" s="11">
        <v>7.9023118019104004</v>
      </c>
    </row>
    <row r="4861" spans="1:6" hidden="1" x14ac:dyDescent="0.3">
      <c r="A4861" s="6">
        <v>35</v>
      </c>
      <c r="B4861" s="6" t="s">
        <v>151</v>
      </c>
      <c r="C4861" s="6" t="s">
        <v>455</v>
      </c>
      <c r="D4861" s="6" t="s">
        <v>152</v>
      </c>
      <c r="E4861" s="11">
        <v>5.9488558769226074</v>
      </c>
      <c r="F4861" s="11">
        <v>7.9023118019104004</v>
      </c>
    </row>
    <row r="4862" spans="1:6" hidden="1" x14ac:dyDescent="0.3">
      <c r="A4862" s="6">
        <v>35</v>
      </c>
      <c r="B4862" s="6" t="s">
        <v>151</v>
      </c>
      <c r="C4862" s="6" t="s">
        <v>456</v>
      </c>
      <c r="D4862" s="6" t="s">
        <v>152</v>
      </c>
      <c r="E4862" s="11">
        <v>6.5766510963439941</v>
      </c>
      <c r="F4862" s="11">
        <v>7.9023118019104004</v>
      </c>
    </row>
    <row r="4863" spans="1:6" hidden="1" x14ac:dyDescent="0.3">
      <c r="A4863" s="6">
        <v>35</v>
      </c>
      <c r="B4863" s="6" t="s">
        <v>151</v>
      </c>
      <c r="C4863" s="6" t="s">
        <v>457</v>
      </c>
      <c r="D4863" s="6" t="s">
        <v>152</v>
      </c>
      <c r="E4863" s="11">
        <v>9.6741504669189453</v>
      </c>
      <c r="F4863" s="11">
        <v>7.9023118019104004</v>
      </c>
    </row>
    <row r="4864" spans="1:6" hidden="1" x14ac:dyDescent="0.3">
      <c r="A4864" s="6">
        <v>35</v>
      </c>
      <c r="B4864" s="6" t="s">
        <v>151</v>
      </c>
      <c r="C4864" s="6" t="s">
        <v>458</v>
      </c>
      <c r="D4864" s="6" t="s">
        <v>152</v>
      </c>
      <c r="E4864" s="11">
        <v>7.4167232513427734</v>
      </c>
      <c r="F4864" s="11">
        <v>7.9023118019104004</v>
      </c>
    </row>
    <row r="4865" spans="1:6" hidden="1" x14ac:dyDescent="0.3">
      <c r="A4865" s="6">
        <v>35</v>
      </c>
      <c r="B4865" s="6" t="s">
        <v>151</v>
      </c>
      <c r="C4865" s="6" t="s">
        <v>459</v>
      </c>
      <c r="D4865" s="6" t="s">
        <v>152</v>
      </c>
      <c r="E4865" s="11">
        <v>8.6283092498779297</v>
      </c>
      <c r="F4865" s="11">
        <v>7.9023118019104004</v>
      </c>
    </row>
    <row r="4866" spans="1:6" hidden="1" x14ac:dyDescent="0.3">
      <c r="A4866" s="6">
        <v>35</v>
      </c>
      <c r="B4866" s="6" t="s">
        <v>151</v>
      </c>
      <c r="C4866" s="6" t="s">
        <v>460</v>
      </c>
      <c r="D4866" s="6" t="s">
        <v>152</v>
      </c>
      <c r="E4866" s="11">
        <v>13.800934791564941</v>
      </c>
      <c r="F4866" s="11">
        <v>7.9023118019104004</v>
      </c>
    </row>
    <row r="4867" spans="1:6" hidden="1" x14ac:dyDescent="0.3">
      <c r="A4867" s="6">
        <v>35</v>
      </c>
      <c r="B4867" s="6" t="s">
        <v>151</v>
      </c>
      <c r="C4867" s="6" t="s">
        <v>461</v>
      </c>
      <c r="D4867" s="6" t="s">
        <v>152</v>
      </c>
      <c r="E4867" s="11">
        <v>7.3954401016235352</v>
      </c>
      <c r="F4867" s="11">
        <v>7.9023118019104004</v>
      </c>
    </row>
    <row r="4868" spans="1:6" hidden="1" x14ac:dyDescent="0.3">
      <c r="A4868" s="6">
        <v>35</v>
      </c>
      <c r="B4868" s="6" t="s">
        <v>151</v>
      </c>
      <c r="C4868" s="6" t="s">
        <v>462</v>
      </c>
      <c r="D4868" s="6" t="s">
        <v>152</v>
      </c>
      <c r="E4868" s="11">
        <v>47.634525299072266</v>
      </c>
      <c r="F4868" s="11">
        <v>7.9023118019104004</v>
      </c>
    </row>
    <row r="4869" spans="1:6" hidden="1" x14ac:dyDescent="0.3">
      <c r="A4869" s="6">
        <v>35</v>
      </c>
      <c r="B4869" s="6" t="s">
        <v>151</v>
      </c>
      <c r="C4869" s="6" t="s">
        <v>463</v>
      </c>
      <c r="D4869" s="6" t="s">
        <v>152</v>
      </c>
      <c r="E4869" s="11">
        <v>18.349395751953125</v>
      </c>
      <c r="F4869" s="11">
        <v>7.9023118019104004</v>
      </c>
    </row>
    <row r="4870" spans="1:6" hidden="1" x14ac:dyDescent="0.3">
      <c r="A4870" s="6">
        <v>35</v>
      </c>
      <c r="B4870" s="6" t="s">
        <v>151</v>
      </c>
      <c r="C4870" s="6" t="s">
        <v>464</v>
      </c>
      <c r="D4870" s="6" t="s">
        <v>152</v>
      </c>
      <c r="E4870" s="11">
        <v>8.6701288223266602</v>
      </c>
      <c r="F4870" s="11">
        <v>7.9023118019104004</v>
      </c>
    </row>
    <row r="4871" spans="1:6" hidden="1" x14ac:dyDescent="0.3">
      <c r="A4871" s="6">
        <v>35</v>
      </c>
      <c r="B4871" s="6" t="s">
        <v>151</v>
      </c>
      <c r="C4871" s="6" t="s">
        <v>465</v>
      </c>
      <c r="D4871" s="6" t="s">
        <v>152</v>
      </c>
      <c r="E4871" s="11">
        <v>9.2488946914672852</v>
      </c>
      <c r="F4871" s="11">
        <v>7.9023118019104004</v>
      </c>
    </row>
    <row r="4872" spans="1:6" hidden="1" x14ac:dyDescent="0.3">
      <c r="A4872" s="6">
        <v>35</v>
      </c>
      <c r="B4872" s="6" t="s">
        <v>151</v>
      </c>
      <c r="C4872" s="6" t="s">
        <v>466</v>
      </c>
      <c r="D4872" s="6" t="s">
        <v>152</v>
      </c>
      <c r="E4872" s="11">
        <v>5.6702160835266113</v>
      </c>
      <c r="F4872" s="11">
        <v>7.9023118019104004</v>
      </c>
    </row>
    <row r="4873" spans="1:6" hidden="1" x14ac:dyDescent="0.3">
      <c r="A4873" s="6">
        <v>35</v>
      </c>
      <c r="B4873" s="6" t="s">
        <v>151</v>
      </c>
      <c r="C4873" s="6" t="s">
        <v>467</v>
      </c>
      <c r="D4873" s="6" t="s">
        <v>152</v>
      </c>
      <c r="E4873" s="11">
        <v>8.6762838363647461</v>
      </c>
      <c r="F4873" s="11">
        <v>7.9023118019104004</v>
      </c>
    </row>
    <row r="4874" spans="1:6" hidden="1" x14ac:dyDescent="0.3">
      <c r="A4874" s="6">
        <v>35</v>
      </c>
      <c r="B4874" s="6" t="s">
        <v>151</v>
      </c>
      <c r="C4874" s="6" t="s">
        <v>468</v>
      </c>
      <c r="D4874" s="6" t="s">
        <v>152</v>
      </c>
      <c r="E4874" s="11">
        <v>19.608175277709961</v>
      </c>
      <c r="F4874" s="11">
        <v>7.9023118019104004</v>
      </c>
    </row>
    <row r="4875" spans="1:6" hidden="1" x14ac:dyDescent="0.3">
      <c r="A4875" s="6">
        <v>35</v>
      </c>
      <c r="B4875" s="6" t="s">
        <v>151</v>
      </c>
      <c r="C4875" s="6" t="s">
        <v>469</v>
      </c>
      <c r="D4875" s="6" t="s">
        <v>152</v>
      </c>
      <c r="E4875" s="11">
        <v>4.8592276573181152</v>
      </c>
      <c r="F4875" s="11">
        <v>7.9023118019104004</v>
      </c>
    </row>
    <row r="4876" spans="1:6" hidden="1" x14ac:dyDescent="0.3">
      <c r="A4876" s="6">
        <v>35</v>
      </c>
      <c r="B4876" s="6" t="s">
        <v>151</v>
      </c>
      <c r="C4876" s="6" t="s">
        <v>470</v>
      </c>
      <c r="D4876" s="6" t="s">
        <v>152</v>
      </c>
      <c r="E4876" s="11">
        <v>6.6898722648620605</v>
      </c>
      <c r="F4876" s="11">
        <v>7.9023118019104004</v>
      </c>
    </row>
    <row r="4877" spans="1:6" hidden="1" x14ac:dyDescent="0.3">
      <c r="A4877" s="6">
        <v>35</v>
      </c>
      <c r="B4877" s="6" t="s">
        <v>151</v>
      </c>
      <c r="C4877" s="6" t="s">
        <v>471</v>
      </c>
      <c r="D4877" s="6" t="s">
        <v>152</v>
      </c>
      <c r="E4877" s="11">
        <v>8.1086311340332031</v>
      </c>
      <c r="F4877" s="11">
        <v>7.9023118019104004</v>
      </c>
    </row>
    <row r="4878" spans="1:6" hidden="1" x14ac:dyDescent="0.3">
      <c r="A4878" s="6">
        <v>35</v>
      </c>
      <c r="B4878" s="6" t="s">
        <v>151</v>
      </c>
      <c r="C4878" s="6" t="s">
        <v>472</v>
      </c>
      <c r="D4878" s="6" t="s">
        <v>152</v>
      </c>
      <c r="E4878" s="11">
        <v>111.85214233398438</v>
      </c>
      <c r="F4878" s="11">
        <v>7.9023118019104004</v>
      </c>
    </row>
    <row r="4879" spans="1:6" hidden="1" x14ac:dyDescent="0.3">
      <c r="A4879" s="6">
        <v>35</v>
      </c>
      <c r="B4879" s="6" t="s">
        <v>151</v>
      </c>
      <c r="C4879" s="6" t="s">
        <v>473</v>
      </c>
      <c r="D4879" s="6" t="s">
        <v>152</v>
      </c>
      <c r="E4879" s="11">
        <v>6.8964018821716309</v>
      </c>
      <c r="F4879" s="11">
        <v>7.9023118019104004</v>
      </c>
    </row>
    <row r="4880" spans="1:6" hidden="1" x14ac:dyDescent="0.3">
      <c r="A4880" s="6">
        <v>35</v>
      </c>
      <c r="B4880" s="6" t="s">
        <v>151</v>
      </c>
      <c r="C4880" s="6" t="s">
        <v>474</v>
      </c>
      <c r="D4880" s="6" t="s">
        <v>152</v>
      </c>
      <c r="E4880" s="11">
        <v>17.215847015380859</v>
      </c>
      <c r="F4880" s="11">
        <v>7.9023118019104004</v>
      </c>
    </row>
    <row r="4881" spans="1:6" hidden="1" x14ac:dyDescent="0.3">
      <c r="A4881" s="6">
        <v>35</v>
      </c>
      <c r="B4881" s="6" t="s">
        <v>151</v>
      </c>
      <c r="C4881" s="6" t="s">
        <v>475</v>
      </c>
      <c r="D4881" s="6" t="s">
        <v>152</v>
      </c>
      <c r="E4881" s="11">
        <v>13.966933250427246</v>
      </c>
      <c r="F4881" s="11">
        <v>7.9023118019104004</v>
      </c>
    </row>
    <row r="4882" spans="1:6" hidden="1" x14ac:dyDescent="0.3">
      <c r="A4882" s="6">
        <v>35</v>
      </c>
      <c r="B4882" s="6" t="s">
        <v>151</v>
      </c>
      <c r="C4882" s="6" t="s">
        <v>476</v>
      </c>
      <c r="D4882" s="6" t="s">
        <v>152</v>
      </c>
      <c r="E4882" s="11">
        <v>5.8119502067565918</v>
      </c>
      <c r="F4882" s="11">
        <v>7.9023118019104004</v>
      </c>
    </row>
    <row r="4883" spans="1:6" hidden="1" x14ac:dyDescent="0.3">
      <c r="A4883" s="6">
        <v>35</v>
      </c>
      <c r="B4883" s="6" t="s">
        <v>151</v>
      </c>
      <c r="C4883" s="6" t="s">
        <v>477</v>
      </c>
      <c r="D4883" s="6" t="s">
        <v>152</v>
      </c>
      <c r="E4883" s="11">
        <v>9.0026073455810547</v>
      </c>
      <c r="F4883" s="11">
        <v>7.9023118019104004</v>
      </c>
    </row>
    <row r="4884" spans="1:6" hidden="1" x14ac:dyDescent="0.3">
      <c r="A4884" s="6">
        <v>35</v>
      </c>
      <c r="B4884" s="6" t="s">
        <v>151</v>
      </c>
      <c r="C4884" s="6" t="s">
        <v>478</v>
      </c>
      <c r="D4884" s="6" t="s">
        <v>152</v>
      </c>
      <c r="E4884" s="11">
        <v>29.350988388061523</v>
      </c>
      <c r="F4884" s="11">
        <v>7.9023118019104004</v>
      </c>
    </row>
    <row r="4885" spans="1:6" hidden="1" x14ac:dyDescent="0.3">
      <c r="A4885" s="6">
        <v>35</v>
      </c>
      <c r="B4885" s="6" t="s">
        <v>151</v>
      </c>
      <c r="C4885" s="6" t="s">
        <v>479</v>
      </c>
      <c r="D4885" s="6" t="s">
        <v>152</v>
      </c>
      <c r="E4885" s="11">
        <v>14.494897842407227</v>
      </c>
      <c r="F4885" s="11">
        <v>7.9023118019104004</v>
      </c>
    </row>
    <row r="4886" spans="1:6" hidden="1" x14ac:dyDescent="0.3">
      <c r="A4886" s="6">
        <v>35</v>
      </c>
      <c r="B4886" s="6" t="s">
        <v>151</v>
      </c>
      <c r="C4886" s="6" t="s">
        <v>480</v>
      </c>
      <c r="D4886" s="6" t="s">
        <v>152</v>
      </c>
      <c r="E4886" s="11">
        <v>14.621063232421875</v>
      </c>
      <c r="F4886" s="11">
        <v>7.9023118019104004</v>
      </c>
    </row>
    <row r="4887" spans="1:6" hidden="1" x14ac:dyDescent="0.3">
      <c r="A4887" s="6">
        <v>35</v>
      </c>
      <c r="B4887" s="6" t="s">
        <v>151</v>
      </c>
      <c r="C4887" s="6" t="s">
        <v>481</v>
      </c>
      <c r="D4887" s="6" t="s">
        <v>152</v>
      </c>
      <c r="E4887" s="11">
        <v>12.810626983642578</v>
      </c>
      <c r="F4887" s="11">
        <v>7.9023118019104004</v>
      </c>
    </row>
    <row r="4888" spans="1:6" hidden="1" x14ac:dyDescent="0.3">
      <c r="A4888" s="6">
        <v>35</v>
      </c>
      <c r="B4888" s="6" t="s">
        <v>151</v>
      </c>
      <c r="C4888" s="6" t="s">
        <v>482</v>
      </c>
      <c r="D4888" s="6" t="s">
        <v>152</v>
      </c>
      <c r="E4888" s="11">
        <v>12.337947845458984</v>
      </c>
      <c r="F4888" s="11">
        <v>7.9023118019104004</v>
      </c>
    </row>
    <row r="4889" spans="1:6" hidden="1" x14ac:dyDescent="0.3">
      <c r="A4889" s="6">
        <v>35</v>
      </c>
      <c r="B4889" s="6" t="s">
        <v>151</v>
      </c>
      <c r="C4889" s="6" t="s">
        <v>483</v>
      </c>
      <c r="D4889" s="6" t="s">
        <v>152</v>
      </c>
      <c r="E4889" s="11">
        <v>20.504735946655273</v>
      </c>
      <c r="F4889" s="11">
        <v>7.9023118019104004</v>
      </c>
    </row>
    <row r="4890" spans="1:6" hidden="1" x14ac:dyDescent="0.3">
      <c r="A4890" s="6">
        <v>35</v>
      </c>
      <c r="B4890" s="6" t="s">
        <v>151</v>
      </c>
      <c r="C4890" s="6" t="s">
        <v>484</v>
      </c>
      <c r="D4890" s="6" t="s">
        <v>152</v>
      </c>
      <c r="E4890" s="11">
        <v>7.6409649848937988</v>
      </c>
      <c r="F4890" s="11">
        <v>7.9023118019104004</v>
      </c>
    </row>
    <row r="4891" spans="1:6" hidden="1" x14ac:dyDescent="0.3">
      <c r="A4891" s="6">
        <v>35</v>
      </c>
      <c r="B4891" s="6" t="s">
        <v>151</v>
      </c>
      <c r="C4891" s="6" t="s">
        <v>485</v>
      </c>
      <c r="D4891" s="6" t="s">
        <v>152</v>
      </c>
      <c r="E4891" s="11">
        <v>21.216867446899414</v>
      </c>
      <c r="F4891" s="11">
        <v>7.9023118019104004</v>
      </c>
    </row>
    <row r="4892" spans="1:6" hidden="1" x14ac:dyDescent="0.3">
      <c r="A4892" s="6">
        <v>35</v>
      </c>
      <c r="B4892" s="6" t="s">
        <v>151</v>
      </c>
      <c r="C4892" s="6" t="s">
        <v>486</v>
      </c>
      <c r="D4892" s="6" t="s">
        <v>152</v>
      </c>
      <c r="E4892" s="11">
        <v>6.3531579971313477</v>
      </c>
      <c r="F4892" s="11">
        <v>7.9023118019104004</v>
      </c>
    </row>
    <row r="4893" spans="1:6" hidden="1" x14ac:dyDescent="0.3">
      <c r="A4893" s="6">
        <v>35</v>
      </c>
      <c r="B4893" s="6" t="s">
        <v>151</v>
      </c>
      <c r="C4893" s="6" t="s">
        <v>487</v>
      </c>
      <c r="D4893" s="6" t="s">
        <v>152</v>
      </c>
      <c r="E4893" s="11">
        <v>16.078195571899414</v>
      </c>
      <c r="F4893" s="11">
        <v>7.9023118019104004</v>
      </c>
    </row>
    <row r="4894" spans="1:6" hidden="1" x14ac:dyDescent="0.3">
      <c r="A4894" s="6">
        <v>35</v>
      </c>
      <c r="B4894" s="6" t="s">
        <v>151</v>
      </c>
      <c r="C4894" s="6" t="s">
        <v>488</v>
      </c>
      <c r="D4894" s="6" t="s">
        <v>152</v>
      </c>
      <c r="E4894" s="11">
        <v>35.605224609375</v>
      </c>
      <c r="F4894" s="11">
        <v>7.9023118019104004</v>
      </c>
    </row>
    <row r="4895" spans="1:6" hidden="1" x14ac:dyDescent="0.3">
      <c r="A4895" s="6">
        <v>35</v>
      </c>
      <c r="B4895" s="6" t="s">
        <v>151</v>
      </c>
      <c r="C4895" s="6" t="s">
        <v>489</v>
      </c>
      <c r="D4895" s="6" t="s">
        <v>152</v>
      </c>
      <c r="E4895" s="11">
        <v>8.1249017715454102</v>
      </c>
      <c r="F4895" s="11">
        <v>7.9023118019104004</v>
      </c>
    </row>
    <row r="4896" spans="1:6" hidden="1" x14ac:dyDescent="0.3">
      <c r="A4896" s="6">
        <v>35</v>
      </c>
      <c r="B4896" s="6" t="s">
        <v>151</v>
      </c>
      <c r="C4896" s="6" t="s">
        <v>490</v>
      </c>
      <c r="D4896" s="6" t="s">
        <v>152</v>
      </c>
      <c r="E4896" s="11">
        <v>13.009839057922363</v>
      </c>
      <c r="F4896" s="11">
        <v>7.9023118019104004</v>
      </c>
    </row>
    <row r="4897" spans="1:6" hidden="1" x14ac:dyDescent="0.3">
      <c r="A4897" s="6">
        <v>35</v>
      </c>
      <c r="B4897" s="6" t="s">
        <v>151</v>
      </c>
      <c r="C4897" s="6" t="s">
        <v>491</v>
      </c>
      <c r="D4897" s="6" t="s">
        <v>152</v>
      </c>
      <c r="E4897" s="11">
        <v>10.992555618286133</v>
      </c>
      <c r="F4897" s="11">
        <v>7.9023118019104004</v>
      </c>
    </row>
    <row r="4898" spans="1:6" hidden="1" x14ac:dyDescent="0.3">
      <c r="A4898" s="6">
        <v>35</v>
      </c>
      <c r="B4898" s="6" t="s">
        <v>151</v>
      </c>
      <c r="C4898" s="6" t="s">
        <v>492</v>
      </c>
      <c r="D4898" s="6" t="s">
        <v>152</v>
      </c>
      <c r="E4898" s="11">
        <v>164.92176818847656</v>
      </c>
      <c r="F4898" s="11">
        <v>7.9023118019104004</v>
      </c>
    </row>
    <row r="4899" spans="1:6" hidden="1" x14ac:dyDescent="0.3">
      <c r="A4899" s="6">
        <v>35</v>
      </c>
      <c r="B4899" s="6" t="s">
        <v>151</v>
      </c>
      <c r="C4899" s="6" t="s">
        <v>493</v>
      </c>
      <c r="D4899" s="6" t="s">
        <v>152</v>
      </c>
      <c r="E4899" s="11">
        <v>6.4868531227111816</v>
      </c>
      <c r="F4899" s="11">
        <v>7.9023118019104004</v>
      </c>
    </row>
    <row r="4900" spans="1:6" hidden="1" x14ac:dyDescent="0.3">
      <c r="A4900" s="6">
        <v>35</v>
      </c>
      <c r="B4900" s="6" t="s">
        <v>151</v>
      </c>
      <c r="C4900" s="6" t="s">
        <v>494</v>
      </c>
      <c r="D4900" s="6" t="s">
        <v>152</v>
      </c>
      <c r="E4900" s="11">
        <v>28.084762573242188</v>
      </c>
      <c r="F4900" s="11">
        <v>7.9023118019104004</v>
      </c>
    </row>
    <row r="4901" spans="1:6" hidden="1" x14ac:dyDescent="0.3">
      <c r="A4901" s="6">
        <v>35</v>
      </c>
      <c r="B4901" s="6" t="s">
        <v>151</v>
      </c>
      <c r="C4901" s="6" t="s">
        <v>495</v>
      </c>
      <c r="D4901" s="6" t="s">
        <v>152</v>
      </c>
      <c r="E4901" s="11">
        <v>7.5495305061340332</v>
      </c>
      <c r="F4901" s="11">
        <v>7.9023118019104004</v>
      </c>
    </row>
    <row r="4902" spans="1:6" hidden="1" x14ac:dyDescent="0.3">
      <c r="A4902" s="6">
        <v>36</v>
      </c>
      <c r="B4902" s="6" t="s">
        <v>153</v>
      </c>
      <c r="C4902" s="6" t="s">
        <v>356</v>
      </c>
      <c r="D4902" s="6" t="s">
        <v>154</v>
      </c>
      <c r="E4902" s="11">
        <v>6.4750194549560547</v>
      </c>
      <c r="F4902" s="11">
        <v>7.8328266143798828</v>
      </c>
    </row>
    <row r="4903" spans="1:6" hidden="1" x14ac:dyDescent="0.3">
      <c r="A4903" s="6">
        <v>36</v>
      </c>
      <c r="B4903" s="6" t="s">
        <v>153</v>
      </c>
      <c r="C4903" s="6" t="s">
        <v>357</v>
      </c>
      <c r="D4903" s="6" t="s">
        <v>154</v>
      </c>
      <c r="E4903" s="11">
        <v>3.2192909717559814</v>
      </c>
      <c r="F4903" s="11">
        <v>7.8328266143798828</v>
      </c>
    </row>
    <row r="4904" spans="1:6" hidden="1" x14ac:dyDescent="0.3">
      <c r="A4904" s="6">
        <v>36</v>
      </c>
      <c r="B4904" s="6" t="s">
        <v>153</v>
      </c>
      <c r="C4904" s="6" t="s">
        <v>358</v>
      </c>
      <c r="D4904" s="6" t="s">
        <v>154</v>
      </c>
      <c r="E4904" s="11">
        <v>6.4933028221130371</v>
      </c>
      <c r="F4904" s="11">
        <v>7.8328266143798828</v>
      </c>
    </row>
    <row r="4905" spans="1:6" hidden="1" x14ac:dyDescent="0.3">
      <c r="A4905" s="6">
        <v>36</v>
      </c>
      <c r="B4905" s="6" t="s">
        <v>153</v>
      </c>
      <c r="C4905" s="6" t="s">
        <v>359</v>
      </c>
      <c r="D4905" s="6" t="s">
        <v>154</v>
      </c>
      <c r="E4905" s="11">
        <v>7.3768706321716309</v>
      </c>
      <c r="F4905" s="11">
        <v>7.8328266143798828</v>
      </c>
    </row>
    <row r="4906" spans="1:6" hidden="1" x14ac:dyDescent="0.3">
      <c r="A4906" s="6">
        <v>36</v>
      </c>
      <c r="B4906" s="6" t="s">
        <v>153</v>
      </c>
      <c r="C4906" s="6" t="s">
        <v>360</v>
      </c>
      <c r="D4906" s="6" t="s">
        <v>154</v>
      </c>
      <c r="E4906" s="11">
        <v>9.6874151229858398</v>
      </c>
      <c r="F4906" s="11">
        <v>7.8328266143798828</v>
      </c>
    </row>
    <row r="4907" spans="1:6" hidden="1" x14ac:dyDescent="0.3">
      <c r="A4907" s="6">
        <v>36</v>
      </c>
      <c r="B4907" s="6" t="s">
        <v>153</v>
      </c>
      <c r="C4907" s="6" t="s">
        <v>361</v>
      </c>
      <c r="D4907" s="6" t="s">
        <v>154</v>
      </c>
      <c r="E4907" s="11">
        <v>8.6763544082641602</v>
      </c>
      <c r="F4907" s="11">
        <v>7.8328266143798828</v>
      </c>
    </row>
    <row r="4908" spans="1:6" hidden="1" x14ac:dyDescent="0.3">
      <c r="A4908" s="6">
        <v>36</v>
      </c>
      <c r="B4908" s="6" t="s">
        <v>153</v>
      </c>
      <c r="C4908" s="6" t="s">
        <v>362</v>
      </c>
      <c r="D4908" s="6" t="s">
        <v>154</v>
      </c>
      <c r="E4908" s="11">
        <v>4.5279865264892578</v>
      </c>
      <c r="F4908" s="11">
        <v>7.8328266143798828</v>
      </c>
    </row>
    <row r="4909" spans="1:6" hidden="1" x14ac:dyDescent="0.3">
      <c r="A4909" s="6">
        <v>36</v>
      </c>
      <c r="B4909" s="6" t="s">
        <v>153</v>
      </c>
      <c r="C4909" s="6" t="s">
        <v>363</v>
      </c>
      <c r="D4909" s="6" t="s">
        <v>154</v>
      </c>
      <c r="E4909" s="11">
        <v>11.061407089233398</v>
      </c>
      <c r="F4909" s="11">
        <v>7.8328266143798828</v>
      </c>
    </row>
    <row r="4910" spans="1:6" hidden="1" x14ac:dyDescent="0.3">
      <c r="A4910" s="6">
        <v>36</v>
      </c>
      <c r="B4910" s="6" t="s">
        <v>153</v>
      </c>
      <c r="C4910" s="6" t="s">
        <v>364</v>
      </c>
      <c r="D4910" s="6" t="s">
        <v>154</v>
      </c>
      <c r="E4910" s="11">
        <v>4.5952582359313965</v>
      </c>
      <c r="F4910" s="11">
        <v>7.8328266143798828</v>
      </c>
    </row>
    <row r="4911" spans="1:6" hidden="1" x14ac:dyDescent="0.3">
      <c r="A4911" s="6">
        <v>36</v>
      </c>
      <c r="B4911" s="6" t="s">
        <v>153</v>
      </c>
      <c r="C4911" s="6" t="s">
        <v>365</v>
      </c>
      <c r="D4911" s="6" t="s">
        <v>154</v>
      </c>
      <c r="E4911" s="11">
        <v>4.7898836135864258</v>
      </c>
      <c r="F4911" s="11">
        <v>7.8328266143798828</v>
      </c>
    </row>
    <row r="4912" spans="1:6" hidden="1" x14ac:dyDescent="0.3">
      <c r="A4912" s="6">
        <v>36</v>
      </c>
      <c r="B4912" s="6" t="s">
        <v>153</v>
      </c>
      <c r="C4912" s="6" t="s">
        <v>366</v>
      </c>
      <c r="D4912" s="6" t="s">
        <v>154</v>
      </c>
      <c r="E4912" s="11">
        <v>48.625850677490234</v>
      </c>
      <c r="F4912" s="11">
        <v>7.8328266143798828</v>
      </c>
    </row>
    <row r="4913" spans="1:6" hidden="1" x14ac:dyDescent="0.3">
      <c r="A4913" s="6">
        <v>36</v>
      </c>
      <c r="B4913" s="6" t="s">
        <v>153</v>
      </c>
      <c r="C4913" s="6" t="s">
        <v>367</v>
      </c>
      <c r="D4913" s="6" t="s">
        <v>154</v>
      </c>
      <c r="E4913" s="11">
        <v>11.243612289428711</v>
      </c>
      <c r="F4913" s="11">
        <v>7.8328266143798828</v>
      </c>
    </row>
    <row r="4914" spans="1:6" hidden="1" x14ac:dyDescent="0.3">
      <c r="A4914" s="6">
        <v>36</v>
      </c>
      <c r="B4914" s="6" t="s">
        <v>153</v>
      </c>
      <c r="C4914" s="6" t="s">
        <v>368</v>
      </c>
      <c r="D4914" s="6" t="s">
        <v>154</v>
      </c>
      <c r="E4914" s="11">
        <v>4.1051397323608398</v>
      </c>
      <c r="F4914" s="11">
        <v>7.8328266143798828</v>
      </c>
    </row>
    <row r="4915" spans="1:6" hidden="1" x14ac:dyDescent="0.3">
      <c r="A4915" s="6">
        <v>36</v>
      </c>
      <c r="B4915" s="6" t="s">
        <v>153</v>
      </c>
      <c r="C4915" s="6" t="s">
        <v>369</v>
      </c>
      <c r="D4915" s="6" t="s">
        <v>154</v>
      </c>
      <c r="E4915" s="11">
        <v>12.499293327331543</v>
      </c>
      <c r="F4915" s="11">
        <v>7.8328266143798828</v>
      </c>
    </row>
    <row r="4916" spans="1:6" hidden="1" x14ac:dyDescent="0.3">
      <c r="A4916" s="6">
        <v>36</v>
      </c>
      <c r="B4916" s="6" t="s">
        <v>153</v>
      </c>
      <c r="C4916" s="6" t="s">
        <v>370</v>
      </c>
      <c r="D4916" s="6" t="s">
        <v>154</v>
      </c>
      <c r="E4916" s="11">
        <v>40.513782501220703</v>
      </c>
      <c r="F4916" s="11">
        <v>7.8328266143798828</v>
      </c>
    </row>
    <row r="4917" spans="1:6" hidden="1" x14ac:dyDescent="0.3">
      <c r="A4917" s="6">
        <v>36</v>
      </c>
      <c r="B4917" s="6" t="s">
        <v>153</v>
      </c>
      <c r="C4917" s="6" t="s">
        <v>371</v>
      </c>
      <c r="D4917" s="6" t="s">
        <v>154</v>
      </c>
      <c r="E4917" s="11">
        <v>7.3341484069824219</v>
      </c>
      <c r="F4917" s="11">
        <v>7.8328266143798828</v>
      </c>
    </row>
    <row r="4918" spans="1:6" hidden="1" x14ac:dyDescent="0.3">
      <c r="A4918" s="6">
        <v>36</v>
      </c>
      <c r="B4918" s="6" t="s">
        <v>153</v>
      </c>
      <c r="C4918" s="6" t="s">
        <v>372</v>
      </c>
      <c r="D4918" s="6" t="s">
        <v>154</v>
      </c>
      <c r="E4918" s="11">
        <v>59.720851898193359</v>
      </c>
      <c r="F4918" s="11">
        <v>7.8328266143798828</v>
      </c>
    </row>
    <row r="4919" spans="1:6" hidden="1" x14ac:dyDescent="0.3">
      <c r="A4919" s="6">
        <v>36</v>
      </c>
      <c r="B4919" s="6" t="s">
        <v>153</v>
      </c>
      <c r="C4919" s="6" t="s">
        <v>373</v>
      </c>
      <c r="D4919" s="6" t="s">
        <v>154</v>
      </c>
      <c r="E4919" s="11">
        <v>11.149394035339355</v>
      </c>
      <c r="F4919" s="11">
        <v>7.8328266143798828</v>
      </c>
    </row>
    <row r="4920" spans="1:6" hidden="1" x14ac:dyDescent="0.3">
      <c r="A4920" s="6">
        <v>36</v>
      </c>
      <c r="B4920" s="6" t="s">
        <v>153</v>
      </c>
      <c r="C4920" s="6" t="s">
        <v>374</v>
      </c>
      <c r="D4920" s="6" t="s">
        <v>154</v>
      </c>
      <c r="E4920" s="11">
        <v>8.268519401550293</v>
      </c>
      <c r="F4920" s="11">
        <v>7.8328266143798828</v>
      </c>
    </row>
    <row r="4921" spans="1:6" hidden="1" x14ac:dyDescent="0.3">
      <c r="A4921" s="6">
        <v>36</v>
      </c>
      <c r="B4921" s="6" t="s">
        <v>153</v>
      </c>
      <c r="C4921" s="6" t="s">
        <v>375</v>
      </c>
      <c r="D4921" s="6" t="s">
        <v>154</v>
      </c>
      <c r="E4921" s="11">
        <v>9.3257169723510742</v>
      </c>
      <c r="F4921" s="11">
        <v>7.8328266143798828</v>
      </c>
    </row>
    <row r="4922" spans="1:6" hidden="1" x14ac:dyDescent="0.3">
      <c r="A4922" s="6">
        <v>36</v>
      </c>
      <c r="B4922" s="6" t="s">
        <v>153</v>
      </c>
      <c r="C4922" s="6" t="s">
        <v>376</v>
      </c>
      <c r="D4922" s="6" t="s">
        <v>154</v>
      </c>
      <c r="E4922" s="11">
        <v>5.1100740432739258</v>
      </c>
      <c r="F4922" s="11">
        <v>7.8328266143798828</v>
      </c>
    </row>
    <row r="4923" spans="1:6" hidden="1" x14ac:dyDescent="0.3">
      <c r="A4923" s="6">
        <v>36</v>
      </c>
      <c r="B4923" s="6" t="s">
        <v>153</v>
      </c>
      <c r="C4923" s="6" t="s">
        <v>377</v>
      </c>
      <c r="D4923" s="6" t="s">
        <v>154</v>
      </c>
      <c r="E4923" s="11">
        <v>9.3035249710083008</v>
      </c>
      <c r="F4923" s="11">
        <v>7.8328266143798828</v>
      </c>
    </row>
    <row r="4924" spans="1:6" hidden="1" x14ac:dyDescent="0.3">
      <c r="A4924" s="6">
        <v>36</v>
      </c>
      <c r="B4924" s="6" t="s">
        <v>153</v>
      </c>
      <c r="C4924" s="6" t="s">
        <v>378</v>
      </c>
      <c r="D4924" s="6" t="s">
        <v>154</v>
      </c>
      <c r="E4924" s="11">
        <v>7.8185172080993652</v>
      </c>
      <c r="F4924" s="11">
        <v>7.8328266143798828</v>
      </c>
    </row>
    <row r="4925" spans="1:6" hidden="1" x14ac:dyDescent="0.3">
      <c r="A4925" s="6">
        <v>36</v>
      </c>
      <c r="B4925" s="6" t="s">
        <v>153</v>
      </c>
      <c r="C4925" s="6" t="s">
        <v>379</v>
      </c>
      <c r="D4925" s="6" t="s">
        <v>154</v>
      </c>
      <c r="E4925" s="11">
        <v>7.8452267646789551</v>
      </c>
      <c r="F4925" s="11">
        <v>7.8328266143798828</v>
      </c>
    </row>
    <row r="4926" spans="1:6" hidden="1" x14ac:dyDescent="0.3">
      <c r="A4926" s="6">
        <v>36</v>
      </c>
      <c r="B4926" s="6" t="s">
        <v>153</v>
      </c>
      <c r="C4926" s="6" t="s">
        <v>380</v>
      </c>
      <c r="D4926" s="6" t="s">
        <v>154</v>
      </c>
      <c r="E4926" s="11">
        <v>5.2211437225341797</v>
      </c>
      <c r="F4926" s="11">
        <v>7.8328266143798828</v>
      </c>
    </row>
    <row r="4927" spans="1:6" hidden="1" x14ac:dyDescent="0.3">
      <c r="A4927" s="6">
        <v>36</v>
      </c>
      <c r="B4927" s="6" t="s">
        <v>153</v>
      </c>
      <c r="C4927" s="6" t="s">
        <v>381</v>
      </c>
      <c r="D4927" s="6" t="s">
        <v>154</v>
      </c>
      <c r="E4927" s="11">
        <v>21.528709411621094</v>
      </c>
      <c r="F4927" s="11">
        <v>7.8328266143798828</v>
      </c>
    </row>
    <row r="4928" spans="1:6" hidden="1" x14ac:dyDescent="0.3">
      <c r="A4928" s="6">
        <v>36</v>
      </c>
      <c r="B4928" s="6" t="s">
        <v>153</v>
      </c>
      <c r="C4928" s="6" t="s">
        <v>382</v>
      </c>
      <c r="D4928" s="6" t="s">
        <v>154</v>
      </c>
      <c r="E4928" s="11">
        <v>10.347284317016602</v>
      </c>
      <c r="F4928" s="11">
        <v>7.8328266143798828</v>
      </c>
    </row>
    <row r="4929" spans="1:6" hidden="1" x14ac:dyDescent="0.3">
      <c r="A4929" s="6">
        <v>36</v>
      </c>
      <c r="B4929" s="6" t="s">
        <v>153</v>
      </c>
      <c r="C4929" s="6" t="s">
        <v>383</v>
      </c>
      <c r="D4929" s="6" t="s">
        <v>154</v>
      </c>
      <c r="E4929" s="11">
        <v>8.2237777709960938</v>
      </c>
      <c r="F4929" s="11">
        <v>7.8328266143798828</v>
      </c>
    </row>
    <row r="4930" spans="1:6" hidden="1" x14ac:dyDescent="0.3">
      <c r="A4930" s="6">
        <v>36</v>
      </c>
      <c r="B4930" s="6" t="s">
        <v>153</v>
      </c>
      <c r="C4930" s="6" t="s">
        <v>384</v>
      </c>
      <c r="D4930" s="6" t="s">
        <v>154</v>
      </c>
      <c r="E4930" s="11">
        <v>8.3273286819458008</v>
      </c>
      <c r="F4930" s="11">
        <v>7.8328266143798828</v>
      </c>
    </row>
    <row r="4931" spans="1:6" hidden="1" x14ac:dyDescent="0.3">
      <c r="A4931" s="6">
        <v>36</v>
      </c>
      <c r="B4931" s="6" t="s">
        <v>153</v>
      </c>
      <c r="C4931" s="6" t="s">
        <v>385</v>
      </c>
      <c r="D4931" s="6" t="s">
        <v>154</v>
      </c>
      <c r="E4931" s="11">
        <v>5.6660122871398926</v>
      </c>
      <c r="F4931" s="11">
        <v>7.8328266143798828</v>
      </c>
    </row>
    <row r="4932" spans="1:6" hidden="1" x14ac:dyDescent="0.3">
      <c r="A4932" s="6">
        <v>36</v>
      </c>
      <c r="B4932" s="6" t="s">
        <v>153</v>
      </c>
      <c r="C4932" s="6" t="s">
        <v>386</v>
      </c>
      <c r="D4932" s="6" t="s">
        <v>154</v>
      </c>
      <c r="E4932" s="11">
        <v>8.254857063293457</v>
      </c>
      <c r="F4932" s="11">
        <v>7.8328266143798828</v>
      </c>
    </row>
    <row r="4933" spans="1:6" hidden="1" x14ac:dyDescent="0.3">
      <c r="A4933" s="6">
        <v>36</v>
      </c>
      <c r="B4933" s="6" t="s">
        <v>153</v>
      </c>
      <c r="C4933" s="6" t="s">
        <v>387</v>
      </c>
      <c r="D4933" s="6" t="s">
        <v>154</v>
      </c>
      <c r="E4933" s="11">
        <v>12.929625511169434</v>
      </c>
      <c r="F4933" s="11">
        <v>7.8328266143798828</v>
      </c>
    </row>
    <row r="4934" spans="1:6" hidden="1" x14ac:dyDescent="0.3">
      <c r="A4934" s="6">
        <v>36</v>
      </c>
      <c r="B4934" s="6" t="s">
        <v>153</v>
      </c>
      <c r="C4934" s="6" t="s">
        <v>388</v>
      </c>
      <c r="D4934" s="6" t="s">
        <v>154</v>
      </c>
      <c r="E4934" s="11">
        <v>5.9200282096862793</v>
      </c>
      <c r="F4934" s="11">
        <v>7.8328266143798828</v>
      </c>
    </row>
    <row r="4935" spans="1:6" hidden="1" x14ac:dyDescent="0.3">
      <c r="A4935" s="6">
        <v>36</v>
      </c>
      <c r="B4935" s="6" t="s">
        <v>153</v>
      </c>
      <c r="C4935" s="6" t="s">
        <v>389</v>
      </c>
      <c r="D4935" s="6" t="s">
        <v>154</v>
      </c>
      <c r="E4935" s="11">
        <v>7.1906294822692871</v>
      </c>
      <c r="F4935" s="11">
        <v>7.8328266143798828</v>
      </c>
    </row>
    <row r="4936" spans="1:6" hidden="1" x14ac:dyDescent="0.3">
      <c r="A4936" s="6">
        <v>36</v>
      </c>
      <c r="B4936" s="6" t="s">
        <v>153</v>
      </c>
      <c r="C4936" s="6" t="s">
        <v>390</v>
      </c>
      <c r="D4936" s="6" t="s">
        <v>154</v>
      </c>
      <c r="E4936" s="11">
        <v>9.2788152694702148</v>
      </c>
      <c r="F4936" s="11">
        <v>7.8328266143798828</v>
      </c>
    </row>
    <row r="4937" spans="1:6" hidden="1" x14ac:dyDescent="0.3">
      <c r="A4937" s="6">
        <v>36</v>
      </c>
      <c r="B4937" s="6" t="s">
        <v>153</v>
      </c>
      <c r="C4937" s="6" t="s">
        <v>391</v>
      </c>
      <c r="D4937" s="6" t="s">
        <v>154</v>
      </c>
      <c r="E4937" s="11">
        <v>44.794620513916016</v>
      </c>
      <c r="F4937" s="11">
        <v>7.8328266143798828</v>
      </c>
    </row>
    <row r="4938" spans="1:6" hidden="1" x14ac:dyDescent="0.3">
      <c r="A4938" s="6">
        <v>36</v>
      </c>
      <c r="B4938" s="6" t="s">
        <v>153</v>
      </c>
      <c r="C4938" s="6" t="s">
        <v>392</v>
      </c>
      <c r="D4938" s="6" t="s">
        <v>154</v>
      </c>
      <c r="E4938" s="11">
        <v>7.7255516052246094</v>
      </c>
      <c r="F4938" s="11">
        <v>7.8328266143798828</v>
      </c>
    </row>
    <row r="4939" spans="1:6" hidden="1" x14ac:dyDescent="0.3">
      <c r="A4939" s="6">
        <v>36</v>
      </c>
      <c r="B4939" s="6" t="s">
        <v>153</v>
      </c>
      <c r="C4939" s="6" t="s">
        <v>393</v>
      </c>
      <c r="D4939" s="6" t="s">
        <v>154</v>
      </c>
      <c r="E4939" s="11">
        <v>8.3975009918212891</v>
      </c>
      <c r="F4939" s="11">
        <v>7.8328266143798828</v>
      </c>
    </row>
    <row r="4940" spans="1:6" hidden="1" x14ac:dyDescent="0.3">
      <c r="A4940" s="6">
        <v>36</v>
      </c>
      <c r="B4940" s="6" t="s">
        <v>153</v>
      </c>
      <c r="C4940" s="6" t="s">
        <v>394</v>
      </c>
      <c r="D4940" s="6" t="s">
        <v>154</v>
      </c>
      <c r="E4940" s="11">
        <v>12.197270393371582</v>
      </c>
      <c r="F4940" s="11">
        <v>7.8328266143798828</v>
      </c>
    </row>
    <row r="4941" spans="1:6" hidden="1" x14ac:dyDescent="0.3">
      <c r="A4941" s="6">
        <v>36</v>
      </c>
      <c r="B4941" s="6" t="s">
        <v>153</v>
      </c>
      <c r="C4941" s="6" t="s">
        <v>395</v>
      </c>
      <c r="D4941" s="6" t="s">
        <v>154</v>
      </c>
      <c r="E4941" s="11">
        <v>9.2101421356201172</v>
      </c>
      <c r="F4941" s="11">
        <v>7.8328266143798828</v>
      </c>
    </row>
    <row r="4942" spans="1:6" hidden="1" x14ac:dyDescent="0.3">
      <c r="A4942" s="6">
        <v>36</v>
      </c>
      <c r="B4942" s="6" t="s">
        <v>153</v>
      </c>
      <c r="C4942" s="6" t="s">
        <v>396</v>
      </c>
      <c r="D4942" s="6" t="s">
        <v>154</v>
      </c>
      <c r="E4942" s="11">
        <v>3.964256763458252</v>
      </c>
      <c r="F4942" s="11">
        <v>7.8328266143798828</v>
      </c>
    </row>
    <row r="4943" spans="1:6" hidden="1" x14ac:dyDescent="0.3">
      <c r="A4943" s="6">
        <v>36</v>
      </c>
      <c r="B4943" s="6" t="s">
        <v>153</v>
      </c>
      <c r="C4943" s="6" t="s">
        <v>397</v>
      </c>
      <c r="D4943" s="6" t="s">
        <v>154</v>
      </c>
      <c r="E4943" s="11">
        <v>8.1203069686889648</v>
      </c>
      <c r="F4943" s="11">
        <v>7.8328266143798828</v>
      </c>
    </row>
    <row r="4944" spans="1:6" hidden="1" x14ac:dyDescent="0.3">
      <c r="A4944" s="6">
        <v>36</v>
      </c>
      <c r="B4944" s="6" t="s">
        <v>153</v>
      </c>
      <c r="C4944" s="6" t="s">
        <v>398</v>
      </c>
      <c r="D4944" s="6" t="s">
        <v>154</v>
      </c>
      <c r="E4944" s="11">
        <v>8.7055025100708008</v>
      </c>
      <c r="F4944" s="11">
        <v>7.8328266143798828</v>
      </c>
    </row>
    <row r="4945" spans="1:6" hidden="1" x14ac:dyDescent="0.3">
      <c r="A4945" s="6">
        <v>36</v>
      </c>
      <c r="B4945" s="6" t="s">
        <v>153</v>
      </c>
      <c r="C4945" s="6" t="s">
        <v>399</v>
      </c>
      <c r="D4945" s="6" t="s">
        <v>154</v>
      </c>
      <c r="E4945" s="11">
        <v>6.2062115669250488</v>
      </c>
      <c r="F4945" s="11">
        <v>7.8328266143798828</v>
      </c>
    </row>
    <row r="4946" spans="1:6" hidden="1" x14ac:dyDescent="0.3">
      <c r="A4946" s="6">
        <v>36</v>
      </c>
      <c r="B4946" s="6" t="s">
        <v>153</v>
      </c>
      <c r="C4946" s="6" t="s">
        <v>400</v>
      </c>
      <c r="D4946" s="6" t="s">
        <v>154</v>
      </c>
      <c r="E4946" s="11">
        <v>23.395408630371094</v>
      </c>
      <c r="F4946" s="11">
        <v>7.8328266143798828</v>
      </c>
    </row>
    <row r="4947" spans="1:6" hidden="1" x14ac:dyDescent="0.3">
      <c r="A4947" s="6">
        <v>36</v>
      </c>
      <c r="B4947" s="6" t="s">
        <v>153</v>
      </c>
      <c r="C4947" s="6" t="s">
        <v>401</v>
      </c>
      <c r="D4947" s="6" t="s">
        <v>154</v>
      </c>
      <c r="E4947" s="11">
        <v>7.2143206596374512</v>
      </c>
      <c r="F4947" s="11">
        <v>7.8328266143798828</v>
      </c>
    </row>
    <row r="4948" spans="1:6" hidden="1" x14ac:dyDescent="0.3">
      <c r="A4948" s="6">
        <v>36</v>
      </c>
      <c r="B4948" s="6" t="s">
        <v>153</v>
      </c>
      <c r="C4948" s="6" t="s">
        <v>402</v>
      </c>
      <c r="D4948" s="6" t="s">
        <v>154</v>
      </c>
      <c r="E4948" s="11">
        <v>13.531573295593262</v>
      </c>
      <c r="F4948" s="11">
        <v>7.8328266143798828</v>
      </c>
    </row>
    <row r="4949" spans="1:6" hidden="1" x14ac:dyDescent="0.3">
      <c r="A4949" s="6">
        <v>36</v>
      </c>
      <c r="B4949" s="6" t="s">
        <v>153</v>
      </c>
      <c r="C4949" s="6" t="s">
        <v>403</v>
      </c>
      <c r="D4949" s="6" t="s">
        <v>154</v>
      </c>
      <c r="E4949" s="11">
        <v>10.208552360534668</v>
      </c>
      <c r="F4949" s="11">
        <v>7.8328266143798828</v>
      </c>
    </row>
    <row r="4950" spans="1:6" hidden="1" x14ac:dyDescent="0.3">
      <c r="A4950" s="6">
        <v>36</v>
      </c>
      <c r="B4950" s="6" t="s">
        <v>153</v>
      </c>
      <c r="C4950" s="6" t="s">
        <v>404</v>
      </c>
      <c r="D4950" s="6" t="s">
        <v>154</v>
      </c>
      <c r="E4950" s="11">
        <v>6.580042839050293</v>
      </c>
      <c r="F4950" s="11">
        <v>7.8328266143798828</v>
      </c>
    </row>
    <row r="4951" spans="1:6" hidden="1" x14ac:dyDescent="0.3">
      <c r="A4951" s="6">
        <v>36</v>
      </c>
      <c r="B4951" s="6" t="s">
        <v>153</v>
      </c>
      <c r="C4951" s="6" t="s">
        <v>405</v>
      </c>
      <c r="D4951" s="6" t="s">
        <v>154</v>
      </c>
      <c r="E4951" s="11">
        <v>9.0018091201782227</v>
      </c>
      <c r="F4951" s="11">
        <v>7.8328266143798828</v>
      </c>
    </row>
    <row r="4952" spans="1:6" hidden="1" x14ac:dyDescent="0.3">
      <c r="A4952" s="6">
        <v>36</v>
      </c>
      <c r="B4952" s="6" t="s">
        <v>153</v>
      </c>
      <c r="C4952" s="6" t="s">
        <v>406</v>
      </c>
      <c r="D4952" s="6" t="s">
        <v>154</v>
      </c>
      <c r="E4952" s="11">
        <v>7.7353401184082031</v>
      </c>
      <c r="F4952" s="11">
        <v>7.8328266143798828</v>
      </c>
    </row>
    <row r="4953" spans="1:6" hidden="1" x14ac:dyDescent="0.3">
      <c r="A4953" s="6">
        <v>36</v>
      </c>
      <c r="B4953" s="6" t="s">
        <v>153</v>
      </c>
      <c r="C4953" s="6" t="s">
        <v>407</v>
      </c>
      <c r="D4953" s="6" t="s">
        <v>154</v>
      </c>
      <c r="E4953" s="11">
        <v>5.171424388885498</v>
      </c>
      <c r="F4953" s="11">
        <v>7.8328266143798828</v>
      </c>
    </row>
    <row r="4954" spans="1:6" hidden="1" x14ac:dyDescent="0.3">
      <c r="A4954" s="6">
        <v>36</v>
      </c>
      <c r="B4954" s="6" t="s">
        <v>153</v>
      </c>
      <c r="C4954" s="6" t="s">
        <v>408</v>
      </c>
      <c r="D4954" s="6" t="s">
        <v>154</v>
      </c>
      <c r="E4954" s="11">
        <v>7.0998148918151855</v>
      </c>
      <c r="F4954" s="11">
        <v>7.8328266143798828</v>
      </c>
    </row>
    <row r="4955" spans="1:6" hidden="1" x14ac:dyDescent="0.3">
      <c r="A4955" s="6">
        <v>36</v>
      </c>
      <c r="B4955" s="6" t="s">
        <v>153</v>
      </c>
      <c r="C4955" s="6" t="s">
        <v>409</v>
      </c>
      <c r="D4955" s="6" t="s">
        <v>154</v>
      </c>
      <c r="E4955" s="11">
        <v>9.468440055847168</v>
      </c>
      <c r="F4955" s="11">
        <v>7.8328266143798828</v>
      </c>
    </row>
    <row r="4956" spans="1:6" hidden="1" x14ac:dyDescent="0.3">
      <c r="A4956" s="6">
        <v>36</v>
      </c>
      <c r="B4956" s="6" t="s">
        <v>153</v>
      </c>
      <c r="C4956" s="6" t="s">
        <v>410</v>
      </c>
      <c r="D4956" s="6" t="s">
        <v>154</v>
      </c>
      <c r="E4956" s="11">
        <v>6.3009519577026367</v>
      </c>
      <c r="F4956" s="11">
        <v>7.8328266143798828</v>
      </c>
    </row>
    <row r="4957" spans="1:6" hidden="1" x14ac:dyDescent="0.3">
      <c r="A4957" s="6">
        <v>36</v>
      </c>
      <c r="B4957" s="6" t="s">
        <v>153</v>
      </c>
      <c r="C4957" s="6" t="s">
        <v>411</v>
      </c>
      <c r="D4957" s="6" t="s">
        <v>154</v>
      </c>
      <c r="E4957" s="11">
        <v>6.1071014404296875</v>
      </c>
      <c r="F4957" s="11">
        <v>7.8328266143798828</v>
      </c>
    </row>
    <row r="4958" spans="1:6" hidden="1" x14ac:dyDescent="0.3">
      <c r="A4958" s="6">
        <v>36</v>
      </c>
      <c r="B4958" s="6" t="s">
        <v>153</v>
      </c>
      <c r="C4958" s="6" t="s">
        <v>412</v>
      </c>
      <c r="D4958" s="6" t="s">
        <v>154</v>
      </c>
      <c r="E4958" s="11">
        <v>11.110876083374023</v>
      </c>
      <c r="F4958" s="11">
        <v>7.8328266143798828</v>
      </c>
    </row>
    <row r="4959" spans="1:6" hidden="1" x14ac:dyDescent="0.3">
      <c r="A4959" s="6">
        <v>36</v>
      </c>
      <c r="B4959" s="6" t="s">
        <v>153</v>
      </c>
      <c r="C4959" s="6" t="s">
        <v>413</v>
      </c>
      <c r="D4959" s="6" t="s">
        <v>154</v>
      </c>
      <c r="E4959" s="11">
        <v>6.6483068466186523</v>
      </c>
      <c r="F4959" s="11">
        <v>7.8328266143798828</v>
      </c>
    </row>
    <row r="4960" spans="1:6" hidden="1" x14ac:dyDescent="0.3">
      <c r="A4960" s="6">
        <v>36</v>
      </c>
      <c r="B4960" s="6" t="s">
        <v>153</v>
      </c>
      <c r="C4960" s="6" t="s">
        <v>414</v>
      </c>
      <c r="D4960" s="6" t="s">
        <v>154</v>
      </c>
      <c r="E4960" s="11">
        <v>12.434269905090332</v>
      </c>
      <c r="F4960" s="11">
        <v>7.8328266143798828</v>
      </c>
    </row>
    <row r="4961" spans="1:6" hidden="1" x14ac:dyDescent="0.3">
      <c r="A4961" s="6">
        <v>36</v>
      </c>
      <c r="B4961" s="6" t="s">
        <v>153</v>
      </c>
      <c r="C4961" s="6" t="s">
        <v>415</v>
      </c>
      <c r="D4961" s="6" t="s">
        <v>154</v>
      </c>
      <c r="E4961" s="11">
        <v>5.4481849670410156</v>
      </c>
      <c r="F4961" s="11">
        <v>7.8328266143798828</v>
      </c>
    </row>
    <row r="4962" spans="1:6" hidden="1" x14ac:dyDescent="0.3">
      <c r="A4962" s="6">
        <v>36</v>
      </c>
      <c r="B4962" s="6" t="s">
        <v>153</v>
      </c>
      <c r="C4962" s="6" t="s">
        <v>416</v>
      </c>
      <c r="D4962" s="6" t="s">
        <v>154</v>
      </c>
      <c r="E4962" s="11">
        <v>53.684455871582031</v>
      </c>
      <c r="F4962" s="11">
        <v>7.8328266143798828</v>
      </c>
    </row>
    <row r="4963" spans="1:6" hidden="1" x14ac:dyDescent="0.3">
      <c r="A4963" s="6">
        <v>36</v>
      </c>
      <c r="B4963" s="6" t="s">
        <v>153</v>
      </c>
      <c r="C4963" s="6" t="s">
        <v>417</v>
      </c>
      <c r="D4963" s="6" t="s">
        <v>154</v>
      </c>
      <c r="E4963" s="11">
        <v>11.090215682983398</v>
      </c>
      <c r="F4963" s="11">
        <v>7.8328266143798828</v>
      </c>
    </row>
    <row r="4964" spans="1:6" hidden="1" x14ac:dyDescent="0.3">
      <c r="A4964" s="6">
        <v>36</v>
      </c>
      <c r="B4964" s="6" t="s">
        <v>153</v>
      </c>
      <c r="C4964" s="6" t="s">
        <v>418</v>
      </c>
      <c r="D4964" s="6" t="s">
        <v>154</v>
      </c>
      <c r="E4964" s="11">
        <v>3.0649960041046143</v>
      </c>
      <c r="F4964" s="11">
        <v>7.8328266143798828</v>
      </c>
    </row>
    <row r="4965" spans="1:6" hidden="1" x14ac:dyDescent="0.3">
      <c r="A4965" s="6">
        <v>36</v>
      </c>
      <c r="B4965" s="6" t="s">
        <v>153</v>
      </c>
      <c r="C4965" s="6" t="s">
        <v>419</v>
      </c>
      <c r="D4965" s="6" t="s">
        <v>154</v>
      </c>
      <c r="E4965" s="11">
        <v>5.0195088386535645</v>
      </c>
      <c r="F4965" s="11">
        <v>7.8328266143798828</v>
      </c>
    </row>
    <row r="4966" spans="1:6" hidden="1" x14ac:dyDescent="0.3">
      <c r="A4966" s="6">
        <v>36</v>
      </c>
      <c r="B4966" s="6" t="s">
        <v>153</v>
      </c>
      <c r="C4966" s="6" t="s">
        <v>420</v>
      </c>
      <c r="D4966" s="6" t="s">
        <v>154</v>
      </c>
      <c r="E4966" s="11">
        <v>38.536666870117188</v>
      </c>
      <c r="F4966" s="11">
        <v>7.8328266143798828</v>
      </c>
    </row>
    <row r="4967" spans="1:6" hidden="1" x14ac:dyDescent="0.3">
      <c r="A4967" s="6">
        <v>36</v>
      </c>
      <c r="B4967" s="6" t="s">
        <v>153</v>
      </c>
      <c r="C4967" s="6" t="s">
        <v>421</v>
      </c>
      <c r="D4967" s="6" t="s">
        <v>154</v>
      </c>
      <c r="E4967" s="11">
        <v>14.203643798828125</v>
      </c>
      <c r="F4967" s="11">
        <v>7.8328266143798828</v>
      </c>
    </row>
    <row r="4968" spans="1:6" hidden="1" x14ac:dyDescent="0.3">
      <c r="A4968" s="6">
        <v>36</v>
      </c>
      <c r="B4968" s="6" t="s">
        <v>153</v>
      </c>
      <c r="C4968" s="6" t="s">
        <v>422</v>
      </c>
      <c r="D4968" s="6" t="s">
        <v>154</v>
      </c>
      <c r="E4968" s="11">
        <v>8.6328353881835938</v>
      </c>
      <c r="F4968" s="11">
        <v>7.8328266143798828</v>
      </c>
    </row>
    <row r="4969" spans="1:6" hidden="1" x14ac:dyDescent="0.3">
      <c r="A4969" s="6">
        <v>36</v>
      </c>
      <c r="B4969" s="6" t="s">
        <v>153</v>
      </c>
      <c r="C4969" s="6" t="s">
        <v>423</v>
      </c>
      <c r="D4969" s="6" t="s">
        <v>154</v>
      </c>
      <c r="E4969" s="11">
        <v>9.3093576431274414</v>
      </c>
      <c r="F4969" s="11">
        <v>7.8328266143798828</v>
      </c>
    </row>
    <row r="4970" spans="1:6" hidden="1" x14ac:dyDescent="0.3">
      <c r="A4970" s="6">
        <v>36</v>
      </c>
      <c r="B4970" s="6" t="s">
        <v>153</v>
      </c>
      <c r="C4970" s="6" t="s">
        <v>424</v>
      </c>
      <c r="D4970" s="6" t="s">
        <v>154</v>
      </c>
      <c r="E4970" s="11">
        <v>13.081859588623047</v>
      </c>
      <c r="F4970" s="11">
        <v>7.8328266143798828</v>
      </c>
    </row>
    <row r="4971" spans="1:6" hidden="1" x14ac:dyDescent="0.3">
      <c r="A4971" s="6">
        <v>36</v>
      </c>
      <c r="B4971" s="6" t="s">
        <v>153</v>
      </c>
      <c r="C4971" s="6" t="s">
        <v>425</v>
      </c>
      <c r="D4971" s="6" t="s">
        <v>154</v>
      </c>
      <c r="E4971" s="11">
        <v>831.17999267578125</v>
      </c>
      <c r="F4971" s="11">
        <v>7.8328266143798828</v>
      </c>
    </row>
    <row r="4972" spans="1:6" hidden="1" x14ac:dyDescent="0.3">
      <c r="A4972" s="6">
        <v>36</v>
      </c>
      <c r="B4972" s="6" t="s">
        <v>153</v>
      </c>
      <c r="C4972" s="6" t="s">
        <v>426</v>
      </c>
      <c r="D4972" s="6" t="s">
        <v>154</v>
      </c>
      <c r="E4972" s="11">
        <v>5.1482095718383789</v>
      </c>
      <c r="F4972" s="11">
        <v>7.8328266143798828</v>
      </c>
    </row>
    <row r="4973" spans="1:6" hidden="1" x14ac:dyDescent="0.3">
      <c r="A4973" s="6">
        <v>36</v>
      </c>
      <c r="B4973" s="6" t="s">
        <v>153</v>
      </c>
      <c r="C4973" s="6" t="s">
        <v>427</v>
      </c>
      <c r="D4973" s="6" t="s">
        <v>154</v>
      </c>
      <c r="E4973" s="11">
        <v>9.7418375015258789</v>
      </c>
      <c r="F4973" s="11">
        <v>7.8328266143798828</v>
      </c>
    </row>
    <row r="4974" spans="1:6" hidden="1" x14ac:dyDescent="0.3">
      <c r="A4974" s="6">
        <v>36</v>
      </c>
      <c r="B4974" s="6" t="s">
        <v>153</v>
      </c>
      <c r="C4974" s="6" t="s">
        <v>428</v>
      </c>
      <c r="D4974" s="6" t="s">
        <v>154</v>
      </c>
      <c r="E4974" s="11">
        <v>7.2495636940002441</v>
      </c>
      <c r="F4974" s="11">
        <v>7.8328266143798828</v>
      </c>
    </row>
    <row r="4975" spans="1:6" hidden="1" x14ac:dyDescent="0.3">
      <c r="A4975" s="6">
        <v>36</v>
      </c>
      <c r="B4975" s="6" t="s">
        <v>153</v>
      </c>
      <c r="C4975" s="6" t="s">
        <v>429</v>
      </c>
      <c r="D4975" s="6" t="s">
        <v>154</v>
      </c>
      <c r="E4975" s="11">
        <v>5.8520083427429199</v>
      </c>
      <c r="F4975" s="11">
        <v>7.8328266143798828</v>
      </c>
    </row>
    <row r="4976" spans="1:6" hidden="1" x14ac:dyDescent="0.3">
      <c r="A4976" s="6">
        <v>36</v>
      </c>
      <c r="B4976" s="6" t="s">
        <v>153</v>
      </c>
      <c r="C4976" s="6" t="s">
        <v>430</v>
      </c>
      <c r="D4976" s="6" t="s">
        <v>154</v>
      </c>
      <c r="E4976" s="11">
        <v>11.413565635681152</v>
      </c>
      <c r="F4976" s="11">
        <v>7.8328266143798828</v>
      </c>
    </row>
    <row r="4977" spans="1:6" hidden="1" x14ac:dyDescent="0.3">
      <c r="A4977" s="6">
        <v>36</v>
      </c>
      <c r="B4977" s="6" t="s">
        <v>153</v>
      </c>
      <c r="C4977" s="6" t="s">
        <v>431</v>
      </c>
      <c r="D4977" s="6" t="s">
        <v>154</v>
      </c>
      <c r="E4977" s="11">
        <v>10.414965629577637</v>
      </c>
      <c r="F4977" s="11">
        <v>7.8328266143798828</v>
      </c>
    </row>
    <row r="4978" spans="1:6" hidden="1" x14ac:dyDescent="0.3">
      <c r="A4978" s="6">
        <v>36</v>
      </c>
      <c r="B4978" s="6" t="s">
        <v>153</v>
      </c>
      <c r="C4978" s="6" t="s">
        <v>432</v>
      </c>
      <c r="D4978" s="6" t="s">
        <v>154</v>
      </c>
      <c r="E4978" s="11">
        <v>8.0805025100708008</v>
      </c>
      <c r="F4978" s="11">
        <v>7.8328266143798828</v>
      </c>
    </row>
    <row r="4979" spans="1:6" hidden="1" x14ac:dyDescent="0.3">
      <c r="A4979" s="6">
        <v>36</v>
      </c>
      <c r="B4979" s="6" t="s">
        <v>153</v>
      </c>
      <c r="C4979" s="6" t="s">
        <v>433</v>
      </c>
      <c r="D4979" s="6" t="s">
        <v>154</v>
      </c>
      <c r="E4979" s="11">
        <v>6.3915410041809082</v>
      </c>
      <c r="F4979" s="11">
        <v>7.8328266143798828</v>
      </c>
    </row>
    <row r="4980" spans="1:6" hidden="1" x14ac:dyDescent="0.3">
      <c r="A4980" s="6">
        <v>36</v>
      </c>
      <c r="B4980" s="6" t="s">
        <v>153</v>
      </c>
      <c r="C4980" s="6" t="s">
        <v>434</v>
      </c>
      <c r="D4980" s="6" t="s">
        <v>154</v>
      </c>
      <c r="E4980" s="11">
        <v>3.9793133735656738</v>
      </c>
      <c r="F4980" s="11">
        <v>7.8328266143798828</v>
      </c>
    </row>
    <row r="4981" spans="1:6" hidden="1" x14ac:dyDescent="0.3">
      <c r="A4981" s="6">
        <v>36</v>
      </c>
      <c r="B4981" s="6" t="s">
        <v>153</v>
      </c>
      <c r="C4981" s="6" t="s">
        <v>435</v>
      </c>
      <c r="D4981" s="6" t="s">
        <v>154</v>
      </c>
      <c r="E4981" s="11">
        <v>14.704100608825684</v>
      </c>
      <c r="F4981" s="11">
        <v>7.8328266143798828</v>
      </c>
    </row>
    <row r="4982" spans="1:6" hidden="1" x14ac:dyDescent="0.3">
      <c r="A4982" s="6">
        <v>36</v>
      </c>
      <c r="B4982" s="6" t="s">
        <v>153</v>
      </c>
      <c r="C4982" s="6" t="s">
        <v>436</v>
      </c>
      <c r="D4982" s="6" t="s">
        <v>154</v>
      </c>
      <c r="E4982" s="11">
        <v>7.6356630325317383</v>
      </c>
      <c r="F4982" s="11">
        <v>7.8328266143798828</v>
      </c>
    </row>
    <row r="4983" spans="1:6" hidden="1" x14ac:dyDescent="0.3">
      <c r="A4983" s="6">
        <v>36</v>
      </c>
      <c r="B4983" s="6" t="s">
        <v>153</v>
      </c>
      <c r="C4983" s="6" t="s">
        <v>437</v>
      </c>
      <c r="D4983" s="6" t="s">
        <v>154</v>
      </c>
      <c r="E4983" s="11">
        <v>17.272632598876953</v>
      </c>
      <c r="F4983" s="11">
        <v>7.8328266143798828</v>
      </c>
    </row>
    <row r="4984" spans="1:6" hidden="1" x14ac:dyDescent="0.3">
      <c r="A4984" s="6">
        <v>36</v>
      </c>
      <c r="B4984" s="6" t="s">
        <v>153</v>
      </c>
      <c r="C4984" s="6" t="s">
        <v>438</v>
      </c>
      <c r="D4984" s="6" t="s">
        <v>154</v>
      </c>
      <c r="E4984" s="11">
        <v>4.4381246566772461</v>
      </c>
      <c r="F4984" s="11">
        <v>7.8328266143798828</v>
      </c>
    </row>
    <row r="4985" spans="1:6" hidden="1" x14ac:dyDescent="0.3">
      <c r="A4985" s="6">
        <v>36</v>
      </c>
      <c r="B4985" s="6" t="s">
        <v>153</v>
      </c>
      <c r="C4985" s="6" t="s">
        <v>439</v>
      </c>
      <c r="D4985" s="6" t="s">
        <v>154</v>
      </c>
      <c r="E4985" s="11">
        <v>7.9863748550415039</v>
      </c>
      <c r="F4985" s="11">
        <v>7.8328266143798828</v>
      </c>
    </row>
    <row r="4986" spans="1:6" hidden="1" x14ac:dyDescent="0.3">
      <c r="A4986" s="6">
        <v>36</v>
      </c>
      <c r="B4986" s="6" t="s">
        <v>153</v>
      </c>
      <c r="C4986" s="6" t="s">
        <v>440</v>
      </c>
      <c r="D4986" s="6" t="s">
        <v>154</v>
      </c>
      <c r="E4986" s="11">
        <v>3.1393787860870361</v>
      </c>
      <c r="F4986" s="11">
        <v>7.8328266143798828</v>
      </c>
    </row>
    <row r="4987" spans="1:6" hidden="1" x14ac:dyDescent="0.3">
      <c r="A4987" s="6">
        <v>36</v>
      </c>
      <c r="B4987" s="6" t="s">
        <v>153</v>
      </c>
      <c r="C4987" s="6" t="s">
        <v>441</v>
      </c>
      <c r="D4987" s="6" t="s">
        <v>154</v>
      </c>
      <c r="E4987" s="11">
        <v>19.612270355224609</v>
      </c>
      <c r="F4987" s="11">
        <v>7.8328266143798828</v>
      </c>
    </row>
    <row r="4988" spans="1:6" hidden="1" x14ac:dyDescent="0.3">
      <c r="A4988" s="6">
        <v>36</v>
      </c>
      <c r="B4988" s="6" t="s">
        <v>153</v>
      </c>
      <c r="C4988" s="6" t="s">
        <v>442</v>
      </c>
      <c r="D4988" s="6" t="s">
        <v>154</v>
      </c>
      <c r="E4988" s="11">
        <v>9.9663324356079102</v>
      </c>
      <c r="F4988" s="11">
        <v>7.8328266143798828</v>
      </c>
    </row>
    <row r="4989" spans="1:6" hidden="1" x14ac:dyDescent="0.3">
      <c r="A4989" s="6">
        <v>36</v>
      </c>
      <c r="B4989" s="6" t="s">
        <v>153</v>
      </c>
      <c r="C4989" s="6" t="s">
        <v>443</v>
      </c>
      <c r="D4989" s="6" t="s">
        <v>154</v>
      </c>
      <c r="E4989" s="11">
        <v>4.7022209167480469</v>
      </c>
      <c r="F4989" s="11">
        <v>7.8328266143798828</v>
      </c>
    </row>
    <row r="4990" spans="1:6" hidden="1" x14ac:dyDescent="0.3">
      <c r="A4990" s="6">
        <v>36</v>
      </c>
      <c r="B4990" s="6" t="s">
        <v>153</v>
      </c>
      <c r="C4990" s="6" t="s">
        <v>444</v>
      </c>
      <c r="D4990" s="6" t="s">
        <v>154</v>
      </c>
      <c r="E4990" s="11">
        <v>6.5268669128417969</v>
      </c>
      <c r="F4990" s="11">
        <v>7.8328266143798828</v>
      </c>
    </row>
    <row r="4991" spans="1:6" hidden="1" x14ac:dyDescent="0.3">
      <c r="A4991" s="6">
        <v>36</v>
      </c>
      <c r="B4991" s="6" t="s">
        <v>153</v>
      </c>
      <c r="C4991" s="6" t="s">
        <v>445</v>
      </c>
      <c r="D4991" s="6" t="s">
        <v>154</v>
      </c>
      <c r="E4991" s="11">
        <v>6.127692699432373</v>
      </c>
      <c r="F4991" s="11">
        <v>7.8328266143798828</v>
      </c>
    </row>
    <row r="4992" spans="1:6" hidden="1" x14ac:dyDescent="0.3">
      <c r="A4992" s="6">
        <v>36</v>
      </c>
      <c r="B4992" s="6" t="s">
        <v>153</v>
      </c>
      <c r="C4992" s="6" t="s">
        <v>446</v>
      </c>
      <c r="D4992" s="6" t="s">
        <v>154</v>
      </c>
      <c r="E4992" s="11">
        <v>8.7179250717163086</v>
      </c>
      <c r="F4992" s="11">
        <v>7.8328266143798828</v>
      </c>
    </row>
    <row r="4993" spans="1:6" hidden="1" x14ac:dyDescent="0.3">
      <c r="A4993" s="6">
        <v>36</v>
      </c>
      <c r="B4993" s="6" t="s">
        <v>153</v>
      </c>
      <c r="C4993" s="6" t="s">
        <v>447</v>
      </c>
      <c r="D4993" s="6" t="s">
        <v>154</v>
      </c>
      <c r="E4993" s="11">
        <v>5.8831081390380859</v>
      </c>
      <c r="F4993" s="11">
        <v>7.8328266143798828</v>
      </c>
    </row>
    <row r="4994" spans="1:6" hidden="1" x14ac:dyDescent="0.3">
      <c r="A4994" s="6">
        <v>36</v>
      </c>
      <c r="B4994" s="6" t="s">
        <v>153</v>
      </c>
      <c r="C4994" s="6" t="s">
        <v>448</v>
      </c>
      <c r="D4994" s="6" t="s">
        <v>154</v>
      </c>
      <c r="E4994" s="11">
        <v>4.9971528053283691</v>
      </c>
      <c r="F4994" s="11">
        <v>7.8328266143798828</v>
      </c>
    </row>
    <row r="4995" spans="1:6" hidden="1" x14ac:dyDescent="0.3">
      <c r="A4995" s="6">
        <v>36</v>
      </c>
      <c r="B4995" s="6" t="s">
        <v>153</v>
      </c>
      <c r="C4995" s="6" t="s">
        <v>449</v>
      </c>
      <c r="D4995" s="6" t="s">
        <v>154</v>
      </c>
      <c r="E4995" s="11">
        <v>3.0051653385162354</v>
      </c>
      <c r="F4995" s="11">
        <v>7.8328266143798828</v>
      </c>
    </row>
    <row r="4996" spans="1:6" hidden="1" x14ac:dyDescent="0.3">
      <c r="A4996" s="6">
        <v>36</v>
      </c>
      <c r="B4996" s="6" t="s">
        <v>153</v>
      </c>
      <c r="C4996" s="6" t="s">
        <v>450</v>
      </c>
      <c r="D4996" s="6" t="s">
        <v>154</v>
      </c>
      <c r="E4996" s="11">
        <v>7.9678773880004883</v>
      </c>
      <c r="F4996" s="11">
        <v>7.8328266143798828</v>
      </c>
    </row>
    <row r="4997" spans="1:6" hidden="1" x14ac:dyDescent="0.3">
      <c r="A4997" s="6">
        <v>36</v>
      </c>
      <c r="B4997" s="6" t="s">
        <v>153</v>
      </c>
      <c r="C4997" s="6" t="s">
        <v>451</v>
      </c>
      <c r="D4997" s="6" t="s">
        <v>154</v>
      </c>
      <c r="E4997" s="11">
        <v>5.7286839485168457</v>
      </c>
      <c r="F4997" s="11">
        <v>7.8328266143798828</v>
      </c>
    </row>
    <row r="4998" spans="1:6" hidden="1" x14ac:dyDescent="0.3">
      <c r="A4998" s="6">
        <v>36</v>
      </c>
      <c r="B4998" s="6" t="s">
        <v>153</v>
      </c>
      <c r="C4998" s="6" t="s">
        <v>452</v>
      </c>
      <c r="D4998" s="6" t="s">
        <v>154</v>
      </c>
      <c r="E4998" s="11">
        <v>40.889999389648438</v>
      </c>
      <c r="F4998" s="11">
        <v>7.8328266143798828</v>
      </c>
    </row>
    <row r="4999" spans="1:6" hidden="1" x14ac:dyDescent="0.3">
      <c r="A4999" s="6">
        <v>36</v>
      </c>
      <c r="B4999" s="6" t="s">
        <v>153</v>
      </c>
      <c r="C4999" s="6" t="s">
        <v>453</v>
      </c>
      <c r="D4999" s="6" t="s">
        <v>154</v>
      </c>
      <c r="E4999" s="11">
        <v>3.3970873355865479</v>
      </c>
      <c r="F4999" s="11">
        <v>7.8328266143798828</v>
      </c>
    </row>
    <row r="5000" spans="1:6" hidden="1" x14ac:dyDescent="0.3">
      <c r="A5000" s="6">
        <v>36</v>
      </c>
      <c r="B5000" s="6" t="s">
        <v>153</v>
      </c>
      <c r="C5000" s="6" t="s">
        <v>454</v>
      </c>
      <c r="D5000" s="6" t="s">
        <v>154</v>
      </c>
      <c r="E5000" s="11">
        <v>5.3478317260742188</v>
      </c>
      <c r="F5000" s="11">
        <v>7.8328266143798828</v>
      </c>
    </row>
    <row r="5001" spans="1:6" hidden="1" x14ac:dyDescent="0.3">
      <c r="A5001" s="6">
        <v>36</v>
      </c>
      <c r="B5001" s="6" t="s">
        <v>153</v>
      </c>
      <c r="C5001" s="6" t="s">
        <v>455</v>
      </c>
      <c r="D5001" s="6" t="s">
        <v>154</v>
      </c>
      <c r="E5001" s="11">
        <v>7.3683366775512695</v>
      </c>
      <c r="F5001" s="11">
        <v>7.8328266143798828</v>
      </c>
    </row>
    <row r="5002" spans="1:6" hidden="1" x14ac:dyDescent="0.3">
      <c r="A5002" s="6">
        <v>36</v>
      </c>
      <c r="B5002" s="6" t="s">
        <v>153</v>
      </c>
      <c r="C5002" s="6" t="s">
        <v>456</v>
      </c>
      <c r="D5002" s="6" t="s">
        <v>154</v>
      </c>
      <c r="E5002" s="11">
        <v>5.7552523612976074</v>
      </c>
      <c r="F5002" s="11">
        <v>7.8328266143798828</v>
      </c>
    </row>
    <row r="5003" spans="1:6" hidden="1" x14ac:dyDescent="0.3">
      <c r="A5003" s="6">
        <v>36</v>
      </c>
      <c r="B5003" s="6" t="s">
        <v>153</v>
      </c>
      <c r="C5003" s="6" t="s">
        <v>457</v>
      </c>
      <c r="D5003" s="6" t="s">
        <v>154</v>
      </c>
      <c r="E5003" s="11">
        <v>8.937281608581543</v>
      </c>
      <c r="F5003" s="11">
        <v>7.8328266143798828</v>
      </c>
    </row>
    <row r="5004" spans="1:6" hidden="1" x14ac:dyDescent="0.3">
      <c r="A5004" s="6">
        <v>36</v>
      </c>
      <c r="B5004" s="6" t="s">
        <v>153</v>
      </c>
      <c r="C5004" s="6" t="s">
        <v>458</v>
      </c>
      <c r="D5004" s="6" t="s">
        <v>154</v>
      </c>
      <c r="E5004" s="11">
        <v>8.5399465560913086</v>
      </c>
      <c r="F5004" s="11">
        <v>7.8328266143798828</v>
      </c>
    </row>
    <row r="5005" spans="1:6" hidden="1" x14ac:dyDescent="0.3">
      <c r="A5005" s="6">
        <v>36</v>
      </c>
      <c r="B5005" s="6" t="s">
        <v>153</v>
      </c>
      <c r="C5005" s="6" t="s">
        <v>459</v>
      </c>
      <c r="D5005" s="6" t="s">
        <v>154</v>
      </c>
      <c r="E5005" s="11">
        <v>7.9493527412414551</v>
      </c>
      <c r="F5005" s="11">
        <v>7.8328266143798828</v>
      </c>
    </row>
    <row r="5006" spans="1:6" hidden="1" x14ac:dyDescent="0.3">
      <c r="A5006" s="6">
        <v>36</v>
      </c>
      <c r="B5006" s="6" t="s">
        <v>153</v>
      </c>
      <c r="C5006" s="6" t="s">
        <v>460</v>
      </c>
      <c r="D5006" s="6" t="s">
        <v>154</v>
      </c>
      <c r="E5006" s="11">
        <v>9.8035488128662109</v>
      </c>
      <c r="F5006" s="11">
        <v>7.8328266143798828</v>
      </c>
    </row>
    <row r="5007" spans="1:6" hidden="1" x14ac:dyDescent="0.3">
      <c r="A5007" s="6">
        <v>36</v>
      </c>
      <c r="B5007" s="6" t="s">
        <v>153</v>
      </c>
      <c r="C5007" s="6" t="s">
        <v>461</v>
      </c>
      <c r="D5007" s="6" t="s">
        <v>154</v>
      </c>
      <c r="E5007" s="11">
        <v>6.7541780471801758</v>
      </c>
      <c r="F5007" s="11">
        <v>7.8328266143798828</v>
      </c>
    </row>
    <row r="5008" spans="1:6" hidden="1" x14ac:dyDescent="0.3">
      <c r="A5008" s="6">
        <v>36</v>
      </c>
      <c r="B5008" s="6" t="s">
        <v>153</v>
      </c>
      <c r="C5008" s="6" t="s">
        <v>462</v>
      </c>
      <c r="D5008" s="6" t="s">
        <v>154</v>
      </c>
      <c r="E5008" s="11">
        <v>6.8695492744445801</v>
      </c>
      <c r="F5008" s="11">
        <v>7.8328266143798828</v>
      </c>
    </row>
    <row r="5009" spans="1:6" hidden="1" x14ac:dyDescent="0.3">
      <c r="A5009" s="6">
        <v>36</v>
      </c>
      <c r="B5009" s="6" t="s">
        <v>153</v>
      </c>
      <c r="C5009" s="6" t="s">
        <v>463</v>
      </c>
      <c r="D5009" s="6" t="s">
        <v>154</v>
      </c>
      <c r="E5009" s="11">
        <v>7.4875755310058594</v>
      </c>
      <c r="F5009" s="11">
        <v>7.8328266143798828</v>
      </c>
    </row>
    <row r="5010" spans="1:6" hidden="1" x14ac:dyDescent="0.3">
      <c r="A5010" s="6">
        <v>36</v>
      </c>
      <c r="B5010" s="6" t="s">
        <v>153</v>
      </c>
      <c r="C5010" s="6" t="s">
        <v>464</v>
      </c>
      <c r="D5010" s="6" t="s">
        <v>154</v>
      </c>
      <c r="E5010" s="11">
        <v>7.7206606864929199</v>
      </c>
      <c r="F5010" s="11">
        <v>7.8328266143798828</v>
      </c>
    </row>
    <row r="5011" spans="1:6" hidden="1" x14ac:dyDescent="0.3">
      <c r="A5011" s="6">
        <v>36</v>
      </c>
      <c r="B5011" s="6" t="s">
        <v>153</v>
      </c>
      <c r="C5011" s="6" t="s">
        <v>465</v>
      </c>
      <c r="D5011" s="6" t="s">
        <v>154</v>
      </c>
      <c r="E5011" s="11">
        <v>10.082170486450195</v>
      </c>
      <c r="F5011" s="11">
        <v>7.8328266143798828</v>
      </c>
    </row>
    <row r="5012" spans="1:6" hidden="1" x14ac:dyDescent="0.3">
      <c r="A5012" s="6">
        <v>36</v>
      </c>
      <c r="B5012" s="6" t="s">
        <v>153</v>
      </c>
      <c r="C5012" s="6" t="s">
        <v>466</v>
      </c>
      <c r="D5012" s="6" t="s">
        <v>154</v>
      </c>
      <c r="E5012" s="11">
        <v>4.5751585960388184</v>
      </c>
      <c r="F5012" s="11">
        <v>7.8328266143798828</v>
      </c>
    </row>
    <row r="5013" spans="1:6" hidden="1" x14ac:dyDescent="0.3">
      <c r="A5013" s="6">
        <v>36</v>
      </c>
      <c r="B5013" s="6" t="s">
        <v>153</v>
      </c>
      <c r="C5013" s="6" t="s">
        <v>467</v>
      </c>
      <c r="D5013" s="6" t="s">
        <v>154</v>
      </c>
      <c r="E5013" s="11">
        <v>8.9389333724975586</v>
      </c>
      <c r="F5013" s="11">
        <v>7.8328266143798828</v>
      </c>
    </row>
    <row r="5014" spans="1:6" hidden="1" x14ac:dyDescent="0.3">
      <c r="A5014" s="6">
        <v>36</v>
      </c>
      <c r="B5014" s="6" t="s">
        <v>153</v>
      </c>
      <c r="C5014" s="6" t="s">
        <v>468</v>
      </c>
      <c r="D5014" s="6" t="s">
        <v>154</v>
      </c>
      <c r="E5014" s="11">
        <v>19.842857360839844</v>
      </c>
      <c r="F5014" s="11">
        <v>7.8328266143798828</v>
      </c>
    </row>
    <row r="5015" spans="1:6" hidden="1" x14ac:dyDescent="0.3">
      <c r="A5015" s="6">
        <v>36</v>
      </c>
      <c r="B5015" s="6" t="s">
        <v>153</v>
      </c>
      <c r="C5015" s="6" t="s">
        <v>469</v>
      </c>
      <c r="D5015" s="6" t="s">
        <v>154</v>
      </c>
      <c r="E5015" s="11">
        <v>8.1641607284545898</v>
      </c>
      <c r="F5015" s="11">
        <v>7.8328266143798828</v>
      </c>
    </row>
    <row r="5016" spans="1:6" hidden="1" x14ac:dyDescent="0.3">
      <c r="A5016" s="6">
        <v>36</v>
      </c>
      <c r="B5016" s="6" t="s">
        <v>153</v>
      </c>
      <c r="C5016" s="6" t="s">
        <v>470</v>
      </c>
      <c r="D5016" s="6" t="s">
        <v>154</v>
      </c>
      <c r="E5016" s="11">
        <v>8.1860837936401367</v>
      </c>
      <c r="F5016" s="11">
        <v>7.8328266143798828</v>
      </c>
    </row>
    <row r="5017" spans="1:6" hidden="1" x14ac:dyDescent="0.3">
      <c r="A5017" s="6">
        <v>36</v>
      </c>
      <c r="B5017" s="6" t="s">
        <v>153</v>
      </c>
      <c r="C5017" s="6" t="s">
        <v>471</v>
      </c>
      <c r="D5017" s="6" t="s">
        <v>154</v>
      </c>
      <c r="E5017" s="11">
        <v>8.6006460189819336</v>
      </c>
      <c r="F5017" s="11">
        <v>7.8328266143798828</v>
      </c>
    </row>
    <row r="5018" spans="1:6" hidden="1" x14ac:dyDescent="0.3">
      <c r="A5018" s="6">
        <v>36</v>
      </c>
      <c r="B5018" s="6" t="s">
        <v>153</v>
      </c>
      <c r="C5018" s="6" t="s">
        <v>472</v>
      </c>
      <c r="D5018" s="6" t="s">
        <v>154</v>
      </c>
      <c r="E5018" s="11">
        <v>13.836606025695801</v>
      </c>
      <c r="F5018" s="11">
        <v>7.8328266143798828</v>
      </c>
    </row>
    <row r="5019" spans="1:6" hidden="1" x14ac:dyDescent="0.3">
      <c r="A5019" s="6">
        <v>36</v>
      </c>
      <c r="B5019" s="6" t="s">
        <v>153</v>
      </c>
      <c r="C5019" s="6" t="s">
        <v>473</v>
      </c>
      <c r="D5019" s="6" t="s">
        <v>154</v>
      </c>
      <c r="E5019" s="11">
        <v>6.094688892364502</v>
      </c>
      <c r="F5019" s="11">
        <v>7.8328266143798828</v>
      </c>
    </row>
    <row r="5020" spans="1:6" hidden="1" x14ac:dyDescent="0.3">
      <c r="A5020" s="6">
        <v>36</v>
      </c>
      <c r="B5020" s="6" t="s">
        <v>153</v>
      </c>
      <c r="C5020" s="6" t="s">
        <v>474</v>
      </c>
      <c r="D5020" s="6" t="s">
        <v>154</v>
      </c>
      <c r="E5020" s="11">
        <v>19.576015472412109</v>
      </c>
      <c r="F5020" s="11">
        <v>7.8328266143798828</v>
      </c>
    </row>
    <row r="5021" spans="1:6" hidden="1" x14ac:dyDescent="0.3">
      <c r="A5021" s="6">
        <v>36</v>
      </c>
      <c r="B5021" s="6" t="s">
        <v>153</v>
      </c>
      <c r="C5021" s="6" t="s">
        <v>475</v>
      </c>
      <c r="D5021" s="6" t="s">
        <v>154</v>
      </c>
      <c r="E5021" s="11">
        <v>5.7117314338684082</v>
      </c>
      <c r="F5021" s="11">
        <v>7.8328266143798828</v>
      </c>
    </row>
    <row r="5022" spans="1:6" hidden="1" x14ac:dyDescent="0.3">
      <c r="A5022" s="6">
        <v>36</v>
      </c>
      <c r="B5022" s="6" t="s">
        <v>153</v>
      </c>
      <c r="C5022" s="6" t="s">
        <v>476</v>
      </c>
      <c r="D5022" s="6" t="s">
        <v>154</v>
      </c>
      <c r="E5022" s="11">
        <v>5.0589570999145508</v>
      </c>
      <c r="F5022" s="11">
        <v>7.8328266143798828</v>
      </c>
    </row>
    <row r="5023" spans="1:6" hidden="1" x14ac:dyDescent="0.3">
      <c r="A5023" s="6">
        <v>36</v>
      </c>
      <c r="B5023" s="6" t="s">
        <v>153</v>
      </c>
      <c r="C5023" s="6" t="s">
        <v>477</v>
      </c>
      <c r="D5023" s="6" t="s">
        <v>154</v>
      </c>
      <c r="E5023" s="11">
        <v>9.4352817535400391</v>
      </c>
      <c r="F5023" s="11">
        <v>7.8328266143798828</v>
      </c>
    </row>
    <row r="5024" spans="1:6" hidden="1" x14ac:dyDescent="0.3">
      <c r="A5024" s="6">
        <v>36</v>
      </c>
      <c r="B5024" s="6" t="s">
        <v>153</v>
      </c>
      <c r="C5024" s="6" t="s">
        <v>478</v>
      </c>
      <c r="D5024" s="6" t="s">
        <v>154</v>
      </c>
      <c r="E5024" s="11">
        <v>8.5258369445800781</v>
      </c>
      <c r="F5024" s="11">
        <v>7.8328266143798828</v>
      </c>
    </row>
    <row r="5025" spans="1:6" hidden="1" x14ac:dyDescent="0.3">
      <c r="A5025" s="6">
        <v>36</v>
      </c>
      <c r="B5025" s="6" t="s">
        <v>153</v>
      </c>
      <c r="C5025" s="6" t="s">
        <v>479</v>
      </c>
      <c r="D5025" s="6" t="s">
        <v>154</v>
      </c>
      <c r="E5025" s="11">
        <v>20.247583389282227</v>
      </c>
      <c r="F5025" s="11">
        <v>7.8328266143798828</v>
      </c>
    </row>
    <row r="5026" spans="1:6" hidden="1" x14ac:dyDescent="0.3">
      <c r="A5026" s="6">
        <v>36</v>
      </c>
      <c r="B5026" s="6" t="s">
        <v>153</v>
      </c>
      <c r="C5026" s="6" t="s">
        <v>480</v>
      </c>
      <c r="D5026" s="6" t="s">
        <v>154</v>
      </c>
      <c r="E5026" s="11">
        <v>98.144691467285156</v>
      </c>
      <c r="F5026" s="11">
        <v>7.8328266143798828</v>
      </c>
    </row>
    <row r="5027" spans="1:6" hidden="1" x14ac:dyDescent="0.3">
      <c r="A5027" s="6">
        <v>36</v>
      </c>
      <c r="B5027" s="6" t="s">
        <v>153</v>
      </c>
      <c r="C5027" s="6" t="s">
        <v>481</v>
      </c>
      <c r="D5027" s="6" t="s">
        <v>154</v>
      </c>
      <c r="E5027" s="11">
        <v>17.186084747314453</v>
      </c>
      <c r="F5027" s="11">
        <v>7.8328266143798828</v>
      </c>
    </row>
    <row r="5028" spans="1:6" hidden="1" x14ac:dyDescent="0.3">
      <c r="A5028" s="6">
        <v>36</v>
      </c>
      <c r="B5028" s="6" t="s">
        <v>153</v>
      </c>
      <c r="C5028" s="6" t="s">
        <v>482</v>
      </c>
      <c r="D5028" s="6" t="s">
        <v>154</v>
      </c>
      <c r="E5028" s="11">
        <v>12.19334602355957</v>
      </c>
      <c r="F5028" s="11">
        <v>7.8328266143798828</v>
      </c>
    </row>
    <row r="5029" spans="1:6" hidden="1" x14ac:dyDescent="0.3">
      <c r="A5029" s="6">
        <v>36</v>
      </c>
      <c r="B5029" s="6" t="s">
        <v>153</v>
      </c>
      <c r="C5029" s="6" t="s">
        <v>483</v>
      </c>
      <c r="D5029" s="6" t="s">
        <v>154</v>
      </c>
      <c r="E5029" s="11">
        <v>6.9874129295349121</v>
      </c>
      <c r="F5029" s="11">
        <v>7.8328266143798828</v>
      </c>
    </row>
    <row r="5030" spans="1:6" hidden="1" x14ac:dyDescent="0.3">
      <c r="A5030" s="6">
        <v>36</v>
      </c>
      <c r="B5030" s="6" t="s">
        <v>153</v>
      </c>
      <c r="C5030" s="6" t="s">
        <v>484</v>
      </c>
      <c r="D5030" s="6" t="s">
        <v>154</v>
      </c>
      <c r="E5030" s="11">
        <v>5.5526881217956543</v>
      </c>
      <c r="F5030" s="11">
        <v>7.8328266143798828</v>
      </c>
    </row>
    <row r="5031" spans="1:6" hidden="1" x14ac:dyDescent="0.3">
      <c r="A5031" s="6">
        <v>36</v>
      </c>
      <c r="B5031" s="6" t="s">
        <v>153</v>
      </c>
      <c r="C5031" s="6" t="s">
        <v>485</v>
      </c>
      <c r="D5031" s="6" t="s">
        <v>154</v>
      </c>
      <c r="E5031" s="11">
        <v>4.7038335800170898</v>
      </c>
      <c r="F5031" s="11">
        <v>7.8328266143798828</v>
      </c>
    </row>
    <row r="5032" spans="1:6" hidden="1" x14ac:dyDescent="0.3">
      <c r="A5032" s="6">
        <v>36</v>
      </c>
      <c r="B5032" s="6" t="s">
        <v>153</v>
      </c>
      <c r="C5032" s="6" t="s">
        <v>486</v>
      </c>
      <c r="D5032" s="6" t="s">
        <v>154</v>
      </c>
      <c r="E5032" s="11">
        <v>5.2193665504455566</v>
      </c>
      <c r="F5032" s="11">
        <v>7.8328266143798828</v>
      </c>
    </row>
    <row r="5033" spans="1:6" hidden="1" x14ac:dyDescent="0.3">
      <c r="A5033" s="6">
        <v>36</v>
      </c>
      <c r="B5033" s="6" t="s">
        <v>153</v>
      </c>
      <c r="C5033" s="6" t="s">
        <v>487</v>
      </c>
      <c r="D5033" s="6" t="s">
        <v>154</v>
      </c>
      <c r="E5033" s="11">
        <v>11.339656829833984</v>
      </c>
      <c r="F5033" s="11">
        <v>7.8328266143798828</v>
      </c>
    </row>
    <row r="5034" spans="1:6" hidden="1" x14ac:dyDescent="0.3">
      <c r="A5034" s="6">
        <v>36</v>
      </c>
      <c r="B5034" s="6" t="s">
        <v>153</v>
      </c>
      <c r="C5034" s="6" t="s">
        <v>488</v>
      </c>
      <c r="D5034" s="6" t="s">
        <v>154</v>
      </c>
      <c r="E5034" s="11">
        <v>9.361598014831543</v>
      </c>
      <c r="F5034" s="11">
        <v>7.8328266143798828</v>
      </c>
    </row>
    <row r="5035" spans="1:6" hidden="1" x14ac:dyDescent="0.3">
      <c r="A5035" s="6">
        <v>36</v>
      </c>
      <c r="B5035" s="6" t="s">
        <v>153</v>
      </c>
      <c r="C5035" s="6" t="s">
        <v>489</v>
      </c>
      <c r="D5035" s="6" t="s">
        <v>154</v>
      </c>
      <c r="E5035" s="11">
        <v>6.7769227027893066</v>
      </c>
      <c r="F5035" s="11">
        <v>7.8328266143798828</v>
      </c>
    </row>
    <row r="5036" spans="1:6" hidden="1" x14ac:dyDescent="0.3">
      <c r="A5036" s="6">
        <v>36</v>
      </c>
      <c r="B5036" s="6" t="s">
        <v>153</v>
      </c>
      <c r="C5036" s="6" t="s">
        <v>490</v>
      </c>
      <c r="D5036" s="6" t="s">
        <v>154</v>
      </c>
      <c r="E5036" s="11">
        <v>8.1363611221313477</v>
      </c>
      <c r="F5036" s="11">
        <v>7.8328266143798828</v>
      </c>
    </row>
    <row r="5037" spans="1:6" hidden="1" x14ac:dyDescent="0.3">
      <c r="A5037" s="6">
        <v>36</v>
      </c>
      <c r="B5037" s="6" t="s">
        <v>153</v>
      </c>
      <c r="C5037" s="6" t="s">
        <v>491</v>
      </c>
      <c r="D5037" s="6" t="s">
        <v>154</v>
      </c>
      <c r="E5037" s="11">
        <v>6.6954350471496582</v>
      </c>
      <c r="F5037" s="11">
        <v>7.8328266143798828</v>
      </c>
    </row>
    <row r="5038" spans="1:6" hidden="1" x14ac:dyDescent="0.3">
      <c r="A5038" s="6">
        <v>36</v>
      </c>
      <c r="B5038" s="6" t="s">
        <v>153</v>
      </c>
      <c r="C5038" s="6" t="s">
        <v>492</v>
      </c>
      <c r="D5038" s="6" t="s">
        <v>154</v>
      </c>
      <c r="E5038" s="11">
        <v>14.77800178527832</v>
      </c>
      <c r="F5038" s="11">
        <v>7.8328266143798828</v>
      </c>
    </row>
    <row r="5039" spans="1:6" hidden="1" x14ac:dyDescent="0.3">
      <c r="A5039" s="6">
        <v>36</v>
      </c>
      <c r="B5039" s="6" t="s">
        <v>153</v>
      </c>
      <c r="C5039" s="6" t="s">
        <v>493</v>
      </c>
      <c r="D5039" s="6" t="s">
        <v>154</v>
      </c>
      <c r="E5039" s="11">
        <v>3.7736320495605469</v>
      </c>
      <c r="F5039" s="11">
        <v>7.8328266143798828</v>
      </c>
    </row>
    <row r="5040" spans="1:6" hidden="1" x14ac:dyDescent="0.3">
      <c r="A5040" s="6">
        <v>36</v>
      </c>
      <c r="B5040" s="6" t="s">
        <v>153</v>
      </c>
      <c r="C5040" s="6" t="s">
        <v>494</v>
      </c>
      <c r="D5040" s="6" t="s">
        <v>154</v>
      </c>
      <c r="E5040" s="11">
        <v>31.211666107177734</v>
      </c>
      <c r="F5040" s="11">
        <v>7.8328266143798828</v>
      </c>
    </row>
    <row r="5041" spans="1:6" hidden="1" x14ac:dyDescent="0.3">
      <c r="A5041" s="6">
        <v>36</v>
      </c>
      <c r="B5041" s="6" t="s">
        <v>153</v>
      </c>
      <c r="C5041" s="6" t="s">
        <v>495</v>
      </c>
      <c r="D5041" s="6" t="s">
        <v>154</v>
      </c>
      <c r="E5041" s="11">
        <v>10.741454124450684</v>
      </c>
      <c r="F5041" s="11">
        <v>7.8328266143798828</v>
      </c>
    </row>
    <row r="5042" spans="1:6" hidden="1" x14ac:dyDescent="0.3">
      <c r="A5042" s="6">
        <v>37</v>
      </c>
      <c r="B5042" s="6" t="s">
        <v>155</v>
      </c>
      <c r="C5042" s="6" t="s">
        <v>356</v>
      </c>
      <c r="D5042" s="6" t="s">
        <v>156</v>
      </c>
      <c r="E5042" s="11">
        <v>5.2847528457641602</v>
      </c>
      <c r="F5042" s="11">
        <v>6.2458381652832031</v>
      </c>
    </row>
    <row r="5043" spans="1:6" hidden="1" x14ac:dyDescent="0.3">
      <c r="A5043" s="6">
        <v>37</v>
      </c>
      <c r="B5043" s="6" t="s">
        <v>155</v>
      </c>
      <c r="C5043" s="6" t="s">
        <v>357</v>
      </c>
      <c r="D5043" s="6" t="s">
        <v>156</v>
      </c>
      <c r="E5043" s="11">
        <v>4.9099411964416504</v>
      </c>
      <c r="F5043" s="11">
        <v>6.2458381652832031</v>
      </c>
    </row>
    <row r="5044" spans="1:6" hidden="1" x14ac:dyDescent="0.3">
      <c r="A5044" s="6">
        <v>37</v>
      </c>
      <c r="B5044" s="6" t="s">
        <v>155</v>
      </c>
      <c r="C5044" s="6" t="s">
        <v>358</v>
      </c>
      <c r="D5044" s="6" t="s">
        <v>156</v>
      </c>
      <c r="E5044" s="11">
        <v>5.3845911026000977</v>
      </c>
      <c r="F5044" s="11">
        <v>6.2458381652832031</v>
      </c>
    </row>
    <row r="5045" spans="1:6" hidden="1" x14ac:dyDescent="0.3">
      <c r="A5045" s="6">
        <v>37</v>
      </c>
      <c r="B5045" s="6" t="s">
        <v>155</v>
      </c>
      <c r="C5045" s="6" t="s">
        <v>359</v>
      </c>
      <c r="D5045" s="6" t="s">
        <v>156</v>
      </c>
      <c r="E5045" s="11">
        <v>5.5103464126586914</v>
      </c>
      <c r="F5045" s="11">
        <v>6.2458381652832031</v>
      </c>
    </row>
    <row r="5046" spans="1:6" hidden="1" x14ac:dyDescent="0.3">
      <c r="A5046" s="6">
        <v>37</v>
      </c>
      <c r="B5046" s="6" t="s">
        <v>155</v>
      </c>
      <c r="C5046" s="6" t="s">
        <v>360</v>
      </c>
      <c r="D5046" s="6" t="s">
        <v>156</v>
      </c>
      <c r="E5046" s="11">
        <v>5.487635612487793</v>
      </c>
      <c r="F5046" s="11">
        <v>6.2458381652832031</v>
      </c>
    </row>
    <row r="5047" spans="1:6" hidden="1" x14ac:dyDescent="0.3">
      <c r="A5047" s="6">
        <v>37</v>
      </c>
      <c r="B5047" s="6" t="s">
        <v>155</v>
      </c>
      <c r="C5047" s="6" t="s">
        <v>361</v>
      </c>
      <c r="D5047" s="6" t="s">
        <v>156</v>
      </c>
      <c r="E5047" s="11">
        <v>5.8771815299987793</v>
      </c>
      <c r="F5047" s="11">
        <v>6.2458381652832031</v>
      </c>
    </row>
    <row r="5048" spans="1:6" hidden="1" x14ac:dyDescent="0.3">
      <c r="A5048" s="6">
        <v>37</v>
      </c>
      <c r="B5048" s="6" t="s">
        <v>155</v>
      </c>
      <c r="C5048" s="6" t="s">
        <v>362</v>
      </c>
      <c r="D5048" s="6" t="s">
        <v>156</v>
      </c>
      <c r="E5048" s="11">
        <v>4.2690920829772949</v>
      </c>
      <c r="F5048" s="11">
        <v>6.2458381652832031</v>
      </c>
    </row>
    <row r="5049" spans="1:6" hidden="1" x14ac:dyDescent="0.3">
      <c r="A5049" s="6">
        <v>37</v>
      </c>
      <c r="B5049" s="6" t="s">
        <v>155</v>
      </c>
      <c r="C5049" s="6" t="s">
        <v>363</v>
      </c>
      <c r="D5049" s="6" t="s">
        <v>156</v>
      </c>
      <c r="E5049" s="11">
        <v>7.438753604888916</v>
      </c>
      <c r="F5049" s="11">
        <v>6.2458381652832031</v>
      </c>
    </row>
    <row r="5050" spans="1:6" hidden="1" x14ac:dyDescent="0.3">
      <c r="A5050" s="6">
        <v>37</v>
      </c>
      <c r="B5050" s="6" t="s">
        <v>155</v>
      </c>
      <c r="C5050" s="6" t="s">
        <v>364</v>
      </c>
      <c r="D5050" s="6" t="s">
        <v>156</v>
      </c>
      <c r="E5050" s="11">
        <v>593.7750244140625</v>
      </c>
      <c r="F5050" s="11">
        <v>6.2458381652832031</v>
      </c>
    </row>
    <row r="5051" spans="1:6" hidden="1" x14ac:dyDescent="0.3">
      <c r="A5051" s="6">
        <v>37</v>
      </c>
      <c r="B5051" s="6" t="s">
        <v>155</v>
      </c>
      <c r="C5051" s="6" t="s">
        <v>365</v>
      </c>
      <c r="D5051" s="6" t="s">
        <v>156</v>
      </c>
      <c r="E5051" s="11">
        <v>3.5741238594055176</v>
      </c>
      <c r="F5051" s="11">
        <v>6.2458381652832031</v>
      </c>
    </row>
    <row r="5052" spans="1:6" hidden="1" x14ac:dyDescent="0.3">
      <c r="A5052" s="6">
        <v>37</v>
      </c>
      <c r="B5052" s="6" t="s">
        <v>155</v>
      </c>
      <c r="C5052" s="6" t="s">
        <v>366</v>
      </c>
      <c r="D5052" s="6" t="s">
        <v>156</v>
      </c>
      <c r="E5052" s="11">
        <v>14.056774139404297</v>
      </c>
      <c r="F5052" s="11">
        <v>6.2458381652832031</v>
      </c>
    </row>
    <row r="5053" spans="1:6" hidden="1" x14ac:dyDescent="0.3">
      <c r="A5053" s="6">
        <v>37</v>
      </c>
      <c r="B5053" s="6" t="s">
        <v>155</v>
      </c>
      <c r="C5053" s="6" t="s">
        <v>367</v>
      </c>
      <c r="D5053" s="6" t="s">
        <v>156</v>
      </c>
      <c r="E5053" s="11">
        <v>13.750476837158203</v>
      </c>
      <c r="F5053" s="11">
        <v>6.2458381652832031</v>
      </c>
    </row>
    <row r="5054" spans="1:6" hidden="1" x14ac:dyDescent="0.3">
      <c r="A5054" s="6">
        <v>37</v>
      </c>
      <c r="B5054" s="6" t="s">
        <v>155</v>
      </c>
      <c r="C5054" s="6" t="s">
        <v>368</v>
      </c>
      <c r="D5054" s="6" t="s">
        <v>156</v>
      </c>
      <c r="E5054" s="11">
        <v>5.073124885559082</v>
      </c>
      <c r="F5054" s="11">
        <v>6.2458381652832031</v>
      </c>
    </row>
    <row r="5055" spans="1:6" hidden="1" x14ac:dyDescent="0.3">
      <c r="A5055" s="6">
        <v>37</v>
      </c>
      <c r="B5055" s="6" t="s">
        <v>155</v>
      </c>
      <c r="C5055" s="6" t="s">
        <v>369</v>
      </c>
      <c r="D5055" s="6" t="s">
        <v>156</v>
      </c>
      <c r="E5055" s="11">
        <v>6.4028668403625488</v>
      </c>
      <c r="F5055" s="11">
        <v>6.2458381652832031</v>
      </c>
    </row>
    <row r="5056" spans="1:6" hidden="1" x14ac:dyDescent="0.3">
      <c r="A5056" s="6">
        <v>37</v>
      </c>
      <c r="B5056" s="6" t="s">
        <v>155</v>
      </c>
      <c r="C5056" s="6" t="s">
        <v>370</v>
      </c>
      <c r="D5056" s="6" t="s">
        <v>156</v>
      </c>
      <c r="E5056" s="11">
        <v>21.064388275146484</v>
      </c>
      <c r="F5056" s="11">
        <v>6.2458381652832031</v>
      </c>
    </row>
    <row r="5057" spans="1:6" hidden="1" x14ac:dyDescent="0.3">
      <c r="A5057" s="6">
        <v>37</v>
      </c>
      <c r="B5057" s="6" t="s">
        <v>155</v>
      </c>
      <c r="C5057" s="6" t="s">
        <v>371</v>
      </c>
      <c r="D5057" s="6" t="s">
        <v>156</v>
      </c>
      <c r="E5057" s="11">
        <v>4.6486907005310059</v>
      </c>
      <c r="F5057" s="11">
        <v>6.2458381652832031</v>
      </c>
    </row>
    <row r="5058" spans="1:6" hidden="1" x14ac:dyDescent="0.3">
      <c r="A5058" s="6">
        <v>37</v>
      </c>
      <c r="B5058" s="6" t="s">
        <v>155</v>
      </c>
      <c r="C5058" s="6" t="s">
        <v>372</v>
      </c>
      <c r="D5058" s="6" t="s">
        <v>156</v>
      </c>
      <c r="E5058" s="11">
        <v>12.68533992767334</v>
      </c>
      <c r="F5058" s="11">
        <v>6.2458381652832031</v>
      </c>
    </row>
    <row r="5059" spans="1:6" hidden="1" x14ac:dyDescent="0.3">
      <c r="A5059" s="6">
        <v>37</v>
      </c>
      <c r="B5059" s="6" t="s">
        <v>155</v>
      </c>
      <c r="C5059" s="6" t="s">
        <v>373</v>
      </c>
      <c r="D5059" s="6" t="s">
        <v>156</v>
      </c>
      <c r="E5059" s="11">
        <v>7.9409980773925781</v>
      </c>
      <c r="F5059" s="11">
        <v>6.2458381652832031</v>
      </c>
    </row>
    <row r="5060" spans="1:6" hidden="1" x14ac:dyDescent="0.3">
      <c r="A5060" s="6">
        <v>37</v>
      </c>
      <c r="B5060" s="6" t="s">
        <v>155</v>
      </c>
      <c r="C5060" s="6" t="s">
        <v>374</v>
      </c>
      <c r="D5060" s="6" t="s">
        <v>156</v>
      </c>
      <c r="E5060" s="11">
        <v>5.2294588088989258</v>
      </c>
      <c r="F5060" s="11">
        <v>6.2458381652832031</v>
      </c>
    </row>
    <row r="5061" spans="1:6" hidden="1" x14ac:dyDescent="0.3">
      <c r="A5061" s="6">
        <v>37</v>
      </c>
      <c r="B5061" s="6" t="s">
        <v>155</v>
      </c>
      <c r="C5061" s="6" t="s">
        <v>375</v>
      </c>
      <c r="D5061" s="6" t="s">
        <v>156</v>
      </c>
      <c r="E5061" s="11">
        <v>5.2315006256103516</v>
      </c>
      <c r="F5061" s="11">
        <v>6.2458381652832031</v>
      </c>
    </row>
    <row r="5062" spans="1:6" hidden="1" x14ac:dyDescent="0.3">
      <c r="A5062" s="6">
        <v>37</v>
      </c>
      <c r="B5062" s="6" t="s">
        <v>155</v>
      </c>
      <c r="C5062" s="6" t="s">
        <v>376</v>
      </c>
      <c r="D5062" s="6" t="s">
        <v>156</v>
      </c>
      <c r="E5062" s="11">
        <v>4.5356326103210449</v>
      </c>
      <c r="F5062" s="11">
        <v>6.2458381652832031</v>
      </c>
    </row>
    <row r="5063" spans="1:6" hidden="1" x14ac:dyDescent="0.3">
      <c r="A5063" s="6">
        <v>37</v>
      </c>
      <c r="B5063" s="6" t="s">
        <v>155</v>
      </c>
      <c r="C5063" s="6" t="s">
        <v>377</v>
      </c>
      <c r="D5063" s="6" t="s">
        <v>156</v>
      </c>
      <c r="E5063" s="11">
        <v>8.4883909225463867</v>
      </c>
      <c r="F5063" s="11">
        <v>6.2458381652832031</v>
      </c>
    </row>
    <row r="5064" spans="1:6" hidden="1" x14ac:dyDescent="0.3">
      <c r="A5064" s="6">
        <v>37</v>
      </c>
      <c r="B5064" s="6" t="s">
        <v>155</v>
      </c>
      <c r="C5064" s="6" t="s">
        <v>378</v>
      </c>
      <c r="D5064" s="6" t="s">
        <v>156</v>
      </c>
      <c r="E5064" s="11">
        <v>7.4635586738586426</v>
      </c>
      <c r="F5064" s="11">
        <v>6.2458381652832031</v>
      </c>
    </row>
    <row r="5065" spans="1:6" hidden="1" x14ac:dyDescent="0.3">
      <c r="A5065" s="6">
        <v>37</v>
      </c>
      <c r="B5065" s="6" t="s">
        <v>155</v>
      </c>
      <c r="C5065" s="6" t="s">
        <v>379</v>
      </c>
      <c r="D5065" s="6" t="s">
        <v>156</v>
      </c>
      <c r="E5065" s="11">
        <v>6.5652689933776855</v>
      </c>
      <c r="F5065" s="11">
        <v>6.2458381652832031</v>
      </c>
    </row>
    <row r="5066" spans="1:6" hidden="1" x14ac:dyDescent="0.3">
      <c r="A5066" s="6">
        <v>37</v>
      </c>
      <c r="B5066" s="6" t="s">
        <v>155</v>
      </c>
      <c r="C5066" s="6" t="s">
        <v>380</v>
      </c>
      <c r="D5066" s="6" t="s">
        <v>156</v>
      </c>
      <c r="E5066" s="11">
        <v>5.3230314254760742</v>
      </c>
      <c r="F5066" s="11">
        <v>6.2458381652832031</v>
      </c>
    </row>
    <row r="5067" spans="1:6" hidden="1" x14ac:dyDescent="0.3">
      <c r="A5067" s="6">
        <v>37</v>
      </c>
      <c r="B5067" s="6" t="s">
        <v>155</v>
      </c>
      <c r="C5067" s="6" t="s">
        <v>381</v>
      </c>
      <c r="D5067" s="6" t="s">
        <v>156</v>
      </c>
      <c r="E5067" s="11">
        <v>7.6541347503662109</v>
      </c>
      <c r="F5067" s="11">
        <v>6.2458381652832031</v>
      </c>
    </row>
    <row r="5068" spans="1:6" hidden="1" x14ac:dyDescent="0.3">
      <c r="A5068" s="6">
        <v>37</v>
      </c>
      <c r="B5068" s="6" t="s">
        <v>155</v>
      </c>
      <c r="C5068" s="6" t="s">
        <v>382</v>
      </c>
      <c r="D5068" s="6" t="s">
        <v>156</v>
      </c>
      <c r="E5068" s="11">
        <v>6.2498106956481934</v>
      </c>
      <c r="F5068" s="11">
        <v>6.2458381652832031</v>
      </c>
    </row>
    <row r="5069" spans="1:6" hidden="1" x14ac:dyDescent="0.3">
      <c r="A5069" s="6">
        <v>37</v>
      </c>
      <c r="B5069" s="6" t="s">
        <v>155</v>
      </c>
      <c r="C5069" s="6" t="s">
        <v>383</v>
      </c>
      <c r="D5069" s="6" t="s">
        <v>156</v>
      </c>
      <c r="E5069" s="11">
        <v>6.8012261390686035</v>
      </c>
      <c r="F5069" s="11">
        <v>6.2458381652832031</v>
      </c>
    </row>
    <row r="5070" spans="1:6" hidden="1" x14ac:dyDescent="0.3">
      <c r="A5070" s="6">
        <v>37</v>
      </c>
      <c r="B5070" s="6" t="s">
        <v>155</v>
      </c>
      <c r="C5070" s="6" t="s">
        <v>384</v>
      </c>
      <c r="D5070" s="6" t="s">
        <v>156</v>
      </c>
      <c r="E5070" s="11">
        <v>5.9272880554199219</v>
      </c>
      <c r="F5070" s="11">
        <v>6.2458381652832031</v>
      </c>
    </row>
    <row r="5071" spans="1:6" hidden="1" x14ac:dyDescent="0.3">
      <c r="A5071" s="6">
        <v>37</v>
      </c>
      <c r="B5071" s="6" t="s">
        <v>155</v>
      </c>
      <c r="C5071" s="6" t="s">
        <v>385</v>
      </c>
      <c r="D5071" s="6" t="s">
        <v>156</v>
      </c>
      <c r="E5071" s="11">
        <v>4.7423028945922852</v>
      </c>
      <c r="F5071" s="11">
        <v>6.2458381652832031</v>
      </c>
    </row>
    <row r="5072" spans="1:6" hidden="1" x14ac:dyDescent="0.3">
      <c r="A5072" s="6">
        <v>37</v>
      </c>
      <c r="B5072" s="6" t="s">
        <v>155</v>
      </c>
      <c r="C5072" s="6" t="s">
        <v>386</v>
      </c>
      <c r="D5072" s="6" t="s">
        <v>156</v>
      </c>
      <c r="E5072" s="11">
        <v>5.0613656044006348</v>
      </c>
      <c r="F5072" s="11">
        <v>6.2458381652832031</v>
      </c>
    </row>
    <row r="5073" spans="1:6" hidden="1" x14ac:dyDescent="0.3">
      <c r="A5073" s="6">
        <v>37</v>
      </c>
      <c r="B5073" s="6" t="s">
        <v>155</v>
      </c>
      <c r="C5073" s="6" t="s">
        <v>387</v>
      </c>
      <c r="D5073" s="6" t="s">
        <v>156</v>
      </c>
      <c r="E5073" s="11">
        <v>26.169538497924805</v>
      </c>
      <c r="F5073" s="11">
        <v>6.2458381652832031</v>
      </c>
    </row>
    <row r="5074" spans="1:6" hidden="1" x14ac:dyDescent="0.3">
      <c r="A5074" s="6">
        <v>37</v>
      </c>
      <c r="B5074" s="6" t="s">
        <v>155</v>
      </c>
      <c r="C5074" s="6" t="s">
        <v>388</v>
      </c>
      <c r="D5074" s="6" t="s">
        <v>156</v>
      </c>
      <c r="E5074" s="11">
        <v>4.7186188697814941</v>
      </c>
      <c r="F5074" s="11">
        <v>6.2458381652832031</v>
      </c>
    </row>
    <row r="5075" spans="1:6" hidden="1" x14ac:dyDescent="0.3">
      <c r="A5075" s="6">
        <v>37</v>
      </c>
      <c r="B5075" s="6" t="s">
        <v>155</v>
      </c>
      <c r="C5075" s="6" t="s">
        <v>389</v>
      </c>
      <c r="D5075" s="6" t="s">
        <v>156</v>
      </c>
      <c r="E5075" s="11">
        <v>5.9292731285095215</v>
      </c>
      <c r="F5075" s="11">
        <v>6.2458381652832031</v>
      </c>
    </row>
    <row r="5076" spans="1:6" hidden="1" x14ac:dyDescent="0.3">
      <c r="A5076" s="6">
        <v>37</v>
      </c>
      <c r="B5076" s="6" t="s">
        <v>155</v>
      </c>
      <c r="C5076" s="6" t="s">
        <v>390</v>
      </c>
      <c r="D5076" s="6" t="s">
        <v>156</v>
      </c>
      <c r="E5076" s="11">
        <v>7.6795415878295898</v>
      </c>
      <c r="F5076" s="11">
        <v>6.2458381652832031</v>
      </c>
    </row>
    <row r="5077" spans="1:6" hidden="1" x14ac:dyDescent="0.3">
      <c r="A5077" s="6">
        <v>37</v>
      </c>
      <c r="B5077" s="6" t="s">
        <v>155</v>
      </c>
      <c r="C5077" s="6" t="s">
        <v>391</v>
      </c>
      <c r="D5077" s="6" t="s">
        <v>156</v>
      </c>
      <c r="E5077" s="11">
        <v>29.240571975708008</v>
      </c>
      <c r="F5077" s="11">
        <v>6.2458381652832031</v>
      </c>
    </row>
    <row r="5078" spans="1:6" hidden="1" x14ac:dyDescent="0.3">
      <c r="A5078" s="6">
        <v>37</v>
      </c>
      <c r="B5078" s="6" t="s">
        <v>155</v>
      </c>
      <c r="C5078" s="6" t="s">
        <v>392</v>
      </c>
      <c r="D5078" s="6" t="s">
        <v>156</v>
      </c>
      <c r="E5078" s="11">
        <v>5.4459466934204102</v>
      </c>
      <c r="F5078" s="11">
        <v>6.2458381652832031</v>
      </c>
    </row>
    <row r="5079" spans="1:6" hidden="1" x14ac:dyDescent="0.3">
      <c r="A5079" s="6">
        <v>37</v>
      </c>
      <c r="B5079" s="6" t="s">
        <v>155</v>
      </c>
      <c r="C5079" s="6" t="s">
        <v>393</v>
      </c>
      <c r="D5079" s="6" t="s">
        <v>156</v>
      </c>
      <c r="E5079" s="11">
        <v>6.1295514106750488</v>
      </c>
      <c r="F5079" s="11">
        <v>6.2458381652832031</v>
      </c>
    </row>
    <row r="5080" spans="1:6" hidden="1" x14ac:dyDescent="0.3">
      <c r="A5080" s="6">
        <v>37</v>
      </c>
      <c r="B5080" s="6" t="s">
        <v>155</v>
      </c>
      <c r="C5080" s="6" t="s">
        <v>394</v>
      </c>
      <c r="D5080" s="6" t="s">
        <v>156</v>
      </c>
      <c r="E5080" s="11">
        <v>5.391869068145752</v>
      </c>
      <c r="F5080" s="11">
        <v>6.2458381652832031</v>
      </c>
    </row>
    <row r="5081" spans="1:6" hidden="1" x14ac:dyDescent="0.3">
      <c r="A5081" s="6">
        <v>37</v>
      </c>
      <c r="B5081" s="6" t="s">
        <v>155</v>
      </c>
      <c r="C5081" s="6" t="s">
        <v>395</v>
      </c>
      <c r="D5081" s="6" t="s">
        <v>156</v>
      </c>
      <c r="E5081" s="11">
        <v>7.5124187469482422</v>
      </c>
      <c r="F5081" s="11">
        <v>6.2458381652832031</v>
      </c>
    </row>
    <row r="5082" spans="1:6" hidden="1" x14ac:dyDescent="0.3">
      <c r="A5082" s="6">
        <v>37</v>
      </c>
      <c r="B5082" s="6" t="s">
        <v>155</v>
      </c>
      <c r="C5082" s="6" t="s">
        <v>396</v>
      </c>
      <c r="D5082" s="6" t="s">
        <v>156</v>
      </c>
      <c r="E5082" s="11">
        <v>3.6835408210754395</v>
      </c>
      <c r="F5082" s="11">
        <v>6.2458381652832031</v>
      </c>
    </row>
    <row r="5083" spans="1:6" hidden="1" x14ac:dyDescent="0.3">
      <c r="A5083" s="6">
        <v>37</v>
      </c>
      <c r="B5083" s="6" t="s">
        <v>155</v>
      </c>
      <c r="C5083" s="6" t="s">
        <v>397</v>
      </c>
      <c r="D5083" s="6" t="s">
        <v>156</v>
      </c>
      <c r="E5083" s="11">
        <v>6.7792754173278809</v>
      </c>
      <c r="F5083" s="11">
        <v>6.2458381652832031</v>
      </c>
    </row>
    <row r="5084" spans="1:6" hidden="1" x14ac:dyDescent="0.3">
      <c r="A5084" s="6">
        <v>37</v>
      </c>
      <c r="B5084" s="6" t="s">
        <v>155</v>
      </c>
      <c r="C5084" s="6" t="s">
        <v>398</v>
      </c>
      <c r="D5084" s="6" t="s">
        <v>156</v>
      </c>
      <c r="E5084" s="11">
        <v>5.142359733581543</v>
      </c>
      <c r="F5084" s="11">
        <v>6.2458381652832031</v>
      </c>
    </row>
    <row r="5085" spans="1:6" hidden="1" x14ac:dyDescent="0.3">
      <c r="A5085" s="6">
        <v>37</v>
      </c>
      <c r="B5085" s="6" t="s">
        <v>155</v>
      </c>
      <c r="C5085" s="6" t="s">
        <v>399</v>
      </c>
      <c r="D5085" s="6" t="s">
        <v>156</v>
      </c>
      <c r="E5085" s="11">
        <v>5.9371628761291504</v>
      </c>
      <c r="F5085" s="11">
        <v>6.2458381652832031</v>
      </c>
    </row>
    <row r="5086" spans="1:6" hidden="1" x14ac:dyDescent="0.3">
      <c r="A5086" s="6">
        <v>37</v>
      </c>
      <c r="B5086" s="6" t="s">
        <v>155</v>
      </c>
      <c r="C5086" s="6" t="s">
        <v>400</v>
      </c>
      <c r="D5086" s="6" t="s">
        <v>156</v>
      </c>
      <c r="E5086" s="11">
        <v>6.8499183654785156</v>
      </c>
      <c r="F5086" s="11">
        <v>6.2458381652832031</v>
      </c>
    </row>
    <row r="5087" spans="1:6" hidden="1" x14ac:dyDescent="0.3">
      <c r="A5087" s="6">
        <v>37</v>
      </c>
      <c r="B5087" s="6" t="s">
        <v>155</v>
      </c>
      <c r="C5087" s="6" t="s">
        <v>401</v>
      </c>
      <c r="D5087" s="6" t="s">
        <v>156</v>
      </c>
      <c r="E5087" s="11">
        <v>5.5487551689147949</v>
      </c>
      <c r="F5087" s="11">
        <v>6.2458381652832031</v>
      </c>
    </row>
    <row r="5088" spans="1:6" hidden="1" x14ac:dyDescent="0.3">
      <c r="A5088" s="6">
        <v>37</v>
      </c>
      <c r="B5088" s="6" t="s">
        <v>155</v>
      </c>
      <c r="C5088" s="6" t="s">
        <v>402</v>
      </c>
      <c r="D5088" s="6" t="s">
        <v>156</v>
      </c>
      <c r="E5088" s="11">
        <v>6.0097026824951172</v>
      </c>
      <c r="F5088" s="11">
        <v>6.2458381652832031</v>
      </c>
    </row>
    <row r="5089" spans="1:6" hidden="1" x14ac:dyDescent="0.3">
      <c r="A5089" s="6">
        <v>37</v>
      </c>
      <c r="B5089" s="6" t="s">
        <v>155</v>
      </c>
      <c r="C5089" s="6" t="s">
        <v>403</v>
      </c>
      <c r="D5089" s="6" t="s">
        <v>156</v>
      </c>
      <c r="E5089" s="11">
        <v>6.3136177062988281</v>
      </c>
      <c r="F5089" s="11">
        <v>6.2458381652832031</v>
      </c>
    </row>
    <row r="5090" spans="1:6" hidden="1" x14ac:dyDescent="0.3">
      <c r="A5090" s="6">
        <v>37</v>
      </c>
      <c r="B5090" s="6" t="s">
        <v>155</v>
      </c>
      <c r="C5090" s="6" t="s">
        <v>404</v>
      </c>
      <c r="D5090" s="6" t="s">
        <v>156</v>
      </c>
      <c r="E5090" s="11">
        <v>7.4227566719055176</v>
      </c>
      <c r="F5090" s="11">
        <v>6.2458381652832031</v>
      </c>
    </row>
    <row r="5091" spans="1:6" hidden="1" x14ac:dyDescent="0.3">
      <c r="A5091" s="6">
        <v>37</v>
      </c>
      <c r="B5091" s="6" t="s">
        <v>155</v>
      </c>
      <c r="C5091" s="6" t="s">
        <v>405</v>
      </c>
      <c r="D5091" s="6" t="s">
        <v>156</v>
      </c>
      <c r="E5091" s="11">
        <v>7.7714557647705078</v>
      </c>
      <c r="F5091" s="11">
        <v>6.2458381652832031</v>
      </c>
    </row>
    <row r="5092" spans="1:6" hidden="1" x14ac:dyDescent="0.3">
      <c r="A5092" s="6">
        <v>37</v>
      </c>
      <c r="B5092" s="6" t="s">
        <v>155</v>
      </c>
      <c r="C5092" s="6" t="s">
        <v>406</v>
      </c>
      <c r="D5092" s="6" t="s">
        <v>156</v>
      </c>
      <c r="E5092" s="11">
        <v>4.7344799041748047</v>
      </c>
      <c r="F5092" s="11">
        <v>6.2458381652832031</v>
      </c>
    </row>
    <row r="5093" spans="1:6" hidden="1" x14ac:dyDescent="0.3">
      <c r="A5093" s="6">
        <v>37</v>
      </c>
      <c r="B5093" s="6" t="s">
        <v>155</v>
      </c>
      <c r="C5093" s="6" t="s">
        <v>407</v>
      </c>
      <c r="D5093" s="6" t="s">
        <v>156</v>
      </c>
      <c r="E5093" s="11">
        <v>6.0106840133666992</v>
      </c>
      <c r="F5093" s="11">
        <v>6.2458381652832031</v>
      </c>
    </row>
    <row r="5094" spans="1:6" hidden="1" x14ac:dyDescent="0.3">
      <c r="A5094" s="6">
        <v>37</v>
      </c>
      <c r="B5094" s="6" t="s">
        <v>155</v>
      </c>
      <c r="C5094" s="6" t="s">
        <v>408</v>
      </c>
      <c r="D5094" s="6" t="s">
        <v>156</v>
      </c>
      <c r="E5094" s="11">
        <v>6.7015218734741211</v>
      </c>
      <c r="F5094" s="11">
        <v>6.2458381652832031</v>
      </c>
    </row>
    <row r="5095" spans="1:6" hidden="1" x14ac:dyDescent="0.3">
      <c r="A5095" s="6">
        <v>37</v>
      </c>
      <c r="B5095" s="6" t="s">
        <v>155</v>
      </c>
      <c r="C5095" s="6" t="s">
        <v>409</v>
      </c>
      <c r="D5095" s="6" t="s">
        <v>156</v>
      </c>
      <c r="E5095" s="11">
        <v>6.2808384895324707</v>
      </c>
      <c r="F5095" s="11">
        <v>6.2458381652832031</v>
      </c>
    </row>
    <row r="5096" spans="1:6" hidden="1" x14ac:dyDescent="0.3">
      <c r="A5096" s="6">
        <v>37</v>
      </c>
      <c r="B5096" s="6" t="s">
        <v>155</v>
      </c>
      <c r="C5096" s="6" t="s">
        <v>410</v>
      </c>
      <c r="D5096" s="6" t="s">
        <v>156</v>
      </c>
      <c r="E5096" s="11">
        <v>7.0464744567871094</v>
      </c>
      <c r="F5096" s="11">
        <v>6.2458381652832031</v>
      </c>
    </row>
    <row r="5097" spans="1:6" hidden="1" x14ac:dyDescent="0.3">
      <c r="A5097" s="6">
        <v>37</v>
      </c>
      <c r="B5097" s="6" t="s">
        <v>155</v>
      </c>
      <c r="C5097" s="6" t="s">
        <v>411</v>
      </c>
      <c r="D5097" s="6" t="s">
        <v>156</v>
      </c>
      <c r="E5097" s="11">
        <v>5.7997832298278809</v>
      </c>
      <c r="F5097" s="11">
        <v>6.2458381652832031</v>
      </c>
    </row>
    <row r="5098" spans="1:6" hidden="1" x14ac:dyDescent="0.3">
      <c r="A5098" s="6">
        <v>37</v>
      </c>
      <c r="B5098" s="6" t="s">
        <v>155</v>
      </c>
      <c r="C5098" s="6" t="s">
        <v>412</v>
      </c>
      <c r="D5098" s="6" t="s">
        <v>156</v>
      </c>
      <c r="E5098" s="11">
        <v>6.2003202438354492</v>
      </c>
      <c r="F5098" s="11">
        <v>6.2458381652832031</v>
      </c>
    </row>
    <row r="5099" spans="1:6" hidden="1" x14ac:dyDescent="0.3">
      <c r="A5099" s="6">
        <v>37</v>
      </c>
      <c r="B5099" s="6" t="s">
        <v>155</v>
      </c>
      <c r="C5099" s="6" t="s">
        <v>413</v>
      </c>
      <c r="D5099" s="6" t="s">
        <v>156</v>
      </c>
      <c r="E5099" s="11">
        <v>5.9904828071594238</v>
      </c>
      <c r="F5099" s="11">
        <v>6.2458381652832031</v>
      </c>
    </row>
    <row r="5100" spans="1:6" hidden="1" x14ac:dyDescent="0.3">
      <c r="A5100" s="6">
        <v>37</v>
      </c>
      <c r="B5100" s="6" t="s">
        <v>155</v>
      </c>
      <c r="C5100" s="6" t="s">
        <v>414</v>
      </c>
      <c r="D5100" s="6" t="s">
        <v>156</v>
      </c>
      <c r="E5100" s="11">
        <v>9.073603630065918</v>
      </c>
      <c r="F5100" s="11">
        <v>6.2458381652832031</v>
      </c>
    </row>
    <row r="5101" spans="1:6" hidden="1" x14ac:dyDescent="0.3">
      <c r="A5101" s="6">
        <v>37</v>
      </c>
      <c r="B5101" s="6" t="s">
        <v>155</v>
      </c>
      <c r="C5101" s="6" t="s">
        <v>415</v>
      </c>
      <c r="D5101" s="6" t="s">
        <v>156</v>
      </c>
      <c r="E5101" s="11">
        <v>12.964253425598145</v>
      </c>
      <c r="F5101" s="11">
        <v>6.2458381652832031</v>
      </c>
    </row>
    <row r="5102" spans="1:6" hidden="1" x14ac:dyDescent="0.3">
      <c r="A5102" s="6">
        <v>37</v>
      </c>
      <c r="B5102" s="6" t="s">
        <v>155</v>
      </c>
      <c r="C5102" s="6" t="s">
        <v>416</v>
      </c>
      <c r="D5102" s="6" t="s">
        <v>156</v>
      </c>
      <c r="E5102" s="11">
        <v>27.683210372924805</v>
      </c>
      <c r="F5102" s="11">
        <v>6.2458381652832031</v>
      </c>
    </row>
    <row r="5103" spans="1:6" hidden="1" x14ac:dyDescent="0.3">
      <c r="A5103" s="6">
        <v>37</v>
      </c>
      <c r="B5103" s="6" t="s">
        <v>155</v>
      </c>
      <c r="C5103" s="6" t="s">
        <v>417</v>
      </c>
      <c r="D5103" s="6" t="s">
        <v>156</v>
      </c>
      <c r="E5103" s="11">
        <v>6.280665397644043</v>
      </c>
      <c r="F5103" s="11">
        <v>6.2458381652832031</v>
      </c>
    </row>
    <row r="5104" spans="1:6" hidden="1" x14ac:dyDescent="0.3">
      <c r="A5104" s="6">
        <v>37</v>
      </c>
      <c r="B5104" s="6" t="s">
        <v>155</v>
      </c>
      <c r="C5104" s="6" t="s">
        <v>418</v>
      </c>
      <c r="D5104" s="6" t="s">
        <v>156</v>
      </c>
      <c r="E5104" s="11">
        <v>4.0688648223876953</v>
      </c>
      <c r="F5104" s="11">
        <v>6.2458381652832031</v>
      </c>
    </row>
    <row r="5105" spans="1:6" hidden="1" x14ac:dyDescent="0.3">
      <c r="A5105" s="6">
        <v>37</v>
      </c>
      <c r="B5105" s="6" t="s">
        <v>155</v>
      </c>
      <c r="C5105" s="6" t="s">
        <v>419</v>
      </c>
      <c r="D5105" s="6" t="s">
        <v>156</v>
      </c>
      <c r="E5105" s="11">
        <v>7.45050048828125</v>
      </c>
      <c r="F5105" s="11">
        <v>6.2458381652832031</v>
      </c>
    </row>
    <row r="5106" spans="1:6" hidden="1" x14ac:dyDescent="0.3">
      <c r="A5106" s="6">
        <v>37</v>
      </c>
      <c r="B5106" s="6" t="s">
        <v>155</v>
      </c>
      <c r="C5106" s="6" t="s">
        <v>420</v>
      </c>
      <c r="D5106" s="6" t="s">
        <v>156</v>
      </c>
      <c r="E5106" s="11">
        <v>8.8754444122314453</v>
      </c>
      <c r="F5106" s="11">
        <v>6.2458381652832031</v>
      </c>
    </row>
    <row r="5107" spans="1:6" hidden="1" x14ac:dyDescent="0.3">
      <c r="A5107" s="6">
        <v>37</v>
      </c>
      <c r="B5107" s="6" t="s">
        <v>155</v>
      </c>
      <c r="C5107" s="6" t="s">
        <v>421</v>
      </c>
      <c r="D5107" s="6" t="s">
        <v>156</v>
      </c>
      <c r="E5107" s="11">
        <v>5.9573469161987305</v>
      </c>
      <c r="F5107" s="11">
        <v>6.2458381652832031</v>
      </c>
    </row>
    <row r="5108" spans="1:6" hidden="1" x14ac:dyDescent="0.3">
      <c r="A5108" s="6">
        <v>37</v>
      </c>
      <c r="B5108" s="6" t="s">
        <v>155</v>
      </c>
      <c r="C5108" s="6" t="s">
        <v>422</v>
      </c>
      <c r="D5108" s="6" t="s">
        <v>156</v>
      </c>
      <c r="E5108" s="11">
        <v>6.7528080940246582</v>
      </c>
      <c r="F5108" s="11">
        <v>6.2458381652832031</v>
      </c>
    </row>
    <row r="5109" spans="1:6" hidden="1" x14ac:dyDescent="0.3">
      <c r="A5109" s="6">
        <v>37</v>
      </c>
      <c r="B5109" s="6" t="s">
        <v>155</v>
      </c>
      <c r="C5109" s="6" t="s">
        <v>423</v>
      </c>
      <c r="D5109" s="6" t="s">
        <v>156</v>
      </c>
      <c r="E5109" s="11">
        <v>8.663844108581543</v>
      </c>
      <c r="F5109" s="11">
        <v>6.2458381652832031</v>
      </c>
    </row>
    <row r="5110" spans="1:6" hidden="1" x14ac:dyDescent="0.3">
      <c r="A5110" s="6">
        <v>37</v>
      </c>
      <c r="B5110" s="6" t="s">
        <v>155</v>
      </c>
      <c r="C5110" s="6" t="s">
        <v>424</v>
      </c>
      <c r="D5110" s="6" t="s">
        <v>156</v>
      </c>
      <c r="E5110" s="11">
        <v>6.58868408203125</v>
      </c>
      <c r="F5110" s="11">
        <v>6.2458381652832031</v>
      </c>
    </row>
    <row r="5111" spans="1:6" hidden="1" x14ac:dyDescent="0.3">
      <c r="A5111" s="6">
        <v>37</v>
      </c>
      <c r="B5111" s="6" t="s">
        <v>155</v>
      </c>
      <c r="C5111" s="6" t="s">
        <v>425</v>
      </c>
      <c r="D5111" s="6" t="s">
        <v>156</v>
      </c>
      <c r="E5111" s="11">
        <v>6.9678192138671875</v>
      </c>
      <c r="F5111" s="11">
        <v>6.2458381652832031</v>
      </c>
    </row>
    <row r="5112" spans="1:6" hidden="1" x14ac:dyDescent="0.3">
      <c r="A5112" s="6">
        <v>37</v>
      </c>
      <c r="B5112" s="6" t="s">
        <v>155</v>
      </c>
      <c r="C5112" s="6" t="s">
        <v>426</v>
      </c>
      <c r="D5112" s="6" t="s">
        <v>156</v>
      </c>
      <c r="E5112" s="11">
        <v>5.3205242156982422</v>
      </c>
      <c r="F5112" s="11">
        <v>6.2458381652832031</v>
      </c>
    </row>
    <row r="5113" spans="1:6" hidden="1" x14ac:dyDescent="0.3">
      <c r="A5113" s="6">
        <v>37</v>
      </c>
      <c r="B5113" s="6" t="s">
        <v>155</v>
      </c>
      <c r="C5113" s="6" t="s">
        <v>427</v>
      </c>
      <c r="D5113" s="6" t="s">
        <v>156</v>
      </c>
      <c r="E5113" s="11">
        <v>10.946218490600586</v>
      </c>
      <c r="F5113" s="11">
        <v>6.2458381652832031</v>
      </c>
    </row>
    <row r="5114" spans="1:6" hidden="1" x14ac:dyDescent="0.3">
      <c r="A5114" s="6">
        <v>37</v>
      </c>
      <c r="B5114" s="6" t="s">
        <v>155</v>
      </c>
      <c r="C5114" s="6" t="s">
        <v>428</v>
      </c>
      <c r="D5114" s="6" t="s">
        <v>156</v>
      </c>
      <c r="E5114" s="11"/>
      <c r="F5114" s="11">
        <v>6.2458381652832031</v>
      </c>
    </row>
    <row r="5115" spans="1:6" hidden="1" x14ac:dyDescent="0.3">
      <c r="A5115" s="6">
        <v>37</v>
      </c>
      <c r="B5115" s="6" t="s">
        <v>155</v>
      </c>
      <c r="C5115" s="6" t="s">
        <v>429</v>
      </c>
      <c r="D5115" s="6" t="s">
        <v>156</v>
      </c>
      <c r="E5115" s="11">
        <v>7.5456619262695313</v>
      </c>
      <c r="F5115" s="11">
        <v>6.2458381652832031</v>
      </c>
    </row>
    <row r="5116" spans="1:6" hidden="1" x14ac:dyDescent="0.3">
      <c r="A5116" s="6">
        <v>37</v>
      </c>
      <c r="B5116" s="6" t="s">
        <v>155</v>
      </c>
      <c r="C5116" s="6" t="s">
        <v>430</v>
      </c>
      <c r="D5116" s="6" t="s">
        <v>156</v>
      </c>
      <c r="E5116" s="11">
        <v>9.5400247573852539</v>
      </c>
      <c r="F5116" s="11">
        <v>6.2458381652832031</v>
      </c>
    </row>
    <row r="5117" spans="1:6" hidden="1" x14ac:dyDescent="0.3">
      <c r="A5117" s="6">
        <v>37</v>
      </c>
      <c r="B5117" s="6" t="s">
        <v>155</v>
      </c>
      <c r="C5117" s="6" t="s">
        <v>431</v>
      </c>
      <c r="D5117" s="6" t="s">
        <v>156</v>
      </c>
      <c r="E5117" s="11">
        <v>6.1865496635437012</v>
      </c>
      <c r="F5117" s="11">
        <v>6.2458381652832031</v>
      </c>
    </row>
    <row r="5118" spans="1:6" hidden="1" x14ac:dyDescent="0.3">
      <c r="A5118" s="6">
        <v>37</v>
      </c>
      <c r="B5118" s="6" t="s">
        <v>155</v>
      </c>
      <c r="C5118" s="6" t="s">
        <v>432</v>
      </c>
      <c r="D5118" s="6" t="s">
        <v>156</v>
      </c>
      <c r="E5118" s="11">
        <v>7.7392120361328125</v>
      </c>
      <c r="F5118" s="11">
        <v>6.2458381652832031</v>
      </c>
    </row>
    <row r="5119" spans="1:6" hidden="1" x14ac:dyDescent="0.3">
      <c r="A5119" s="6">
        <v>37</v>
      </c>
      <c r="B5119" s="6" t="s">
        <v>155</v>
      </c>
      <c r="C5119" s="6" t="s">
        <v>433</v>
      </c>
      <c r="D5119" s="6" t="s">
        <v>156</v>
      </c>
      <c r="E5119" s="11">
        <v>8.7367286682128906</v>
      </c>
      <c r="F5119" s="11">
        <v>6.2458381652832031</v>
      </c>
    </row>
    <row r="5120" spans="1:6" hidden="1" x14ac:dyDescent="0.3">
      <c r="A5120" s="6">
        <v>37</v>
      </c>
      <c r="B5120" s="6" t="s">
        <v>155</v>
      </c>
      <c r="C5120" s="6" t="s">
        <v>434</v>
      </c>
      <c r="D5120" s="6" t="s">
        <v>156</v>
      </c>
      <c r="E5120" s="11">
        <v>3.1284000873565674</v>
      </c>
      <c r="F5120" s="11">
        <v>6.2458381652832031</v>
      </c>
    </row>
    <row r="5121" spans="1:6" hidden="1" x14ac:dyDescent="0.3">
      <c r="A5121" s="6">
        <v>37</v>
      </c>
      <c r="B5121" s="6" t="s">
        <v>155</v>
      </c>
      <c r="C5121" s="6" t="s">
        <v>435</v>
      </c>
      <c r="D5121" s="6" t="s">
        <v>156</v>
      </c>
      <c r="E5121" s="11">
        <v>14.059038162231445</v>
      </c>
      <c r="F5121" s="11">
        <v>6.2458381652832031</v>
      </c>
    </row>
    <row r="5122" spans="1:6" hidden="1" x14ac:dyDescent="0.3">
      <c r="A5122" s="6">
        <v>37</v>
      </c>
      <c r="B5122" s="6" t="s">
        <v>155</v>
      </c>
      <c r="C5122" s="6" t="s">
        <v>436</v>
      </c>
      <c r="D5122" s="6" t="s">
        <v>156</v>
      </c>
      <c r="E5122" s="11">
        <v>6.9323320388793945</v>
      </c>
      <c r="F5122" s="11">
        <v>6.2458381652832031</v>
      </c>
    </row>
    <row r="5123" spans="1:6" hidden="1" x14ac:dyDescent="0.3">
      <c r="A5123" s="6">
        <v>37</v>
      </c>
      <c r="B5123" s="6" t="s">
        <v>155</v>
      </c>
      <c r="C5123" s="6" t="s">
        <v>437</v>
      </c>
      <c r="D5123" s="6" t="s">
        <v>156</v>
      </c>
      <c r="E5123" s="11">
        <v>5.807457447052002</v>
      </c>
      <c r="F5123" s="11">
        <v>6.2458381652832031</v>
      </c>
    </row>
    <row r="5124" spans="1:6" hidden="1" x14ac:dyDescent="0.3">
      <c r="A5124" s="6">
        <v>37</v>
      </c>
      <c r="B5124" s="6" t="s">
        <v>155</v>
      </c>
      <c r="C5124" s="6" t="s">
        <v>438</v>
      </c>
      <c r="D5124" s="6" t="s">
        <v>156</v>
      </c>
      <c r="E5124" s="11">
        <v>3.5790560245513916</v>
      </c>
      <c r="F5124" s="11">
        <v>6.2458381652832031</v>
      </c>
    </row>
    <row r="5125" spans="1:6" hidden="1" x14ac:dyDescent="0.3">
      <c r="A5125" s="6">
        <v>37</v>
      </c>
      <c r="B5125" s="6" t="s">
        <v>155</v>
      </c>
      <c r="C5125" s="6" t="s">
        <v>439</v>
      </c>
      <c r="D5125" s="6" t="s">
        <v>156</v>
      </c>
      <c r="E5125" s="11">
        <v>5.4497833251953125</v>
      </c>
      <c r="F5125" s="11">
        <v>6.2458381652832031</v>
      </c>
    </row>
    <row r="5126" spans="1:6" hidden="1" x14ac:dyDescent="0.3">
      <c r="A5126" s="6">
        <v>37</v>
      </c>
      <c r="B5126" s="6" t="s">
        <v>155</v>
      </c>
      <c r="C5126" s="6" t="s">
        <v>440</v>
      </c>
      <c r="D5126" s="6" t="s">
        <v>156</v>
      </c>
      <c r="E5126" s="11">
        <v>3.5988438129425049</v>
      </c>
      <c r="F5126" s="11">
        <v>6.2458381652832031</v>
      </c>
    </row>
    <row r="5127" spans="1:6" hidden="1" x14ac:dyDescent="0.3">
      <c r="A5127" s="6">
        <v>37</v>
      </c>
      <c r="B5127" s="6" t="s">
        <v>155</v>
      </c>
      <c r="C5127" s="6" t="s">
        <v>441</v>
      </c>
      <c r="D5127" s="6" t="s">
        <v>156</v>
      </c>
      <c r="E5127" s="11">
        <v>6.3159623146057129</v>
      </c>
      <c r="F5127" s="11">
        <v>6.2458381652832031</v>
      </c>
    </row>
    <row r="5128" spans="1:6" hidden="1" x14ac:dyDescent="0.3">
      <c r="A5128" s="6">
        <v>37</v>
      </c>
      <c r="B5128" s="6" t="s">
        <v>155</v>
      </c>
      <c r="C5128" s="6" t="s">
        <v>442</v>
      </c>
      <c r="D5128" s="6" t="s">
        <v>156</v>
      </c>
      <c r="E5128" s="11">
        <v>7.9998164176940918</v>
      </c>
      <c r="F5128" s="11">
        <v>6.2458381652832031</v>
      </c>
    </row>
    <row r="5129" spans="1:6" hidden="1" x14ac:dyDescent="0.3">
      <c r="A5129" s="6">
        <v>37</v>
      </c>
      <c r="B5129" s="6" t="s">
        <v>155</v>
      </c>
      <c r="C5129" s="6" t="s">
        <v>443</v>
      </c>
      <c r="D5129" s="6" t="s">
        <v>156</v>
      </c>
      <c r="E5129" s="11">
        <v>5.8691596984863281</v>
      </c>
      <c r="F5129" s="11">
        <v>6.2458381652832031</v>
      </c>
    </row>
    <row r="5130" spans="1:6" hidden="1" x14ac:dyDescent="0.3">
      <c r="A5130" s="6">
        <v>37</v>
      </c>
      <c r="B5130" s="6" t="s">
        <v>155</v>
      </c>
      <c r="C5130" s="6" t="s">
        <v>444</v>
      </c>
      <c r="D5130" s="6" t="s">
        <v>156</v>
      </c>
      <c r="E5130" s="11">
        <v>5.0352039337158203</v>
      </c>
      <c r="F5130" s="11">
        <v>6.2458381652832031</v>
      </c>
    </row>
    <row r="5131" spans="1:6" hidden="1" x14ac:dyDescent="0.3">
      <c r="A5131" s="6">
        <v>37</v>
      </c>
      <c r="B5131" s="6" t="s">
        <v>155</v>
      </c>
      <c r="C5131" s="6" t="s">
        <v>445</v>
      </c>
      <c r="D5131" s="6" t="s">
        <v>156</v>
      </c>
      <c r="E5131" s="11">
        <v>6.302370548248291</v>
      </c>
      <c r="F5131" s="11">
        <v>6.2458381652832031</v>
      </c>
    </row>
    <row r="5132" spans="1:6" hidden="1" x14ac:dyDescent="0.3">
      <c r="A5132" s="6">
        <v>37</v>
      </c>
      <c r="B5132" s="6" t="s">
        <v>155</v>
      </c>
      <c r="C5132" s="6" t="s">
        <v>446</v>
      </c>
      <c r="D5132" s="6" t="s">
        <v>156</v>
      </c>
      <c r="E5132" s="11">
        <v>6.7053289413452148</v>
      </c>
      <c r="F5132" s="11">
        <v>6.2458381652832031</v>
      </c>
    </row>
    <row r="5133" spans="1:6" hidden="1" x14ac:dyDescent="0.3">
      <c r="A5133" s="6">
        <v>37</v>
      </c>
      <c r="B5133" s="6" t="s">
        <v>155</v>
      </c>
      <c r="C5133" s="6" t="s">
        <v>447</v>
      </c>
      <c r="D5133" s="6" t="s">
        <v>156</v>
      </c>
      <c r="E5133" s="11">
        <v>6.2371444702148438</v>
      </c>
      <c r="F5133" s="11">
        <v>6.2458381652832031</v>
      </c>
    </row>
    <row r="5134" spans="1:6" hidden="1" x14ac:dyDescent="0.3">
      <c r="A5134" s="6">
        <v>37</v>
      </c>
      <c r="B5134" s="6" t="s">
        <v>155</v>
      </c>
      <c r="C5134" s="6" t="s">
        <v>448</v>
      </c>
      <c r="D5134" s="6" t="s">
        <v>156</v>
      </c>
      <c r="E5134" s="11">
        <v>7.9995636940002441</v>
      </c>
      <c r="F5134" s="11">
        <v>6.2458381652832031</v>
      </c>
    </row>
    <row r="5135" spans="1:6" hidden="1" x14ac:dyDescent="0.3">
      <c r="A5135" s="6">
        <v>37</v>
      </c>
      <c r="B5135" s="6" t="s">
        <v>155</v>
      </c>
      <c r="C5135" s="6" t="s">
        <v>449</v>
      </c>
      <c r="D5135" s="6" t="s">
        <v>156</v>
      </c>
      <c r="E5135" s="11">
        <v>3.8610811233520508</v>
      </c>
      <c r="F5135" s="11">
        <v>6.2458381652832031</v>
      </c>
    </row>
    <row r="5136" spans="1:6" hidden="1" x14ac:dyDescent="0.3">
      <c r="A5136" s="6">
        <v>37</v>
      </c>
      <c r="B5136" s="6" t="s">
        <v>155</v>
      </c>
      <c r="C5136" s="6" t="s">
        <v>450</v>
      </c>
      <c r="D5136" s="6" t="s">
        <v>156</v>
      </c>
      <c r="E5136" s="11">
        <v>6.0121583938598633</v>
      </c>
      <c r="F5136" s="11">
        <v>6.2458381652832031</v>
      </c>
    </row>
    <row r="5137" spans="1:6" hidden="1" x14ac:dyDescent="0.3">
      <c r="A5137" s="6">
        <v>37</v>
      </c>
      <c r="B5137" s="6" t="s">
        <v>155</v>
      </c>
      <c r="C5137" s="6" t="s">
        <v>451</v>
      </c>
      <c r="D5137" s="6" t="s">
        <v>156</v>
      </c>
      <c r="E5137" s="11">
        <v>7.0037450790405273</v>
      </c>
      <c r="F5137" s="11">
        <v>6.2458381652832031</v>
      </c>
    </row>
    <row r="5138" spans="1:6" hidden="1" x14ac:dyDescent="0.3">
      <c r="A5138" s="6">
        <v>37</v>
      </c>
      <c r="B5138" s="6" t="s">
        <v>155</v>
      </c>
      <c r="C5138" s="6" t="s">
        <v>452</v>
      </c>
      <c r="D5138" s="6" t="s">
        <v>156</v>
      </c>
      <c r="E5138" s="11">
        <v>7.1017441749572754</v>
      </c>
      <c r="F5138" s="11">
        <v>6.2458381652832031</v>
      </c>
    </row>
    <row r="5139" spans="1:6" hidden="1" x14ac:dyDescent="0.3">
      <c r="A5139" s="6">
        <v>37</v>
      </c>
      <c r="B5139" s="6" t="s">
        <v>155</v>
      </c>
      <c r="C5139" s="6" t="s">
        <v>453</v>
      </c>
      <c r="D5139" s="6" t="s">
        <v>156</v>
      </c>
      <c r="E5139" s="11">
        <v>4.0546050071716309</v>
      </c>
      <c r="F5139" s="11">
        <v>6.2458381652832031</v>
      </c>
    </row>
    <row r="5140" spans="1:6" hidden="1" x14ac:dyDescent="0.3">
      <c r="A5140" s="6">
        <v>37</v>
      </c>
      <c r="B5140" s="6" t="s">
        <v>155</v>
      </c>
      <c r="C5140" s="6" t="s">
        <v>454</v>
      </c>
      <c r="D5140" s="6" t="s">
        <v>156</v>
      </c>
      <c r="E5140" s="11">
        <v>5.6483798027038574</v>
      </c>
      <c r="F5140" s="11">
        <v>6.2458381652832031</v>
      </c>
    </row>
    <row r="5141" spans="1:6" hidden="1" x14ac:dyDescent="0.3">
      <c r="A5141" s="6">
        <v>37</v>
      </c>
      <c r="B5141" s="6" t="s">
        <v>155</v>
      </c>
      <c r="C5141" s="6" t="s">
        <v>455</v>
      </c>
      <c r="D5141" s="6" t="s">
        <v>156</v>
      </c>
      <c r="E5141" s="11">
        <v>5.451810359954834</v>
      </c>
      <c r="F5141" s="11">
        <v>6.2458381652832031</v>
      </c>
    </row>
    <row r="5142" spans="1:6" hidden="1" x14ac:dyDescent="0.3">
      <c r="A5142" s="6">
        <v>37</v>
      </c>
      <c r="B5142" s="6" t="s">
        <v>155</v>
      </c>
      <c r="C5142" s="6" t="s">
        <v>456</v>
      </c>
      <c r="D5142" s="6" t="s">
        <v>156</v>
      </c>
      <c r="E5142" s="11">
        <v>5.2374029159545898</v>
      </c>
      <c r="F5142" s="11">
        <v>6.2458381652832031</v>
      </c>
    </row>
    <row r="5143" spans="1:6" hidden="1" x14ac:dyDescent="0.3">
      <c r="A5143" s="6">
        <v>37</v>
      </c>
      <c r="B5143" s="6" t="s">
        <v>155</v>
      </c>
      <c r="C5143" s="6" t="s">
        <v>457</v>
      </c>
      <c r="D5143" s="6" t="s">
        <v>156</v>
      </c>
      <c r="E5143" s="11">
        <v>7.225616455078125</v>
      </c>
      <c r="F5143" s="11">
        <v>6.2458381652832031</v>
      </c>
    </row>
    <row r="5144" spans="1:6" hidden="1" x14ac:dyDescent="0.3">
      <c r="A5144" s="6">
        <v>37</v>
      </c>
      <c r="B5144" s="6" t="s">
        <v>155</v>
      </c>
      <c r="C5144" s="6" t="s">
        <v>458</v>
      </c>
      <c r="D5144" s="6" t="s">
        <v>156</v>
      </c>
      <c r="E5144" s="11">
        <v>6.8708434104919434</v>
      </c>
      <c r="F5144" s="11">
        <v>6.2458381652832031</v>
      </c>
    </row>
    <row r="5145" spans="1:6" hidden="1" x14ac:dyDescent="0.3">
      <c r="A5145" s="6">
        <v>37</v>
      </c>
      <c r="B5145" s="6" t="s">
        <v>155</v>
      </c>
      <c r="C5145" s="6" t="s">
        <v>459</v>
      </c>
      <c r="D5145" s="6" t="s">
        <v>156</v>
      </c>
      <c r="E5145" s="11">
        <v>5.8589391708374023</v>
      </c>
      <c r="F5145" s="11">
        <v>6.2458381652832031</v>
      </c>
    </row>
    <row r="5146" spans="1:6" hidden="1" x14ac:dyDescent="0.3">
      <c r="A5146" s="6">
        <v>37</v>
      </c>
      <c r="B5146" s="6" t="s">
        <v>155</v>
      </c>
      <c r="C5146" s="6" t="s">
        <v>460</v>
      </c>
      <c r="D5146" s="6" t="s">
        <v>156</v>
      </c>
      <c r="E5146" s="11">
        <v>10.287319183349609</v>
      </c>
      <c r="F5146" s="11">
        <v>6.2458381652832031</v>
      </c>
    </row>
    <row r="5147" spans="1:6" hidden="1" x14ac:dyDescent="0.3">
      <c r="A5147" s="6">
        <v>37</v>
      </c>
      <c r="B5147" s="6" t="s">
        <v>155</v>
      </c>
      <c r="C5147" s="6" t="s">
        <v>461</v>
      </c>
      <c r="D5147" s="6" t="s">
        <v>156</v>
      </c>
      <c r="E5147" s="11">
        <v>6.2206401824951172</v>
      </c>
      <c r="F5147" s="11">
        <v>6.2458381652832031</v>
      </c>
    </row>
    <row r="5148" spans="1:6" hidden="1" x14ac:dyDescent="0.3">
      <c r="A5148" s="6">
        <v>37</v>
      </c>
      <c r="B5148" s="6" t="s">
        <v>155</v>
      </c>
      <c r="C5148" s="6" t="s">
        <v>462</v>
      </c>
      <c r="D5148" s="6" t="s">
        <v>156</v>
      </c>
      <c r="E5148" s="11">
        <v>4.5644145011901855</v>
      </c>
      <c r="F5148" s="11">
        <v>6.2458381652832031</v>
      </c>
    </row>
    <row r="5149" spans="1:6" hidden="1" x14ac:dyDescent="0.3">
      <c r="A5149" s="6">
        <v>37</v>
      </c>
      <c r="B5149" s="6" t="s">
        <v>155</v>
      </c>
      <c r="C5149" s="6" t="s">
        <v>463</v>
      </c>
      <c r="D5149" s="6" t="s">
        <v>156</v>
      </c>
      <c r="E5149" s="11">
        <v>9.7734651565551758</v>
      </c>
      <c r="F5149" s="11">
        <v>6.2458381652832031</v>
      </c>
    </row>
    <row r="5150" spans="1:6" hidden="1" x14ac:dyDescent="0.3">
      <c r="A5150" s="6">
        <v>37</v>
      </c>
      <c r="B5150" s="6" t="s">
        <v>155</v>
      </c>
      <c r="C5150" s="6" t="s">
        <v>464</v>
      </c>
      <c r="D5150" s="6" t="s">
        <v>156</v>
      </c>
      <c r="E5150" s="11">
        <v>6.1090579032897949</v>
      </c>
      <c r="F5150" s="11">
        <v>6.2458381652832031</v>
      </c>
    </row>
    <row r="5151" spans="1:6" hidden="1" x14ac:dyDescent="0.3">
      <c r="A5151" s="6">
        <v>37</v>
      </c>
      <c r="B5151" s="6" t="s">
        <v>155</v>
      </c>
      <c r="C5151" s="6" t="s">
        <v>465</v>
      </c>
      <c r="D5151" s="6" t="s">
        <v>156</v>
      </c>
      <c r="E5151" s="11">
        <v>7.3510103225708008</v>
      </c>
      <c r="F5151" s="11">
        <v>6.2458381652832031</v>
      </c>
    </row>
    <row r="5152" spans="1:6" hidden="1" x14ac:dyDescent="0.3">
      <c r="A5152" s="6">
        <v>37</v>
      </c>
      <c r="B5152" s="6" t="s">
        <v>155</v>
      </c>
      <c r="C5152" s="6" t="s">
        <v>466</v>
      </c>
      <c r="D5152" s="6" t="s">
        <v>156</v>
      </c>
      <c r="E5152" s="11">
        <v>3.8086874485015869</v>
      </c>
      <c r="F5152" s="11">
        <v>6.2458381652832031</v>
      </c>
    </row>
    <row r="5153" spans="1:6" hidden="1" x14ac:dyDescent="0.3">
      <c r="A5153" s="6">
        <v>37</v>
      </c>
      <c r="B5153" s="6" t="s">
        <v>155</v>
      </c>
      <c r="C5153" s="6" t="s">
        <v>467</v>
      </c>
      <c r="D5153" s="6" t="s">
        <v>156</v>
      </c>
      <c r="E5153" s="11">
        <v>5.999852180480957</v>
      </c>
      <c r="F5153" s="11">
        <v>6.2458381652832031</v>
      </c>
    </row>
    <row r="5154" spans="1:6" hidden="1" x14ac:dyDescent="0.3">
      <c r="A5154" s="6">
        <v>37</v>
      </c>
      <c r="B5154" s="6" t="s">
        <v>155</v>
      </c>
      <c r="C5154" s="6" t="s">
        <v>468</v>
      </c>
      <c r="D5154" s="6" t="s">
        <v>156</v>
      </c>
      <c r="E5154" s="11">
        <v>11.695314407348633</v>
      </c>
      <c r="F5154" s="11">
        <v>6.2458381652832031</v>
      </c>
    </row>
    <row r="5155" spans="1:6" hidden="1" x14ac:dyDescent="0.3">
      <c r="A5155" s="6">
        <v>37</v>
      </c>
      <c r="B5155" s="6" t="s">
        <v>155</v>
      </c>
      <c r="C5155" s="6" t="s">
        <v>469</v>
      </c>
      <c r="D5155" s="6" t="s">
        <v>156</v>
      </c>
      <c r="E5155" s="11">
        <v>4.9892120361328125</v>
      </c>
      <c r="F5155" s="11">
        <v>6.2458381652832031</v>
      </c>
    </row>
    <row r="5156" spans="1:6" hidden="1" x14ac:dyDescent="0.3">
      <c r="A5156" s="6">
        <v>37</v>
      </c>
      <c r="B5156" s="6" t="s">
        <v>155</v>
      </c>
      <c r="C5156" s="6" t="s">
        <v>470</v>
      </c>
      <c r="D5156" s="6" t="s">
        <v>156</v>
      </c>
      <c r="E5156" s="11">
        <v>5.8813228607177734</v>
      </c>
      <c r="F5156" s="11">
        <v>6.2458381652832031</v>
      </c>
    </row>
    <row r="5157" spans="1:6" hidden="1" x14ac:dyDescent="0.3">
      <c r="A5157" s="6">
        <v>37</v>
      </c>
      <c r="B5157" s="6" t="s">
        <v>155</v>
      </c>
      <c r="C5157" s="6" t="s">
        <v>471</v>
      </c>
      <c r="D5157" s="6" t="s">
        <v>156</v>
      </c>
      <c r="E5157" s="11">
        <v>4.8644499778747559</v>
      </c>
      <c r="F5157" s="11">
        <v>6.2458381652832031</v>
      </c>
    </row>
    <row r="5158" spans="1:6" hidden="1" x14ac:dyDescent="0.3">
      <c r="A5158" s="6">
        <v>37</v>
      </c>
      <c r="B5158" s="6" t="s">
        <v>155</v>
      </c>
      <c r="C5158" s="6" t="s">
        <v>472</v>
      </c>
      <c r="D5158" s="6" t="s">
        <v>156</v>
      </c>
      <c r="E5158" s="11">
        <v>8.5620956420898438</v>
      </c>
      <c r="F5158" s="11">
        <v>6.2458381652832031</v>
      </c>
    </row>
    <row r="5159" spans="1:6" hidden="1" x14ac:dyDescent="0.3">
      <c r="A5159" s="6">
        <v>37</v>
      </c>
      <c r="B5159" s="6" t="s">
        <v>155</v>
      </c>
      <c r="C5159" s="6" t="s">
        <v>473</v>
      </c>
      <c r="D5159" s="6" t="s">
        <v>156</v>
      </c>
      <c r="E5159" s="11">
        <v>7.4613385200500488</v>
      </c>
      <c r="F5159" s="11">
        <v>6.2458381652832031</v>
      </c>
    </row>
    <row r="5160" spans="1:6" hidden="1" x14ac:dyDescent="0.3">
      <c r="A5160" s="6">
        <v>37</v>
      </c>
      <c r="B5160" s="6" t="s">
        <v>155</v>
      </c>
      <c r="C5160" s="6" t="s">
        <v>474</v>
      </c>
      <c r="D5160" s="6" t="s">
        <v>156</v>
      </c>
      <c r="E5160" s="11">
        <v>27.126194000244141</v>
      </c>
      <c r="F5160" s="11">
        <v>6.2458381652832031</v>
      </c>
    </row>
    <row r="5161" spans="1:6" hidden="1" x14ac:dyDescent="0.3">
      <c r="A5161" s="6">
        <v>37</v>
      </c>
      <c r="B5161" s="6" t="s">
        <v>155</v>
      </c>
      <c r="C5161" s="6" t="s">
        <v>475</v>
      </c>
      <c r="D5161" s="6" t="s">
        <v>156</v>
      </c>
      <c r="E5161" s="11">
        <v>6.9405059814453125</v>
      </c>
      <c r="F5161" s="11">
        <v>6.2458381652832031</v>
      </c>
    </row>
    <row r="5162" spans="1:6" hidden="1" x14ac:dyDescent="0.3">
      <c r="A5162" s="6">
        <v>37</v>
      </c>
      <c r="B5162" s="6" t="s">
        <v>155</v>
      </c>
      <c r="C5162" s="6" t="s">
        <v>476</v>
      </c>
      <c r="D5162" s="6" t="s">
        <v>156</v>
      </c>
      <c r="E5162" s="11">
        <v>6.1046204566955566</v>
      </c>
      <c r="F5162" s="11">
        <v>6.2458381652832031</v>
      </c>
    </row>
    <row r="5163" spans="1:6" hidden="1" x14ac:dyDescent="0.3">
      <c r="A5163" s="6">
        <v>37</v>
      </c>
      <c r="B5163" s="6" t="s">
        <v>155</v>
      </c>
      <c r="C5163" s="6" t="s">
        <v>477</v>
      </c>
      <c r="D5163" s="6" t="s">
        <v>156</v>
      </c>
      <c r="E5163" s="11">
        <v>6.758430004119873</v>
      </c>
      <c r="F5163" s="11">
        <v>6.2458381652832031</v>
      </c>
    </row>
    <row r="5164" spans="1:6" hidden="1" x14ac:dyDescent="0.3">
      <c r="A5164" s="6">
        <v>37</v>
      </c>
      <c r="B5164" s="6" t="s">
        <v>155</v>
      </c>
      <c r="C5164" s="6" t="s">
        <v>478</v>
      </c>
      <c r="D5164" s="6" t="s">
        <v>156</v>
      </c>
      <c r="E5164" s="11">
        <v>5.2358570098876953</v>
      </c>
      <c r="F5164" s="11">
        <v>6.2458381652832031</v>
      </c>
    </row>
    <row r="5165" spans="1:6" hidden="1" x14ac:dyDescent="0.3">
      <c r="A5165" s="6">
        <v>37</v>
      </c>
      <c r="B5165" s="6" t="s">
        <v>155</v>
      </c>
      <c r="C5165" s="6" t="s">
        <v>479</v>
      </c>
      <c r="D5165" s="6" t="s">
        <v>156</v>
      </c>
      <c r="E5165" s="11">
        <v>15.232755661010742</v>
      </c>
      <c r="F5165" s="11">
        <v>6.2458381652832031</v>
      </c>
    </row>
    <row r="5166" spans="1:6" hidden="1" x14ac:dyDescent="0.3">
      <c r="A5166" s="6">
        <v>37</v>
      </c>
      <c r="B5166" s="6" t="s">
        <v>155</v>
      </c>
      <c r="C5166" s="6" t="s">
        <v>480</v>
      </c>
      <c r="D5166" s="6" t="s">
        <v>156</v>
      </c>
      <c r="E5166" s="11">
        <v>7.8637776374816895</v>
      </c>
      <c r="F5166" s="11">
        <v>6.2458381652832031</v>
      </c>
    </row>
    <row r="5167" spans="1:6" hidden="1" x14ac:dyDescent="0.3">
      <c r="A5167" s="6">
        <v>37</v>
      </c>
      <c r="B5167" s="6" t="s">
        <v>155</v>
      </c>
      <c r="C5167" s="6" t="s">
        <v>481</v>
      </c>
      <c r="D5167" s="6" t="s">
        <v>156</v>
      </c>
      <c r="E5167" s="11">
        <v>6.3973793983459473</v>
      </c>
      <c r="F5167" s="11">
        <v>6.2458381652832031</v>
      </c>
    </row>
    <row r="5168" spans="1:6" hidden="1" x14ac:dyDescent="0.3">
      <c r="A5168" s="6">
        <v>37</v>
      </c>
      <c r="B5168" s="6" t="s">
        <v>155</v>
      </c>
      <c r="C5168" s="6" t="s">
        <v>482</v>
      </c>
      <c r="D5168" s="6" t="s">
        <v>156</v>
      </c>
      <c r="E5168" s="11">
        <v>6.3606505393981934</v>
      </c>
      <c r="F5168" s="11">
        <v>6.2458381652832031</v>
      </c>
    </row>
    <row r="5169" spans="1:6" hidden="1" x14ac:dyDescent="0.3">
      <c r="A5169" s="6">
        <v>37</v>
      </c>
      <c r="B5169" s="6" t="s">
        <v>155</v>
      </c>
      <c r="C5169" s="6" t="s">
        <v>483</v>
      </c>
      <c r="D5169" s="6" t="s">
        <v>156</v>
      </c>
      <c r="E5169" s="11">
        <v>10.448719024658203</v>
      </c>
      <c r="F5169" s="11">
        <v>6.2458381652832031</v>
      </c>
    </row>
    <row r="5170" spans="1:6" hidden="1" x14ac:dyDescent="0.3">
      <c r="A5170" s="6">
        <v>37</v>
      </c>
      <c r="B5170" s="6" t="s">
        <v>155</v>
      </c>
      <c r="C5170" s="6" t="s">
        <v>484</v>
      </c>
      <c r="D5170" s="6" t="s">
        <v>156</v>
      </c>
      <c r="E5170" s="11">
        <v>7.1546063423156738</v>
      </c>
      <c r="F5170" s="11">
        <v>6.2458381652832031</v>
      </c>
    </row>
    <row r="5171" spans="1:6" hidden="1" x14ac:dyDescent="0.3">
      <c r="A5171" s="6">
        <v>37</v>
      </c>
      <c r="B5171" s="6" t="s">
        <v>155</v>
      </c>
      <c r="C5171" s="6" t="s">
        <v>485</v>
      </c>
      <c r="D5171" s="6" t="s">
        <v>156</v>
      </c>
      <c r="E5171" s="11">
        <v>4.2269787788391113</v>
      </c>
      <c r="F5171" s="11">
        <v>6.2458381652832031</v>
      </c>
    </row>
    <row r="5172" spans="1:6" hidden="1" x14ac:dyDescent="0.3">
      <c r="A5172" s="6">
        <v>37</v>
      </c>
      <c r="B5172" s="6" t="s">
        <v>155</v>
      </c>
      <c r="C5172" s="6" t="s">
        <v>486</v>
      </c>
      <c r="D5172" s="6" t="s">
        <v>156</v>
      </c>
      <c r="E5172" s="11">
        <v>7.8726816177368164</v>
      </c>
      <c r="F5172" s="11">
        <v>6.2458381652832031</v>
      </c>
    </row>
    <row r="5173" spans="1:6" hidden="1" x14ac:dyDescent="0.3">
      <c r="A5173" s="6">
        <v>37</v>
      </c>
      <c r="B5173" s="6" t="s">
        <v>155</v>
      </c>
      <c r="C5173" s="6" t="s">
        <v>487</v>
      </c>
      <c r="D5173" s="6" t="s">
        <v>156</v>
      </c>
      <c r="E5173" s="11">
        <v>6.2563118934631348</v>
      </c>
      <c r="F5173" s="11">
        <v>6.2458381652832031</v>
      </c>
    </row>
    <row r="5174" spans="1:6" hidden="1" x14ac:dyDescent="0.3">
      <c r="A5174" s="6">
        <v>37</v>
      </c>
      <c r="B5174" s="6" t="s">
        <v>155</v>
      </c>
      <c r="C5174" s="6" t="s">
        <v>488</v>
      </c>
      <c r="D5174" s="6" t="s">
        <v>156</v>
      </c>
      <c r="E5174" s="11">
        <v>6.4517121315002441</v>
      </c>
      <c r="F5174" s="11">
        <v>6.2458381652832031</v>
      </c>
    </row>
    <row r="5175" spans="1:6" hidden="1" x14ac:dyDescent="0.3">
      <c r="A5175" s="6">
        <v>37</v>
      </c>
      <c r="B5175" s="6" t="s">
        <v>155</v>
      </c>
      <c r="C5175" s="6" t="s">
        <v>489</v>
      </c>
      <c r="D5175" s="6" t="s">
        <v>156</v>
      </c>
      <c r="E5175" s="11">
        <v>8.241084098815918</v>
      </c>
      <c r="F5175" s="11">
        <v>6.2458381652832031</v>
      </c>
    </row>
    <row r="5176" spans="1:6" hidden="1" x14ac:dyDescent="0.3">
      <c r="A5176" s="6">
        <v>37</v>
      </c>
      <c r="B5176" s="6" t="s">
        <v>155</v>
      </c>
      <c r="C5176" s="6" t="s">
        <v>490</v>
      </c>
      <c r="D5176" s="6" t="s">
        <v>156</v>
      </c>
      <c r="E5176" s="11">
        <v>6.0748100280761719</v>
      </c>
      <c r="F5176" s="11">
        <v>6.2458381652832031</v>
      </c>
    </row>
    <row r="5177" spans="1:6" hidden="1" x14ac:dyDescent="0.3">
      <c r="A5177" s="6">
        <v>37</v>
      </c>
      <c r="B5177" s="6" t="s">
        <v>155</v>
      </c>
      <c r="C5177" s="6" t="s">
        <v>491</v>
      </c>
      <c r="D5177" s="6" t="s">
        <v>156</v>
      </c>
      <c r="E5177" s="11">
        <v>8.5369768142700195</v>
      </c>
      <c r="F5177" s="11">
        <v>6.2458381652832031</v>
      </c>
    </row>
    <row r="5178" spans="1:6" hidden="1" x14ac:dyDescent="0.3">
      <c r="A5178" s="6">
        <v>37</v>
      </c>
      <c r="B5178" s="6" t="s">
        <v>155</v>
      </c>
      <c r="C5178" s="6" t="s">
        <v>492</v>
      </c>
      <c r="D5178" s="6" t="s">
        <v>156</v>
      </c>
      <c r="E5178" s="11">
        <v>7.2521734237670898</v>
      </c>
      <c r="F5178" s="11">
        <v>6.2458381652832031</v>
      </c>
    </row>
    <row r="5179" spans="1:6" hidden="1" x14ac:dyDescent="0.3">
      <c r="A5179" s="6">
        <v>37</v>
      </c>
      <c r="B5179" s="6" t="s">
        <v>155</v>
      </c>
      <c r="C5179" s="6" t="s">
        <v>493</v>
      </c>
      <c r="D5179" s="6" t="s">
        <v>156</v>
      </c>
      <c r="E5179" s="11">
        <v>6.6482944488525391</v>
      </c>
      <c r="F5179" s="11">
        <v>6.2458381652832031</v>
      </c>
    </row>
    <row r="5180" spans="1:6" hidden="1" x14ac:dyDescent="0.3">
      <c r="A5180" s="6">
        <v>37</v>
      </c>
      <c r="B5180" s="6" t="s">
        <v>155</v>
      </c>
      <c r="C5180" s="6" t="s">
        <v>494</v>
      </c>
      <c r="D5180" s="6" t="s">
        <v>156</v>
      </c>
      <c r="E5180" s="11">
        <v>20.351076126098633</v>
      </c>
      <c r="F5180" s="11">
        <v>6.2458381652832031</v>
      </c>
    </row>
    <row r="5181" spans="1:6" hidden="1" x14ac:dyDescent="0.3">
      <c r="A5181" s="6">
        <v>37</v>
      </c>
      <c r="B5181" s="6" t="s">
        <v>155</v>
      </c>
      <c r="C5181" s="6" t="s">
        <v>495</v>
      </c>
      <c r="D5181" s="6" t="s">
        <v>156</v>
      </c>
      <c r="E5181" s="11">
        <v>4.4586730003356934</v>
      </c>
      <c r="F5181" s="11">
        <v>6.2458381652832031</v>
      </c>
    </row>
    <row r="5182" spans="1:6" hidden="1" x14ac:dyDescent="0.3">
      <c r="A5182" s="6">
        <v>38</v>
      </c>
      <c r="B5182" s="6" t="s">
        <v>157</v>
      </c>
      <c r="C5182" s="6" t="s">
        <v>356</v>
      </c>
      <c r="D5182" s="6" t="s">
        <v>158</v>
      </c>
      <c r="E5182" s="11">
        <v>4.919611930847168</v>
      </c>
      <c r="F5182" s="11">
        <v>8.7536153793334961</v>
      </c>
    </row>
    <row r="5183" spans="1:6" hidden="1" x14ac:dyDescent="0.3">
      <c r="A5183" s="6">
        <v>38</v>
      </c>
      <c r="B5183" s="6" t="s">
        <v>157</v>
      </c>
      <c r="C5183" s="6" t="s">
        <v>357</v>
      </c>
      <c r="D5183" s="6" t="s">
        <v>158</v>
      </c>
      <c r="E5183" s="11">
        <v>4.0463061332702637</v>
      </c>
      <c r="F5183" s="11">
        <v>8.7536153793334961</v>
      </c>
    </row>
    <row r="5184" spans="1:6" hidden="1" x14ac:dyDescent="0.3">
      <c r="A5184" s="6">
        <v>38</v>
      </c>
      <c r="B5184" s="6" t="s">
        <v>157</v>
      </c>
      <c r="C5184" s="6" t="s">
        <v>358</v>
      </c>
      <c r="D5184" s="6" t="s">
        <v>158</v>
      </c>
      <c r="E5184" s="11">
        <v>6.2778301239013672</v>
      </c>
      <c r="F5184" s="11">
        <v>8.7536153793334961</v>
      </c>
    </row>
    <row r="5185" spans="1:6" hidden="1" x14ac:dyDescent="0.3">
      <c r="A5185" s="6">
        <v>38</v>
      </c>
      <c r="B5185" s="6" t="s">
        <v>157</v>
      </c>
      <c r="C5185" s="6" t="s">
        <v>359</v>
      </c>
      <c r="D5185" s="6" t="s">
        <v>158</v>
      </c>
      <c r="E5185" s="11">
        <v>20.109764099121094</v>
      </c>
      <c r="F5185" s="11">
        <v>8.7536153793334961</v>
      </c>
    </row>
    <row r="5186" spans="1:6" hidden="1" x14ac:dyDescent="0.3">
      <c r="A5186" s="6">
        <v>38</v>
      </c>
      <c r="B5186" s="6" t="s">
        <v>157</v>
      </c>
      <c r="C5186" s="6" t="s">
        <v>360</v>
      </c>
      <c r="D5186" s="6" t="s">
        <v>158</v>
      </c>
      <c r="E5186" s="11">
        <v>6.5418210029602051</v>
      </c>
      <c r="F5186" s="11">
        <v>8.7536153793334961</v>
      </c>
    </row>
    <row r="5187" spans="1:6" hidden="1" x14ac:dyDescent="0.3">
      <c r="A5187" s="6">
        <v>38</v>
      </c>
      <c r="B5187" s="6" t="s">
        <v>157</v>
      </c>
      <c r="C5187" s="6" t="s">
        <v>361</v>
      </c>
      <c r="D5187" s="6" t="s">
        <v>158</v>
      </c>
      <c r="E5187" s="11">
        <v>9.2992916107177734</v>
      </c>
      <c r="F5187" s="11">
        <v>8.7536153793334961</v>
      </c>
    </row>
    <row r="5188" spans="1:6" hidden="1" x14ac:dyDescent="0.3">
      <c r="A5188" s="6">
        <v>38</v>
      </c>
      <c r="B5188" s="6" t="s">
        <v>157</v>
      </c>
      <c r="C5188" s="6" t="s">
        <v>362</v>
      </c>
      <c r="D5188" s="6" t="s">
        <v>158</v>
      </c>
      <c r="E5188" s="11">
        <v>13.570838928222656</v>
      </c>
      <c r="F5188" s="11">
        <v>8.7536153793334961</v>
      </c>
    </row>
    <row r="5189" spans="1:6" hidden="1" x14ac:dyDescent="0.3">
      <c r="A5189" s="6">
        <v>38</v>
      </c>
      <c r="B5189" s="6" t="s">
        <v>157</v>
      </c>
      <c r="C5189" s="6" t="s">
        <v>363</v>
      </c>
      <c r="D5189" s="6" t="s">
        <v>158</v>
      </c>
      <c r="E5189" s="11">
        <v>12.388337135314941</v>
      </c>
      <c r="F5189" s="11">
        <v>8.7536153793334961</v>
      </c>
    </row>
    <row r="5190" spans="1:6" hidden="1" x14ac:dyDescent="0.3">
      <c r="A5190" s="6">
        <v>38</v>
      </c>
      <c r="B5190" s="6" t="s">
        <v>157</v>
      </c>
      <c r="C5190" s="6" t="s">
        <v>364</v>
      </c>
      <c r="D5190" s="6" t="s">
        <v>158</v>
      </c>
      <c r="E5190" s="11">
        <v>3882.06005859375</v>
      </c>
      <c r="F5190" s="11">
        <v>8.7536153793334961</v>
      </c>
    </row>
    <row r="5191" spans="1:6" hidden="1" x14ac:dyDescent="0.3">
      <c r="A5191" s="6">
        <v>38</v>
      </c>
      <c r="B5191" s="6" t="s">
        <v>157</v>
      </c>
      <c r="C5191" s="6" t="s">
        <v>365</v>
      </c>
      <c r="D5191" s="6" t="s">
        <v>158</v>
      </c>
      <c r="E5191" s="11">
        <v>3.4762890338897705</v>
      </c>
      <c r="F5191" s="11">
        <v>8.7536153793334961</v>
      </c>
    </row>
    <row r="5192" spans="1:6" hidden="1" x14ac:dyDescent="0.3">
      <c r="A5192" s="6">
        <v>38</v>
      </c>
      <c r="B5192" s="6" t="s">
        <v>157</v>
      </c>
      <c r="C5192" s="6" t="s">
        <v>366</v>
      </c>
      <c r="D5192" s="6" t="s">
        <v>158</v>
      </c>
      <c r="E5192" s="11">
        <v>5.4748005867004395</v>
      </c>
      <c r="F5192" s="11">
        <v>8.7536153793334961</v>
      </c>
    </row>
    <row r="5193" spans="1:6" hidden="1" x14ac:dyDescent="0.3">
      <c r="A5193" s="6">
        <v>38</v>
      </c>
      <c r="B5193" s="6" t="s">
        <v>157</v>
      </c>
      <c r="C5193" s="6" t="s">
        <v>367</v>
      </c>
      <c r="D5193" s="6" t="s">
        <v>158</v>
      </c>
      <c r="E5193" s="11">
        <v>7.9626879692077637</v>
      </c>
      <c r="F5193" s="11">
        <v>8.7536153793334961</v>
      </c>
    </row>
    <row r="5194" spans="1:6" hidden="1" x14ac:dyDescent="0.3">
      <c r="A5194" s="6">
        <v>38</v>
      </c>
      <c r="B5194" s="6" t="s">
        <v>157</v>
      </c>
      <c r="C5194" s="6" t="s">
        <v>368</v>
      </c>
      <c r="D5194" s="6" t="s">
        <v>158</v>
      </c>
      <c r="E5194" s="11">
        <v>4.2567834854125977</v>
      </c>
      <c r="F5194" s="11">
        <v>8.7536153793334961</v>
      </c>
    </row>
    <row r="5195" spans="1:6" hidden="1" x14ac:dyDescent="0.3">
      <c r="A5195" s="6">
        <v>38</v>
      </c>
      <c r="B5195" s="6" t="s">
        <v>157</v>
      </c>
      <c r="C5195" s="6" t="s">
        <v>369</v>
      </c>
      <c r="D5195" s="6" t="s">
        <v>158</v>
      </c>
      <c r="E5195" s="11">
        <v>6.5433311462402344</v>
      </c>
      <c r="F5195" s="11">
        <v>8.7536153793334961</v>
      </c>
    </row>
    <row r="5196" spans="1:6" hidden="1" x14ac:dyDescent="0.3">
      <c r="A5196" s="6">
        <v>38</v>
      </c>
      <c r="B5196" s="6" t="s">
        <v>157</v>
      </c>
      <c r="C5196" s="6" t="s">
        <v>370</v>
      </c>
      <c r="D5196" s="6" t="s">
        <v>158</v>
      </c>
      <c r="E5196" s="11">
        <v>23.151247024536133</v>
      </c>
      <c r="F5196" s="11">
        <v>8.7536153793334961</v>
      </c>
    </row>
    <row r="5197" spans="1:6" hidden="1" x14ac:dyDescent="0.3">
      <c r="A5197" s="6">
        <v>38</v>
      </c>
      <c r="B5197" s="6" t="s">
        <v>157</v>
      </c>
      <c r="C5197" s="6" t="s">
        <v>371</v>
      </c>
      <c r="D5197" s="6" t="s">
        <v>158</v>
      </c>
      <c r="E5197" s="11">
        <v>9.2408761978149414</v>
      </c>
      <c r="F5197" s="11">
        <v>8.7536153793334961</v>
      </c>
    </row>
    <row r="5198" spans="1:6" hidden="1" x14ac:dyDescent="0.3">
      <c r="A5198" s="6">
        <v>38</v>
      </c>
      <c r="B5198" s="6" t="s">
        <v>157</v>
      </c>
      <c r="C5198" s="6" t="s">
        <v>372</v>
      </c>
      <c r="D5198" s="6" t="s">
        <v>158</v>
      </c>
      <c r="E5198" s="11"/>
      <c r="F5198" s="11">
        <v>8.7536153793334961</v>
      </c>
    </row>
    <row r="5199" spans="1:6" hidden="1" x14ac:dyDescent="0.3">
      <c r="A5199" s="6">
        <v>38</v>
      </c>
      <c r="B5199" s="6" t="s">
        <v>157</v>
      </c>
      <c r="C5199" s="6" t="s">
        <v>373</v>
      </c>
      <c r="D5199" s="6" t="s">
        <v>158</v>
      </c>
      <c r="E5199" s="11">
        <v>26.056364059448242</v>
      </c>
      <c r="F5199" s="11">
        <v>8.7536153793334961</v>
      </c>
    </row>
    <row r="5200" spans="1:6" hidden="1" x14ac:dyDescent="0.3">
      <c r="A5200" s="6">
        <v>38</v>
      </c>
      <c r="B5200" s="6" t="s">
        <v>157</v>
      </c>
      <c r="C5200" s="6" t="s">
        <v>374</v>
      </c>
      <c r="D5200" s="6" t="s">
        <v>158</v>
      </c>
      <c r="E5200" s="11">
        <v>7.2992777824401855</v>
      </c>
      <c r="F5200" s="11">
        <v>8.7536153793334961</v>
      </c>
    </row>
    <row r="5201" spans="1:6" hidden="1" x14ac:dyDescent="0.3">
      <c r="A5201" s="6">
        <v>38</v>
      </c>
      <c r="B5201" s="6" t="s">
        <v>157</v>
      </c>
      <c r="C5201" s="6" t="s">
        <v>375</v>
      </c>
      <c r="D5201" s="6" t="s">
        <v>158</v>
      </c>
      <c r="E5201" s="11">
        <v>6.9326815605163574</v>
      </c>
      <c r="F5201" s="11">
        <v>8.7536153793334961</v>
      </c>
    </row>
    <row r="5202" spans="1:6" hidden="1" x14ac:dyDescent="0.3">
      <c r="A5202" s="6">
        <v>38</v>
      </c>
      <c r="B5202" s="6" t="s">
        <v>157</v>
      </c>
      <c r="C5202" s="6" t="s">
        <v>376</v>
      </c>
      <c r="D5202" s="6" t="s">
        <v>158</v>
      </c>
      <c r="E5202" s="11">
        <v>4.7064642906188965</v>
      </c>
      <c r="F5202" s="11">
        <v>8.7536153793334961</v>
      </c>
    </row>
    <row r="5203" spans="1:6" hidden="1" x14ac:dyDescent="0.3">
      <c r="A5203" s="6">
        <v>38</v>
      </c>
      <c r="B5203" s="6" t="s">
        <v>157</v>
      </c>
      <c r="C5203" s="6" t="s">
        <v>377</v>
      </c>
      <c r="D5203" s="6" t="s">
        <v>158</v>
      </c>
      <c r="E5203" s="11">
        <v>9.6683206558227539</v>
      </c>
      <c r="F5203" s="11">
        <v>8.7536153793334961</v>
      </c>
    </row>
    <row r="5204" spans="1:6" hidden="1" x14ac:dyDescent="0.3">
      <c r="A5204" s="6">
        <v>38</v>
      </c>
      <c r="B5204" s="6" t="s">
        <v>157</v>
      </c>
      <c r="C5204" s="6" t="s">
        <v>378</v>
      </c>
      <c r="D5204" s="6" t="s">
        <v>158</v>
      </c>
      <c r="E5204" s="11">
        <v>9.7556343078613281</v>
      </c>
      <c r="F5204" s="11">
        <v>8.7536153793334961</v>
      </c>
    </row>
    <row r="5205" spans="1:6" hidden="1" x14ac:dyDescent="0.3">
      <c r="A5205" s="6">
        <v>38</v>
      </c>
      <c r="B5205" s="6" t="s">
        <v>157</v>
      </c>
      <c r="C5205" s="6" t="s">
        <v>379</v>
      </c>
      <c r="D5205" s="6" t="s">
        <v>158</v>
      </c>
      <c r="E5205" s="11">
        <v>27.852178573608398</v>
      </c>
      <c r="F5205" s="11">
        <v>8.7536153793334961</v>
      </c>
    </row>
    <row r="5206" spans="1:6" hidden="1" x14ac:dyDescent="0.3">
      <c r="A5206" s="6">
        <v>38</v>
      </c>
      <c r="B5206" s="6" t="s">
        <v>157</v>
      </c>
      <c r="C5206" s="6" t="s">
        <v>380</v>
      </c>
      <c r="D5206" s="6" t="s">
        <v>158</v>
      </c>
      <c r="E5206" s="11">
        <v>7.581486701965332</v>
      </c>
      <c r="F5206" s="11">
        <v>8.7536153793334961</v>
      </c>
    </row>
    <row r="5207" spans="1:6" hidden="1" x14ac:dyDescent="0.3">
      <c r="A5207" s="6">
        <v>38</v>
      </c>
      <c r="B5207" s="6" t="s">
        <v>157</v>
      </c>
      <c r="C5207" s="6" t="s">
        <v>381</v>
      </c>
      <c r="D5207" s="6" t="s">
        <v>158</v>
      </c>
      <c r="E5207" s="11">
        <v>7.1808733940124512</v>
      </c>
      <c r="F5207" s="11">
        <v>8.7536153793334961</v>
      </c>
    </row>
    <row r="5208" spans="1:6" hidden="1" x14ac:dyDescent="0.3">
      <c r="A5208" s="6">
        <v>38</v>
      </c>
      <c r="B5208" s="6" t="s">
        <v>157</v>
      </c>
      <c r="C5208" s="6" t="s">
        <v>382</v>
      </c>
      <c r="D5208" s="6" t="s">
        <v>158</v>
      </c>
      <c r="E5208" s="11">
        <v>12.533126831054688</v>
      </c>
      <c r="F5208" s="11">
        <v>8.7536153793334961</v>
      </c>
    </row>
    <row r="5209" spans="1:6" hidden="1" x14ac:dyDescent="0.3">
      <c r="A5209" s="6">
        <v>38</v>
      </c>
      <c r="B5209" s="6" t="s">
        <v>157</v>
      </c>
      <c r="C5209" s="6" t="s">
        <v>383</v>
      </c>
      <c r="D5209" s="6" t="s">
        <v>158</v>
      </c>
      <c r="E5209" s="11">
        <v>11.24717903137207</v>
      </c>
      <c r="F5209" s="11">
        <v>8.7536153793334961</v>
      </c>
    </row>
    <row r="5210" spans="1:6" hidden="1" x14ac:dyDescent="0.3">
      <c r="A5210" s="6">
        <v>38</v>
      </c>
      <c r="B5210" s="6" t="s">
        <v>157</v>
      </c>
      <c r="C5210" s="6" t="s">
        <v>384</v>
      </c>
      <c r="D5210" s="6" t="s">
        <v>158</v>
      </c>
      <c r="E5210" s="11">
        <v>10.041244506835938</v>
      </c>
      <c r="F5210" s="11">
        <v>8.7536153793334961</v>
      </c>
    </row>
    <row r="5211" spans="1:6" hidden="1" x14ac:dyDescent="0.3">
      <c r="A5211" s="6">
        <v>38</v>
      </c>
      <c r="B5211" s="6" t="s">
        <v>157</v>
      </c>
      <c r="C5211" s="6" t="s">
        <v>385</v>
      </c>
      <c r="D5211" s="6" t="s">
        <v>158</v>
      </c>
      <c r="E5211" s="11">
        <v>9.7571144104003906</v>
      </c>
      <c r="F5211" s="11">
        <v>8.7536153793334961</v>
      </c>
    </row>
    <row r="5212" spans="1:6" hidden="1" x14ac:dyDescent="0.3">
      <c r="A5212" s="6">
        <v>38</v>
      </c>
      <c r="B5212" s="6" t="s">
        <v>157</v>
      </c>
      <c r="C5212" s="6" t="s">
        <v>386</v>
      </c>
      <c r="D5212" s="6" t="s">
        <v>158</v>
      </c>
      <c r="E5212" s="11">
        <v>5.4551105499267578</v>
      </c>
      <c r="F5212" s="11">
        <v>8.7536153793334961</v>
      </c>
    </row>
    <row r="5213" spans="1:6" hidden="1" x14ac:dyDescent="0.3">
      <c r="A5213" s="6">
        <v>38</v>
      </c>
      <c r="B5213" s="6" t="s">
        <v>157</v>
      </c>
      <c r="C5213" s="6" t="s">
        <v>387</v>
      </c>
      <c r="D5213" s="6" t="s">
        <v>158</v>
      </c>
      <c r="E5213" s="11">
        <v>37.688938140869141</v>
      </c>
      <c r="F5213" s="11">
        <v>8.7536153793334961</v>
      </c>
    </row>
    <row r="5214" spans="1:6" hidden="1" x14ac:dyDescent="0.3">
      <c r="A5214" s="6">
        <v>38</v>
      </c>
      <c r="B5214" s="6" t="s">
        <v>157</v>
      </c>
      <c r="C5214" s="6" t="s">
        <v>388</v>
      </c>
      <c r="D5214" s="6" t="s">
        <v>158</v>
      </c>
      <c r="E5214" s="11">
        <v>7.3803353309631348</v>
      </c>
      <c r="F5214" s="11">
        <v>8.7536153793334961</v>
      </c>
    </row>
    <row r="5215" spans="1:6" hidden="1" x14ac:dyDescent="0.3">
      <c r="A5215" s="6">
        <v>38</v>
      </c>
      <c r="B5215" s="6" t="s">
        <v>157</v>
      </c>
      <c r="C5215" s="6" t="s">
        <v>389</v>
      </c>
      <c r="D5215" s="6" t="s">
        <v>158</v>
      </c>
      <c r="E5215" s="11">
        <v>9.0007390975952148</v>
      </c>
      <c r="F5215" s="11">
        <v>8.7536153793334961</v>
      </c>
    </row>
    <row r="5216" spans="1:6" hidden="1" x14ac:dyDescent="0.3">
      <c r="A5216" s="6">
        <v>38</v>
      </c>
      <c r="B5216" s="6" t="s">
        <v>157</v>
      </c>
      <c r="C5216" s="6" t="s">
        <v>390</v>
      </c>
      <c r="D5216" s="6" t="s">
        <v>158</v>
      </c>
      <c r="E5216" s="11">
        <v>6.5376715660095215</v>
      </c>
      <c r="F5216" s="11">
        <v>8.7536153793334961</v>
      </c>
    </row>
    <row r="5217" spans="1:6" hidden="1" x14ac:dyDescent="0.3">
      <c r="A5217" s="6">
        <v>38</v>
      </c>
      <c r="B5217" s="6" t="s">
        <v>157</v>
      </c>
      <c r="C5217" s="6" t="s">
        <v>391</v>
      </c>
      <c r="D5217" s="6" t="s">
        <v>158</v>
      </c>
      <c r="E5217" s="11">
        <v>38.7120361328125</v>
      </c>
      <c r="F5217" s="11">
        <v>8.7536153793334961</v>
      </c>
    </row>
    <row r="5218" spans="1:6" hidden="1" x14ac:dyDescent="0.3">
      <c r="A5218" s="6">
        <v>38</v>
      </c>
      <c r="B5218" s="6" t="s">
        <v>157</v>
      </c>
      <c r="C5218" s="6" t="s">
        <v>392</v>
      </c>
      <c r="D5218" s="6" t="s">
        <v>158</v>
      </c>
      <c r="E5218" s="11">
        <v>9.143427848815918</v>
      </c>
      <c r="F5218" s="11">
        <v>8.7536153793334961</v>
      </c>
    </row>
    <row r="5219" spans="1:6" hidden="1" x14ac:dyDescent="0.3">
      <c r="A5219" s="6">
        <v>38</v>
      </c>
      <c r="B5219" s="6" t="s">
        <v>157</v>
      </c>
      <c r="C5219" s="6" t="s">
        <v>393</v>
      </c>
      <c r="D5219" s="6" t="s">
        <v>158</v>
      </c>
      <c r="E5219" s="11">
        <v>10.127351760864258</v>
      </c>
      <c r="F5219" s="11">
        <v>8.7536153793334961</v>
      </c>
    </row>
    <row r="5220" spans="1:6" hidden="1" x14ac:dyDescent="0.3">
      <c r="A5220" s="6">
        <v>38</v>
      </c>
      <c r="B5220" s="6" t="s">
        <v>157</v>
      </c>
      <c r="C5220" s="6" t="s">
        <v>394</v>
      </c>
      <c r="D5220" s="6" t="s">
        <v>158</v>
      </c>
      <c r="E5220" s="11">
        <v>7.8653230667114258</v>
      </c>
      <c r="F5220" s="11">
        <v>8.7536153793334961</v>
      </c>
    </row>
    <row r="5221" spans="1:6" hidden="1" x14ac:dyDescent="0.3">
      <c r="A5221" s="6">
        <v>38</v>
      </c>
      <c r="B5221" s="6" t="s">
        <v>157</v>
      </c>
      <c r="C5221" s="6" t="s">
        <v>395</v>
      </c>
      <c r="D5221" s="6" t="s">
        <v>158</v>
      </c>
      <c r="E5221" s="11">
        <v>8.8851356506347656</v>
      </c>
      <c r="F5221" s="11">
        <v>8.7536153793334961</v>
      </c>
    </row>
    <row r="5222" spans="1:6" hidden="1" x14ac:dyDescent="0.3">
      <c r="A5222" s="6">
        <v>38</v>
      </c>
      <c r="B5222" s="6" t="s">
        <v>157</v>
      </c>
      <c r="C5222" s="6" t="s">
        <v>396</v>
      </c>
      <c r="D5222" s="6" t="s">
        <v>158</v>
      </c>
      <c r="E5222" s="11">
        <v>3945.06005859375</v>
      </c>
      <c r="F5222" s="11">
        <v>8.7536153793334961</v>
      </c>
    </row>
    <row r="5223" spans="1:6" hidden="1" x14ac:dyDescent="0.3">
      <c r="A5223" s="6">
        <v>38</v>
      </c>
      <c r="B5223" s="6" t="s">
        <v>157</v>
      </c>
      <c r="C5223" s="6" t="s">
        <v>397</v>
      </c>
      <c r="D5223" s="6" t="s">
        <v>158</v>
      </c>
      <c r="E5223" s="11">
        <v>1525.8599853515625</v>
      </c>
      <c r="F5223" s="11">
        <v>8.7536153793334961</v>
      </c>
    </row>
    <row r="5224" spans="1:6" hidden="1" x14ac:dyDescent="0.3">
      <c r="A5224" s="6">
        <v>38</v>
      </c>
      <c r="B5224" s="6" t="s">
        <v>157</v>
      </c>
      <c r="C5224" s="6" t="s">
        <v>398</v>
      </c>
      <c r="D5224" s="6" t="s">
        <v>158</v>
      </c>
      <c r="E5224" s="11">
        <v>12.06959056854248</v>
      </c>
      <c r="F5224" s="11">
        <v>8.7536153793334961</v>
      </c>
    </row>
    <row r="5225" spans="1:6" hidden="1" x14ac:dyDescent="0.3">
      <c r="A5225" s="6">
        <v>38</v>
      </c>
      <c r="B5225" s="6" t="s">
        <v>157</v>
      </c>
      <c r="C5225" s="6" t="s">
        <v>399</v>
      </c>
      <c r="D5225" s="6" t="s">
        <v>158</v>
      </c>
      <c r="E5225" s="11">
        <v>34.048038482666016</v>
      </c>
      <c r="F5225" s="11">
        <v>8.7536153793334961</v>
      </c>
    </row>
    <row r="5226" spans="1:6" hidden="1" x14ac:dyDescent="0.3">
      <c r="A5226" s="6">
        <v>38</v>
      </c>
      <c r="B5226" s="6" t="s">
        <v>157</v>
      </c>
      <c r="C5226" s="6" t="s">
        <v>400</v>
      </c>
      <c r="D5226" s="6" t="s">
        <v>158</v>
      </c>
      <c r="E5226" s="11">
        <v>3.7195377349853516</v>
      </c>
      <c r="F5226" s="11">
        <v>8.7536153793334961</v>
      </c>
    </row>
    <row r="5227" spans="1:6" hidden="1" x14ac:dyDescent="0.3">
      <c r="A5227" s="6">
        <v>38</v>
      </c>
      <c r="B5227" s="6" t="s">
        <v>157</v>
      </c>
      <c r="C5227" s="6" t="s">
        <v>401</v>
      </c>
      <c r="D5227" s="6" t="s">
        <v>158</v>
      </c>
      <c r="E5227" s="11">
        <v>23.535629272460938</v>
      </c>
      <c r="F5227" s="11">
        <v>8.7536153793334961</v>
      </c>
    </row>
    <row r="5228" spans="1:6" hidden="1" x14ac:dyDescent="0.3">
      <c r="A5228" s="6">
        <v>38</v>
      </c>
      <c r="B5228" s="6" t="s">
        <v>157</v>
      </c>
      <c r="C5228" s="6" t="s">
        <v>402</v>
      </c>
      <c r="D5228" s="6" t="s">
        <v>158</v>
      </c>
      <c r="E5228" s="11">
        <v>10.203208923339844</v>
      </c>
      <c r="F5228" s="11">
        <v>8.7536153793334961</v>
      </c>
    </row>
    <row r="5229" spans="1:6" hidden="1" x14ac:dyDescent="0.3">
      <c r="A5229" s="6">
        <v>38</v>
      </c>
      <c r="B5229" s="6" t="s">
        <v>157</v>
      </c>
      <c r="C5229" s="6" t="s">
        <v>403</v>
      </c>
      <c r="D5229" s="6" t="s">
        <v>158</v>
      </c>
      <c r="E5229" s="11">
        <v>8.1259651184082031</v>
      </c>
      <c r="F5229" s="11">
        <v>8.7536153793334961</v>
      </c>
    </row>
    <row r="5230" spans="1:6" hidden="1" x14ac:dyDescent="0.3">
      <c r="A5230" s="6">
        <v>38</v>
      </c>
      <c r="B5230" s="6" t="s">
        <v>157</v>
      </c>
      <c r="C5230" s="6" t="s">
        <v>404</v>
      </c>
      <c r="D5230" s="6" t="s">
        <v>158</v>
      </c>
      <c r="E5230" s="11">
        <v>4.4402928352355957</v>
      </c>
      <c r="F5230" s="11">
        <v>8.7536153793334961</v>
      </c>
    </row>
    <row r="5231" spans="1:6" hidden="1" x14ac:dyDescent="0.3">
      <c r="A5231" s="6">
        <v>38</v>
      </c>
      <c r="B5231" s="6" t="s">
        <v>157</v>
      </c>
      <c r="C5231" s="6" t="s">
        <v>405</v>
      </c>
      <c r="D5231" s="6" t="s">
        <v>158</v>
      </c>
      <c r="E5231" s="11">
        <v>8.3527660369873047</v>
      </c>
      <c r="F5231" s="11">
        <v>8.7536153793334961</v>
      </c>
    </row>
    <row r="5232" spans="1:6" hidden="1" x14ac:dyDescent="0.3">
      <c r="A5232" s="6">
        <v>38</v>
      </c>
      <c r="B5232" s="6" t="s">
        <v>157</v>
      </c>
      <c r="C5232" s="6" t="s">
        <v>406</v>
      </c>
      <c r="D5232" s="6" t="s">
        <v>158</v>
      </c>
      <c r="E5232" s="11">
        <v>13.349408149719238</v>
      </c>
      <c r="F5232" s="11">
        <v>8.7536153793334961</v>
      </c>
    </row>
    <row r="5233" spans="1:6" hidden="1" x14ac:dyDescent="0.3">
      <c r="A5233" s="6">
        <v>38</v>
      </c>
      <c r="B5233" s="6" t="s">
        <v>157</v>
      </c>
      <c r="C5233" s="6" t="s">
        <v>407</v>
      </c>
      <c r="D5233" s="6" t="s">
        <v>158</v>
      </c>
      <c r="E5233" s="11">
        <v>5.9819669723510742</v>
      </c>
      <c r="F5233" s="11">
        <v>8.7536153793334961</v>
      </c>
    </row>
    <row r="5234" spans="1:6" hidden="1" x14ac:dyDescent="0.3">
      <c r="A5234" s="6">
        <v>38</v>
      </c>
      <c r="B5234" s="6" t="s">
        <v>157</v>
      </c>
      <c r="C5234" s="6" t="s">
        <v>408</v>
      </c>
      <c r="D5234" s="6" t="s">
        <v>158</v>
      </c>
      <c r="E5234" s="11">
        <v>7.4310522079467773</v>
      </c>
      <c r="F5234" s="11">
        <v>8.7536153793334961</v>
      </c>
    </row>
    <row r="5235" spans="1:6" hidden="1" x14ac:dyDescent="0.3">
      <c r="A5235" s="6">
        <v>38</v>
      </c>
      <c r="B5235" s="6" t="s">
        <v>157</v>
      </c>
      <c r="C5235" s="6" t="s">
        <v>409</v>
      </c>
      <c r="D5235" s="6" t="s">
        <v>158</v>
      </c>
      <c r="E5235" s="11">
        <v>11.084228515625</v>
      </c>
      <c r="F5235" s="11">
        <v>8.7536153793334961</v>
      </c>
    </row>
    <row r="5236" spans="1:6" hidden="1" x14ac:dyDescent="0.3">
      <c r="A5236" s="6">
        <v>38</v>
      </c>
      <c r="B5236" s="6" t="s">
        <v>157</v>
      </c>
      <c r="C5236" s="6" t="s">
        <v>410</v>
      </c>
      <c r="D5236" s="6" t="s">
        <v>158</v>
      </c>
      <c r="E5236" s="11">
        <v>6.9186611175537109</v>
      </c>
      <c r="F5236" s="11">
        <v>8.7536153793334961</v>
      </c>
    </row>
    <row r="5237" spans="1:6" hidden="1" x14ac:dyDescent="0.3">
      <c r="A5237" s="6">
        <v>38</v>
      </c>
      <c r="B5237" s="6" t="s">
        <v>157</v>
      </c>
      <c r="C5237" s="6" t="s">
        <v>411</v>
      </c>
      <c r="D5237" s="6" t="s">
        <v>158</v>
      </c>
      <c r="E5237" s="11">
        <v>6.5055327415466309</v>
      </c>
      <c r="F5237" s="11">
        <v>8.7536153793334961</v>
      </c>
    </row>
    <row r="5238" spans="1:6" hidden="1" x14ac:dyDescent="0.3">
      <c r="A5238" s="6">
        <v>38</v>
      </c>
      <c r="B5238" s="6" t="s">
        <v>157</v>
      </c>
      <c r="C5238" s="6" t="s">
        <v>412</v>
      </c>
      <c r="D5238" s="6" t="s">
        <v>158</v>
      </c>
      <c r="E5238" s="11">
        <v>11.339024543762207</v>
      </c>
      <c r="F5238" s="11">
        <v>8.7536153793334961</v>
      </c>
    </row>
    <row r="5239" spans="1:6" hidden="1" x14ac:dyDescent="0.3">
      <c r="A5239" s="6">
        <v>38</v>
      </c>
      <c r="B5239" s="6" t="s">
        <v>157</v>
      </c>
      <c r="C5239" s="6" t="s">
        <v>413</v>
      </c>
      <c r="D5239" s="6" t="s">
        <v>158</v>
      </c>
      <c r="E5239" s="11">
        <v>8.5102519989013672</v>
      </c>
      <c r="F5239" s="11">
        <v>8.7536153793334961</v>
      </c>
    </row>
    <row r="5240" spans="1:6" hidden="1" x14ac:dyDescent="0.3">
      <c r="A5240" s="6">
        <v>38</v>
      </c>
      <c r="B5240" s="6" t="s">
        <v>157</v>
      </c>
      <c r="C5240" s="6" t="s">
        <v>414</v>
      </c>
      <c r="D5240" s="6" t="s">
        <v>158</v>
      </c>
      <c r="E5240" s="11">
        <v>16.112024307250977</v>
      </c>
      <c r="F5240" s="11">
        <v>8.7536153793334961</v>
      </c>
    </row>
    <row r="5241" spans="1:6" hidden="1" x14ac:dyDescent="0.3">
      <c r="A5241" s="6">
        <v>38</v>
      </c>
      <c r="B5241" s="6" t="s">
        <v>157</v>
      </c>
      <c r="C5241" s="6" t="s">
        <v>415</v>
      </c>
      <c r="D5241" s="6" t="s">
        <v>158</v>
      </c>
      <c r="E5241" s="11">
        <v>15.116556167602539</v>
      </c>
      <c r="F5241" s="11">
        <v>8.7536153793334961</v>
      </c>
    </row>
    <row r="5242" spans="1:6" hidden="1" x14ac:dyDescent="0.3">
      <c r="A5242" s="6">
        <v>38</v>
      </c>
      <c r="B5242" s="6" t="s">
        <v>157</v>
      </c>
      <c r="C5242" s="6" t="s">
        <v>416</v>
      </c>
      <c r="D5242" s="6" t="s">
        <v>158</v>
      </c>
      <c r="E5242" s="11">
        <v>29.376981735229492</v>
      </c>
      <c r="F5242" s="11">
        <v>8.7536153793334961</v>
      </c>
    </row>
    <row r="5243" spans="1:6" hidden="1" x14ac:dyDescent="0.3">
      <c r="A5243" s="6">
        <v>38</v>
      </c>
      <c r="B5243" s="6" t="s">
        <v>157</v>
      </c>
      <c r="C5243" s="6" t="s">
        <v>417</v>
      </c>
      <c r="D5243" s="6" t="s">
        <v>158</v>
      </c>
      <c r="E5243" s="11">
        <v>7.8549938201904297</v>
      </c>
      <c r="F5243" s="11">
        <v>8.7536153793334961</v>
      </c>
    </row>
    <row r="5244" spans="1:6" hidden="1" x14ac:dyDescent="0.3">
      <c r="A5244" s="6">
        <v>38</v>
      </c>
      <c r="B5244" s="6" t="s">
        <v>157</v>
      </c>
      <c r="C5244" s="6" t="s">
        <v>418</v>
      </c>
      <c r="D5244" s="6" t="s">
        <v>158</v>
      </c>
      <c r="E5244" s="11">
        <v>4.0887451171875</v>
      </c>
      <c r="F5244" s="11">
        <v>8.7536153793334961</v>
      </c>
    </row>
    <row r="5245" spans="1:6" hidden="1" x14ac:dyDescent="0.3">
      <c r="A5245" s="6">
        <v>38</v>
      </c>
      <c r="B5245" s="6" t="s">
        <v>157</v>
      </c>
      <c r="C5245" s="6" t="s">
        <v>419</v>
      </c>
      <c r="D5245" s="6" t="s">
        <v>158</v>
      </c>
      <c r="E5245" s="11">
        <v>21.251371383666992</v>
      </c>
      <c r="F5245" s="11">
        <v>8.7536153793334961</v>
      </c>
    </row>
    <row r="5246" spans="1:6" hidden="1" x14ac:dyDescent="0.3">
      <c r="A5246" s="6">
        <v>38</v>
      </c>
      <c r="B5246" s="6" t="s">
        <v>157</v>
      </c>
      <c r="C5246" s="6" t="s">
        <v>420</v>
      </c>
      <c r="D5246" s="6" t="s">
        <v>158</v>
      </c>
      <c r="E5246" s="11">
        <v>10.424903869628906</v>
      </c>
      <c r="F5246" s="11">
        <v>8.7536153793334961</v>
      </c>
    </row>
    <row r="5247" spans="1:6" hidden="1" x14ac:dyDescent="0.3">
      <c r="A5247" s="6">
        <v>38</v>
      </c>
      <c r="B5247" s="6" t="s">
        <v>157</v>
      </c>
      <c r="C5247" s="6" t="s">
        <v>421</v>
      </c>
      <c r="D5247" s="6" t="s">
        <v>158</v>
      </c>
      <c r="E5247" s="11">
        <v>32.096088409423828</v>
      </c>
      <c r="F5247" s="11">
        <v>8.7536153793334961</v>
      </c>
    </row>
    <row r="5248" spans="1:6" hidden="1" x14ac:dyDescent="0.3">
      <c r="A5248" s="6">
        <v>38</v>
      </c>
      <c r="B5248" s="6" t="s">
        <v>157</v>
      </c>
      <c r="C5248" s="6" t="s">
        <v>422</v>
      </c>
      <c r="D5248" s="6" t="s">
        <v>158</v>
      </c>
      <c r="E5248" s="11">
        <v>3.4874746799468994</v>
      </c>
      <c r="F5248" s="11">
        <v>8.7536153793334961</v>
      </c>
    </row>
    <row r="5249" spans="1:6" hidden="1" x14ac:dyDescent="0.3">
      <c r="A5249" s="6">
        <v>38</v>
      </c>
      <c r="B5249" s="6" t="s">
        <v>157</v>
      </c>
      <c r="C5249" s="6" t="s">
        <v>423</v>
      </c>
      <c r="D5249" s="6" t="s">
        <v>158</v>
      </c>
      <c r="E5249" s="11">
        <v>13.353959083557129</v>
      </c>
      <c r="F5249" s="11">
        <v>8.7536153793334961</v>
      </c>
    </row>
    <row r="5250" spans="1:6" hidden="1" x14ac:dyDescent="0.3">
      <c r="A5250" s="6">
        <v>38</v>
      </c>
      <c r="B5250" s="6" t="s">
        <v>157</v>
      </c>
      <c r="C5250" s="6" t="s">
        <v>424</v>
      </c>
      <c r="D5250" s="6" t="s">
        <v>158</v>
      </c>
      <c r="E5250" s="11">
        <v>10.125740051269531</v>
      </c>
      <c r="F5250" s="11">
        <v>8.7536153793334961</v>
      </c>
    </row>
    <row r="5251" spans="1:6" hidden="1" x14ac:dyDescent="0.3">
      <c r="A5251" s="6">
        <v>38</v>
      </c>
      <c r="B5251" s="6" t="s">
        <v>157</v>
      </c>
      <c r="C5251" s="6" t="s">
        <v>425</v>
      </c>
      <c r="D5251" s="6" t="s">
        <v>158</v>
      </c>
      <c r="E5251" s="11">
        <v>56.069999694824219</v>
      </c>
      <c r="F5251" s="11">
        <v>8.7536153793334961</v>
      </c>
    </row>
    <row r="5252" spans="1:6" hidden="1" x14ac:dyDescent="0.3">
      <c r="A5252" s="6">
        <v>38</v>
      </c>
      <c r="B5252" s="6" t="s">
        <v>157</v>
      </c>
      <c r="C5252" s="6" t="s">
        <v>426</v>
      </c>
      <c r="D5252" s="6" t="s">
        <v>158</v>
      </c>
      <c r="E5252" s="11">
        <v>5.5942378044128418</v>
      </c>
      <c r="F5252" s="11">
        <v>8.7536153793334961</v>
      </c>
    </row>
    <row r="5253" spans="1:6" hidden="1" x14ac:dyDescent="0.3">
      <c r="A5253" s="6">
        <v>38</v>
      </c>
      <c r="B5253" s="6" t="s">
        <v>157</v>
      </c>
      <c r="C5253" s="6" t="s">
        <v>427</v>
      </c>
      <c r="D5253" s="6" t="s">
        <v>158</v>
      </c>
      <c r="E5253" s="11">
        <v>4.9208626747131348</v>
      </c>
      <c r="F5253" s="11">
        <v>8.7536153793334961</v>
      </c>
    </row>
    <row r="5254" spans="1:6" hidden="1" x14ac:dyDescent="0.3">
      <c r="A5254" s="6">
        <v>38</v>
      </c>
      <c r="B5254" s="6" t="s">
        <v>157</v>
      </c>
      <c r="C5254" s="6" t="s">
        <v>428</v>
      </c>
      <c r="D5254" s="6" t="s">
        <v>158</v>
      </c>
      <c r="E5254" s="11">
        <v>7.1169776916503906</v>
      </c>
      <c r="F5254" s="11">
        <v>8.7536153793334961</v>
      </c>
    </row>
    <row r="5255" spans="1:6" hidden="1" x14ac:dyDescent="0.3">
      <c r="A5255" s="6">
        <v>38</v>
      </c>
      <c r="B5255" s="6" t="s">
        <v>157</v>
      </c>
      <c r="C5255" s="6" t="s">
        <v>429</v>
      </c>
      <c r="D5255" s="6" t="s">
        <v>158</v>
      </c>
      <c r="E5255" s="11">
        <v>16.850254058837891</v>
      </c>
      <c r="F5255" s="11">
        <v>8.7536153793334961</v>
      </c>
    </row>
    <row r="5256" spans="1:6" hidden="1" x14ac:dyDescent="0.3">
      <c r="A5256" s="6">
        <v>38</v>
      </c>
      <c r="B5256" s="6" t="s">
        <v>157</v>
      </c>
      <c r="C5256" s="6" t="s">
        <v>430</v>
      </c>
      <c r="D5256" s="6" t="s">
        <v>158</v>
      </c>
      <c r="E5256" s="11">
        <v>3.1392481327056885</v>
      </c>
      <c r="F5256" s="11">
        <v>8.7536153793334961</v>
      </c>
    </row>
    <row r="5257" spans="1:6" hidden="1" x14ac:dyDescent="0.3">
      <c r="A5257" s="6">
        <v>38</v>
      </c>
      <c r="B5257" s="6" t="s">
        <v>157</v>
      </c>
      <c r="C5257" s="6" t="s">
        <v>431</v>
      </c>
      <c r="D5257" s="6" t="s">
        <v>158</v>
      </c>
      <c r="E5257" s="11">
        <v>9.58544921875</v>
      </c>
      <c r="F5257" s="11">
        <v>8.7536153793334961</v>
      </c>
    </row>
    <row r="5258" spans="1:6" hidden="1" x14ac:dyDescent="0.3">
      <c r="A5258" s="6">
        <v>38</v>
      </c>
      <c r="B5258" s="6" t="s">
        <v>157</v>
      </c>
      <c r="C5258" s="6" t="s">
        <v>432</v>
      </c>
      <c r="D5258" s="6" t="s">
        <v>158</v>
      </c>
      <c r="E5258" s="11">
        <v>8.7436733245849609</v>
      </c>
      <c r="F5258" s="11">
        <v>8.7536153793334961</v>
      </c>
    </row>
    <row r="5259" spans="1:6" hidden="1" x14ac:dyDescent="0.3">
      <c r="A5259" s="6">
        <v>38</v>
      </c>
      <c r="B5259" s="6" t="s">
        <v>157</v>
      </c>
      <c r="C5259" s="6" t="s">
        <v>433</v>
      </c>
      <c r="D5259" s="6" t="s">
        <v>158</v>
      </c>
      <c r="E5259" s="11">
        <v>13.08403205871582</v>
      </c>
      <c r="F5259" s="11">
        <v>8.7536153793334961</v>
      </c>
    </row>
    <row r="5260" spans="1:6" hidden="1" x14ac:dyDescent="0.3">
      <c r="A5260" s="6">
        <v>38</v>
      </c>
      <c r="B5260" s="6" t="s">
        <v>157</v>
      </c>
      <c r="C5260" s="6" t="s">
        <v>434</v>
      </c>
      <c r="D5260" s="6" t="s">
        <v>158</v>
      </c>
      <c r="E5260" s="11">
        <v>3.5056886672973633</v>
      </c>
      <c r="F5260" s="11">
        <v>8.7536153793334961</v>
      </c>
    </row>
    <row r="5261" spans="1:6" hidden="1" x14ac:dyDescent="0.3">
      <c r="A5261" s="6">
        <v>38</v>
      </c>
      <c r="B5261" s="6" t="s">
        <v>157</v>
      </c>
      <c r="C5261" s="6" t="s">
        <v>435</v>
      </c>
      <c r="D5261" s="6" t="s">
        <v>158</v>
      </c>
      <c r="E5261" s="11">
        <v>75.353248596191406</v>
      </c>
      <c r="F5261" s="11">
        <v>8.7536153793334961</v>
      </c>
    </row>
    <row r="5262" spans="1:6" hidden="1" x14ac:dyDescent="0.3">
      <c r="A5262" s="6">
        <v>38</v>
      </c>
      <c r="B5262" s="6" t="s">
        <v>157</v>
      </c>
      <c r="C5262" s="6" t="s">
        <v>436</v>
      </c>
      <c r="D5262" s="6" t="s">
        <v>158</v>
      </c>
      <c r="E5262" s="11">
        <v>10.164690017700195</v>
      </c>
      <c r="F5262" s="11">
        <v>8.7536153793334961</v>
      </c>
    </row>
    <row r="5263" spans="1:6" hidden="1" x14ac:dyDescent="0.3">
      <c r="A5263" s="6">
        <v>38</v>
      </c>
      <c r="B5263" s="6" t="s">
        <v>157</v>
      </c>
      <c r="C5263" s="6" t="s">
        <v>437</v>
      </c>
      <c r="D5263" s="6" t="s">
        <v>158</v>
      </c>
      <c r="E5263" s="11">
        <v>6.601417064666748</v>
      </c>
      <c r="F5263" s="11">
        <v>8.7536153793334961</v>
      </c>
    </row>
    <row r="5264" spans="1:6" hidden="1" x14ac:dyDescent="0.3">
      <c r="A5264" s="6">
        <v>38</v>
      </c>
      <c r="B5264" s="6" t="s">
        <v>157</v>
      </c>
      <c r="C5264" s="6" t="s">
        <v>438</v>
      </c>
      <c r="D5264" s="6" t="s">
        <v>158</v>
      </c>
      <c r="E5264" s="11">
        <v>12.19572925567627</v>
      </c>
      <c r="F5264" s="11">
        <v>8.7536153793334961</v>
      </c>
    </row>
    <row r="5265" spans="1:6" hidden="1" x14ac:dyDescent="0.3">
      <c r="A5265" s="6">
        <v>38</v>
      </c>
      <c r="B5265" s="6" t="s">
        <v>157</v>
      </c>
      <c r="C5265" s="6" t="s">
        <v>439</v>
      </c>
      <c r="D5265" s="6" t="s">
        <v>158</v>
      </c>
      <c r="E5265" s="11">
        <v>4.5474529266357422</v>
      </c>
      <c r="F5265" s="11">
        <v>8.7536153793334961</v>
      </c>
    </row>
    <row r="5266" spans="1:6" hidden="1" x14ac:dyDescent="0.3">
      <c r="A5266" s="6">
        <v>38</v>
      </c>
      <c r="B5266" s="6" t="s">
        <v>157</v>
      </c>
      <c r="C5266" s="6" t="s">
        <v>440</v>
      </c>
      <c r="D5266" s="6" t="s">
        <v>158</v>
      </c>
      <c r="E5266" s="11">
        <v>6.2052559852600098</v>
      </c>
      <c r="F5266" s="11">
        <v>8.7536153793334961</v>
      </c>
    </row>
    <row r="5267" spans="1:6" hidden="1" x14ac:dyDescent="0.3">
      <c r="A5267" s="6">
        <v>38</v>
      </c>
      <c r="B5267" s="6" t="s">
        <v>157</v>
      </c>
      <c r="C5267" s="6" t="s">
        <v>441</v>
      </c>
      <c r="D5267" s="6" t="s">
        <v>158</v>
      </c>
      <c r="E5267" s="11">
        <v>6.9784436225891113</v>
      </c>
      <c r="F5267" s="11">
        <v>8.7536153793334961</v>
      </c>
    </row>
    <row r="5268" spans="1:6" hidden="1" x14ac:dyDescent="0.3">
      <c r="A5268" s="6">
        <v>38</v>
      </c>
      <c r="B5268" s="6" t="s">
        <v>157</v>
      </c>
      <c r="C5268" s="6" t="s">
        <v>442</v>
      </c>
      <c r="D5268" s="6" t="s">
        <v>158</v>
      </c>
      <c r="E5268" s="11">
        <v>11.122215270996094</v>
      </c>
      <c r="F5268" s="11">
        <v>8.7536153793334961</v>
      </c>
    </row>
    <row r="5269" spans="1:6" hidden="1" x14ac:dyDescent="0.3">
      <c r="A5269" s="6">
        <v>38</v>
      </c>
      <c r="B5269" s="6" t="s">
        <v>157</v>
      </c>
      <c r="C5269" s="6" t="s">
        <v>443</v>
      </c>
      <c r="D5269" s="6" t="s">
        <v>158</v>
      </c>
      <c r="E5269" s="11">
        <v>4.999122142791748</v>
      </c>
      <c r="F5269" s="11">
        <v>8.7536153793334961</v>
      </c>
    </row>
    <row r="5270" spans="1:6" hidden="1" x14ac:dyDescent="0.3">
      <c r="A5270" s="6">
        <v>38</v>
      </c>
      <c r="B5270" s="6" t="s">
        <v>157</v>
      </c>
      <c r="C5270" s="6" t="s">
        <v>444</v>
      </c>
      <c r="D5270" s="6" t="s">
        <v>158</v>
      </c>
      <c r="E5270" s="11">
        <v>6.0173420906066895</v>
      </c>
      <c r="F5270" s="11">
        <v>8.7536153793334961</v>
      </c>
    </row>
    <row r="5271" spans="1:6" hidden="1" x14ac:dyDescent="0.3">
      <c r="A5271" s="6">
        <v>38</v>
      </c>
      <c r="B5271" s="6" t="s">
        <v>157</v>
      </c>
      <c r="C5271" s="6" t="s">
        <v>445</v>
      </c>
      <c r="D5271" s="6" t="s">
        <v>158</v>
      </c>
      <c r="E5271" s="11">
        <v>5.8420748710632324</v>
      </c>
      <c r="F5271" s="11">
        <v>8.7536153793334961</v>
      </c>
    </row>
    <row r="5272" spans="1:6" hidden="1" x14ac:dyDescent="0.3">
      <c r="A5272" s="6">
        <v>38</v>
      </c>
      <c r="B5272" s="6" t="s">
        <v>157</v>
      </c>
      <c r="C5272" s="6" t="s">
        <v>446</v>
      </c>
      <c r="D5272" s="6" t="s">
        <v>158</v>
      </c>
      <c r="E5272" s="11">
        <v>3.9375777244567871</v>
      </c>
      <c r="F5272" s="11">
        <v>8.7536153793334961</v>
      </c>
    </row>
    <row r="5273" spans="1:6" hidden="1" x14ac:dyDescent="0.3">
      <c r="A5273" s="6">
        <v>38</v>
      </c>
      <c r="B5273" s="6" t="s">
        <v>157</v>
      </c>
      <c r="C5273" s="6" t="s">
        <v>447</v>
      </c>
      <c r="D5273" s="6" t="s">
        <v>158</v>
      </c>
      <c r="E5273" s="11">
        <v>9.7966537475585938</v>
      </c>
      <c r="F5273" s="11">
        <v>8.7536153793334961</v>
      </c>
    </row>
    <row r="5274" spans="1:6" hidden="1" x14ac:dyDescent="0.3">
      <c r="A5274" s="6">
        <v>38</v>
      </c>
      <c r="B5274" s="6" t="s">
        <v>157</v>
      </c>
      <c r="C5274" s="6" t="s">
        <v>448</v>
      </c>
      <c r="D5274" s="6" t="s">
        <v>158</v>
      </c>
      <c r="E5274" s="11">
        <v>8.8593521118164063</v>
      </c>
      <c r="F5274" s="11">
        <v>8.7536153793334961</v>
      </c>
    </row>
    <row r="5275" spans="1:6" hidden="1" x14ac:dyDescent="0.3">
      <c r="A5275" s="6">
        <v>38</v>
      </c>
      <c r="B5275" s="6" t="s">
        <v>157</v>
      </c>
      <c r="C5275" s="6" t="s">
        <v>449</v>
      </c>
      <c r="D5275" s="6" t="s">
        <v>158</v>
      </c>
      <c r="E5275" s="11">
        <v>3.5389986038208008</v>
      </c>
      <c r="F5275" s="11">
        <v>8.7536153793334961</v>
      </c>
    </row>
    <row r="5276" spans="1:6" hidden="1" x14ac:dyDescent="0.3">
      <c r="A5276" s="6">
        <v>38</v>
      </c>
      <c r="B5276" s="6" t="s">
        <v>157</v>
      </c>
      <c r="C5276" s="6" t="s">
        <v>450</v>
      </c>
      <c r="D5276" s="6" t="s">
        <v>158</v>
      </c>
      <c r="E5276" s="11">
        <v>9.1571102142333984</v>
      </c>
      <c r="F5276" s="11">
        <v>8.7536153793334961</v>
      </c>
    </row>
    <row r="5277" spans="1:6" hidden="1" x14ac:dyDescent="0.3">
      <c r="A5277" s="6">
        <v>38</v>
      </c>
      <c r="B5277" s="6" t="s">
        <v>157</v>
      </c>
      <c r="C5277" s="6" t="s">
        <v>451</v>
      </c>
      <c r="D5277" s="6" t="s">
        <v>158</v>
      </c>
      <c r="E5277" s="11">
        <v>11.508977890014648</v>
      </c>
      <c r="F5277" s="11">
        <v>8.7536153793334961</v>
      </c>
    </row>
    <row r="5278" spans="1:6" hidden="1" x14ac:dyDescent="0.3">
      <c r="A5278" s="6">
        <v>38</v>
      </c>
      <c r="B5278" s="6" t="s">
        <v>157</v>
      </c>
      <c r="C5278" s="6" t="s">
        <v>452</v>
      </c>
      <c r="D5278" s="6" t="s">
        <v>158</v>
      </c>
      <c r="E5278" s="11">
        <v>8.9163322448730469</v>
      </c>
      <c r="F5278" s="11">
        <v>8.7536153793334961</v>
      </c>
    </row>
    <row r="5279" spans="1:6" hidden="1" x14ac:dyDescent="0.3">
      <c r="A5279" s="6">
        <v>38</v>
      </c>
      <c r="B5279" s="6" t="s">
        <v>157</v>
      </c>
      <c r="C5279" s="6" t="s">
        <v>453</v>
      </c>
      <c r="D5279" s="6" t="s">
        <v>158</v>
      </c>
      <c r="E5279" s="11">
        <v>3.6858170032501221</v>
      </c>
      <c r="F5279" s="11">
        <v>8.7536153793334961</v>
      </c>
    </row>
    <row r="5280" spans="1:6" hidden="1" x14ac:dyDescent="0.3">
      <c r="A5280" s="6">
        <v>38</v>
      </c>
      <c r="B5280" s="6" t="s">
        <v>157</v>
      </c>
      <c r="C5280" s="6" t="s">
        <v>454</v>
      </c>
      <c r="D5280" s="6" t="s">
        <v>158</v>
      </c>
      <c r="E5280" s="11">
        <v>7.0608453750610352</v>
      </c>
      <c r="F5280" s="11">
        <v>8.7536153793334961</v>
      </c>
    </row>
    <row r="5281" spans="1:6" hidden="1" x14ac:dyDescent="0.3">
      <c r="A5281" s="6">
        <v>38</v>
      </c>
      <c r="B5281" s="6" t="s">
        <v>157</v>
      </c>
      <c r="C5281" s="6" t="s">
        <v>455</v>
      </c>
      <c r="D5281" s="6" t="s">
        <v>158</v>
      </c>
      <c r="E5281" s="11">
        <v>5.7501029968261719</v>
      </c>
      <c r="F5281" s="11">
        <v>8.7536153793334961</v>
      </c>
    </row>
    <row r="5282" spans="1:6" hidden="1" x14ac:dyDescent="0.3">
      <c r="A5282" s="6">
        <v>38</v>
      </c>
      <c r="B5282" s="6" t="s">
        <v>157</v>
      </c>
      <c r="C5282" s="6" t="s">
        <v>456</v>
      </c>
      <c r="D5282" s="6" t="s">
        <v>158</v>
      </c>
      <c r="E5282" s="11">
        <v>6.7050127983093262</v>
      </c>
      <c r="F5282" s="11">
        <v>8.7536153793334961</v>
      </c>
    </row>
    <row r="5283" spans="1:6" hidden="1" x14ac:dyDescent="0.3">
      <c r="A5283" s="6">
        <v>38</v>
      </c>
      <c r="B5283" s="6" t="s">
        <v>157</v>
      </c>
      <c r="C5283" s="6" t="s">
        <v>457</v>
      </c>
      <c r="D5283" s="6" t="s">
        <v>158</v>
      </c>
      <c r="E5283" s="11">
        <v>10.603386878967285</v>
      </c>
      <c r="F5283" s="11">
        <v>8.7536153793334961</v>
      </c>
    </row>
    <row r="5284" spans="1:6" hidden="1" x14ac:dyDescent="0.3">
      <c r="A5284" s="6">
        <v>38</v>
      </c>
      <c r="B5284" s="6" t="s">
        <v>157</v>
      </c>
      <c r="C5284" s="6" t="s">
        <v>458</v>
      </c>
      <c r="D5284" s="6" t="s">
        <v>158</v>
      </c>
      <c r="E5284" s="11">
        <v>14.072157859802246</v>
      </c>
      <c r="F5284" s="11">
        <v>8.7536153793334961</v>
      </c>
    </row>
    <row r="5285" spans="1:6" hidden="1" x14ac:dyDescent="0.3">
      <c r="A5285" s="6">
        <v>38</v>
      </c>
      <c r="B5285" s="6" t="s">
        <v>157</v>
      </c>
      <c r="C5285" s="6" t="s">
        <v>459</v>
      </c>
      <c r="D5285" s="6" t="s">
        <v>158</v>
      </c>
      <c r="E5285" s="11">
        <v>8.3850936889648438</v>
      </c>
      <c r="F5285" s="11">
        <v>8.7536153793334961</v>
      </c>
    </row>
    <row r="5286" spans="1:6" hidden="1" x14ac:dyDescent="0.3">
      <c r="A5286" s="6">
        <v>38</v>
      </c>
      <c r="B5286" s="6" t="s">
        <v>157</v>
      </c>
      <c r="C5286" s="6" t="s">
        <v>460</v>
      </c>
      <c r="D5286" s="6" t="s">
        <v>158</v>
      </c>
      <c r="E5286" s="11">
        <v>2086.11328125</v>
      </c>
      <c r="F5286" s="11">
        <v>8.7536153793334961</v>
      </c>
    </row>
    <row r="5287" spans="1:6" hidden="1" x14ac:dyDescent="0.3">
      <c r="A5287" s="6">
        <v>38</v>
      </c>
      <c r="B5287" s="6" t="s">
        <v>157</v>
      </c>
      <c r="C5287" s="6" t="s">
        <v>461</v>
      </c>
      <c r="D5287" s="6" t="s">
        <v>158</v>
      </c>
      <c r="E5287" s="11">
        <v>7.9166622161865234</v>
      </c>
      <c r="F5287" s="11">
        <v>8.7536153793334961</v>
      </c>
    </row>
    <row r="5288" spans="1:6" hidden="1" x14ac:dyDescent="0.3">
      <c r="A5288" s="6">
        <v>38</v>
      </c>
      <c r="B5288" s="6" t="s">
        <v>157</v>
      </c>
      <c r="C5288" s="6" t="s">
        <v>462</v>
      </c>
      <c r="D5288" s="6" t="s">
        <v>158</v>
      </c>
      <c r="E5288" s="11">
        <v>4.1509628295898438</v>
      </c>
      <c r="F5288" s="11">
        <v>8.7536153793334961</v>
      </c>
    </row>
    <row r="5289" spans="1:6" hidden="1" x14ac:dyDescent="0.3">
      <c r="A5289" s="6">
        <v>38</v>
      </c>
      <c r="B5289" s="6" t="s">
        <v>157</v>
      </c>
      <c r="C5289" s="6" t="s">
        <v>463</v>
      </c>
      <c r="D5289" s="6" t="s">
        <v>158</v>
      </c>
      <c r="E5289" s="11">
        <v>8.7510967254638672</v>
      </c>
      <c r="F5289" s="11">
        <v>8.7536153793334961</v>
      </c>
    </row>
    <row r="5290" spans="1:6" hidden="1" x14ac:dyDescent="0.3">
      <c r="A5290" s="6">
        <v>38</v>
      </c>
      <c r="B5290" s="6" t="s">
        <v>157</v>
      </c>
      <c r="C5290" s="6" t="s">
        <v>464</v>
      </c>
      <c r="D5290" s="6" t="s">
        <v>158</v>
      </c>
      <c r="E5290" s="11">
        <v>7.4772748947143555</v>
      </c>
      <c r="F5290" s="11">
        <v>8.7536153793334961</v>
      </c>
    </row>
    <row r="5291" spans="1:6" hidden="1" x14ac:dyDescent="0.3">
      <c r="A5291" s="6">
        <v>38</v>
      </c>
      <c r="B5291" s="6" t="s">
        <v>157</v>
      </c>
      <c r="C5291" s="6" t="s">
        <v>465</v>
      </c>
      <c r="D5291" s="6" t="s">
        <v>158</v>
      </c>
      <c r="E5291" s="11">
        <v>8.1887826919555664</v>
      </c>
      <c r="F5291" s="11">
        <v>8.7536153793334961</v>
      </c>
    </row>
    <row r="5292" spans="1:6" hidden="1" x14ac:dyDescent="0.3">
      <c r="A5292" s="6">
        <v>38</v>
      </c>
      <c r="B5292" s="6" t="s">
        <v>157</v>
      </c>
      <c r="C5292" s="6" t="s">
        <v>466</v>
      </c>
      <c r="D5292" s="6" t="s">
        <v>158</v>
      </c>
      <c r="E5292" s="11">
        <v>5.2946186065673828</v>
      </c>
      <c r="F5292" s="11">
        <v>8.7536153793334961</v>
      </c>
    </row>
    <row r="5293" spans="1:6" hidden="1" x14ac:dyDescent="0.3">
      <c r="A5293" s="6">
        <v>38</v>
      </c>
      <c r="B5293" s="6" t="s">
        <v>157</v>
      </c>
      <c r="C5293" s="6" t="s">
        <v>467</v>
      </c>
      <c r="D5293" s="6" t="s">
        <v>158</v>
      </c>
      <c r="E5293" s="11">
        <v>3.7804162502288818</v>
      </c>
      <c r="F5293" s="11">
        <v>8.7536153793334961</v>
      </c>
    </row>
    <row r="5294" spans="1:6" hidden="1" x14ac:dyDescent="0.3">
      <c r="A5294" s="6">
        <v>38</v>
      </c>
      <c r="B5294" s="6" t="s">
        <v>157</v>
      </c>
      <c r="C5294" s="6" t="s">
        <v>468</v>
      </c>
      <c r="D5294" s="6" t="s">
        <v>158</v>
      </c>
      <c r="E5294" s="11">
        <v>8.3818550109863281</v>
      </c>
      <c r="F5294" s="11">
        <v>8.7536153793334961</v>
      </c>
    </row>
    <row r="5295" spans="1:6" hidden="1" x14ac:dyDescent="0.3">
      <c r="A5295" s="6">
        <v>38</v>
      </c>
      <c r="B5295" s="6" t="s">
        <v>157</v>
      </c>
      <c r="C5295" s="6" t="s">
        <v>469</v>
      </c>
      <c r="D5295" s="6" t="s">
        <v>158</v>
      </c>
      <c r="E5295" s="11">
        <v>6.4733672142028809</v>
      </c>
      <c r="F5295" s="11">
        <v>8.7536153793334961</v>
      </c>
    </row>
    <row r="5296" spans="1:6" hidden="1" x14ac:dyDescent="0.3">
      <c r="A5296" s="6">
        <v>38</v>
      </c>
      <c r="B5296" s="6" t="s">
        <v>157</v>
      </c>
      <c r="C5296" s="6" t="s">
        <v>470</v>
      </c>
      <c r="D5296" s="6" t="s">
        <v>158</v>
      </c>
      <c r="E5296" s="11">
        <v>8.7626495361328125</v>
      </c>
      <c r="F5296" s="11">
        <v>8.7536153793334961</v>
      </c>
    </row>
    <row r="5297" spans="1:6" hidden="1" x14ac:dyDescent="0.3">
      <c r="A5297" s="6">
        <v>38</v>
      </c>
      <c r="B5297" s="6" t="s">
        <v>157</v>
      </c>
      <c r="C5297" s="6" t="s">
        <v>471</v>
      </c>
      <c r="D5297" s="6" t="s">
        <v>158</v>
      </c>
      <c r="E5297" s="11">
        <v>5.8644452095031738</v>
      </c>
      <c r="F5297" s="11">
        <v>8.7536153793334961</v>
      </c>
    </row>
    <row r="5298" spans="1:6" hidden="1" x14ac:dyDescent="0.3">
      <c r="A5298" s="6">
        <v>38</v>
      </c>
      <c r="B5298" s="6" t="s">
        <v>157</v>
      </c>
      <c r="C5298" s="6" t="s">
        <v>472</v>
      </c>
      <c r="D5298" s="6" t="s">
        <v>158</v>
      </c>
      <c r="E5298" s="11">
        <v>6.3781976699829102</v>
      </c>
      <c r="F5298" s="11">
        <v>8.7536153793334961</v>
      </c>
    </row>
    <row r="5299" spans="1:6" hidden="1" x14ac:dyDescent="0.3">
      <c r="A5299" s="6">
        <v>38</v>
      </c>
      <c r="B5299" s="6" t="s">
        <v>157</v>
      </c>
      <c r="C5299" s="6" t="s">
        <v>473</v>
      </c>
      <c r="D5299" s="6" t="s">
        <v>158</v>
      </c>
      <c r="E5299" s="11">
        <v>13.524506568908691</v>
      </c>
      <c r="F5299" s="11">
        <v>8.7536153793334961</v>
      </c>
    </row>
    <row r="5300" spans="1:6" hidden="1" x14ac:dyDescent="0.3">
      <c r="A5300" s="6">
        <v>38</v>
      </c>
      <c r="B5300" s="6" t="s">
        <v>157</v>
      </c>
      <c r="C5300" s="6" t="s">
        <v>474</v>
      </c>
      <c r="D5300" s="6" t="s">
        <v>158</v>
      </c>
      <c r="E5300" s="11">
        <v>37.469448089599609</v>
      </c>
      <c r="F5300" s="11">
        <v>8.7536153793334961</v>
      </c>
    </row>
    <row r="5301" spans="1:6" hidden="1" x14ac:dyDescent="0.3">
      <c r="A5301" s="6">
        <v>38</v>
      </c>
      <c r="B5301" s="6" t="s">
        <v>157</v>
      </c>
      <c r="C5301" s="6" t="s">
        <v>475</v>
      </c>
      <c r="D5301" s="6" t="s">
        <v>158</v>
      </c>
      <c r="E5301" s="11">
        <v>5.5765652656555176</v>
      </c>
      <c r="F5301" s="11">
        <v>8.7536153793334961</v>
      </c>
    </row>
    <row r="5302" spans="1:6" hidden="1" x14ac:dyDescent="0.3">
      <c r="A5302" s="6">
        <v>38</v>
      </c>
      <c r="B5302" s="6" t="s">
        <v>157</v>
      </c>
      <c r="C5302" s="6" t="s">
        <v>476</v>
      </c>
      <c r="D5302" s="6" t="s">
        <v>158</v>
      </c>
      <c r="E5302" s="11">
        <v>3.5511271953582764</v>
      </c>
      <c r="F5302" s="11">
        <v>8.7536153793334961</v>
      </c>
    </row>
    <row r="5303" spans="1:6" hidden="1" x14ac:dyDescent="0.3">
      <c r="A5303" s="6">
        <v>38</v>
      </c>
      <c r="B5303" s="6" t="s">
        <v>157</v>
      </c>
      <c r="C5303" s="6" t="s">
        <v>477</v>
      </c>
      <c r="D5303" s="6" t="s">
        <v>158</v>
      </c>
      <c r="E5303" s="11">
        <v>11.134394645690918</v>
      </c>
      <c r="F5303" s="11">
        <v>8.7536153793334961</v>
      </c>
    </row>
    <row r="5304" spans="1:6" hidden="1" x14ac:dyDescent="0.3">
      <c r="A5304" s="6">
        <v>38</v>
      </c>
      <c r="B5304" s="6" t="s">
        <v>157</v>
      </c>
      <c r="C5304" s="6" t="s">
        <v>478</v>
      </c>
      <c r="D5304" s="6" t="s">
        <v>158</v>
      </c>
      <c r="E5304" s="11">
        <v>5.145078182220459</v>
      </c>
      <c r="F5304" s="11">
        <v>8.7536153793334961</v>
      </c>
    </row>
    <row r="5305" spans="1:6" hidden="1" x14ac:dyDescent="0.3">
      <c r="A5305" s="6">
        <v>38</v>
      </c>
      <c r="B5305" s="6" t="s">
        <v>157</v>
      </c>
      <c r="C5305" s="6" t="s">
        <v>479</v>
      </c>
      <c r="D5305" s="6" t="s">
        <v>158</v>
      </c>
      <c r="E5305" s="11">
        <v>10.290975570678711</v>
      </c>
      <c r="F5305" s="11">
        <v>8.7536153793334961</v>
      </c>
    </row>
    <row r="5306" spans="1:6" hidden="1" x14ac:dyDescent="0.3">
      <c r="A5306" s="6">
        <v>38</v>
      </c>
      <c r="B5306" s="6" t="s">
        <v>157</v>
      </c>
      <c r="C5306" s="6" t="s">
        <v>480</v>
      </c>
      <c r="D5306" s="6" t="s">
        <v>158</v>
      </c>
      <c r="E5306" s="11">
        <v>7.6349711418151855</v>
      </c>
      <c r="F5306" s="11">
        <v>8.7536153793334961</v>
      </c>
    </row>
    <row r="5307" spans="1:6" hidden="1" x14ac:dyDescent="0.3">
      <c r="A5307" s="6">
        <v>38</v>
      </c>
      <c r="B5307" s="6" t="s">
        <v>157</v>
      </c>
      <c r="C5307" s="6" t="s">
        <v>481</v>
      </c>
      <c r="D5307" s="6" t="s">
        <v>158</v>
      </c>
      <c r="E5307" s="11">
        <v>5.5771036148071289</v>
      </c>
      <c r="F5307" s="11">
        <v>8.7536153793334961</v>
      </c>
    </row>
    <row r="5308" spans="1:6" hidden="1" x14ac:dyDescent="0.3">
      <c r="A5308" s="6">
        <v>38</v>
      </c>
      <c r="B5308" s="6" t="s">
        <v>157</v>
      </c>
      <c r="C5308" s="6" t="s">
        <v>482</v>
      </c>
      <c r="D5308" s="6" t="s">
        <v>158</v>
      </c>
      <c r="E5308" s="11">
        <v>10.333150863647461</v>
      </c>
      <c r="F5308" s="11">
        <v>8.7536153793334961</v>
      </c>
    </row>
    <row r="5309" spans="1:6" hidden="1" x14ac:dyDescent="0.3">
      <c r="A5309" s="6">
        <v>38</v>
      </c>
      <c r="B5309" s="6" t="s">
        <v>157</v>
      </c>
      <c r="C5309" s="6" t="s">
        <v>483</v>
      </c>
      <c r="D5309" s="6" t="s">
        <v>158</v>
      </c>
      <c r="E5309" s="11">
        <v>8.4056491851806641</v>
      </c>
      <c r="F5309" s="11">
        <v>8.7536153793334961</v>
      </c>
    </row>
    <row r="5310" spans="1:6" hidden="1" x14ac:dyDescent="0.3">
      <c r="A5310" s="6">
        <v>38</v>
      </c>
      <c r="B5310" s="6" t="s">
        <v>157</v>
      </c>
      <c r="C5310" s="6" t="s">
        <v>484</v>
      </c>
      <c r="D5310" s="6" t="s">
        <v>158</v>
      </c>
      <c r="E5310" s="11">
        <v>6.5780529975891113</v>
      </c>
      <c r="F5310" s="11">
        <v>8.7536153793334961</v>
      </c>
    </row>
    <row r="5311" spans="1:6" hidden="1" x14ac:dyDescent="0.3">
      <c r="A5311" s="6">
        <v>38</v>
      </c>
      <c r="B5311" s="6" t="s">
        <v>157</v>
      </c>
      <c r="C5311" s="6" t="s">
        <v>485</v>
      </c>
      <c r="D5311" s="6" t="s">
        <v>158</v>
      </c>
      <c r="E5311" s="11">
        <v>22.326993942260742</v>
      </c>
      <c r="F5311" s="11">
        <v>8.7536153793334961</v>
      </c>
    </row>
    <row r="5312" spans="1:6" hidden="1" x14ac:dyDescent="0.3">
      <c r="A5312" s="6">
        <v>38</v>
      </c>
      <c r="B5312" s="6" t="s">
        <v>157</v>
      </c>
      <c r="C5312" s="6" t="s">
        <v>486</v>
      </c>
      <c r="D5312" s="6" t="s">
        <v>158</v>
      </c>
      <c r="E5312" s="11">
        <v>16.324447631835938</v>
      </c>
      <c r="F5312" s="11">
        <v>8.7536153793334961</v>
      </c>
    </row>
    <row r="5313" spans="1:6" hidden="1" x14ac:dyDescent="0.3">
      <c r="A5313" s="6">
        <v>38</v>
      </c>
      <c r="B5313" s="6" t="s">
        <v>157</v>
      </c>
      <c r="C5313" s="6" t="s">
        <v>487</v>
      </c>
      <c r="D5313" s="6" t="s">
        <v>158</v>
      </c>
      <c r="E5313" s="11">
        <v>9.733489990234375</v>
      </c>
      <c r="F5313" s="11">
        <v>8.7536153793334961</v>
      </c>
    </row>
    <row r="5314" spans="1:6" hidden="1" x14ac:dyDescent="0.3">
      <c r="A5314" s="6">
        <v>38</v>
      </c>
      <c r="B5314" s="6" t="s">
        <v>157</v>
      </c>
      <c r="C5314" s="6" t="s">
        <v>488</v>
      </c>
      <c r="D5314" s="6" t="s">
        <v>158</v>
      </c>
      <c r="E5314" s="11">
        <v>6.7453436851501465</v>
      </c>
      <c r="F5314" s="11">
        <v>8.7536153793334961</v>
      </c>
    </row>
    <row r="5315" spans="1:6" hidden="1" x14ac:dyDescent="0.3">
      <c r="A5315" s="6">
        <v>38</v>
      </c>
      <c r="B5315" s="6" t="s">
        <v>157</v>
      </c>
      <c r="C5315" s="6" t="s">
        <v>489</v>
      </c>
      <c r="D5315" s="6" t="s">
        <v>158</v>
      </c>
      <c r="E5315" s="11">
        <v>10.26857852935791</v>
      </c>
      <c r="F5315" s="11">
        <v>8.7536153793334961</v>
      </c>
    </row>
    <row r="5316" spans="1:6" hidden="1" x14ac:dyDescent="0.3">
      <c r="A5316" s="6">
        <v>38</v>
      </c>
      <c r="B5316" s="6" t="s">
        <v>157</v>
      </c>
      <c r="C5316" s="6" t="s">
        <v>490</v>
      </c>
      <c r="D5316" s="6" t="s">
        <v>158</v>
      </c>
      <c r="E5316" s="11">
        <v>5.9658594131469727</v>
      </c>
      <c r="F5316" s="11">
        <v>8.7536153793334961</v>
      </c>
    </row>
    <row r="5317" spans="1:6" hidden="1" x14ac:dyDescent="0.3">
      <c r="A5317" s="6">
        <v>38</v>
      </c>
      <c r="B5317" s="6" t="s">
        <v>157</v>
      </c>
      <c r="C5317" s="6" t="s">
        <v>491</v>
      </c>
      <c r="D5317" s="6" t="s">
        <v>158</v>
      </c>
      <c r="E5317" s="11">
        <v>11.51640510559082</v>
      </c>
      <c r="F5317" s="11">
        <v>8.7536153793334961</v>
      </c>
    </row>
    <row r="5318" spans="1:6" hidden="1" x14ac:dyDescent="0.3">
      <c r="A5318" s="6">
        <v>38</v>
      </c>
      <c r="B5318" s="6" t="s">
        <v>157</v>
      </c>
      <c r="C5318" s="6" t="s">
        <v>492</v>
      </c>
      <c r="D5318" s="6" t="s">
        <v>158</v>
      </c>
      <c r="E5318" s="11">
        <v>8.8975868225097656</v>
      </c>
      <c r="F5318" s="11">
        <v>8.7536153793334961</v>
      </c>
    </row>
    <row r="5319" spans="1:6" hidden="1" x14ac:dyDescent="0.3">
      <c r="A5319" s="6">
        <v>38</v>
      </c>
      <c r="B5319" s="6" t="s">
        <v>157</v>
      </c>
      <c r="C5319" s="6" t="s">
        <v>493</v>
      </c>
      <c r="D5319" s="6" t="s">
        <v>158</v>
      </c>
      <c r="E5319" s="11">
        <v>11.20640754699707</v>
      </c>
      <c r="F5319" s="11">
        <v>8.7536153793334961</v>
      </c>
    </row>
    <row r="5320" spans="1:6" hidden="1" x14ac:dyDescent="0.3">
      <c r="A5320" s="6">
        <v>38</v>
      </c>
      <c r="B5320" s="6" t="s">
        <v>157</v>
      </c>
      <c r="C5320" s="6" t="s">
        <v>494</v>
      </c>
      <c r="D5320" s="6" t="s">
        <v>158</v>
      </c>
      <c r="E5320" s="11">
        <v>186.50946044921875</v>
      </c>
      <c r="F5320" s="11">
        <v>8.7536153793334961</v>
      </c>
    </row>
    <row r="5321" spans="1:6" hidden="1" x14ac:dyDescent="0.3">
      <c r="A5321" s="6">
        <v>38</v>
      </c>
      <c r="B5321" s="6" t="s">
        <v>157</v>
      </c>
      <c r="C5321" s="6" t="s">
        <v>495</v>
      </c>
      <c r="D5321" s="6" t="s">
        <v>158</v>
      </c>
      <c r="E5321" s="11">
        <v>5.5918550491333008</v>
      </c>
      <c r="F5321" s="11">
        <v>8.7536153793334961</v>
      </c>
    </row>
    <row r="5322" spans="1:6" hidden="1" x14ac:dyDescent="0.3">
      <c r="A5322" s="6">
        <v>39</v>
      </c>
      <c r="B5322" s="6" t="s">
        <v>159</v>
      </c>
      <c r="C5322" s="6" t="s">
        <v>356</v>
      </c>
      <c r="D5322" s="6" t="s">
        <v>160</v>
      </c>
      <c r="E5322" s="11">
        <v>4.853583812713623</v>
      </c>
      <c r="F5322" s="11">
        <v>6.6961822509765625</v>
      </c>
    </row>
    <row r="5323" spans="1:6" hidden="1" x14ac:dyDescent="0.3">
      <c r="A5323" s="6">
        <v>39</v>
      </c>
      <c r="B5323" s="6" t="s">
        <v>159</v>
      </c>
      <c r="C5323" s="6" t="s">
        <v>357</v>
      </c>
      <c r="D5323" s="6" t="s">
        <v>160</v>
      </c>
      <c r="E5323" s="11">
        <v>3.8901498317718506</v>
      </c>
      <c r="F5323" s="11">
        <v>6.6961822509765625</v>
      </c>
    </row>
    <row r="5324" spans="1:6" hidden="1" x14ac:dyDescent="0.3">
      <c r="A5324" s="6">
        <v>39</v>
      </c>
      <c r="B5324" s="6" t="s">
        <v>159</v>
      </c>
      <c r="C5324" s="6" t="s">
        <v>358</v>
      </c>
      <c r="D5324" s="6" t="s">
        <v>160</v>
      </c>
      <c r="E5324" s="11">
        <v>5.2226934432983398</v>
      </c>
      <c r="F5324" s="11">
        <v>6.6961822509765625</v>
      </c>
    </row>
    <row r="5325" spans="1:6" hidden="1" x14ac:dyDescent="0.3">
      <c r="A5325" s="6">
        <v>39</v>
      </c>
      <c r="B5325" s="6" t="s">
        <v>159</v>
      </c>
      <c r="C5325" s="6" t="s">
        <v>359</v>
      </c>
      <c r="D5325" s="6" t="s">
        <v>160</v>
      </c>
      <c r="E5325" s="11">
        <v>17.82805061340332</v>
      </c>
      <c r="F5325" s="11">
        <v>6.6961822509765625</v>
      </c>
    </row>
    <row r="5326" spans="1:6" hidden="1" x14ac:dyDescent="0.3">
      <c r="A5326" s="6">
        <v>39</v>
      </c>
      <c r="B5326" s="6" t="s">
        <v>159</v>
      </c>
      <c r="C5326" s="6" t="s">
        <v>360</v>
      </c>
      <c r="D5326" s="6" t="s">
        <v>160</v>
      </c>
      <c r="E5326" s="11">
        <v>5.495389461517334</v>
      </c>
      <c r="F5326" s="11">
        <v>6.6961822509765625</v>
      </c>
    </row>
    <row r="5327" spans="1:6" hidden="1" x14ac:dyDescent="0.3">
      <c r="A5327" s="6">
        <v>39</v>
      </c>
      <c r="B5327" s="6" t="s">
        <v>159</v>
      </c>
      <c r="C5327" s="6" t="s">
        <v>361</v>
      </c>
      <c r="D5327" s="6" t="s">
        <v>160</v>
      </c>
      <c r="E5327" s="11">
        <v>7.8049259185791016</v>
      </c>
      <c r="F5327" s="11">
        <v>6.6961822509765625</v>
      </c>
    </row>
    <row r="5328" spans="1:6" hidden="1" x14ac:dyDescent="0.3">
      <c r="A5328" s="6">
        <v>39</v>
      </c>
      <c r="B5328" s="6" t="s">
        <v>159</v>
      </c>
      <c r="C5328" s="6" t="s">
        <v>362</v>
      </c>
      <c r="D5328" s="6" t="s">
        <v>160</v>
      </c>
      <c r="E5328" s="11">
        <v>4.7745065689086914</v>
      </c>
      <c r="F5328" s="11">
        <v>6.6961822509765625</v>
      </c>
    </row>
    <row r="5329" spans="1:6" hidden="1" x14ac:dyDescent="0.3">
      <c r="A5329" s="6">
        <v>39</v>
      </c>
      <c r="B5329" s="6" t="s">
        <v>159</v>
      </c>
      <c r="C5329" s="6" t="s">
        <v>363</v>
      </c>
      <c r="D5329" s="6" t="s">
        <v>160</v>
      </c>
      <c r="E5329" s="11">
        <v>7.5464272499084473</v>
      </c>
      <c r="F5329" s="11">
        <v>6.6961822509765625</v>
      </c>
    </row>
    <row r="5330" spans="1:6" hidden="1" x14ac:dyDescent="0.3">
      <c r="A5330" s="6">
        <v>39</v>
      </c>
      <c r="B5330" s="6" t="s">
        <v>159</v>
      </c>
      <c r="C5330" s="6" t="s">
        <v>364</v>
      </c>
      <c r="D5330" s="6" t="s">
        <v>160</v>
      </c>
      <c r="E5330" s="11"/>
      <c r="F5330" s="11">
        <v>6.6961822509765625</v>
      </c>
    </row>
    <row r="5331" spans="1:6" hidden="1" x14ac:dyDescent="0.3">
      <c r="A5331" s="6">
        <v>39</v>
      </c>
      <c r="B5331" s="6" t="s">
        <v>159</v>
      </c>
      <c r="C5331" s="6" t="s">
        <v>365</v>
      </c>
      <c r="D5331" s="6" t="s">
        <v>160</v>
      </c>
      <c r="E5331" s="11">
        <v>3.5392839908599854</v>
      </c>
      <c r="F5331" s="11">
        <v>6.6961822509765625</v>
      </c>
    </row>
    <row r="5332" spans="1:6" hidden="1" x14ac:dyDescent="0.3">
      <c r="A5332" s="6">
        <v>39</v>
      </c>
      <c r="B5332" s="6" t="s">
        <v>159</v>
      </c>
      <c r="C5332" s="6" t="s">
        <v>366</v>
      </c>
      <c r="D5332" s="6" t="s">
        <v>160</v>
      </c>
      <c r="E5332" s="11">
        <v>5.5857267379760742</v>
      </c>
      <c r="F5332" s="11">
        <v>6.6961822509765625</v>
      </c>
    </row>
    <row r="5333" spans="1:6" hidden="1" x14ac:dyDescent="0.3">
      <c r="A5333" s="6">
        <v>39</v>
      </c>
      <c r="B5333" s="6" t="s">
        <v>159</v>
      </c>
      <c r="C5333" s="6" t="s">
        <v>367</v>
      </c>
      <c r="D5333" s="6" t="s">
        <v>160</v>
      </c>
      <c r="E5333" s="11">
        <v>6.0591497421264648</v>
      </c>
      <c r="F5333" s="11">
        <v>6.6961822509765625</v>
      </c>
    </row>
    <row r="5334" spans="1:6" hidden="1" x14ac:dyDescent="0.3">
      <c r="A5334" s="6">
        <v>39</v>
      </c>
      <c r="B5334" s="6" t="s">
        <v>159</v>
      </c>
      <c r="C5334" s="6" t="s">
        <v>368</v>
      </c>
      <c r="D5334" s="6" t="s">
        <v>160</v>
      </c>
      <c r="E5334" s="11">
        <v>4.4018268585205078</v>
      </c>
      <c r="F5334" s="11">
        <v>6.6961822509765625</v>
      </c>
    </row>
    <row r="5335" spans="1:6" hidden="1" x14ac:dyDescent="0.3">
      <c r="A5335" s="6">
        <v>39</v>
      </c>
      <c r="B5335" s="6" t="s">
        <v>159</v>
      </c>
      <c r="C5335" s="6" t="s">
        <v>369</v>
      </c>
      <c r="D5335" s="6" t="s">
        <v>160</v>
      </c>
      <c r="E5335" s="11">
        <v>5.8485894203186035</v>
      </c>
      <c r="F5335" s="11">
        <v>6.6961822509765625</v>
      </c>
    </row>
    <row r="5336" spans="1:6" hidden="1" x14ac:dyDescent="0.3">
      <c r="A5336" s="6">
        <v>39</v>
      </c>
      <c r="B5336" s="6" t="s">
        <v>159</v>
      </c>
      <c r="C5336" s="6" t="s">
        <v>370</v>
      </c>
      <c r="D5336" s="6" t="s">
        <v>160</v>
      </c>
      <c r="E5336" s="11">
        <v>15.388158798217773</v>
      </c>
      <c r="F5336" s="11">
        <v>6.6961822509765625</v>
      </c>
    </row>
    <row r="5337" spans="1:6" hidden="1" x14ac:dyDescent="0.3">
      <c r="A5337" s="6">
        <v>39</v>
      </c>
      <c r="B5337" s="6" t="s">
        <v>159</v>
      </c>
      <c r="C5337" s="6" t="s">
        <v>371</v>
      </c>
      <c r="D5337" s="6" t="s">
        <v>160</v>
      </c>
      <c r="E5337" s="11">
        <v>7.236361026763916</v>
      </c>
      <c r="F5337" s="11">
        <v>6.6961822509765625</v>
      </c>
    </row>
    <row r="5338" spans="1:6" hidden="1" x14ac:dyDescent="0.3">
      <c r="A5338" s="6">
        <v>39</v>
      </c>
      <c r="B5338" s="6" t="s">
        <v>159</v>
      </c>
      <c r="C5338" s="6" t="s">
        <v>372</v>
      </c>
      <c r="D5338" s="6" t="s">
        <v>160</v>
      </c>
      <c r="E5338" s="11">
        <v>7.4016242027282715</v>
      </c>
      <c r="F5338" s="11">
        <v>6.6961822509765625</v>
      </c>
    </row>
    <row r="5339" spans="1:6" hidden="1" x14ac:dyDescent="0.3">
      <c r="A5339" s="6">
        <v>39</v>
      </c>
      <c r="B5339" s="6" t="s">
        <v>159</v>
      </c>
      <c r="C5339" s="6" t="s">
        <v>373</v>
      </c>
      <c r="D5339" s="6" t="s">
        <v>160</v>
      </c>
      <c r="E5339" s="11">
        <v>12.27645206451416</v>
      </c>
      <c r="F5339" s="11">
        <v>6.6961822509765625</v>
      </c>
    </row>
    <row r="5340" spans="1:6" hidden="1" x14ac:dyDescent="0.3">
      <c r="A5340" s="6">
        <v>39</v>
      </c>
      <c r="B5340" s="6" t="s">
        <v>159</v>
      </c>
      <c r="C5340" s="6" t="s">
        <v>374</v>
      </c>
      <c r="D5340" s="6" t="s">
        <v>160</v>
      </c>
      <c r="E5340" s="11">
        <v>4.970634937286377</v>
      </c>
      <c r="F5340" s="11">
        <v>6.6961822509765625</v>
      </c>
    </row>
    <row r="5341" spans="1:6" hidden="1" x14ac:dyDescent="0.3">
      <c r="A5341" s="6">
        <v>39</v>
      </c>
      <c r="B5341" s="6" t="s">
        <v>159</v>
      </c>
      <c r="C5341" s="6" t="s">
        <v>375</v>
      </c>
      <c r="D5341" s="6" t="s">
        <v>160</v>
      </c>
      <c r="E5341" s="11">
        <v>7.608731746673584</v>
      </c>
      <c r="F5341" s="11">
        <v>6.6961822509765625</v>
      </c>
    </row>
    <row r="5342" spans="1:6" hidden="1" x14ac:dyDescent="0.3">
      <c r="A5342" s="6">
        <v>39</v>
      </c>
      <c r="B5342" s="6" t="s">
        <v>159</v>
      </c>
      <c r="C5342" s="6" t="s">
        <v>376</v>
      </c>
      <c r="D5342" s="6" t="s">
        <v>160</v>
      </c>
      <c r="E5342" s="11">
        <v>4.1716532707214355</v>
      </c>
      <c r="F5342" s="11">
        <v>6.6961822509765625</v>
      </c>
    </row>
    <row r="5343" spans="1:6" hidden="1" x14ac:dyDescent="0.3">
      <c r="A5343" s="6">
        <v>39</v>
      </c>
      <c r="B5343" s="6" t="s">
        <v>159</v>
      </c>
      <c r="C5343" s="6" t="s">
        <v>377</v>
      </c>
      <c r="D5343" s="6" t="s">
        <v>160</v>
      </c>
      <c r="E5343" s="11">
        <v>7.8866219520568848</v>
      </c>
      <c r="F5343" s="11">
        <v>6.6961822509765625</v>
      </c>
    </row>
    <row r="5344" spans="1:6" hidden="1" x14ac:dyDescent="0.3">
      <c r="A5344" s="6">
        <v>39</v>
      </c>
      <c r="B5344" s="6" t="s">
        <v>159</v>
      </c>
      <c r="C5344" s="6" t="s">
        <v>378</v>
      </c>
      <c r="D5344" s="6" t="s">
        <v>160</v>
      </c>
      <c r="E5344" s="11">
        <v>7.1896929740905762</v>
      </c>
      <c r="F5344" s="11">
        <v>6.6961822509765625</v>
      </c>
    </row>
    <row r="5345" spans="1:6" hidden="1" x14ac:dyDescent="0.3">
      <c r="A5345" s="6">
        <v>39</v>
      </c>
      <c r="B5345" s="6" t="s">
        <v>159</v>
      </c>
      <c r="C5345" s="6" t="s">
        <v>379</v>
      </c>
      <c r="D5345" s="6" t="s">
        <v>160</v>
      </c>
      <c r="E5345" s="11">
        <v>15.030997276306152</v>
      </c>
      <c r="F5345" s="11">
        <v>6.6961822509765625</v>
      </c>
    </row>
    <row r="5346" spans="1:6" hidden="1" x14ac:dyDescent="0.3">
      <c r="A5346" s="6">
        <v>39</v>
      </c>
      <c r="B5346" s="6" t="s">
        <v>159</v>
      </c>
      <c r="C5346" s="6" t="s">
        <v>380</v>
      </c>
      <c r="D5346" s="6" t="s">
        <v>160</v>
      </c>
      <c r="E5346" s="11">
        <v>7.6538639068603516</v>
      </c>
      <c r="F5346" s="11">
        <v>6.6961822509765625</v>
      </c>
    </row>
    <row r="5347" spans="1:6" hidden="1" x14ac:dyDescent="0.3">
      <c r="A5347" s="6">
        <v>39</v>
      </c>
      <c r="B5347" s="6" t="s">
        <v>159</v>
      </c>
      <c r="C5347" s="6" t="s">
        <v>381</v>
      </c>
      <c r="D5347" s="6" t="s">
        <v>160</v>
      </c>
      <c r="E5347" s="11">
        <v>5.392754077911377</v>
      </c>
      <c r="F5347" s="11">
        <v>6.6961822509765625</v>
      </c>
    </row>
    <row r="5348" spans="1:6" hidden="1" x14ac:dyDescent="0.3">
      <c r="A5348" s="6">
        <v>39</v>
      </c>
      <c r="B5348" s="6" t="s">
        <v>159</v>
      </c>
      <c r="C5348" s="6" t="s">
        <v>382</v>
      </c>
      <c r="D5348" s="6" t="s">
        <v>160</v>
      </c>
      <c r="E5348" s="11">
        <v>6.716522216796875</v>
      </c>
      <c r="F5348" s="11">
        <v>6.6961822509765625</v>
      </c>
    </row>
    <row r="5349" spans="1:6" hidden="1" x14ac:dyDescent="0.3">
      <c r="A5349" s="6">
        <v>39</v>
      </c>
      <c r="B5349" s="6" t="s">
        <v>159</v>
      </c>
      <c r="C5349" s="6" t="s">
        <v>383</v>
      </c>
      <c r="D5349" s="6" t="s">
        <v>160</v>
      </c>
      <c r="E5349" s="11">
        <v>6.7694048881530762</v>
      </c>
      <c r="F5349" s="11">
        <v>6.6961822509765625</v>
      </c>
    </row>
    <row r="5350" spans="1:6" hidden="1" x14ac:dyDescent="0.3">
      <c r="A5350" s="6">
        <v>39</v>
      </c>
      <c r="B5350" s="6" t="s">
        <v>159</v>
      </c>
      <c r="C5350" s="6" t="s">
        <v>384</v>
      </c>
      <c r="D5350" s="6" t="s">
        <v>160</v>
      </c>
      <c r="E5350" s="11">
        <v>8.480809211730957</v>
      </c>
      <c r="F5350" s="11">
        <v>6.6961822509765625</v>
      </c>
    </row>
    <row r="5351" spans="1:6" hidden="1" x14ac:dyDescent="0.3">
      <c r="A5351" s="6">
        <v>39</v>
      </c>
      <c r="B5351" s="6" t="s">
        <v>159</v>
      </c>
      <c r="C5351" s="6" t="s">
        <v>385</v>
      </c>
      <c r="D5351" s="6" t="s">
        <v>160</v>
      </c>
      <c r="E5351" s="11">
        <v>6.1563239097595215</v>
      </c>
      <c r="F5351" s="11">
        <v>6.6961822509765625</v>
      </c>
    </row>
    <row r="5352" spans="1:6" hidden="1" x14ac:dyDescent="0.3">
      <c r="A5352" s="6">
        <v>39</v>
      </c>
      <c r="B5352" s="6" t="s">
        <v>159</v>
      </c>
      <c r="C5352" s="6" t="s">
        <v>386</v>
      </c>
      <c r="D5352" s="6" t="s">
        <v>160</v>
      </c>
      <c r="E5352" s="11">
        <v>4.6877121925354004</v>
      </c>
      <c r="F5352" s="11">
        <v>6.6961822509765625</v>
      </c>
    </row>
    <row r="5353" spans="1:6" hidden="1" x14ac:dyDescent="0.3">
      <c r="A5353" s="6">
        <v>39</v>
      </c>
      <c r="B5353" s="6" t="s">
        <v>159</v>
      </c>
      <c r="C5353" s="6" t="s">
        <v>387</v>
      </c>
      <c r="D5353" s="6" t="s">
        <v>160</v>
      </c>
      <c r="E5353" s="11">
        <v>16.924642562866211</v>
      </c>
      <c r="F5353" s="11">
        <v>6.6961822509765625</v>
      </c>
    </row>
    <row r="5354" spans="1:6" hidden="1" x14ac:dyDescent="0.3">
      <c r="A5354" s="6">
        <v>39</v>
      </c>
      <c r="B5354" s="6" t="s">
        <v>159</v>
      </c>
      <c r="C5354" s="6" t="s">
        <v>388</v>
      </c>
      <c r="D5354" s="6" t="s">
        <v>160</v>
      </c>
      <c r="E5354" s="11">
        <v>6.9911212921142578</v>
      </c>
      <c r="F5354" s="11">
        <v>6.6961822509765625</v>
      </c>
    </row>
    <row r="5355" spans="1:6" hidden="1" x14ac:dyDescent="0.3">
      <c r="A5355" s="6">
        <v>39</v>
      </c>
      <c r="B5355" s="6" t="s">
        <v>159</v>
      </c>
      <c r="C5355" s="6" t="s">
        <v>389</v>
      </c>
      <c r="D5355" s="6" t="s">
        <v>160</v>
      </c>
      <c r="E5355" s="11">
        <v>6.9905767440795898</v>
      </c>
      <c r="F5355" s="11">
        <v>6.6961822509765625</v>
      </c>
    </row>
    <row r="5356" spans="1:6" hidden="1" x14ac:dyDescent="0.3">
      <c r="A5356" s="6">
        <v>39</v>
      </c>
      <c r="B5356" s="6" t="s">
        <v>159</v>
      </c>
      <c r="C5356" s="6" t="s">
        <v>390</v>
      </c>
      <c r="D5356" s="6" t="s">
        <v>160</v>
      </c>
      <c r="E5356" s="11">
        <v>6.7807536125183105</v>
      </c>
      <c r="F5356" s="11">
        <v>6.6961822509765625</v>
      </c>
    </row>
    <row r="5357" spans="1:6" hidden="1" x14ac:dyDescent="0.3">
      <c r="A5357" s="6">
        <v>39</v>
      </c>
      <c r="B5357" s="6" t="s">
        <v>159</v>
      </c>
      <c r="C5357" s="6" t="s">
        <v>391</v>
      </c>
      <c r="D5357" s="6" t="s">
        <v>160</v>
      </c>
      <c r="E5357" s="11">
        <v>21.885585784912109</v>
      </c>
      <c r="F5357" s="11">
        <v>6.6961822509765625</v>
      </c>
    </row>
    <row r="5358" spans="1:6" hidden="1" x14ac:dyDescent="0.3">
      <c r="A5358" s="6">
        <v>39</v>
      </c>
      <c r="B5358" s="6" t="s">
        <v>159</v>
      </c>
      <c r="C5358" s="6" t="s">
        <v>392</v>
      </c>
      <c r="D5358" s="6" t="s">
        <v>160</v>
      </c>
      <c r="E5358" s="11">
        <v>5.8517799377441406</v>
      </c>
      <c r="F5358" s="11">
        <v>6.6961822509765625</v>
      </c>
    </row>
    <row r="5359" spans="1:6" hidden="1" x14ac:dyDescent="0.3">
      <c r="A5359" s="6">
        <v>39</v>
      </c>
      <c r="B5359" s="6" t="s">
        <v>159</v>
      </c>
      <c r="C5359" s="6" t="s">
        <v>393</v>
      </c>
      <c r="D5359" s="6" t="s">
        <v>160</v>
      </c>
      <c r="E5359" s="11">
        <v>10.623152732849121</v>
      </c>
      <c r="F5359" s="11">
        <v>6.6961822509765625</v>
      </c>
    </row>
    <row r="5360" spans="1:6" hidden="1" x14ac:dyDescent="0.3">
      <c r="A5360" s="6">
        <v>39</v>
      </c>
      <c r="B5360" s="6" t="s">
        <v>159</v>
      </c>
      <c r="C5360" s="6" t="s">
        <v>394</v>
      </c>
      <c r="D5360" s="6" t="s">
        <v>160</v>
      </c>
      <c r="E5360" s="11">
        <v>5.9767036437988281</v>
      </c>
      <c r="F5360" s="11">
        <v>6.6961822509765625</v>
      </c>
    </row>
    <row r="5361" spans="1:6" hidden="1" x14ac:dyDescent="0.3">
      <c r="A5361" s="6">
        <v>39</v>
      </c>
      <c r="B5361" s="6" t="s">
        <v>159</v>
      </c>
      <c r="C5361" s="6" t="s">
        <v>395</v>
      </c>
      <c r="D5361" s="6" t="s">
        <v>160</v>
      </c>
      <c r="E5361" s="11">
        <v>7.3576116561889648</v>
      </c>
      <c r="F5361" s="11">
        <v>6.6961822509765625</v>
      </c>
    </row>
    <row r="5362" spans="1:6" hidden="1" x14ac:dyDescent="0.3">
      <c r="A5362" s="6">
        <v>39</v>
      </c>
      <c r="B5362" s="6" t="s">
        <v>159</v>
      </c>
      <c r="C5362" s="6" t="s">
        <v>396</v>
      </c>
      <c r="D5362" s="6" t="s">
        <v>160</v>
      </c>
      <c r="E5362" s="11">
        <v>1655.4300537109375</v>
      </c>
      <c r="F5362" s="11">
        <v>6.6961822509765625</v>
      </c>
    </row>
    <row r="5363" spans="1:6" hidden="1" x14ac:dyDescent="0.3">
      <c r="A5363" s="6">
        <v>39</v>
      </c>
      <c r="B5363" s="6" t="s">
        <v>159</v>
      </c>
      <c r="C5363" s="6" t="s">
        <v>397</v>
      </c>
      <c r="D5363" s="6" t="s">
        <v>160</v>
      </c>
      <c r="E5363" s="11">
        <v>6.6352200508117676</v>
      </c>
      <c r="F5363" s="11">
        <v>6.6961822509765625</v>
      </c>
    </row>
    <row r="5364" spans="1:6" hidden="1" x14ac:dyDescent="0.3">
      <c r="A5364" s="6">
        <v>39</v>
      </c>
      <c r="B5364" s="6" t="s">
        <v>159</v>
      </c>
      <c r="C5364" s="6" t="s">
        <v>398</v>
      </c>
      <c r="D5364" s="6" t="s">
        <v>160</v>
      </c>
      <c r="E5364" s="11">
        <v>4.5981521606445313</v>
      </c>
      <c r="F5364" s="11">
        <v>6.6961822509765625</v>
      </c>
    </row>
    <row r="5365" spans="1:6" hidden="1" x14ac:dyDescent="0.3">
      <c r="A5365" s="6">
        <v>39</v>
      </c>
      <c r="B5365" s="6" t="s">
        <v>159</v>
      </c>
      <c r="C5365" s="6" t="s">
        <v>399</v>
      </c>
      <c r="D5365" s="6" t="s">
        <v>160</v>
      </c>
      <c r="E5365" s="11">
        <v>17.935337066650391</v>
      </c>
      <c r="F5365" s="11">
        <v>6.6961822509765625</v>
      </c>
    </row>
    <row r="5366" spans="1:6" hidden="1" x14ac:dyDescent="0.3">
      <c r="A5366" s="6">
        <v>39</v>
      </c>
      <c r="B5366" s="6" t="s">
        <v>159</v>
      </c>
      <c r="C5366" s="6" t="s">
        <v>400</v>
      </c>
      <c r="D5366" s="6" t="s">
        <v>160</v>
      </c>
      <c r="E5366" s="11">
        <v>3.6947062015533447</v>
      </c>
      <c r="F5366" s="11">
        <v>6.6961822509765625</v>
      </c>
    </row>
    <row r="5367" spans="1:6" hidden="1" x14ac:dyDescent="0.3">
      <c r="A5367" s="6">
        <v>39</v>
      </c>
      <c r="B5367" s="6" t="s">
        <v>159</v>
      </c>
      <c r="C5367" s="6" t="s">
        <v>401</v>
      </c>
      <c r="D5367" s="6" t="s">
        <v>160</v>
      </c>
      <c r="E5367" s="11">
        <v>13.049587249755859</v>
      </c>
      <c r="F5367" s="11">
        <v>6.6961822509765625</v>
      </c>
    </row>
    <row r="5368" spans="1:6" hidden="1" x14ac:dyDescent="0.3">
      <c r="A5368" s="6">
        <v>39</v>
      </c>
      <c r="B5368" s="6" t="s">
        <v>159</v>
      </c>
      <c r="C5368" s="6" t="s">
        <v>402</v>
      </c>
      <c r="D5368" s="6" t="s">
        <v>160</v>
      </c>
      <c r="E5368" s="11">
        <v>15.102236747741699</v>
      </c>
      <c r="F5368" s="11">
        <v>6.6961822509765625</v>
      </c>
    </row>
    <row r="5369" spans="1:6" hidden="1" x14ac:dyDescent="0.3">
      <c r="A5369" s="6">
        <v>39</v>
      </c>
      <c r="B5369" s="6" t="s">
        <v>159</v>
      </c>
      <c r="C5369" s="6" t="s">
        <v>403</v>
      </c>
      <c r="D5369" s="6" t="s">
        <v>160</v>
      </c>
      <c r="E5369" s="11">
        <v>7.8016242980957031</v>
      </c>
      <c r="F5369" s="11">
        <v>6.6961822509765625</v>
      </c>
    </row>
    <row r="5370" spans="1:6" hidden="1" x14ac:dyDescent="0.3">
      <c r="A5370" s="6">
        <v>39</v>
      </c>
      <c r="B5370" s="6" t="s">
        <v>159</v>
      </c>
      <c r="C5370" s="6" t="s">
        <v>404</v>
      </c>
      <c r="D5370" s="6" t="s">
        <v>160</v>
      </c>
      <c r="E5370" s="11">
        <v>4.6194510459899902</v>
      </c>
      <c r="F5370" s="11">
        <v>6.6961822509765625</v>
      </c>
    </row>
    <row r="5371" spans="1:6" hidden="1" x14ac:dyDescent="0.3">
      <c r="A5371" s="6">
        <v>39</v>
      </c>
      <c r="B5371" s="6" t="s">
        <v>159</v>
      </c>
      <c r="C5371" s="6" t="s">
        <v>405</v>
      </c>
      <c r="D5371" s="6" t="s">
        <v>160</v>
      </c>
      <c r="E5371" s="11">
        <v>7.3974499702453613</v>
      </c>
      <c r="F5371" s="11">
        <v>6.6961822509765625</v>
      </c>
    </row>
    <row r="5372" spans="1:6" hidden="1" x14ac:dyDescent="0.3">
      <c r="A5372" s="6">
        <v>39</v>
      </c>
      <c r="B5372" s="6" t="s">
        <v>159</v>
      </c>
      <c r="C5372" s="6" t="s">
        <v>406</v>
      </c>
      <c r="D5372" s="6" t="s">
        <v>160</v>
      </c>
      <c r="E5372" s="11">
        <v>7.9323868751525879</v>
      </c>
      <c r="F5372" s="11">
        <v>6.6961822509765625</v>
      </c>
    </row>
    <row r="5373" spans="1:6" hidden="1" x14ac:dyDescent="0.3">
      <c r="A5373" s="6">
        <v>39</v>
      </c>
      <c r="B5373" s="6" t="s">
        <v>159</v>
      </c>
      <c r="C5373" s="6" t="s">
        <v>407</v>
      </c>
      <c r="D5373" s="6" t="s">
        <v>160</v>
      </c>
      <c r="E5373" s="11">
        <v>11.601729393005371</v>
      </c>
      <c r="F5373" s="11">
        <v>6.6961822509765625</v>
      </c>
    </row>
    <row r="5374" spans="1:6" hidden="1" x14ac:dyDescent="0.3">
      <c r="A5374" s="6">
        <v>39</v>
      </c>
      <c r="B5374" s="6" t="s">
        <v>159</v>
      </c>
      <c r="C5374" s="6" t="s">
        <v>408</v>
      </c>
      <c r="D5374" s="6" t="s">
        <v>160</v>
      </c>
      <c r="E5374" s="11">
        <v>7.382014274597168</v>
      </c>
      <c r="F5374" s="11">
        <v>6.6961822509765625</v>
      </c>
    </row>
    <row r="5375" spans="1:6" hidden="1" x14ac:dyDescent="0.3">
      <c r="A5375" s="6">
        <v>39</v>
      </c>
      <c r="B5375" s="6" t="s">
        <v>159</v>
      </c>
      <c r="C5375" s="6" t="s">
        <v>409</v>
      </c>
      <c r="D5375" s="6" t="s">
        <v>160</v>
      </c>
      <c r="E5375" s="11">
        <v>9.3842363357543945</v>
      </c>
      <c r="F5375" s="11">
        <v>6.6961822509765625</v>
      </c>
    </row>
    <row r="5376" spans="1:6" hidden="1" x14ac:dyDescent="0.3">
      <c r="A5376" s="6">
        <v>39</v>
      </c>
      <c r="B5376" s="6" t="s">
        <v>159</v>
      </c>
      <c r="C5376" s="6" t="s">
        <v>410</v>
      </c>
      <c r="D5376" s="6" t="s">
        <v>160</v>
      </c>
      <c r="E5376" s="11">
        <v>6.1147899627685547</v>
      </c>
      <c r="F5376" s="11">
        <v>6.6961822509765625</v>
      </c>
    </row>
    <row r="5377" spans="1:6" hidden="1" x14ac:dyDescent="0.3">
      <c r="A5377" s="6">
        <v>39</v>
      </c>
      <c r="B5377" s="6" t="s">
        <v>159</v>
      </c>
      <c r="C5377" s="6" t="s">
        <v>411</v>
      </c>
      <c r="D5377" s="6" t="s">
        <v>160</v>
      </c>
      <c r="E5377" s="11">
        <v>5.885317325592041</v>
      </c>
      <c r="F5377" s="11">
        <v>6.6961822509765625</v>
      </c>
    </row>
    <row r="5378" spans="1:6" hidden="1" x14ac:dyDescent="0.3">
      <c r="A5378" s="6">
        <v>39</v>
      </c>
      <c r="B5378" s="6" t="s">
        <v>159</v>
      </c>
      <c r="C5378" s="6" t="s">
        <v>412</v>
      </c>
      <c r="D5378" s="6" t="s">
        <v>160</v>
      </c>
      <c r="E5378" s="11">
        <v>7.1474580764770508</v>
      </c>
      <c r="F5378" s="11">
        <v>6.6961822509765625</v>
      </c>
    </row>
    <row r="5379" spans="1:6" hidden="1" x14ac:dyDescent="0.3">
      <c r="A5379" s="6">
        <v>39</v>
      </c>
      <c r="B5379" s="6" t="s">
        <v>159</v>
      </c>
      <c r="C5379" s="6" t="s">
        <v>413</v>
      </c>
      <c r="D5379" s="6" t="s">
        <v>160</v>
      </c>
      <c r="E5379" s="11">
        <v>11.441197395324707</v>
      </c>
      <c r="F5379" s="11">
        <v>6.6961822509765625</v>
      </c>
    </row>
    <row r="5380" spans="1:6" hidden="1" x14ac:dyDescent="0.3">
      <c r="A5380" s="6">
        <v>39</v>
      </c>
      <c r="B5380" s="6" t="s">
        <v>159</v>
      </c>
      <c r="C5380" s="6" t="s">
        <v>414</v>
      </c>
      <c r="D5380" s="6" t="s">
        <v>160</v>
      </c>
      <c r="E5380" s="11">
        <v>13.973423004150391</v>
      </c>
      <c r="F5380" s="11">
        <v>6.6961822509765625</v>
      </c>
    </row>
    <row r="5381" spans="1:6" hidden="1" x14ac:dyDescent="0.3">
      <c r="A5381" s="6">
        <v>39</v>
      </c>
      <c r="B5381" s="6" t="s">
        <v>159</v>
      </c>
      <c r="C5381" s="6" t="s">
        <v>415</v>
      </c>
      <c r="D5381" s="6" t="s">
        <v>160</v>
      </c>
      <c r="E5381" s="11">
        <v>15.439323425292969</v>
      </c>
      <c r="F5381" s="11">
        <v>6.6961822509765625</v>
      </c>
    </row>
    <row r="5382" spans="1:6" hidden="1" x14ac:dyDescent="0.3">
      <c r="A5382" s="6">
        <v>39</v>
      </c>
      <c r="B5382" s="6" t="s">
        <v>159</v>
      </c>
      <c r="C5382" s="6" t="s">
        <v>416</v>
      </c>
      <c r="D5382" s="6" t="s">
        <v>160</v>
      </c>
      <c r="E5382" s="11">
        <v>76.010665893554688</v>
      </c>
      <c r="F5382" s="11">
        <v>6.6961822509765625</v>
      </c>
    </row>
    <row r="5383" spans="1:6" hidden="1" x14ac:dyDescent="0.3">
      <c r="A5383" s="6">
        <v>39</v>
      </c>
      <c r="B5383" s="6" t="s">
        <v>159</v>
      </c>
      <c r="C5383" s="6" t="s">
        <v>417</v>
      </c>
      <c r="D5383" s="6" t="s">
        <v>160</v>
      </c>
      <c r="E5383" s="11">
        <v>6.5971245765686035</v>
      </c>
      <c r="F5383" s="11">
        <v>6.6961822509765625</v>
      </c>
    </row>
    <row r="5384" spans="1:6" hidden="1" x14ac:dyDescent="0.3">
      <c r="A5384" s="6">
        <v>39</v>
      </c>
      <c r="B5384" s="6" t="s">
        <v>159</v>
      </c>
      <c r="C5384" s="6" t="s">
        <v>418</v>
      </c>
      <c r="D5384" s="6" t="s">
        <v>160</v>
      </c>
      <c r="E5384" s="11">
        <v>3.867661714553833</v>
      </c>
      <c r="F5384" s="11">
        <v>6.6961822509765625</v>
      </c>
    </row>
    <row r="5385" spans="1:6" hidden="1" x14ac:dyDescent="0.3">
      <c r="A5385" s="6">
        <v>39</v>
      </c>
      <c r="B5385" s="6" t="s">
        <v>159</v>
      </c>
      <c r="C5385" s="6" t="s">
        <v>419</v>
      </c>
      <c r="D5385" s="6" t="s">
        <v>160</v>
      </c>
      <c r="E5385" s="11">
        <v>21.520198822021484</v>
      </c>
      <c r="F5385" s="11">
        <v>6.6961822509765625</v>
      </c>
    </row>
    <row r="5386" spans="1:6" hidden="1" x14ac:dyDescent="0.3">
      <c r="A5386" s="6">
        <v>39</v>
      </c>
      <c r="B5386" s="6" t="s">
        <v>159</v>
      </c>
      <c r="C5386" s="6" t="s">
        <v>420</v>
      </c>
      <c r="D5386" s="6" t="s">
        <v>160</v>
      </c>
      <c r="E5386" s="11">
        <v>8.5166797637939453</v>
      </c>
      <c r="F5386" s="11">
        <v>6.6961822509765625</v>
      </c>
    </row>
    <row r="5387" spans="1:6" hidden="1" x14ac:dyDescent="0.3">
      <c r="A5387" s="6">
        <v>39</v>
      </c>
      <c r="B5387" s="6" t="s">
        <v>159</v>
      </c>
      <c r="C5387" s="6" t="s">
        <v>421</v>
      </c>
      <c r="D5387" s="6" t="s">
        <v>160</v>
      </c>
      <c r="E5387" s="11">
        <v>5.2711162567138672</v>
      </c>
      <c r="F5387" s="11">
        <v>6.6961822509765625</v>
      </c>
    </row>
    <row r="5388" spans="1:6" hidden="1" x14ac:dyDescent="0.3">
      <c r="A5388" s="6">
        <v>39</v>
      </c>
      <c r="B5388" s="6" t="s">
        <v>159</v>
      </c>
      <c r="C5388" s="6" t="s">
        <v>422</v>
      </c>
      <c r="D5388" s="6" t="s">
        <v>160</v>
      </c>
      <c r="E5388" s="11">
        <v>4.2984709739685059</v>
      </c>
      <c r="F5388" s="11">
        <v>6.6961822509765625</v>
      </c>
    </row>
    <row r="5389" spans="1:6" hidden="1" x14ac:dyDescent="0.3">
      <c r="A5389" s="6">
        <v>39</v>
      </c>
      <c r="B5389" s="6" t="s">
        <v>159</v>
      </c>
      <c r="C5389" s="6" t="s">
        <v>423</v>
      </c>
      <c r="D5389" s="6" t="s">
        <v>160</v>
      </c>
      <c r="E5389" s="11">
        <v>6.7848176956176758</v>
      </c>
      <c r="F5389" s="11">
        <v>6.6961822509765625</v>
      </c>
    </row>
    <row r="5390" spans="1:6" hidden="1" x14ac:dyDescent="0.3">
      <c r="A5390" s="6">
        <v>39</v>
      </c>
      <c r="B5390" s="6" t="s">
        <v>159</v>
      </c>
      <c r="C5390" s="6" t="s">
        <v>424</v>
      </c>
      <c r="D5390" s="6" t="s">
        <v>160</v>
      </c>
      <c r="E5390" s="11">
        <v>6.4769396781921387</v>
      </c>
      <c r="F5390" s="11">
        <v>6.6961822509765625</v>
      </c>
    </row>
    <row r="5391" spans="1:6" hidden="1" x14ac:dyDescent="0.3">
      <c r="A5391" s="6">
        <v>39</v>
      </c>
      <c r="B5391" s="6" t="s">
        <v>159</v>
      </c>
      <c r="C5391" s="6" t="s">
        <v>425</v>
      </c>
      <c r="D5391" s="6" t="s">
        <v>160</v>
      </c>
      <c r="E5391" s="11">
        <v>45.612140655517578</v>
      </c>
      <c r="F5391" s="11">
        <v>6.6961822509765625</v>
      </c>
    </row>
    <row r="5392" spans="1:6" hidden="1" x14ac:dyDescent="0.3">
      <c r="A5392" s="6">
        <v>39</v>
      </c>
      <c r="B5392" s="6" t="s">
        <v>159</v>
      </c>
      <c r="C5392" s="6" t="s">
        <v>426</v>
      </c>
      <c r="D5392" s="6" t="s">
        <v>160</v>
      </c>
      <c r="E5392" s="11">
        <v>4.7002758979797363</v>
      </c>
      <c r="F5392" s="11">
        <v>6.6961822509765625</v>
      </c>
    </row>
    <row r="5393" spans="1:6" hidden="1" x14ac:dyDescent="0.3">
      <c r="A5393" s="6">
        <v>39</v>
      </c>
      <c r="B5393" s="6" t="s">
        <v>159</v>
      </c>
      <c r="C5393" s="6" t="s">
        <v>427</v>
      </c>
      <c r="D5393" s="6" t="s">
        <v>160</v>
      </c>
      <c r="E5393" s="11">
        <v>18.647006988525391</v>
      </c>
      <c r="F5393" s="11">
        <v>6.6961822509765625</v>
      </c>
    </row>
    <row r="5394" spans="1:6" hidden="1" x14ac:dyDescent="0.3">
      <c r="A5394" s="6">
        <v>39</v>
      </c>
      <c r="B5394" s="6" t="s">
        <v>159</v>
      </c>
      <c r="C5394" s="6" t="s">
        <v>428</v>
      </c>
      <c r="D5394" s="6" t="s">
        <v>160</v>
      </c>
      <c r="E5394" s="11">
        <v>41.911579132080078</v>
      </c>
      <c r="F5394" s="11">
        <v>6.6961822509765625</v>
      </c>
    </row>
    <row r="5395" spans="1:6" hidden="1" x14ac:dyDescent="0.3">
      <c r="A5395" s="6">
        <v>39</v>
      </c>
      <c r="B5395" s="6" t="s">
        <v>159</v>
      </c>
      <c r="C5395" s="6" t="s">
        <v>429</v>
      </c>
      <c r="D5395" s="6" t="s">
        <v>160</v>
      </c>
      <c r="E5395" s="11">
        <v>11.089675903320313</v>
      </c>
      <c r="F5395" s="11">
        <v>6.6961822509765625</v>
      </c>
    </row>
    <row r="5396" spans="1:6" hidden="1" x14ac:dyDescent="0.3">
      <c r="A5396" s="6">
        <v>39</v>
      </c>
      <c r="B5396" s="6" t="s">
        <v>159</v>
      </c>
      <c r="C5396" s="6" t="s">
        <v>430</v>
      </c>
      <c r="D5396" s="6" t="s">
        <v>160</v>
      </c>
      <c r="E5396" s="11">
        <v>3.2459564208984375</v>
      </c>
      <c r="F5396" s="11">
        <v>6.6961822509765625</v>
      </c>
    </row>
    <row r="5397" spans="1:6" hidden="1" x14ac:dyDescent="0.3">
      <c r="A5397" s="6">
        <v>39</v>
      </c>
      <c r="B5397" s="6" t="s">
        <v>159</v>
      </c>
      <c r="C5397" s="6" t="s">
        <v>431</v>
      </c>
      <c r="D5397" s="6" t="s">
        <v>160</v>
      </c>
      <c r="E5397" s="11">
        <v>8.9302978515625</v>
      </c>
      <c r="F5397" s="11">
        <v>6.6961822509765625</v>
      </c>
    </row>
    <row r="5398" spans="1:6" hidden="1" x14ac:dyDescent="0.3">
      <c r="A5398" s="6">
        <v>39</v>
      </c>
      <c r="B5398" s="6" t="s">
        <v>159</v>
      </c>
      <c r="C5398" s="6" t="s">
        <v>432</v>
      </c>
      <c r="D5398" s="6" t="s">
        <v>160</v>
      </c>
      <c r="E5398" s="11">
        <v>6.0762619972229004</v>
      </c>
      <c r="F5398" s="11">
        <v>6.6961822509765625</v>
      </c>
    </row>
    <row r="5399" spans="1:6" hidden="1" x14ac:dyDescent="0.3">
      <c r="A5399" s="6">
        <v>39</v>
      </c>
      <c r="B5399" s="6" t="s">
        <v>159</v>
      </c>
      <c r="C5399" s="6" t="s">
        <v>433</v>
      </c>
      <c r="D5399" s="6" t="s">
        <v>160</v>
      </c>
      <c r="E5399" s="11">
        <v>8.8962116241455078</v>
      </c>
      <c r="F5399" s="11">
        <v>6.6961822509765625</v>
      </c>
    </row>
    <row r="5400" spans="1:6" hidden="1" x14ac:dyDescent="0.3">
      <c r="A5400" s="6">
        <v>39</v>
      </c>
      <c r="B5400" s="6" t="s">
        <v>159</v>
      </c>
      <c r="C5400" s="6" t="s">
        <v>434</v>
      </c>
      <c r="D5400" s="6" t="s">
        <v>160</v>
      </c>
      <c r="E5400" s="11">
        <v>3.1611101627349854</v>
      </c>
      <c r="F5400" s="11">
        <v>6.6961822509765625</v>
      </c>
    </row>
    <row r="5401" spans="1:6" hidden="1" x14ac:dyDescent="0.3">
      <c r="A5401" s="6">
        <v>39</v>
      </c>
      <c r="B5401" s="6" t="s">
        <v>159</v>
      </c>
      <c r="C5401" s="6" t="s">
        <v>435</v>
      </c>
      <c r="D5401" s="6" t="s">
        <v>160</v>
      </c>
      <c r="E5401" s="11">
        <v>33.638134002685547</v>
      </c>
      <c r="F5401" s="11">
        <v>6.6961822509765625</v>
      </c>
    </row>
    <row r="5402" spans="1:6" hidden="1" x14ac:dyDescent="0.3">
      <c r="A5402" s="6">
        <v>39</v>
      </c>
      <c r="B5402" s="6" t="s">
        <v>159</v>
      </c>
      <c r="C5402" s="6" t="s">
        <v>436</v>
      </c>
      <c r="D5402" s="6" t="s">
        <v>160</v>
      </c>
      <c r="E5402" s="11">
        <v>7.4568243026733398</v>
      </c>
      <c r="F5402" s="11">
        <v>6.6961822509765625</v>
      </c>
    </row>
    <row r="5403" spans="1:6" hidden="1" x14ac:dyDescent="0.3">
      <c r="A5403" s="6">
        <v>39</v>
      </c>
      <c r="B5403" s="6" t="s">
        <v>159</v>
      </c>
      <c r="C5403" s="6" t="s">
        <v>437</v>
      </c>
      <c r="D5403" s="6" t="s">
        <v>160</v>
      </c>
      <c r="E5403" s="11">
        <v>6.2140579223632813</v>
      </c>
      <c r="F5403" s="11">
        <v>6.6961822509765625</v>
      </c>
    </row>
    <row r="5404" spans="1:6" hidden="1" x14ac:dyDescent="0.3">
      <c r="A5404" s="6">
        <v>39</v>
      </c>
      <c r="B5404" s="6" t="s">
        <v>159</v>
      </c>
      <c r="C5404" s="6" t="s">
        <v>438</v>
      </c>
      <c r="D5404" s="6" t="s">
        <v>160</v>
      </c>
      <c r="E5404" s="11">
        <v>17.320257186889648</v>
      </c>
      <c r="F5404" s="11">
        <v>6.6961822509765625</v>
      </c>
    </row>
    <row r="5405" spans="1:6" hidden="1" x14ac:dyDescent="0.3">
      <c r="A5405" s="6">
        <v>39</v>
      </c>
      <c r="B5405" s="6" t="s">
        <v>159</v>
      </c>
      <c r="C5405" s="6" t="s">
        <v>439</v>
      </c>
      <c r="D5405" s="6" t="s">
        <v>160</v>
      </c>
      <c r="E5405" s="11">
        <v>4.7538337707519531</v>
      </c>
      <c r="F5405" s="11">
        <v>6.6961822509765625</v>
      </c>
    </row>
    <row r="5406" spans="1:6" hidden="1" x14ac:dyDescent="0.3">
      <c r="A5406" s="6">
        <v>39</v>
      </c>
      <c r="B5406" s="6" t="s">
        <v>159</v>
      </c>
      <c r="C5406" s="6" t="s">
        <v>440</v>
      </c>
      <c r="D5406" s="6" t="s">
        <v>160</v>
      </c>
      <c r="E5406" s="11">
        <v>4.6615290641784668</v>
      </c>
      <c r="F5406" s="11">
        <v>6.6961822509765625</v>
      </c>
    </row>
    <row r="5407" spans="1:6" hidden="1" x14ac:dyDescent="0.3">
      <c r="A5407" s="6">
        <v>39</v>
      </c>
      <c r="B5407" s="6" t="s">
        <v>159</v>
      </c>
      <c r="C5407" s="6" t="s">
        <v>441</v>
      </c>
      <c r="D5407" s="6" t="s">
        <v>160</v>
      </c>
      <c r="E5407" s="11">
        <v>6.2843661308288574</v>
      </c>
      <c r="F5407" s="11">
        <v>6.6961822509765625</v>
      </c>
    </row>
    <row r="5408" spans="1:6" hidden="1" x14ac:dyDescent="0.3">
      <c r="A5408" s="6">
        <v>39</v>
      </c>
      <c r="B5408" s="6" t="s">
        <v>159</v>
      </c>
      <c r="C5408" s="6" t="s">
        <v>442</v>
      </c>
      <c r="D5408" s="6" t="s">
        <v>160</v>
      </c>
      <c r="E5408" s="11">
        <v>25.177032470703125</v>
      </c>
      <c r="F5408" s="11">
        <v>6.6961822509765625</v>
      </c>
    </row>
    <row r="5409" spans="1:6" hidden="1" x14ac:dyDescent="0.3">
      <c r="A5409" s="6">
        <v>39</v>
      </c>
      <c r="B5409" s="6" t="s">
        <v>159</v>
      </c>
      <c r="C5409" s="6" t="s">
        <v>443</v>
      </c>
      <c r="D5409" s="6" t="s">
        <v>160</v>
      </c>
      <c r="E5409" s="11">
        <v>4.4034848213195801</v>
      </c>
      <c r="F5409" s="11">
        <v>6.6961822509765625</v>
      </c>
    </row>
    <row r="5410" spans="1:6" hidden="1" x14ac:dyDescent="0.3">
      <c r="A5410" s="6">
        <v>39</v>
      </c>
      <c r="B5410" s="6" t="s">
        <v>159</v>
      </c>
      <c r="C5410" s="6" t="s">
        <v>444</v>
      </c>
      <c r="D5410" s="6" t="s">
        <v>160</v>
      </c>
      <c r="E5410" s="11">
        <v>4.4221048355102539</v>
      </c>
      <c r="F5410" s="11">
        <v>6.6961822509765625</v>
      </c>
    </row>
    <row r="5411" spans="1:6" hidden="1" x14ac:dyDescent="0.3">
      <c r="A5411" s="6">
        <v>39</v>
      </c>
      <c r="B5411" s="6" t="s">
        <v>159</v>
      </c>
      <c r="C5411" s="6" t="s">
        <v>445</v>
      </c>
      <c r="D5411" s="6" t="s">
        <v>160</v>
      </c>
      <c r="E5411" s="11">
        <v>9.1335611343383789</v>
      </c>
      <c r="F5411" s="11">
        <v>6.6961822509765625</v>
      </c>
    </row>
    <row r="5412" spans="1:6" hidden="1" x14ac:dyDescent="0.3">
      <c r="A5412" s="6">
        <v>39</v>
      </c>
      <c r="B5412" s="6" t="s">
        <v>159</v>
      </c>
      <c r="C5412" s="6" t="s">
        <v>446</v>
      </c>
      <c r="D5412" s="6" t="s">
        <v>160</v>
      </c>
      <c r="E5412" s="11">
        <v>4.5306119918823242</v>
      </c>
      <c r="F5412" s="11">
        <v>6.6961822509765625</v>
      </c>
    </row>
    <row r="5413" spans="1:6" hidden="1" x14ac:dyDescent="0.3">
      <c r="A5413" s="6">
        <v>39</v>
      </c>
      <c r="B5413" s="6" t="s">
        <v>159</v>
      </c>
      <c r="C5413" s="6" t="s">
        <v>447</v>
      </c>
      <c r="D5413" s="6" t="s">
        <v>160</v>
      </c>
      <c r="E5413" s="11">
        <v>5.3396339416503906</v>
      </c>
      <c r="F5413" s="11">
        <v>6.6961822509765625</v>
      </c>
    </row>
    <row r="5414" spans="1:6" hidden="1" x14ac:dyDescent="0.3">
      <c r="A5414" s="6">
        <v>39</v>
      </c>
      <c r="B5414" s="6" t="s">
        <v>159</v>
      </c>
      <c r="C5414" s="6" t="s">
        <v>448</v>
      </c>
      <c r="D5414" s="6" t="s">
        <v>160</v>
      </c>
      <c r="E5414" s="11">
        <v>6.7060847282409668</v>
      </c>
      <c r="F5414" s="11">
        <v>6.6961822509765625</v>
      </c>
    </row>
    <row r="5415" spans="1:6" hidden="1" x14ac:dyDescent="0.3">
      <c r="A5415" s="6">
        <v>39</v>
      </c>
      <c r="B5415" s="6" t="s">
        <v>159</v>
      </c>
      <c r="C5415" s="6" t="s">
        <v>449</v>
      </c>
      <c r="D5415" s="6" t="s">
        <v>160</v>
      </c>
      <c r="E5415" s="11">
        <v>3.9340989589691162</v>
      </c>
      <c r="F5415" s="11">
        <v>6.6961822509765625</v>
      </c>
    </row>
    <row r="5416" spans="1:6" hidden="1" x14ac:dyDescent="0.3">
      <c r="A5416" s="6">
        <v>39</v>
      </c>
      <c r="B5416" s="6" t="s">
        <v>159</v>
      </c>
      <c r="C5416" s="6" t="s">
        <v>450</v>
      </c>
      <c r="D5416" s="6" t="s">
        <v>160</v>
      </c>
      <c r="E5416" s="11">
        <v>7.5754942893981934</v>
      </c>
      <c r="F5416" s="11">
        <v>6.6961822509765625</v>
      </c>
    </row>
    <row r="5417" spans="1:6" hidden="1" x14ac:dyDescent="0.3">
      <c r="A5417" s="6">
        <v>39</v>
      </c>
      <c r="B5417" s="6" t="s">
        <v>159</v>
      </c>
      <c r="C5417" s="6" t="s">
        <v>451</v>
      </c>
      <c r="D5417" s="6" t="s">
        <v>160</v>
      </c>
      <c r="E5417" s="11">
        <v>10.49946117401123</v>
      </c>
      <c r="F5417" s="11">
        <v>6.6961822509765625</v>
      </c>
    </row>
    <row r="5418" spans="1:6" hidden="1" x14ac:dyDescent="0.3">
      <c r="A5418" s="6">
        <v>39</v>
      </c>
      <c r="B5418" s="6" t="s">
        <v>159</v>
      </c>
      <c r="C5418" s="6" t="s">
        <v>452</v>
      </c>
      <c r="D5418" s="6" t="s">
        <v>160</v>
      </c>
      <c r="E5418" s="11">
        <v>6.7578849792480469</v>
      </c>
      <c r="F5418" s="11">
        <v>6.6961822509765625</v>
      </c>
    </row>
    <row r="5419" spans="1:6" hidden="1" x14ac:dyDescent="0.3">
      <c r="A5419" s="6">
        <v>39</v>
      </c>
      <c r="B5419" s="6" t="s">
        <v>159</v>
      </c>
      <c r="C5419" s="6" t="s">
        <v>453</v>
      </c>
      <c r="D5419" s="6" t="s">
        <v>160</v>
      </c>
      <c r="E5419" s="11">
        <v>3.902268648147583</v>
      </c>
      <c r="F5419" s="11">
        <v>6.6961822509765625</v>
      </c>
    </row>
    <row r="5420" spans="1:6" hidden="1" x14ac:dyDescent="0.3">
      <c r="A5420" s="6">
        <v>39</v>
      </c>
      <c r="B5420" s="6" t="s">
        <v>159</v>
      </c>
      <c r="C5420" s="6" t="s">
        <v>454</v>
      </c>
      <c r="D5420" s="6" t="s">
        <v>160</v>
      </c>
      <c r="E5420" s="11">
        <v>5.6685976982116699</v>
      </c>
      <c r="F5420" s="11">
        <v>6.6961822509765625</v>
      </c>
    </row>
    <row r="5421" spans="1:6" hidden="1" x14ac:dyDescent="0.3">
      <c r="A5421" s="6">
        <v>39</v>
      </c>
      <c r="B5421" s="6" t="s">
        <v>159</v>
      </c>
      <c r="C5421" s="6" t="s">
        <v>455</v>
      </c>
      <c r="D5421" s="6" t="s">
        <v>160</v>
      </c>
      <c r="E5421" s="11">
        <v>4.9687643051147461</v>
      </c>
      <c r="F5421" s="11">
        <v>6.6961822509765625</v>
      </c>
    </row>
    <row r="5422" spans="1:6" hidden="1" x14ac:dyDescent="0.3">
      <c r="A5422" s="6">
        <v>39</v>
      </c>
      <c r="B5422" s="6" t="s">
        <v>159</v>
      </c>
      <c r="C5422" s="6" t="s">
        <v>456</v>
      </c>
      <c r="D5422" s="6" t="s">
        <v>160</v>
      </c>
      <c r="E5422" s="11">
        <v>5.1644740104675293</v>
      </c>
      <c r="F5422" s="11">
        <v>6.6961822509765625</v>
      </c>
    </row>
    <row r="5423" spans="1:6" hidden="1" x14ac:dyDescent="0.3">
      <c r="A5423" s="6">
        <v>39</v>
      </c>
      <c r="B5423" s="6" t="s">
        <v>159</v>
      </c>
      <c r="C5423" s="6" t="s">
        <v>457</v>
      </c>
      <c r="D5423" s="6" t="s">
        <v>160</v>
      </c>
      <c r="E5423" s="11">
        <v>11.536951065063477</v>
      </c>
      <c r="F5423" s="11">
        <v>6.6961822509765625</v>
      </c>
    </row>
    <row r="5424" spans="1:6" hidden="1" x14ac:dyDescent="0.3">
      <c r="A5424" s="6">
        <v>39</v>
      </c>
      <c r="B5424" s="6" t="s">
        <v>159</v>
      </c>
      <c r="C5424" s="6" t="s">
        <v>458</v>
      </c>
      <c r="D5424" s="6" t="s">
        <v>160</v>
      </c>
      <c r="E5424" s="11">
        <v>13.650661468505859</v>
      </c>
      <c r="F5424" s="11">
        <v>6.6961822509765625</v>
      </c>
    </row>
    <row r="5425" spans="1:6" hidden="1" x14ac:dyDescent="0.3">
      <c r="A5425" s="6">
        <v>39</v>
      </c>
      <c r="B5425" s="6" t="s">
        <v>159</v>
      </c>
      <c r="C5425" s="6" t="s">
        <v>459</v>
      </c>
      <c r="D5425" s="6" t="s">
        <v>160</v>
      </c>
      <c r="E5425" s="11">
        <v>6.8831191062927246</v>
      </c>
      <c r="F5425" s="11">
        <v>6.6961822509765625</v>
      </c>
    </row>
    <row r="5426" spans="1:6" hidden="1" x14ac:dyDescent="0.3">
      <c r="A5426" s="6">
        <v>39</v>
      </c>
      <c r="B5426" s="6" t="s">
        <v>159</v>
      </c>
      <c r="C5426" s="6" t="s">
        <v>460</v>
      </c>
      <c r="D5426" s="6" t="s">
        <v>160</v>
      </c>
      <c r="E5426" s="11">
        <v>17767.259765625</v>
      </c>
      <c r="F5426" s="11">
        <v>6.6961822509765625</v>
      </c>
    </row>
    <row r="5427" spans="1:6" hidden="1" x14ac:dyDescent="0.3">
      <c r="A5427" s="6">
        <v>39</v>
      </c>
      <c r="B5427" s="6" t="s">
        <v>159</v>
      </c>
      <c r="C5427" s="6" t="s">
        <v>461</v>
      </c>
      <c r="D5427" s="6" t="s">
        <v>160</v>
      </c>
      <c r="E5427" s="11">
        <v>6.2864570617675781</v>
      </c>
      <c r="F5427" s="11">
        <v>6.6961822509765625</v>
      </c>
    </row>
    <row r="5428" spans="1:6" hidden="1" x14ac:dyDescent="0.3">
      <c r="A5428" s="6">
        <v>39</v>
      </c>
      <c r="B5428" s="6" t="s">
        <v>159</v>
      </c>
      <c r="C5428" s="6" t="s">
        <v>462</v>
      </c>
      <c r="D5428" s="6" t="s">
        <v>160</v>
      </c>
      <c r="E5428" s="11">
        <v>3.9279003143310547</v>
      </c>
      <c r="F5428" s="11">
        <v>6.6961822509765625</v>
      </c>
    </row>
    <row r="5429" spans="1:6" hidden="1" x14ac:dyDescent="0.3">
      <c r="A5429" s="6">
        <v>39</v>
      </c>
      <c r="B5429" s="6" t="s">
        <v>159</v>
      </c>
      <c r="C5429" s="6" t="s">
        <v>463</v>
      </c>
      <c r="D5429" s="6" t="s">
        <v>160</v>
      </c>
      <c r="E5429" s="11">
        <v>6.6833987236022949</v>
      </c>
      <c r="F5429" s="11">
        <v>6.6961822509765625</v>
      </c>
    </row>
    <row r="5430" spans="1:6" hidden="1" x14ac:dyDescent="0.3">
      <c r="A5430" s="6">
        <v>39</v>
      </c>
      <c r="B5430" s="6" t="s">
        <v>159</v>
      </c>
      <c r="C5430" s="6" t="s">
        <v>464</v>
      </c>
      <c r="D5430" s="6" t="s">
        <v>160</v>
      </c>
      <c r="E5430" s="11">
        <v>4.4293708801269531</v>
      </c>
      <c r="F5430" s="11">
        <v>6.6961822509765625</v>
      </c>
    </row>
    <row r="5431" spans="1:6" hidden="1" x14ac:dyDescent="0.3">
      <c r="A5431" s="6">
        <v>39</v>
      </c>
      <c r="B5431" s="6" t="s">
        <v>159</v>
      </c>
      <c r="C5431" s="6" t="s">
        <v>465</v>
      </c>
      <c r="D5431" s="6" t="s">
        <v>160</v>
      </c>
      <c r="E5431" s="11">
        <v>8.2131853103637695</v>
      </c>
      <c r="F5431" s="11">
        <v>6.6961822509765625</v>
      </c>
    </row>
    <row r="5432" spans="1:6" hidden="1" x14ac:dyDescent="0.3">
      <c r="A5432" s="6">
        <v>39</v>
      </c>
      <c r="B5432" s="6" t="s">
        <v>159</v>
      </c>
      <c r="C5432" s="6" t="s">
        <v>466</v>
      </c>
      <c r="D5432" s="6" t="s">
        <v>160</v>
      </c>
      <c r="E5432" s="11">
        <v>4.8320817947387695</v>
      </c>
      <c r="F5432" s="11">
        <v>6.6961822509765625</v>
      </c>
    </row>
    <row r="5433" spans="1:6" hidden="1" x14ac:dyDescent="0.3">
      <c r="A5433" s="6">
        <v>39</v>
      </c>
      <c r="B5433" s="6" t="s">
        <v>159</v>
      </c>
      <c r="C5433" s="6" t="s">
        <v>467</v>
      </c>
      <c r="D5433" s="6" t="s">
        <v>160</v>
      </c>
      <c r="E5433" s="11">
        <v>3.7940070629119873</v>
      </c>
      <c r="F5433" s="11">
        <v>6.6961822509765625</v>
      </c>
    </row>
    <row r="5434" spans="1:6" hidden="1" x14ac:dyDescent="0.3">
      <c r="A5434" s="6">
        <v>39</v>
      </c>
      <c r="B5434" s="6" t="s">
        <v>159</v>
      </c>
      <c r="C5434" s="6" t="s">
        <v>468</v>
      </c>
      <c r="D5434" s="6" t="s">
        <v>160</v>
      </c>
      <c r="E5434" s="11">
        <v>8.0835428237915039</v>
      </c>
      <c r="F5434" s="11">
        <v>6.6961822509765625</v>
      </c>
    </row>
    <row r="5435" spans="1:6" hidden="1" x14ac:dyDescent="0.3">
      <c r="A5435" s="6">
        <v>39</v>
      </c>
      <c r="B5435" s="6" t="s">
        <v>159</v>
      </c>
      <c r="C5435" s="6" t="s">
        <v>469</v>
      </c>
      <c r="D5435" s="6" t="s">
        <v>160</v>
      </c>
      <c r="E5435" s="11">
        <v>4.5729517936706543</v>
      </c>
      <c r="F5435" s="11">
        <v>6.6961822509765625</v>
      </c>
    </row>
    <row r="5436" spans="1:6" hidden="1" x14ac:dyDescent="0.3">
      <c r="A5436" s="6">
        <v>39</v>
      </c>
      <c r="B5436" s="6" t="s">
        <v>159</v>
      </c>
      <c r="C5436" s="6" t="s">
        <v>470</v>
      </c>
      <c r="D5436" s="6" t="s">
        <v>160</v>
      </c>
      <c r="E5436" s="11">
        <v>5.9537243843078613</v>
      </c>
      <c r="F5436" s="11">
        <v>6.6961822509765625</v>
      </c>
    </row>
    <row r="5437" spans="1:6" hidden="1" x14ac:dyDescent="0.3">
      <c r="A5437" s="6">
        <v>39</v>
      </c>
      <c r="B5437" s="6" t="s">
        <v>159</v>
      </c>
      <c r="C5437" s="6" t="s">
        <v>471</v>
      </c>
      <c r="D5437" s="6" t="s">
        <v>160</v>
      </c>
      <c r="E5437" s="11">
        <v>5.5474152565002441</v>
      </c>
      <c r="F5437" s="11">
        <v>6.6961822509765625</v>
      </c>
    </row>
    <row r="5438" spans="1:6" hidden="1" x14ac:dyDescent="0.3">
      <c r="A5438" s="6">
        <v>39</v>
      </c>
      <c r="B5438" s="6" t="s">
        <v>159</v>
      </c>
      <c r="C5438" s="6" t="s">
        <v>472</v>
      </c>
      <c r="D5438" s="6" t="s">
        <v>160</v>
      </c>
      <c r="E5438" s="11">
        <v>7.7167091369628906</v>
      </c>
      <c r="F5438" s="11">
        <v>6.6961822509765625</v>
      </c>
    </row>
    <row r="5439" spans="1:6" hidden="1" x14ac:dyDescent="0.3">
      <c r="A5439" s="6">
        <v>39</v>
      </c>
      <c r="B5439" s="6" t="s">
        <v>159</v>
      </c>
      <c r="C5439" s="6" t="s">
        <v>473</v>
      </c>
      <c r="D5439" s="6" t="s">
        <v>160</v>
      </c>
      <c r="E5439" s="11">
        <v>10.877863883972168</v>
      </c>
      <c r="F5439" s="11">
        <v>6.6961822509765625</v>
      </c>
    </row>
    <row r="5440" spans="1:6" hidden="1" x14ac:dyDescent="0.3">
      <c r="A5440" s="6">
        <v>39</v>
      </c>
      <c r="B5440" s="6" t="s">
        <v>159</v>
      </c>
      <c r="C5440" s="6" t="s">
        <v>474</v>
      </c>
      <c r="D5440" s="6" t="s">
        <v>160</v>
      </c>
      <c r="E5440" s="11">
        <v>21.826353073120117</v>
      </c>
      <c r="F5440" s="11">
        <v>6.6961822509765625</v>
      </c>
    </row>
    <row r="5441" spans="1:6" hidden="1" x14ac:dyDescent="0.3">
      <c r="A5441" s="6">
        <v>39</v>
      </c>
      <c r="B5441" s="6" t="s">
        <v>159</v>
      </c>
      <c r="C5441" s="6" t="s">
        <v>475</v>
      </c>
      <c r="D5441" s="6" t="s">
        <v>160</v>
      </c>
      <c r="E5441" s="11">
        <v>5.1507406234741211</v>
      </c>
      <c r="F5441" s="11">
        <v>6.6961822509765625</v>
      </c>
    </row>
    <row r="5442" spans="1:6" hidden="1" x14ac:dyDescent="0.3">
      <c r="A5442" s="6">
        <v>39</v>
      </c>
      <c r="B5442" s="6" t="s">
        <v>159</v>
      </c>
      <c r="C5442" s="6" t="s">
        <v>476</v>
      </c>
      <c r="D5442" s="6" t="s">
        <v>160</v>
      </c>
      <c r="E5442" s="11">
        <v>3.5198969841003418</v>
      </c>
      <c r="F5442" s="11">
        <v>6.6961822509765625</v>
      </c>
    </row>
    <row r="5443" spans="1:6" hidden="1" x14ac:dyDescent="0.3">
      <c r="A5443" s="6">
        <v>39</v>
      </c>
      <c r="B5443" s="6" t="s">
        <v>159</v>
      </c>
      <c r="C5443" s="6" t="s">
        <v>477</v>
      </c>
      <c r="D5443" s="6" t="s">
        <v>160</v>
      </c>
      <c r="E5443" s="11">
        <v>6.9946689605712891</v>
      </c>
      <c r="F5443" s="11">
        <v>6.6961822509765625</v>
      </c>
    </row>
    <row r="5444" spans="1:6" hidden="1" x14ac:dyDescent="0.3">
      <c r="A5444" s="6">
        <v>39</v>
      </c>
      <c r="B5444" s="6" t="s">
        <v>159</v>
      </c>
      <c r="C5444" s="6" t="s">
        <v>478</v>
      </c>
      <c r="D5444" s="6" t="s">
        <v>160</v>
      </c>
      <c r="E5444" s="11">
        <v>10.114632606506348</v>
      </c>
      <c r="F5444" s="11">
        <v>6.6961822509765625</v>
      </c>
    </row>
    <row r="5445" spans="1:6" hidden="1" x14ac:dyDescent="0.3">
      <c r="A5445" s="6">
        <v>39</v>
      </c>
      <c r="B5445" s="6" t="s">
        <v>159</v>
      </c>
      <c r="C5445" s="6" t="s">
        <v>479</v>
      </c>
      <c r="D5445" s="6" t="s">
        <v>160</v>
      </c>
      <c r="E5445" s="11">
        <v>10.019390106201172</v>
      </c>
      <c r="F5445" s="11">
        <v>6.6961822509765625</v>
      </c>
    </row>
    <row r="5446" spans="1:6" hidden="1" x14ac:dyDescent="0.3">
      <c r="A5446" s="6">
        <v>39</v>
      </c>
      <c r="B5446" s="6" t="s">
        <v>159</v>
      </c>
      <c r="C5446" s="6" t="s">
        <v>480</v>
      </c>
      <c r="D5446" s="6" t="s">
        <v>160</v>
      </c>
      <c r="E5446" s="11">
        <v>6.252082347869873</v>
      </c>
      <c r="F5446" s="11">
        <v>6.6961822509765625</v>
      </c>
    </row>
    <row r="5447" spans="1:6" hidden="1" x14ac:dyDescent="0.3">
      <c r="A5447" s="6">
        <v>39</v>
      </c>
      <c r="B5447" s="6" t="s">
        <v>159</v>
      </c>
      <c r="C5447" s="6" t="s">
        <v>481</v>
      </c>
      <c r="D5447" s="6" t="s">
        <v>160</v>
      </c>
      <c r="E5447" s="11">
        <v>7.8176264762878418</v>
      </c>
      <c r="F5447" s="11">
        <v>6.6961822509765625</v>
      </c>
    </row>
    <row r="5448" spans="1:6" hidden="1" x14ac:dyDescent="0.3">
      <c r="A5448" s="6">
        <v>39</v>
      </c>
      <c r="B5448" s="6" t="s">
        <v>159</v>
      </c>
      <c r="C5448" s="6" t="s">
        <v>482</v>
      </c>
      <c r="D5448" s="6" t="s">
        <v>160</v>
      </c>
      <c r="E5448" s="11">
        <v>51.2862548828125</v>
      </c>
      <c r="F5448" s="11">
        <v>6.6961822509765625</v>
      </c>
    </row>
    <row r="5449" spans="1:6" hidden="1" x14ac:dyDescent="0.3">
      <c r="A5449" s="6">
        <v>39</v>
      </c>
      <c r="B5449" s="6" t="s">
        <v>159</v>
      </c>
      <c r="C5449" s="6" t="s">
        <v>483</v>
      </c>
      <c r="D5449" s="6" t="s">
        <v>160</v>
      </c>
      <c r="E5449" s="11">
        <v>6.6015172004699707</v>
      </c>
      <c r="F5449" s="11">
        <v>6.6961822509765625</v>
      </c>
    </row>
    <row r="5450" spans="1:6" hidden="1" x14ac:dyDescent="0.3">
      <c r="A5450" s="6">
        <v>39</v>
      </c>
      <c r="B5450" s="6" t="s">
        <v>159</v>
      </c>
      <c r="C5450" s="6" t="s">
        <v>484</v>
      </c>
      <c r="D5450" s="6" t="s">
        <v>160</v>
      </c>
      <c r="E5450" s="11">
        <v>8.7265567779541016</v>
      </c>
      <c r="F5450" s="11">
        <v>6.6961822509765625</v>
      </c>
    </row>
    <row r="5451" spans="1:6" hidden="1" x14ac:dyDescent="0.3">
      <c r="A5451" s="6">
        <v>39</v>
      </c>
      <c r="B5451" s="6" t="s">
        <v>159</v>
      </c>
      <c r="C5451" s="6" t="s">
        <v>485</v>
      </c>
      <c r="D5451" s="6" t="s">
        <v>160</v>
      </c>
      <c r="E5451" s="11">
        <v>39.572860717773438</v>
      </c>
      <c r="F5451" s="11">
        <v>6.6961822509765625</v>
      </c>
    </row>
    <row r="5452" spans="1:6" hidden="1" x14ac:dyDescent="0.3">
      <c r="A5452" s="6">
        <v>39</v>
      </c>
      <c r="B5452" s="6" t="s">
        <v>159</v>
      </c>
      <c r="C5452" s="6" t="s">
        <v>486</v>
      </c>
      <c r="D5452" s="6" t="s">
        <v>160</v>
      </c>
      <c r="E5452" s="11">
        <v>10.105502128601074</v>
      </c>
      <c r="F5452" s="11">
        <v>6.6961822509765625</v>
      </c>
    </row>
    <row r="5453" spans="1:6" hidden="1" x14ac:dyDescent="0.3">
      <c r="A5453" s="6">
        <v>39</v>
      </c>
      <c r="B5453" s="6" t="s">
        <v>159</v>
      </c>
      <c r="C5453" s="6" t="s">
        <v>487</v>
      </c>
      <c r="D5453" s="6" t="s">
        <v>160</v>
      </c>
      <c r="E5453" s="11">
        <v>11.176313400268555</v>
      </c>
      <c r="F5453" s="11">
        <v>6.6961822509765625</v>
      </c>
    </row>
    <row r="5454" spans="1:6" hidden="1" x14ac:dyDescent="0.3">
      <c r="A5454" s="6">
        <v>39</v>
      </c>
      <c r="B5454" s="6" t="s">
        <v>159</v>
      </c>
      <c r="C5454" s="6" t="s">
        <v>488</v>
      </c>
      <c r="D5454" s="6" t="s">
        <v>160</v>
      </c>
      <c r="E5454" s="11">
        <v>5.9723162651062012</v>
      </c>
      <c r="F5454" s="11">
        <v>6.6961822509765625</v>
      </c>
    </row>
    <row r="5455" spans="1:6" hidden="1" x14ac:dyDescent="0.3">
      <c r="A5455" s="6">
        <v>39</v>
      </c>
      <c r="B5455" s="6" t="s">
        <v>159</v>
      </c>
      <c r="C5455" s="6" t="s">
        <v>489</v>
      </c>
      <c r="D5455" s="6" t="s">
        <v>160</v>
      </c>
      <c r="E5455" s="11">
        <v>11.50114631652832</v>
      </c>
      <c r="F5455" s="11">
        <v>6.6961822509765625</v>
      </c>
    </row>
    <row r="5456" spans="1:6" hidden="1" x14ac:dyDescent="0.3">
      <c r="A5456" s="6">
        <v>39</v>
      </c>
      <c r="B5456" s="6" t="s">
        <v>159</v>
      </c>
      <c r="C5456" s="6" t="s">
        <v>490</v>
      </c>
      <c r="D5456" s="6" t="s">
        <v>160</v>
      </c>
      <c r="E5456" s="11">
        <v>5.2414522171020508</v>
      </c>
      <c r="F5456" s="11">
        <v>6.6961822509765625</v>
      </c>
    </row>
    <row r="5457" spans="1:6" hidden="1" x14ac:dyDescent="0.3">
      <c r="A5457" s="6">
        <v>39</v>
      </c>
      <c r="B5457" s="6" t="s">
        <v>159</v>
      </c>
      <c r="C5457" s="6" t="s">
        <v>491</v>
      </c>
      <c r="D5457" s="6" t="s">
        <v>160</v>
      </c>
      <c r="E5457" s="11">
        <v>31.955915451049805</v>
      </c>
      <c r="F5457" s="11">
        <v>6.6961822509765625</v>
      </c>
    </row>
    <row r="5458" spans="1:6" hidden="1" x14ac:dyDescent="0.3">
      <c r="A5458" s="6">
        <v>39</v>
      </c>
      <c r="B5458" s="6" t="s">
        <v>159</v>
      </c>
      <c r="C5458" s="6" t="s">
        <v>492</v>
      </c>
      <c r="D5458" s="6" t="s">
        <v>160</v>
      </c>
      <c r="E5458" s="11">
        <v>5.8704676628112793</v>
      </c>
      <c r="F5458" s="11">
        <v>6.6961822509765625</v>
      </c>
    </row>
    <row r="5459" spans="1:6" hidden="1" x14ac:dyDescent="0.3">
      <c r="A5459" s="6">
        <v>39</v>
      </c>
      <c r="B5459" s="6" t="s">
        <v>159</v>
      </c>
      <c r="C5459" s="6" t="s">
        <v>493</v>
      </c>
      <c r="D5459" s="6" t="s">
        <v>160</v>
      </c>
      <c r="E5459" s="11">
        <v>7.4859447479248047</v>
      </c>
      <c r="F5459" s="11">
        <v>6.6961822509765625</v>
      </c>
    </row>
    <row r="5460" spans="1:6" hidden="1" x14ac:dyDescent="0.3">
      <c r="A5460" s="6">
        <v>39</v>
      </c>
      <c r="B5460" s="6" t="s">
        <v>159</v>
      </c>
      <c r="C5460" s="6" t="s">
        <v>494</v>
      </c>
      <c r="D5460" s="6" t="s">
        <v>160</v>
      </c>
      <c r="E5460" s="11">
        <v>82.486885070800781</v>
      </c>
      <c r="F5460" s="11">
        <v>6.6961822509765625</v>
      </c>
    </row>
    <row r="5461" spans="1:6" hidden="1" x14ac:dyDescent="0.3">
      <c r="A5461" s="6">
        <v>39</v>
      </c>
      <c r="B5461" s="6" t="s">
        <v>159</v>
      </c>
      <c r="C5461" s="6" t="s">
        <v>495</v>
      </c>
      <c r="D5461" s="6" t="s">
        <v>160</v>
      </c>
      <c r="E5461" s="11">
        <v>4.6320352554321289</v>
      </c>
      <c r="F5461" s="11">
        <v>6.6961822509765625</v>
      </c>
    </row>
    <row r="5462" spans="1:6" hidden="1" x14ac:dyDescent="0.3">
      <c r="A5462" s="6">
        <v>40</v>
      </c>
      <c r="B5462" s="6" t="s">
        <v>161</v>
      </c>
      <c r="C5462" s="6" t="s">
        <v>356</v>
      </c>
      <c r="D5462" s="6" t="s">
        <v>162</v>
      </c>
      <c r="E5462" s="11">
        <v>5.6240558624267578</v>
      </c>
      <c r="F5462" s="11">
        <v>8.0857305526733398</v>
      </c>
    </row>
    <row r="5463" spans="1:6" hidden="1" x14ac:dyDescent="0.3">
      <c r="A5463" s="6">
        <v>40</v>
      </c>
      <c r="B5463" s="6" t="s">
        <v>161</v>
      </c>
      <c r="C5463" s="6" t="s">
        <v>357</v>
      </c>
      <c r="D5463" s="6" t="s">
        <v>162</v>
      </c>
      <c r="E5463" s="11">
        <v>3.7505576610565186</v>
      </c>
      <c r="F5463" s="11">
        <v>8.0857305526733398</v>
      </c>
    </row>
    <row r="5464" spans="1:6" hidden="1" x14ac:dyDescent="0.3">
      <c r="A5464" s="6">
        <v>40</v>
      </c>
      <c r="B5464" s="6" t="s">
        <v>161</v>
      </c>
      <c r="C5464" s="6" t="s">
        <v>358</v>
      </c>
      <c r="D5464" s="6" t="s">
        <v>162</v>
      </c>
      <c r="E5464" s="11">
        <v>8.5654973983764648</v>
      </c>
      <c r="F5464" s="11">
        <v>8.0857305526733398</v>
      </c>
    </row>
    <row r="5465" spans="1:6" hidden="1" x14ac:dyDescent="0.3">
      <c r="A5465" s="6">
        <v>40</v>
      </c>
      <c r="B5465" s="6" t="s">
        <v>161</v>
      </c>
      <c r="C5465" s="6" t="s">
        <v>359</v>
      </c>
      <c r="D5465" s="6" t="s">
        <v>162</v>
      </c>
      <c r="E5465" s="11">
        <v>19.803586959838867</v>
      </c>
      <c r="F5465" s="11">
        <v>8.0857305526733398</v>
      </c>
    </row>
    <row r="5466" spans="1:6" hidden="1" x14ac:dyDescent="0.3">
      <c r="A5466" s="6">
        <v>40</v>
      </c>
      <c r="B5466" s="6" t="s">
        <v>161</v>
      </c>
      <c r="C5466" s="6" t="s">
        <v>360</v>
      </c>
      <c r="D5466" s="6" t="s">
        <v>162</v>
      </c>
      <c r="E5466" s="11">
        <v>5.0297122001647949</v>
      </c>
      <c r="F5466" s="11">
        <v>8.0857305526733398</v>
      </c>
    </row>
    <row r="5467" spans="1:6" hidden="1" x14ac:dyDescent="0.3">
      <c r="A5467" s="6">
        <v>40</v>
      </c>
      <c r="B5467" s="6" t="s">
        <v>161</v>
      </c>
      <c r="C5467" s="6" t="s">
        <v>361</v>
      </c>
      <c r="D5467" s="6" t="s">
        <v>162</v>
      </c>
      <c r="E5467" s="11">
        <v>6.7278637886047363</v>
      </c>
      <c r="F5467" s="11">
        <v>8.0857305526733398</v>
      </c>
    </row>
    <row r="5468" spans="1:6" hidden="1" x14ac:dyDescent="0.3">
      <c r="A5468" s="6">
        <v>40</v>
      </c>
      <c r="B5468" s="6" t="s">
        <v>161</v>
      </c>
      <c r="C5468" s="6" t="s">
        <v>362</v>
      </c>
      <c r="D5468" s="6" t="s">
        <v>162</v>
      </c>
      <c r="E5468" s="11">
        <v>4.6178793907165527</v>
      </c>
      <c r="F5468" s="11">
        <v>8.0857305526733398</v>
      </c>
    </row>
    <row r="5469" spans="1:6" hidden="1" x14ac:dyDescent="0.3">
      <c r="A5469" s="6">
        <v>40</v>
      </c>
      <c r="B5469" s="6" t="s">
        <v>161</v>
      </c>
      <c r="C5469" s="6" t="s">
        <v>363</v>
      </c>
      <c r="D5469" s="6" t="s">
        <v>162</v>
      </c>
      <c r="E5469" s="11">
        <v>8.426661491394043</v>
      </c>
      <c r="F5469" s="11">
        <v>8.0857305526733398</v>
      </c>
    </row>
    <row r="5470" spans="1:6" hidden="1" x14ac:dyDescent="0.3">
      <c r="A5470" s="6">
        <v>40</v>
      </c>
      <c r="B5470" s="6" t="s">
        <v>161</v>
      </c>
      <c r="C5470" s="6" t="s">
        <v>364</v>
      </c>
      <c r="D5470" s="6" t="s">
        <v>162</v>
      </c>
      <c r="E5470" s="11"/>
      <c r="F5470" s="11">
        <v>8.0857305526733398</v>
      </c>
    </row>
    <row r="5471" spans="1:6" hidden="1" x14ac:dyDescent="0.3">
      <c r="A5471" s="6">
        <v>40</v>
      </c>
      <c r="B5471" s="6" t="s">
        <v>161</v>
      </c>
      <c r="C5471" s="6" t="s">
        <v>365</v>
      </c>
      <c r="D5471" s="6" t="s">
        <v>162</v>
      </c>
      <c r="E5471" s="11">
        <v>3.1612467765808105</v>
      </c>
      <c r="F5471" s="11">
        <v>8.0857305526733398</v>
      </c>
    </row>
    <row r="5472" spans="1:6" hidden="1" x14ac:dyDescent="0.3">
      <c r="A5472" s="6">
        <v>40</v>
      </c>
      <c r="B5472" s="6" t="s">
        <v>161</v>
      </c>
      <c r="C5472" s="6" t="s">
        <v>366</v>
      </c>
      <c r="D5472" s="6" t="s">
        <v>162</v>
      </c>
      <c r="E5472" s="11">
        <v>5.6273407936096191</v>
      </c>
      <c r="F5472" s="11">
        <v>8.0857305526733398</v>
      </c>
    </row>
    <row r="5473" spans="1:6" hidden="1" x14ac:dyDescent="0.3">
      <c r="A5473" s="6">
        <v>40</v>
      </c>
      <c r="B5473" s="6" t="s">
        <v>161</v>
      </c>
      <c r="C5473" s="6" t="s">
        <v>367</v>
      </c>
      <c r="D5473" s="6" t="s">
        <v>162</v>
      </c>
      <c r="E5473" s="11">
        <v>7.2028570175170898</v>
      </c>
      <c r="F5473" s="11">
        <v>8.0857305526733398</v>
      </c>
    </row>
    <row r="5474" spans="1:6" hidden="1" x14ac:dyDescent="0.3">
      <c r="A5474" s="6">
        <v>40</v>
      </c>
      <c r="B5474" s="6" t="s">
        <v>161</v>
      </c>
      <c r="C5474" s="6" t="s">
        <v>368</v>
      </c>
      <c r="D5474" s="6" t="s">
        <v>162</v>
      </c>
      <c r="E5474" s="11">
        <v>3.6255173683166504</v>
      </c>
      <c r="F5474" s="11">
        <v>8.0857305526733398</v>
      </c>
    </row>
    <row r="5475" spans="1:6" hidden="1" x14ac:dyDescent="0.3">
      <c r="A5475" s="6">
        <v>40</v>
      </c>
      <c r="B5475" s="6" t="s">
        <v>161</v>
      </c>
      <c r="C5475" s="6" t="s">
        <v>369</v>
      </c>
      <c r="D5475" s="6" t="s">
        <v>162</v>
      </c>
      <c r="E5475" s="11">
        <v>5.6338844299316406</v>
      </c>
      <c r="F5475" s="11">
        <v>8.0857305526733398</v>
      </c>
    </row>
    <row r="5476" spans="1:6" hidden="1" x14ac:dyDescent="0.3">
      <c r="A5476" s="6">
        <v>40</v>
      </c>
      <c r="B5476" s="6" t="s">
        <v>161</v>
      </c>
      <c r="C5476" s="6" t="s">
        <v>370</v>
      </c>
      <c r="D5476" s="6" t="s">
        <v>162</v>
      </c>
      <c r="E5476" s="11">
        <v>23.994892120361328</v>
      </c>
      <c r="F5476" s="11">
        <v>8.0857305526733398</v>
      </c>
    </row>
    <row r="5477" spans="1:6" hidden="1" x14ac:dyDescent="0.3">
      <c r="A5477" s="6">
        <v>40</v>
      </c>
      <c r="B5477" s="6" t="s">
        <v>161</v>
      </c>
      <c r="C5477" s="6" t="s">
        <v>371</v>
      </c>
      <c r="D5477" s="6" t="s">
        <v>162</v>
      </c>
      <c r="E5477" s="11">
        <v>6.7656741142272949</v>
      </c>
      <c r="F5477" s="11">
        <v>8.0857305526733398</v>
      </c>
    </row>
    <row r="5478" spans="1:6" hidden="1" x14ac:dyDescent="0.3">
      <c r="A5478" s="6">
        <v>40</v>
      </c>
      <c r="B5478" s="6" t="s">
        <v>161</v>
      </c>
      <c r="C5478" s="6" t="s">
        <v>372</v>
      </c>
      <c r="D5478" s="6" t="s">
        <v>162</v>
      </c>
      <c r="E5478" s="11">
        <v>5.5684738159179688</v>
      </c>
      <c r="F5478" s="11">
        <v>8.0857305526733398</v>
      </c>
    </row>
    <row r="5479" spans="1:6" hidden="1" x14ac:dyDescent="0.3">
      <c r="A5479" s="6">
        <v>40</v>
      </c>
      <c r="B5479" s="6" t="s">
        <v>161</v>
      </c>
      <c r="C5479" s="6" t="s">
        <v>373</v>
      </c>
      <c r="D5479" s="6" t="s">
        <v>162</v>
      </c>
      <c r="E5479" s="11">
        <v>6.7890281677246094</v>
      </c>
      <c r="F5479" s="11">
        <v>8.0857305526733398</v>
      </c>
    </row>
    <row r="5480" spans="1:6" hidden="1" x14ac:dyDescent="0.3">
      <c r="A5480" s="6">
        <v>40</v>
      </c>
      <c r="B5480" s="6" t="s">
        <v>161</v>
      </c>
      <c r="C5480" s="6" t="s">
        <v>374</v>
      </c>
      <c r="D5480" s="6" t="s">
        <v>162</v>
      </c>
      <c r="E5480" s="11">
        <v>6.1050620079040527</v>
      </c>
      <c r="F5480" s="11">
        <v>8.0857305526733398</v>
      </c>
    </row>
    <row r="5481" spans="1:6" hidden="1" x14ac:dyDescent="0.3">
      <c r="A5481" s="6">
        <v>40</v>
      </c>
      <c r="B5481" s="6" t="s">
        <v>161</v>
      </c>
      <c r="C5481" s="6" t="s">
        <v>375</v>
      </c>
      <c r="D5481" s="6" t="s">
        <v>162</v>
      </c>
      <c r="E5481" s="11">
        <v>6.2916440963745117</v>
      </c>
      <c r="F5481" s="11">
        <v>8.0857305526733398</v>
      </c>
    </row>
    <row r="5482" spans="1:6" hidden="1" x14ac:dyDescent="0.3">
      <c r="A5482" s="6">
        <v>40</v>
      </c>
      <c r="B5482" s="6" t="s">
        <v>161</v>
      </c>
      <c r="C5482" s="6" t="s">
        <v>376</v>
      </c>
      <c r="D5482" s="6" t="s">
        <v>162</v>
      </c>
      <c r="E5482" s="11">
        <v>4.7226829528808594</v>
      </c>
      <c r="F5482" s="11">
        <v>8.0857305526733398</v>
      </c>
    </row>
    <row r="5483" spans="1:6" hidden="1" x14ac:dyDescent="0.3">
      <c r="A5483" s="6">
        <v>40</v>
      </c>
      <c r="B5483" s="6" t="s">
        <v>161</v>
      </c>
      <c r="C5483" s="6" t="s">
        <v>377</v>
      </c>
      <c r="D5483" s="6" t="s">
        <v>162</v>
      </c>
      <c r="E5483" s="11">
        <v>9.3891992568969727</v>
      </c>
      <c r="F5483" s="11">
        <v>8.0857305526733398</v>
      </c>
    </row>
    <row r="5484" spans="1:6" hidden="1" x14ac:dyDescent="0.3">
      <c r="A5484" s="6">
        <v>40</v>
      </c>
      <c r="B5484" s="6" t="s">
        <v>161</v>
      </c>
      <c r="C5484" s="6" t="s">
        <v>378</v>
      </c>
      <c r="D5484" s="6" t="s">
        <v>162</v>
      </c>
      <c r="E5484" s="11">
        <v>83.541877746582031</v>
      </c>
      <c r="F5484" s="11">
        <v>8.0857305526733398</v>
      </c>
    </row>
    <row r="5485" spans="1:6" hidden="1" x14ac:dyDescent="0.3">
      <c r="A5485" s="6">
        <v>40</v>
      </c>
      <c r="B5485" s="6" t="s">
        <v>161</v>
      </c>
      <c r="C5485" s="6" t="s">
        <v>379</v>
      </c>
      <c r="D5485" s="6" t="s">
        <v>162</v>
      </c>
      <c r="E5485" s="11">
        <v>12.924726486206055</v>
      </c>
      <c r="F5485" s="11">
        <v>8.0857305526733398</v>
      </c>
    </row>
    <row r="5486" spans="1:6" hidden="1" x14ac:dyDescent="0.3">
      <c r="A5486" s="6">
        <v>40</v>
      </c>
      <c r="B5486" s="6" t="s">
        <v>161</v>
      </c>
      <c r="C5486" s="6" t="s">
        <v>380</v>
      </c>
      <c r="D5486" s="6" t="s">
        <v>162</v>
      </c>
      <c r="E5486" s="11">
        <v>4.7552495002746582</v>
      </c>
      <c r="F5486" s="11">
        <v>8.0857305526733398</v>
      </c>
    </row>
    <row r="5487" spans="1:6" hidden="1" x14ac:dyDescent="0.3">
      <c r="A5487" s="6">
        <v>40</v>
      </c>
      <c r="B5487" s="6" t="s">
        <v>161</v>
      </c>
      <c r="C5487" s="6" t="s">
        <v>381</v>
      </c>
      <c r="D5487" s="6" t="s">
        <v>162</v>
      </c>
      <c r="E5487" s="11">
        <v>6.1789751052856445</v>
      </c>
      <c r="F5487" s="11">
        <v>8.0857305526733398</v>
      </c>
    </row>
    <row r="5488" spans="1:6" hidden="1" x14ac:dyDescent="0.3">
      <c r="A5488" s="6">
        <v>40</v>
      </c>
      <c r="B5488" s="6" t="s">
        <v>161</v>
      </c>
      <c r="C5488" s="6" t="s">
        <v>382</v>
      </c>
      <c r="D5488" s="6" t="s">
        <v>162</v>
      </c>
      <c r="E5488" s="11">
        <v>8.3552618026733398</v>
      </c>
      <c r="F5488" s="11">
        <v>8.0857305526733398</v>
      </c>
    </row>
    <row r="5489" spans="1:6" hidden="1" x14ac:dyDescent="0.3">
      <c r="A5489" s="6">
        <v>40</v>
      </c>
      <c r="B5489" s="6" t="s">
        <v>161</v>
      </c>
      <c r="C5489" s="6" t="s">
        <v>383</v>
      </c>
      <c r="D5489" s="6" t="s">
        <v>162</v>
      </c>
      <c r="E5489" s="11">
        <v>9.4625492095947266</v>
      </c>
      <c r="F5489" s="11">
        <v>8.0857305526733398</v>
      </c>
    </row>
    <row r="5490" spans="1:6" hidden="1" x14ac:dyDescent="0.3">
      <c r="A5490" s="6">
        <v>40</v>
      </c>
      <c r="B5490" s="6" t="s">
        <v>161</v>
      </c>
      <c r="C5490" s="6" t="s">
        <v>384</v>
      </c>
      <c r="D5490" s="6" t="s">
        <v>162</v>
      </c>
      <c r="E5490" s="11">
        <v>6.7627606391906738</v>
      </c>
      <c r="F5490" s="11">
        <v>8.0857305526733398</v>
      </c>
    </row>
    <row r="5491" spans="1:6" hidden="1" x14ac:dyDescent="0.3">
      <c r="A5491" s="6">
        <v>40</v>
      </c>
      <c r="B5491" s="6" t="s">
        <v>161</v>
      </c>
      <c r="C5491" s="6" t="s">
        <v>385</v>
      </c>
      <c r="D5491" s="6" t="s">
        <v>162</v>
      </c>
      <c r="E5491" s="11">
        <v>6.6768522262573242</v>
      </c>
      <c r="F5491" s="11">
        <v>8.0857305526733398</v>
      </c>
    </row>
    <row r="5492" spans="1:6" hidden="1" x14ac:dyDescent="0.3">
      <c r="A5492" s="6">
        <v>40</v>
      </c>
      <c r="B5492" s="6" t="s">
        <v>161</v>
      </c>
      <c r="C5492" s="6" t="s">
        <v>386</v>
      </c>
      <c r="D5492" s="6" t="s">
        <v>162</v>
      </c>
      <c r="E5492" s="11">
        <v>4.4613337516784668</v>
      </c>
      <c r="F5492" s="11">
        <v>8.0857305526733398</v>
      </c>
    </row>
    <row r="5493" spans="1:6" hidden="1" x14ac:dyDescent="0.3">
      <c r="A5493" s="6">
        <v>40</v>
      </c>
      <c r="B5493" s="6" t="s">
        <v>161</v>
      </c>
      <c r="C5493" s="6" t="s">
        <v>387</v>
      </c>
      <c r="D5493" s="6" t="s">
        <v>162</v>
      </c>
      <c r="E5493" s="11">
        <v>15.197707176208496</v>
      </c>
      <c r="F5493" s="11">
        <v>8.0857305526733398</v>
      </c>
    </row>
    <row r="5494" spans="1:6" hidden="1" x14ac:dyDescent="0.3">
      <c r="A5494" s="6">
        <v>40</v>
      </c>
      <c r="B5494" s="6" t="s">
        <v>161</v>
      </c>
      <c r="C5494" s="6" t="s">
        <v>388</v>
      </c>
      <c r="D5494" s="6" t="s">
        <v>162</v>
      </c>
      <c r="E5494" s="11">
        <v>5.1014895439147949</v>
      </c>
      <c r="F5494" s="11">
        <v>8.0857305526733398</v>
      </c>
    </row>
    <row r="5495" spans="1:6" hidden="1" x14ac:dyDescent="0.3">
      <c r="A5495" s="6">
        <v>40</v>
      </c>
      <c r="B5495" s="6" t="s">
        <v>161</v>
      </c>
      <c r="C5495" s="6" t="s">
        <v>389</v>
      </c>
      <c r="D5495" s="6" t="s">
        <v>162</v>
      </c>
      <c r="E5495" s="11">
        <v>7.5898551940917969</v>
      </c>
      <c r="F5495" s="11">
        <v>8.0857305526733398</v>
      </c>
    </row>
    <row r="5496" spans="1:6" hidden="1" x14ac:dyDescent="0.3">
      <c r="A5496" s="6">
        <v>40</v>
      </c>
      <c r="B5496" s="6" t="s">
        <v>161</v>
      </c>
      <c r="C5496" s="6" t="s">
        <v>390</v>
      </c>
      <c r="D5496" s="6" t="s">
        <v>162</v>
      </c>
      <c r="E5496" s="11">
        <v>29.639604568481445</v>
      </c>
      <c r="F5496" s="11">
        <v>8.0857305526733398</v>
      </c>
    </row>
    <row r="5497" spans="1:6" hidden="1" x14ac:dyDescent="0.3">
      <c r="A5497" s="6">
        <v>40</v>
      </c>
      <c r="B5497" s="6" t="s">
        <v>161</v>
      </c>
      <c r="C5497" s="6" t="s">
        <v>391</v>
      </c>
      <c r="D5497" s="6" t="s">
        <v>162</v>
      </c>
      <c r="E5497" s="11">
        <v>873.7891845703125</v>
      </c>
      <c r="F5497" s="11">
        <v>8.0857305526733398</v>
      </c>
    </row>
    <row r="5498" spans="1:6" hidden="1" x14ac:dyDescent="0.3">
      <c r="A5498" s="6">
        <v>40</v>
      </c>
      <c r="B5498" s="6" t="s">
        <v>161</v>
      </c>
      <c r="C5498" s="6" t="s">
        <v>392</v>
      </c>
      <c r="D5498" s="6" t="s">
        <v>162</v>
      </c>
      <c r="E5498" s="11">
        <v>5.5084714889526367</v>
      </c>
      <c r="F5498" s="11">
        <v>8.0857305526733398</v>
      </c>
    </row>
    <row r="5499" spans="1:6" hidden="1" x14ac:dyDescent="0.3">
      <c r="A5499" s="6">
        <v>40</v>
      </c>
      <c r="B5499" s="6" t="s">
        <v>161</v>
      </c>
      <c r="C5499" s="6" t="s">
        <v>393</v>
      </c>
      <c r="D5499" s="6" t="s">
        <v>162</v>
      </c>
      <c r="E5499" s="11">
        <v>8.46124267578125</v>
      </c>
      <c r="F5499" s="11">
        <v>8.0857305526733398</v>
      </c>
    </row>
    <row r="5500" spans="1:6" hidden="1" x14ac:dyDescent="0.3">
      <c r="A5500" s="6">
        <v>40</v>
      </c>
      <c r="B5500" s="6" t="s">
        <v>161</v>
      </c>
      <c r="C5500" s="6" t="s">
        <v>394</v>
      </c>
      <c r="D5500" s="6" t="s">
        <v>162</v>
      </c>
      <c r="E5500" s="11">
        <v>6.3528037071228027</v>
      </c>
      <c r="F5500" s="11">
        <v>8.0857305526733398</v>
      </c>
    </row>
    <row r="5501" spans="1:6" hidden="1" x14ac:dyDescent="0.3">
      <c r="A5501" s="6">
        <v>40</v>
      </c>
      <c r="B5501" s="6" t="s">
        <v>161</v>
      </c>
      <c r="C5501" s="6" t="s">
        <v>395</v>
      </c>
      <c r="D5501" s="6" t="s">
        <v>162</v>
      </c>
      <c r="E5501" s="11">
        <v>12.193672180175781</v>
      </c>
      <c r="F5501" s="11">
        <v>8.0857305526733398</v>
      </c>
    </row>
    <row r="5502" spans="1:6" hidden="1" x14ac:dyDescent="0.3">
      <c r="A5502" s="6">
        <v>40</v>
      </c>
      <c r="B5502" s="6" t="s">
        <v>161</v>
      </c>
      <c r="C5502" s="6" t="s">
        <v>396</v>
      </c>
      <c r="D5502" s="6" t="s">
        <v>162</v>
      </c>
      <c r="E5502" s="11">
        <v>708.19598388671875</v>
      </c>
      <c r="F5502" s="11">
        <v>8.0857305526733398</v>
      </c>
    </row>
    <row r="5503" spans="1:6" hidden="1" x14ac:dyDescent="0.3">
      <c r="A5503" s="6">
        <v>40</v>
      </c>
      <c r="B5503" s="6" t="s">
        <v>161</v>
      </c>
      <c r="C5503" s="6" t="s">
        <v>397</v>
      </c>
      <c r="D5503" s="6" t="s">
        <v>162</v>
      </c>
      <c r="E5503" s="11">
        <v>1147.8599853515625</v>
      </c>
      <c r="F5503" s="11">
        <v>8.0857305526733398</v>
      </c>
    </row>
    <row r="5504" spans="1:6" hidden="1" x14ac:dyDescent="0.3">
      <c r="A5504" s="6">
        <v>40</v>
      </c>
      <c r="B5504" s="6" t="s">
        <v>161</v>
      </c>
      <c r="C5504" s="6" t="s">
        <v>398</v>
      </c>
      <c r="D5504" s="6" t="s">
        <v>162</v>
      </c>
      <c r="E5504" s="11">
        <v>5.9322962760925293</v>
      </c>
      <c r="F5504" s="11">
        <v>8.0857305526733398</v>
      </c>
    </row>
    <row r="5505" spans="1:6" hidden="1" x14ac:dyDescent="0.3">
      <c r="A5505" s="6">
        <v>40</v>
      </c>
      <c r="B5505" s="6" t="s">
        <v>161</v>
      </c>
      <c r="C5505" s="6" t="s">
        <v>399</v>
      </c>
      <c r="D5505" s="6" t="s">
        <v>162</v>
      </c>
      <c r="E5505" s="11">
        <v>31.125659942626953</v>
      </c>
      <c r="F5505" s="11">
        <v>8.0857305526733398</v>
      </c>
    </row>
    <row r="5506" spans="1:6" hidden="1" x14ac:dyDescent="0.3">
      <c r="A5506" s="6">
        <v>40</v>
      </c>
      <c r="B5506" s="6" t="s">
        <v>161</v>
      </c>
      <c r="C5506" s="6" t="s">
        <v>400</v>
      </c>
      <c r="D5506" s="6" t="s">
        <v>162</v>
      </c>
      <c r="E5506" s="11">
        <v>6.3106899261474609</v>
      </c>
      <c r="F5506" s="11">
        <v>8.0857305526733398</v>
      </c>
    </row>
    <row r="5507" spans="1:6" hidden="1" x14ac:dyDescent="0.3">
      <c r="A5507" s="6">
        <v>40</v>
      </c>
      <c r="B5507" s="6" t="s">
        <v>161</v>
      </c>
      <c r="C5507" s="6" t="s">
        <v>401</v>
      </c>
      <c r="D5507" s="6" t="s">
        <v>162</v>
      </c>
      <c r="E5507" s="11">
        <v>3.8359315395355225</v>
      </c>
      <c r="F5507" s="11">
        <v>8.0857305526733398</v>
      </c>
    </row>
    <row r="5508" spans="1:6" hidden="1" x14ac:dyDescent="0.3">
      <c r="A5508" s="6">
        <v>40</v>
      </c>
      <c r="B5508" s="6" t="s">
        <v>161</v>
      </c>
      <c r="C5508" s="6" t="s">
        <v>402</v>
      </c>
      <c r="D5508" s="6" t="s">
        <v>162</v>
      </c>
      <c r="E5508" s="11">
        <v>5.1654176712036133</v>
      </c>
      <c r="F5508" s="11">
        <v>8.0857305526733398</v>
      </c>
    </row>
    <row r="5509" spans="1:6" hidden="1" x14ac:dyDescent="0.3">
      <c r="A5509" s="6">
        <v>40</v>
      </c>
      <c r="B5509" s="6" t="s">
        <v>161</v>
      </c>
      <c r="C5509" s="6" t="s">
        <v>403</v>
      </c>
      <c r="D5509" s="6" t="s">
        <v>162</v>
      </c>
      <c r="E5509" s="11">
        <v>11.503406524658203</v>
      </c>
      <c r="F5509" s="11">
        <v>8.0857305526733398</v>
      </c>
    </row>
    <row r="5510" spans="1:6" hidden="1" x14ac:dyDescent="0.3">
      <c r="A5510" s="6">
        <v>40</v>
      </c>
      <c r="B5510" s="6" t="s">
        <v>161</v>
      </c>
      <c r="C5510" s="6" t="s">
        <v>404</v>
      </c>
      <c r="D5510" s="6" t="s">
        <v>162</v>
      </c>
      <c r="E5510" s="11">
        <v>10.213991165161133</v>
      </c>
      <c r="F5510" s="11">
        <v>8.0857305526733398</v>
      </c>
    </row>
    <row r="5511" spans="1:6" hidden="1" x14ac:dyDescent="0.3">
      <c r="A5511" s="6">
        <v>40</v>
      </c>
      <c r="B5511" s="6" t="s">
        <v>161</v>
      </c>
      <c r="C5511" s="6" t="s">
        <v>405</v>
      </c>
      <c r="D5511" s="6" t="s">
        <v>162</v>
      </c>
      <c r="E5511" s="11">
        <v>12.695096969604492</v>
      </c>
      <c r="F5511" s="11">
        <v>8.0857305526733398</v>
      </c>
    </row>
    <row r="5512" spans="1:6" hidden="1" x14ac:dyDescent="0.3">
      <c r="A5512" s="6">
        <v>40</v>
      </c>
      <c r="B5512" s="6" t="s">
        <v>161</v>
      </c>
      <c r="C5512" s="6" t="s">
        <v>406</v>
      </c>
      <c r="D5512" s="6" t="s">
        <v>162</v>
      </c>
      <c r="E5512" s="11">
        <v>6.786311149597168</v>
      </c>
      <c r="F5512" s="11">
        <v>8.0857305526733398</v>
      </c>
    </row>
    <row r="5513" spans="1:6" hidden="1" x14ac:dyDescent="0.3">
      <c r="A5513" s="6">
        <v>40</v>
      </c>
      <c r="B5513" s="6" t="s">
        <v>161</v>
      </c>
      <c r="C5513" s="6" t="s">
        <v>407</v>
      </c>
      <c r="D5513" s="6" t="s">
        <v>162</v>
      </c>
      <c r="E5513" s="11">
        <v>5.9276485443115234</v>
      </c>
      <c r="F5513" s="11">
        <v>8.0857305526733398</v>
      </c>
    </row>
    <row r="5514" spans="1:6" hidden="1" x14ac:dyDescent="0.3">
      <c r="A5514" s="6">
        <v>40</v>
      </c>
      <c r="B5514" s="6" t="s">
        <v>161</v>
      </c>
      <c r="C5514" s="6" t="s">
        <v>408</v>
      </c>
      <c r="D5514" s="6" t="s">
        <v>162</v>
      </c>
      <c r="E5514" s="11">
        <v>7.2688279151916504</v>
      </c>
      <c r="F5514" s="11">
        <v>8.0857305526733398</v>
      </c>
    </row>
    <row r="5515" spans="1:6" hidden="1" x14ac:dyDescent="0.3">
      <c r="A5515" s="6">
        <v>40</v>
      </c>
      <c r="B5515" s="6" t="s">
        <v>161</v>
      </c>
      <c r="C5515" s="6" t="s">
        <v>409</v>
      </c>
      <c r="D5515" s="6" t="s">
        <v>162</v>
      </c>
      <c r="E5515" s="11">
        <v>7.3557019233703613</v>
      </c>
      <c r="F5515" s="11">
        <v>8.0857305526733398</v>
      </c>
    </row>
    <row r="5516" spans="1:6" hidden="1" x14ac:dyDescent="0.3">
      <c r="A5516" s="6">
        <v>40</v>
      </c>
      <c r="B5516" s="6" t="s">
        <v>161</v>
      </c>
      <c r="C5516" s="6" t="s">
        <v>410</v>
      </c>
      <c r="D5516" s="6" t="s">
        <v>162</v>
      </c>
      <c r="E5516" s="11">
        <v>7.3081860542297363</v>
      </c>
      <c r="F5516" s="11">
        <v>8.0857305526733398</v>
      </c>
    </row>
    <row r="5517" spans="1:6" hidden="1" x14ac:dyDescent="0.3">
      <c r="A5517" s="6">
        <v>40</v>
      </c>
      <c r="B5517" s="6" t="s">
        <v>161</v>
      </c>
      <c r="C5517" s="6" t="s">
        <v>411</v>
      </c>
      <c r="D5517" s="6" t="s">
        <v>162</v>
      </c>
      <c r="E5517" s="11">
        <v>5.9366316795349121</v>
      </c>
      <c r="F5517" s="11">
        <v>8.0857305526733398</v>
      </c>
    </row>
    <row r="5518" spans="1:6" hidden="1" x14ac:dyDescent="0.3">
      <c r="A5518" s="6">
        <v>40</v>
      </c>
      <c r="B5518" s="6" t="s">
        <v>161</v>
      </c>
      <c r="C5518" s="6" t="s">
        <v>412</v>
      </c>
      <c r="D5518" s="6" t="s">
        <v>162</v>
      </c>
      <c r="E5518" s="11">
        <v>8.2707881927490234</v>
      </c>
      <c r="F5518" s="11">
        <v>8.0857305526733398</v>
      </c>
    </row>
    <row r="5519" spans="1:6" hidden="1" x14ac:dyDescent="0.3">
      <c r="A5519" s="6">
        <v>40</v>
      </c>
      <c r="B5519" s="6" t="s">
        <v>161</v>
      </c>
      <c r="C5519" s="6" t="s">
        <v>413</v>
      </c>
      <c r="D5519" s="6" t="s">
        <v>162</v>
      </c>
      <c r="E5519" s="11">
        <v>5.7362027168273926</v>
      </c>
      <c r="F5519" s="11">
        <v>8.0857305526733398</v>
      </c>
    </row>
    <row r="5520" spans="1:6" hidden="1" x14ac:dyDescent="0.3">
      <c r="A5520" s="6">
        <v>40</v>
      </c>
      <c r="B5520" s="6" t="s">
        <v>161</v>
      </c>
      <c r="C5520" s="6" t="s">
        <v>414</v>
      </c>
      <c r="D5520" s="6" t="s">
        <v>162</v>
      </c>
      <c r="E5520" s="11">
        <v>5.4444537162780762</v>
      </c>
      <c r="F5520" s="11">
        <v>8.0857305526733398</v>
      </c>
    </row>
    <row r="5521" spans="1:6" hidden="1" x14ac:dyDescent="0.3">
      <c r="A5521" s="6">
        <v>40</v>
      </c>
      <c r="B5521" s="6" t="s">
        <v>161</v>
      </c>
      <c r="C5521" s="6" t="s">
        <v>415</v>
      </c>
      <c r="D5521" s="6" t="s">
        <v>162</v>
      </c>
      <c r="E5521" s="11">
        <v>13.687636375427246</v>
      </c>
      <c r="F5521" s="11">
        <v>8.0857305526733398</v>
      </c>
    </row>
    <row r="5522" spans="1:6" hidden="1" x14ac:dyDescent="0.3">
      <c r="A5522" s="6">
        <v>40</v>
      </c>
      <c r="B5522" s="6" t="s">
        <v>161</v>
      </c>
      <c r="C5522" s="6" t="s">
        <v>416</v>
      </c>
      <c r="D5522" s="6" t="s">
        <v>162</v>
      </c>
      <c r="E5522" s="11">
        <v>12.249676704406738</v>
      </c>
      <c r="F5522" s="11">
        <v>8.0857305526733398</v>
      </c>
    </row>
    <row r="5523" spans="1:6" hidden="1" x14ac:dyDescent="0.3">
      <c r="A5523" s="6">
        <v>40</v>
      </c>
      <c r="B5523" s="6" t="s">
        <v>161</v>
      </c>
      <c r="C5523" s="6" t="s">
        <v>417</v>
      </c>
      <c r="D5523" s="6" t="s">
        <v>162</v>
      </c>
      <c r="E5523" s="11">
        <v>6.6471047401428223</v>
      </c>
      <c r="F5523" s="11">
        <v>8.0857305526733398</v>
      </c>
    </row>
    <row r="5524" spans="1:6" hidden="1" x14ac:dyDescent="0.3">
      <c r="A5524" s="6">
        <v>40</v>
      </c>
      <c r="B5524" s="6" t="s">
        <v>161</v>
      </c>
      <c r="C5524" s="6" t="s">
        <v>418</v>
      </c>
      <c r="D5524" s="6" t="s">
        <v>162</v>
      </c>
      <c r="E5524" s="11">
        <v>3.604893684387207</v>
      </c>
      <c r="F5524" s="11">
        <v>8.0857305526733398</v>
      </c>
    </row>
    <row r="5525" spans="1:6" hidden="1" x14ac:dyDescent="0.3">
      <c r="A5525" s="6">
        <v>40</v>
      </c>
      <c r="B5525" s="6" t="s">
        <v>161</v>
      </c>
      <c r="C5525" s="6" t="s">
        <v>419</v>
      </c>
      <c r="D5525" s="6" t="s">
        <v>162</v>
      </c>
      <c r="E5525" s="11">
        <v>10.556081771850586</v>
      </c>
      <c r="F5525" s="11">
        <v>8.0857305526733398</v>
      </c>
    </row>
    <row r="5526" spans="1:6" hidden="1" x14ac:dyDescent="0.3">
      <c r="A5526" s="6">
        <v>40</v>
      </c>
      <c r="B5526" s="6" t="s">
        <v>161</v>
      </c>
      <c r="C5526" s="6" t="s">
        <v>420</v>
      </c>
      <c r="D5526" s="6" t="s">
        <v>162</v>
      </c>
      <c r="E5526" s="11">
        <v>8.2155570983886719</v>
      </c>
      <c r="F5526" s="11">
        <v>8.0857305526733398</v>
      </c>
    </row>
    <row r="5527" spans="1:6" hidden="1" x14ac:dyDescent="0.3">
      <c r="A5527" s="6">
        <v>40</v>
      </c>
      <c r="B5527" s="6" t="s">
        <v>161</v>
      </c>
      <c r="C5527" s="6" t="s">
        <v>421</v>
      </c>
      <c r="D5527" s="6" t="s">
        <v>162</v>
      </c>
      <c r="E5527" s="11">
        <v>5.2546677589416504</v>
      </c>
      <c r="F5527" s="11">
        <v>8.0857305526733398</v>
      </c>
    </row>
    <row r="5528" spans="1:6" hidden="1" x14ac:dyDescent="0.3">
      <c r="A5528" s="6">
        <v>40</v>
      </c>
      <c r="B5528" s="6" t="s">
        <v>161</v>
      </c>
      <c r="C5528" s="6" t="s">
        <v>422</v>
      </c>
      <c r="D5528" s="6" t="s">
        <v>162</v>
      </c>
      <c r="E5528" s="11">
        <v>6.7210454940795898</v>
      </c>
      <c r="F5528" s="11">
        <v>8.0857305526733398</v>
      </c>
    </row>
    <row r="5529" spans="1:6" hidden="1" x14ac:dyDescent="0.3">
      <c r="A5529" s="6">
        <v>40</v>
      </c>
      <c r="B5529" s="6" t="s">
        <v>161</v>
      </c>
      <c r="C5529" s="6" t="s">
        <v>423</v>
      </c>
      <c r="D5529" s="6" t="s">
        <v>162</v>
      </c>
      <c r="E5529" s="11">
        <v>6.0183582305908203</v>
      </c>
      <c r="F5529" s="11">
        <v>8.0857305526733398</v>
      </c>
    </row>
    <row r="5530" spans="1:6" hidden="1" x14ac:dyDescent="0.3">
      <c r="A5530" s="6">
        <v>40</v>
      </c>
      <c r="B5530" s="6" t="s">
        <v>161</v>
      </c>
      <c r="C5530" s="6" t="s">
        <v>424</v>
      </c>
      <c r="D5530" s="6" t="s">
        <v>162</v>
      </c>
      <c r="E5530" s="11">
        <v>8.0012216567993164</v>
      </c>
      <c r="F5530" s="11">
        <v>8.0857305526733398</v>
      </c>
    </row>
    <row r="5531" spans="1:6" hidden="1" x14ac:dyDescent="0.3">
      <c r="A5531" s="6">
        <v>40</v>
      </c>
      <c r="B5531" s="6" t="s">
        <v>161</v>
      </c>
      <c r="C5531" s="6" t="s">
        <v>425</v>
      </c>
      <c r="D5531" s="6" t="s">
        <v>162</v>
      </c>
      <c r="E5531" s="11">
        <v>158.80500793457031</v>
      </c>
      <c r="F5531" s="11">
        <v>8.0857305526733398</v>
      </c>
    </row>
    <row r="5532" spans="1:6" hidden="1" x14ac:dyDescent="0.3">
      <c r="A5532" s="6">
        <v>40</v>
      </c>
      <c r="B5532" s="6" t="s">
        <v>161</v>
      </c>
      <c r="C5532" s="6" t="s">
        <v>426</v>
      </c>
      <c r="D5532" s="6" t="s">
        <v>162</v>
      </c>
      <c r="E5532" s="11">
        <v>4.6073493957519531</v>
      </c>
      <c r="F5532" s="11">
        <v>8.0857305526733398</v>
      </c>
    </row>
    <row r="5533" spans="1:6" hidden="1" x14ac:dyDescent="0.3">
      <c r="A5533" s="6">
        <v>40</v>
      </c>
      <c r="B5533" s="6" t="s">
        <v>161</v>
      </c>
      <c r="C5533" s="6" t="s">
        <v>427</v>
      </c>
      <c r="D5533" s="6" t="s">
        <v>162</v>
      </c>
      <c r="E5533" s="11">
        <v>3.6976499557495117</v>
      </c>
      <c r="F5533" s="11">
        <v>8.0857305526733398</v>
      </c>
    </row>
    <row r="5534" spans="1:6" hidden="1" x14ac:dyDescent="0.3">
      <c r="A5534" s="6">
        <v>40</v>
      </c>
      <c r="B5534" s="6" t="s">
        <v>161</v>
      </c>
      <c r="C5534" s="6" t="s">
        <v>428</v>
      </c>
      <c r="D5534" s="6" t="s">
        <v>162</v>
      </c>
      <c r="E5534" s="11"/>
      <c r="F5534" s="11">
        <v>8.0857305526733398</v>
      </c>
    </row>
    <row r="5535" spans="1:6" hidden="1" x14ac:dyDescent="0.3">
      <c r="A5535" s="6">
        <v>40</v>
      </c>
      <c r="B5535" s="6" t="s">
        <v>161</v>
      </c>
      <c r="C5535" s="6" t="s">
        <v>429</v>
      </c>
      <c r="D5535" s="6" t="s">
        <v>162</v>
      </c>
      <c r="E5535" s="11">
        <v>16.037324905395508</v>
      </c>
      <c r="F5535" s="11">
        <v>8.0857305526733398</v>
      </c>
    </row>
    <row r="5536" spans="1:6" hidden="1" x14ac:dyDescent="0.3">
      <c r="A5536" s="6">
        <v>40</v>
      </c>
      <c r="B5536" s="6" t="s">
        <v>161</v>
      </c>
      <c r="C5536" s="6" t="s">
        <v>430</v>
      </c>
      <c r="D5536" s="6" t="s">
        <v>162</v>
      </c>
      <c r="E5536" s="11">
        <v>3.028616189956665</v>
      </c>
      <c r="F5536" s="11">
        <v>8.0857305526733398</v>
      </c>
    </row>
    <row r="5537" spans="1:6" hidden="1" x14ac:dyDescent="0.3">
      <c r="A5537" s="6">
        <v>40</v>
      </c>
      <c r="B5537" s="6" t="s">
        <v>161</v>
      </c>
      <c r="C5537" s="6" t="s">
        <v>431</v>
      </c>
      <c r="D5537" s="6" t="s">
        <v>162</v>
      </c>
      <c r="E5537" s="11">
        <v>9.8775310516357422</v>
      </c>
      <c r="F5537" s="11">
        <v>8.0857305526733398</v>
      </c>
    </row>
    <row r="5538" spans="1:6" hidden="1" x14ac:dyDescent="0.3">
      <c r="A5538" s="6">
        <v>40</v>
      </c>
      <c r="B5538" s="6" t="s">
        <v>161</v>
      </c>
      <c r="C5538" s="6" t="s">
        <v>432</v>
      </c>
      <c r="D5538" s="6" t="s">
        <v>162</v>
      </c>
      <c r="E5538" s="11">
        <v>8.1157512664794922</v>
      </c>
      <c r="F5538" s="11">
        <v>8.0857305526733398</v>
      </c>
    </row>
    <row r="5539" spans="1:6" hidden="1" x14ac:dyDescent="0.3">
      <c r="A5539" s="6">
        <v>40</v>
      </c>
      <c r="B5539" s="6" t="s">
        <v>161</v>
      </c>
      <c r="C5539" s="6" t="s">
        <v>433</v>
      </c>
      <c r="D5539" s="6" t="s">
        <v>162</v>
      </c>
      <c r="E5539" s="11">
        <v>11.781048774719238</v>
      </c>
      <c r="F5539" s="11">
        <v>8.0857305526733398</v>
      </c>
    </row>
    <row r="5540" spans="1:6" hidden="1" x14ac:dyDescent="0.3">
      <c r="A5540" s="6">
        <v>40</v>
      </c>
      <c r="B5540" s="6" t="s">
        <v>161</v>
      </c>
      <c r="C5540" s="6" t="s">
        <v>434</v>
      </c>
      <c r="D5540" s="6" t="s">
        <v>162</v>
      </c>
      <c r="E5540" s="11">
        <v>3.111809253692627</v>
      </c>
      <c r="F5540" s="11">
        <v>8.0857305526733398</v>
      </c>
    </row>
    <row r="5541" spans="1:6" hidden="1" x14ac:dyDescent="0.3">
      <c r="A5541" s="6">
        <v>40</v>
      </c>
      <c r="B5541" s="6" t="s">
        <v>161</v>
      </c>
      <c r="C5541" s="6" t="s">
        <v>435</v>
      </c>
      <c r="D5541" s="6" t="s">
        <v>162</v>
      </c>
      <c r="E5541" s="11">
        <v>96.183570861816406</v>
      </c>
      <c r="F5541" s="11">
        <v>8.0857305526733398</v>
      </c>
    </row>
    <row r="5542" spans="1:6" hidden="1" x14ac:dyDescent="0.3">
      <c r="A5542" s="6">
        <v>40</v>
      </c>
      <c r="B5542" s="6" t="s">
        <v>161</v>
      </c>
      <c r="C5542" s="6" t="s">
        <v>436</v>
      </c>
      <c r="D5542" s="6" t="s">
        <v>162</v>
      </c>
      <c r="E5542" s="11">
        <v>8.2924060821533203</v>
      </c>
      <c r="F5542" s="11">
        <v>8.0857305526733398</v>
      </c>
    </row>
    <row r="5543" spans="1:6" hidden="1" x14ac:dyDescent="0.3">
      <c r="A5543" s="6">
        <v>40</v>
      </c>
      <c r="B5543" s="6" t="s">
        <v>161</v>
      </c>
      <c r="C5543" s="6" t="s">
        <v>437</v>
      </c>
      <c r="D5543" s="6" t="s">
        <v>162</v>
      </c>
      <c r="E5543" s="11">
        <v>4.6785178184509277</v>
      </c>
      <c r="F5543" s="11">
        <v>8.0857305526733398</v>
      </c>
    </row>
    <row r="5544" spans="1:6" hidden="1" x14ac:dyDescent="0.3">
      <c r="A5544" s="6">
        <v>40</v>
      </c>
      <c r="B5544" s="6" t="s">
        <v>161</v>
      </c>
      <c r="C5544" s="6" t="s">
        <v>438</v>
      </c>
      <c r="D5544" s="6" t="s">
        <v>162</v>
      </c>
      <c r="E5544" s="11">
        <v>305.24151611328125</v>
      </c>
      <c r="F5544" s="11">
        <v>8.0857305526733398</v>
      </c>
    </row>
    <row r="5545" spans="1:6" hidden="1" x14ac:dyDescent="0.3">
      <c r="A5545" s="6">
        <v>40</v>
      </c>
      <c r="B5545" s="6" t="s">
        <v>161</v>
      </c>
      <c r="C5545" s="6" t="s">
        <v>439</v>
      </c>
      <c r="D5545" s="6" t="s">
        <v>162</v>
      </c>
      <c r="E5545" s="11">
        <v>4.3937563896179199</v>
      </c>
      <c r="F5545" s="11">
        <v>8.0857305526733398</v>
      </c>
    </row>
    <row r="5546" spans="1:6" hidden="1" x14ac:dyDescent="0.3">
      <c r="A5546" s="6">
        <v>40</v>
      </c>
      <c r="B5546" s="6" t="s">
        <v>161</v>
      </c>
      <c r="C5546" s="6" t="s">
        <v>440</v>
      </c>
      <c r="D5546" s="6" t="s">
        <v>162</v>
      </c>
      <c r="E5546" s="11">
        <v>4.5689849853515625</v>
      </c>
      <c r="F5546" s="11">
        <v>8.0857305526733398</v>
      </c>
    </row>
    <row r="5547" spans="1:6" hidden="1" x14ac:dyDescent="0.3">
      <c r="A5547" s="6">
        <v>40</v>
      </c>
      <c r="B5547" s="6" t="s">
        <v>161</v>
      </c>
      <c r="C5547" s="6" t="s">
        <v>441</v>
      </c>
      <c r="D5547" s="6" t="s">
        <v>162</v>
      </c>
      <c r="E5547" s="11">
        <v>6.986208438873291</v>
      </c>
      <c r="F5547" s="11">
        <v>8.0857305526733398</v>
      </c>
    </row>
    <row r="5548" spans="1:6" hidden="1" x14ac:dyDescent="0.3">
      <c r="A5548" s="6">
        <v>40</v>
      </c>
      <c r="B5548" s="6" t="s">
        <v>161</v>
      </c>
      <c r="C5548" s="6" t="s">
        <v>442</v>
      </c>
      <c r="D5548" s="6" t="s">
        <v>162</v>
      </c>
      <c r="E5548" s="11">
        <v>11.319389343261719</v>
      </c>
      <c r="F5548" s="11">
        <v>8.0857305526733398</v>
      </c>
    </row>
    <row r="5549" spans="1:6" hidden="1" x14ac:dyDescent="0.3">
      <c r="A5549" s="6">
        <v>40</v>
      </c>
      <c r="B5549" s="6" t="s">
        <v>161</v>
      </c>
      <c r="C5549" s="6" t="s">
        <v>443</v>
      </c>
      <c r="D5549" s="6" t="s">
        <v>162</v>
      </c>
      <c r="E5549" s="11">
        <v>4.4654645919799805</v>
      </c>
      <c r="F5549" s="11">
        <v>8.0857305526733398</v>
      </c>
    </row>
    <row r="5550" spans="1:6" hidden="1" x14ac:dyDescent="0.3">
      <c r="A5550" s="6">
        <v>40</v>
      </c>
      <c r="B5550" s="6" t="s">
        <v>161</v>
      </c>
      <c r="C5550" s="6" t="s">
        <v>444</v>
      </c>
      <c r="D5550" s="6" t="s">
        <v>162</v>
      </c>
      <c r="E5550" s="11">
        <v>5.7979335784912109</v>
      </c>
      <c r="F5550" s="11">
        <v>8.0857305526733398</v>
      </c>
    </row>
    <row r="5551" spans="1:6" hidden="1" x14ac:dyDescent="0.3">
      <c r="A5551" s="6">
        <v>40</v>
      </c>
      <c r="B5551" s="6" t="s">
        <v>161</v>
      </c>
      <c r="C5551" s="6" t="s">
        <v>445</v>
      </c>
      <c r="D5551" s="6" t="s">
        <v>162</v>
      </c>
      <c r="E5551" s="11">
        <v>10.252362251281738</v>
      </c>
      <c r="F5551" s="11">
        <v>8.0857305526733398</v>
      </c>
    </row>
    <row r="5552" spans="1:6" hidden="1" x14ac:dyDescent="0.3">
      <c r="A5552" s="6">
        <v>40</v>
      </c>
      <c r="B5552" s="6" t="s">
        <v>161</v>
      </c>
      <c r="C5552" s="6" t="s">
        <v>446</v>
      </c>
      <c r="D5552" s="6" t="s">
        <v>162</v>
      </c>
      <c r="E5552" s="11">
        <v>3.8444688320159912</v>
      </c>
      <c r="F5552" s="11">
        <v>8.0857305526733398</v>
      </c>
    </row>
    <row r="5553" spans="1:6" hidden="1" x14ac:dyDescent="0.3">
      <c r="A5553" s="6">
        <v>40</v>
      </c>
      <c r="B5553" s="6" t="s">
        <v>161</v>
      </c>
      <c r="C5553" s="6" t="s">
        <v>447</v>
      </c>
      <c r="D5553" s="6" t="s">
        <v>162</v>
      </c>
      <c r="E5553" s="11">
        <v>7.8163938522338867</v>
      </c>
      <c r="F5553" s="11">
        <v>8.0857305526733398</v>
      </c>
    </row>
    <row r="5554" spans="1:6" hidden="1" x14ac:dyDescent="0.3">
      <c r="A5554" s="6">
        <v>40</v>
      </c>
      <c r="B5554" s="6" t="s">
        <v>161</v>
      </c>
      <c r="C5554" s="6" t="s">
        <v>448</v>
      </c>
      <c r="D5554" s="6" t="s">
        <v>162</v>
      </c>
      <c r="E5554" s="11">
        <v>8.8313846588134766</v>
      </c>
      <c r="F5554" s="11">
        <v>8.0857305526733398</v>
      </c>
    </row>
    <row r="5555" spans="1:6" hidden="1" x14ac:dyDescent="0.3">
      <c r="A5555" s="6">
        <v>40</v>
      </c>
      <c r="B5555" s="6" t="s">
        <v>161</v>
      </c>
      <c r="C5555" s="6" t="s">
        <v>449</v>
      </c>
      <c r="D5555" s="6" t="s">
        <v>162</v>
      </c>
      <c r="E5555" s="11">
        <v>3.4358091354370117</v>
      </c>
      <c r="F5555" s="11">
        <v>8.0857305526733398</v>
      </c>
    </row>
    <row r="5556" spans="1:6" hidden="1" x14ac:dyDescent="0.3">
      <c r="A5556" s="6">
        <v>40</v>
      </c>
      <c r="B5556" s="6" t="s">
        <v>161</v>
      </c>
      <c r="C5556" s="6" t="s">
        <v>450</v>
      </c>
      <c r="D5556" s="6" t="s">
        <v>162</v>
      </c>
      <c r="E5556" s="11">
        <v>5.0890135765075684</v>
      </c>
      <c r="F5556" s="11">
        <v>8.0857305526733398</v>
      </c>
    </row>
    <row r="5557" spans="1:6" hidden="1" x14ac:dyDescent="0.3">
      <c r="A5557" s="6">
        <v>40</v>
      </c>
      <c r="B5557" s="6" t="s">
        <v>161</v>
      </c>
      <c r="C5557" s="6" t="s">
        <v>451</v>
      </c>
      <c r="D5557" s="6" t="s">
        <v>162</v>
      </c>
      <c r="E5557" s="11">
        <v>7.7410726547241211</v>
      </c>
      <c r="F5557" s="11">
        <v>8.0857305526733398</v>
      </c>
    </row>
    <row r="5558" spans="1:6" hidden="1" x14ac:dyDescent="0.3">
      <c r="A5558" s="6">
        <v>40</v>
      </c>
      <c r="B5558" s="6" t="s">
        <v>161</v>
      </c>
      <c r="C5558" s="6" t="s">
        <v>452</v>
      </c>
      <c r="D5558" s="6" t="s">
        <v>162</v>
      </c>
      <c r="E5558" s="11">
        <v>8.586390495300293</v>
      </c>
      <c r="F5558" s="11">
        <v>8.0857305526733398</v>
      </c>
    </row>
    <row r="5559" spans="1:6" hidden="1" x14ac:dyDescent="0.3">
      <c r="A5559" s="6">
        <v>40</v>
      </c>
      <c r="B5559" s="6" t="s">
        <v>161</v>
      </c>
      <c r="C5559" s="6" t="s">
        <v>453</v>
      </c>
      <c r="D5559" s="6" t="s">
        <v>162</v>
      </c>
      <c r="E5559" s="11">
        <v>3.7346339225769043</v>
      </c>
      <c r="F5559" s="11">
        <v>8.0857305526733398</v>
      </c>
    </row>
    <row r="5560" spans="1:6" hidden="1" x14ac:dyDescent="0.3">
      <c r="A5560" s="6">
        <v>40</v>
      </c>
      <c r="B5560" s="6" t="s">
        <v>161</v>
      </c>
      <c r="C5560" s="6" t="s">
        <v>454</v>
      </c>
      <c r="D5560" s="6" t="s">
        <v>162</v>
      </c>
      <c r="E5560" s="11">
        <v>7.7373967170715332</v>
      </c>
      <c r="F5560" s="11">
        <v>8.0857305526733398</v>
      </c>
    </row>
    <row r="5561" spans="1:6" hidden="1" x14ac:dyDescent="0.3">
      <c r="A5561" s="6">
        <v>40</v>
      </c>
      <c r="B5561" s="6" t="s">
        <v>161</v>
      </c>
      <c r="C5561" s="6" t="s">
        <v>455</v>
      </c>
      <c r="D5561" s="6" t="s">
        <v>162</v>
      </c>
      <c r="E5561" s="11">
        <v>6.3690195083618164</v>
      </c>
      <c r="F5561" s="11">
        <v>8.0857305526733398</v>
      </c>
    </row>
    <row r="5562" spans="1:6" hidden="1" x14ac:dyDescent="0.3">
      <c r="A5562" s="6">
        <v>40</v>
      </c>
      <c r="B5562" s="6" t="s">
        <v>161</v>
      </c>
      <c r="C5562" s="6" t="s">
        <v>456</v>
      </c>
      <c r="D5562" s="6" t="s">
        <v>162</v>
      </c>
      <c r="E5562" s="11">
        <v>8.3523368835449219</v>
      </c>
      <c r="F5562" s="11">
        <v>8.0857305526733398</v>
      </c>
    </row>
    <row r="5563" spans="1:6" hidden="1" x14ac:dyDescent="0.3">
      <c r="A5563" s="6">
        <v>40</v>
      </c>
      <c r="B5563" s="6" t="s">
        <v>161</v>
      </c>
      <c r="C5563" s="6" t="s">
        <v>457</v>
      </c>
      <c r="D5563" s="6" t="s">
        <v>162</v>
      </c>
      <c r="E5563" s="11">
        <v>10.476764678955078</v>
      </c>
      <c r="F5563" s="11">
        <v>8.0857305526733398</v>
      </c>
    </row>
    <row r="5564" spans="1:6" hidden="1" x14ac:dyDescent="0.3">
      <c r="A5564" s="6">
        <v>40</v>
      </c>
      <c r="B5564" s="6" t="s">
        <v>161</v>
      </c>
      <c r="C5564" s="6" t="s">
        <v>458</v>
      </c>
      <c r="D5564" s="6" t="s">
        <v>162</v>
      </c>
      <c r="E5564" s="11">
        <v>7.9595255851745605</v>
      </c>
      <c r="F5564" s="11">
        <v>8.0857305526733398</v>
      </c>
    </row>
    <row r="5565" spans="1:6" hidden="1" x14ac:dyDescent="0.3">
      <c r="A5565" s="6">
        <v>40</v>
      </c>
      <c r="B5565" s="6" t="s">
        <v>161</v>
      </c>
      <c r="C5565" s="6" t="s">
        <v>459</v>
      </c>
      <c r="D5565" s="6" t="s">
        <v>162</v>
      </c>
      <c r="E5565" s="11">
        <v>22.40064811706543</v>
      </c>
      <c r="F5565" s="11">
        <v>8.0857305526733398</v>
      </c>
    </row>
    <row r="5566" spans="1:6" hidden="1" x14ac:dyDescent="0.3">
      <c r="A5566" s="6">
        <v>40</v>
      </c>
      <c r="B5566" s="6" t="s">
        <v>161</v>
      </c>
      <c r="C5566" s="6" t="s">
        <v>460</v>
      </c>
      <c r="D5566" s="6" t="s">
        <v>162</v>
      </c>
      <c r="E5566" s="11">
        <v>15.061775207519531</v>
      </c>
      <c r="F5566" s="11">
        <v>8.0857305526733398</v>
      </c>
    </row>
    <row r="5567" spans="1:6" hidden="1" x14ac:dyDescent="0.3">
      <c r="A5567" s="6">
        <v>40</v>
      </c>
      <c r="B5567" s="6" t="s">
        <v>161</v>
      </c>
      <c r="C5567" s="6" t="s">
        <v>461</v>
      </c>
      <c r="D5567" s="6" t="s">
        <v>162</v>
      </c>
      <c r="E5567" s="11">
        <v>7.7190170288085938</v>
      </c>
      <c r="F5567" s="11">
        <v>8.0857305526733398</v>
      </c>
    </row>
    <row r="5568" spans="1:6" hidden="1" x14ac:dyDescent="0.3">
      <c r="A5568" s="6">
        <v>40</v>
      </c>
      <c r="B5568" s="6" t="s">
        <v>161</v>
      </c>
      <c r="C5568" s="6" t="s">
        <v>462</v>
      </c>
      <c r="D5568" s="6" t="s">
        <v>162</v>
      </c>
      <c r="E5568" s="11">
        <v>4.2673726081848145</v>
      </c>
      <c r="F5568" s="11">
        <v>8.0857305526733398</v>
      </c>
    </row>
    <row r="5569" spans="1:6" hidden="1" x14ac:dyDescent="0.3">
      <c r="A5569" s="6">
        <v>40</v>
      </c>
      <c r="B5569" s="6" t="s">
        <v>161</v>
      </c>
      <c r="C5569" s="6" t="s">
        <v>463</v>
      </c>
      <c r="D5569" s="6" t="s">
        <v>162</v>
      </c>
      <c r="E5569" s="11">
        <v>6.894925594329834</v>
      </c>
      <c r="F5569" s="11">
        <v>8.0857305526733398</v>
      </c>
    </row>
    <row r="5570" spans="1:6" hidden="1" x14ac:dyDescent="0.3">
      <c r="A5570" s="6">
        <v>40</v>
      </c>
      <c r="B5570" s="6" t="s">
        <v>161</v>
      </c>
      <c r="C5570" s="6" t="s">
        <v>464</v>
      </c>
      <c r="D5570" s="6" t="s">
        <v>162</v>
      </c>
      <c r="E5570" s="11">
        <v>5.9142684936523438</v>
      </c>
      <c r="F5570" s="11">
        <v>8.0857305526733398</v>
      </c>
    </row>
    <row r="5571" spans="1:6" hidden="1" x14ac:dyDescent="0.3">
      <c r="A5571" s="6">
        <v>40</v>
      </c>
      <c r="B5571" s="6" t="s">
        <v>161</v>
      </c>
      <c r="C5571" s="6" t="s">
        <v>465</v>
      </c>
      <c r="D5571" s="6" t="s">
        <v>162</v>
      </c>
      <c r="E5571" s="11">
        <v>7.00665283203125</v>
      </c>
      <c r="F5571" s="11">
        <v>8.0857305526733398</v>
      </c>
    </row>
    <row r="5572" spans="1:6" hidden="1" x14ac:dyDescent="0.3">
      <c r="A5572" s="6">
        <v>40</v>
      </c>
      <c r="B5572" s="6" t="s">
        <v>161</v>
      </c>
      <c r="C5572" s="6" t="s">
        <v>466</v>
      </c>
      <c r="D5572" s="6" t="s">
        <v>162</v>
      </c>
      <c r="E5572" s="11">
        <v>5.0550293922424316</v>
      </c>
      <c r="F5572" s="11">
        <v>8.0857305526733398</v>
      </c>
    </row>
    <row r="5573" spans="1:6" hidden="1" x14ac:dyDescent="0.3">
      <c r="A5573" s="6">
        <v>40</v>
      </c>
      <c r="B5573" s="6" t="s">
        <v>161</v>
      </c>
      <c r="C5573" s="6" t="s">
        <v>467</v>
      </c>
      <c r="D5573" s="6" t="s">
        <v>162</v>
      </c>
      <c r="E5573" s="11">
        <v>9.4095420837402344</v>
      </c>
      <c r="F5573" s="11">
        <v>8.0857305526733398</v>
      </c>
    </row>
    <row r="5574" spans="1:6" hidden="1" x14ac:dyDescent="0.3">
      <c r="A5574" s="6">
        <v>40</v>
      </c>
      <c r="B5574" s="6" t="s">
        <v>161</v>
      </c>
      <c r="C5574" s="6" t="s">
        <v>468</v>
      </c>
      <c r="D5574" s="6" t="s">
        <v>162</v>
      </c>
      <c r="E5574" s="11">
        <v>8.3810577392578125</v>
      </c>
      <c r="F5574" s="11">
        <v>8.0857305526733398</v>
      </c>
    </row>
    <row r="5575" spans="1:6" hidden="1" x14ac:dyDescent="0.3">
      <c r="A5575" s="6">
        <v>40</v>
      </c>
      <c r="B5575" s="6" t="s">
        <v>161</v>
      </c>
      <c r="C5575" s="6" t="s">
        <v>469</v>
      </c>
      <c r="D5575" s="6" t="s">
        <v>162</v>
      </c>
      <c r="E5575" s="11">
        <v>5.0820379257202148</v>
      </c>
      <c r="F5575" s="11">
        <v>8.0857305526733398</v>
      </c>
    </row>
    <row r="5576" spans="1:6" hidden="1" x14ac:dyDescent="0.3">
      <c r="A5576" s="6">
        <v>40</v>
      </c>
      <c r="B5576" s="6" t="s">
        <v>161</v>
      </c>
      <c r="C5576" s="6" t="s">
        <v>470</v>
      </c>
      <c r="D5576" s="6" t="s">
        <v>162</v>
      </c>
      <c r="E5576" s="11">
        <v>13.059136390686035</v>
      </c>
      <c r="F5576" s="11">
        <v>8.0857305526733398</v>
      </c>
    </row>
    <row r="5577" spans="1:6" hidden="1" x14ac:dyDescent="0.3">
      <c r="A5577" s="6">
        <v>40</v>
      </c>
      <c r="B5577" s="6" t="s">
        <v>161</v>
      </c>
      <c r="C5577" s="6" t="s">
        <v>471</v>
      </c>
      <c r="D5577" s="6" t="s">
        <v>162</v>
      </c>
      <c r="E5577" s="11">
        <v>5.0742301940917969</v>
      </c>
      <c r="F5577" s="11">
        <v>8.0857305526733398</v>
      </c>
    </row>
    <row r="5578" spans="1:6" hidden="1" x14ac:dyDescent="0.3">
      <c r="A5578" s="6">
        <v>40</v>
      </c>
      <c r="B5578" s="6" t="s">
        <v>161</v>
      </c>
      <c r="C5578" s="6" t="s">
        <v>472</v>
      </c>
      <c r="D5578" s="6" t="s">
        <v>162</v>
      </c>
      <c r="E5578" s="11">
        <v>11.49098014831543</v>
      </c>
      <c r="F5578" s="11">
        <v>8.0857305526733398</v>
      </c>
    </row>
    <row r="5579" spans="1:6" hidden="1" x14ac:dyDescent="0.3">
      <c r="A5579" s="6">
        <v>40</v>
      </c>
      <c r="B5579" s="6" t="s">
        <v>161</v>
      </c>
      <c r="C5579" s="6" t="s">
        <v>473</v>
      </c>
      <c r="D5579" s="6" t="s">
        <v>162</v>
      </c>
      <c r="E5579" s="11">
        <v>12.871242523193359</v>
      </c>
      <c r="F5579" s="11">
        <v>8.0857305526733398</v>
      </c>
    </row>
    <row r="5580" spans="1:6" hidden="1" x14ac:dyDescent="0.3">
      <c r="A5580" s="6">
        <v>40</v>
      </c>
      <c r="B5580" s="6" t="s">
        <v>161</v>
      </c>
      <c r="C5580" s="6" t="s">
        <v>474</v>
      </c>
      <c r="D5580" s="6" t="s">
        <v>162</v>
      </c>
      <c r="E5580" s="11">
        <v>14.822919845581055</v>
      </c>
      <c r="F5580" s="11">
        <v>8.0857305526733398</v>
      </c>
    </row>
    <row r="5581" spans="1:6" hidden="1" x14ac:dyDescent="0.3">
      <c r="A5581" s="6">
        <v>40</v>
      </c>
      <c r="B5581" s="6" t="s">
        <v>161</v>
      </c>
      <c r="C5581" s="6" t="s">
        <v>475</v>
      </c>
      <c r="D5581" s="6" t="s">
        <v>162</v>
      </c>
      <c r="E5581" s="11">
        <v>4.5564398765563965</v>
      </c>
      <c r="F5581" s="11">
        <v>8.0857305526733398</v>
      </c>
    </row>
    <row r="5582" spans="1:6" hidden="1" x14ac:dyDescent="0.3">
      <c r="A5582" s="6">
        <v>40</v>
      </c>
      <c r="B5582" s="6" t="s">
        <v>161</v>
      </c>
      <c r="C5582" s="6" t="s">
        <v>476</v>
      </c>
      <c r="D5582" s="6" t="s">
        <v>162</v>
      </c>
      <c r="E5582" s="11">
        <v>3.3470842838287354</v>
      </c>
      <c r="F5582" s="11">
        <v>8.0857305526733398</v>
      </c>
    </row>
    <row r="5583" spans="1:6" hidden="1" x14ac:dyDescent="0.3">
      <c r="A5583" s="6">
        <v>40</v>
      </c>
      <c r="B5583" s="6" t="s">
        <v>161</v>
      </c>
      <c r="C5583" s="6" t="s">
        <v>477</v>
      </c>
      <c r="D5583" s="6" t="s">
        <v>162</v>
      </c>
      <c r="E5583" s="11">
        <v>8.4005556106567383</v>
      </c>
      <c r="F5583" s="11">
        <v>8.0857305526733398</v>
      </c>
    </row>
    <row r="5584" spans="1:6" hidden="1" x14ac:dyDescent="0.3">
      <c r="A5584" s="6">
        <v>40</v>
      </c>
      <c r="B5584" s="6" t="s">
        <v>161</v>
      </c>
      <c r="C5584" s="6" t="s">
        <v>478</v>
      </c>
      <c r="D5584" s="6" t="s">
        <v>162</v>
      </c>
      <c r="E5584" s="11">
        <v>4.3002142906188965</v>
      </c>
      <c r="F5584" s="11">
        <v>8.0857305526733398</v>
      </c>
    </row>
    <row r="5585" spans="1:6" hidden="1" x14ac:dyDescent="0.3">
      <c r="A5585" s="6">
        <v>40</v>
      </c>
      <c r="B5585" s="6" t="s">
        <v>161</v>
      </c>
      <c r="C5585" s="6" t="s">
        <v>479</v>
      </c>
      <c r="D5585" s="6" t="s">
        <v>162</v>
      </c>
      <c r="E5585" s="11">
        <v>10.553580284118652</v>
      </c>
      <c r="F5585" s="11">
        <v>8.0857305526733398</v>
      </c>
    </row>
    <row r="5586" spans="1:6" hidden="1" x14ac:dyDescent="0.3">
      <c r="A5586" s="6">
        <v>40</v>
      </c>
      <c r="B5586" s="6" t="s">
        <v>161</v>
      </c>
      <c r="C5586" s="6" t="s">
        <v>480</v>
      </c>
      <c r="D5586" s="6" t="s">
        <v>162</v>
      </c>
      <c r="E5586" s="11">
        <v>5.8437376022338867</v>
      </c>
      <c r="F5586" s="11">
        <v>8.0857305526733398</v>
      </c>
    </row>
    <row r="5587" spans="1:6" hidden="1" x14ac:dyDescent="0.3">
      <c r="A5587" s="6">
        <v>40</v>
      </c>
      <c r="B5587" s="6" t="s">
        <v>161</v>
      </c>
      <c r="C5587" s="6" t="s">
        <v>481</v>
      </c>
      <c r="D5587" s="6" t="s">
        <v>162</v>
      </c>
      <c r="E5587" s="11">
        <v>4.6264047622680664</v>
      </c>
      <c r="F5587" s="11">
        <v>8.0857305526733398</v>
      </c>
    </row>
    <row r="5588" spans="1:6" hidden="1" x14ac:dyDescent="0.3">
      <c r="A5588" s="6">
        <v>40</v>
      </c>
      <c r="B5588" s="6" t="s">
        <v>161</v>
      </c>
      <c r="C5588" s="6" t="s">
        <v>482</v>
      </c>
      <c r="D5588" s="6" t="s">
        <v>162</v>
      </c>
      <c r="E5588" s="11">
        <v>9.9762334823608398</v>
      </c>
      <c r="F5588" s="11">
        <v>8.0857305526733398</v>
      </c>
    </row>
    <row r="5589" spans="1:6" hidden="1" x14ac:dyDescent="0.3">
      <c r="A5589" s="6">
        <v>40</v>
      </c>
      <c r="B5589" s="6" t="s">
        <v>161</v>
      </c>
      <c r="C5589" s="6" t="s">
        <v>483</v>
      </c>
      <c r="D5589" s="6" t="s">
        <v>162</v>
      </c>
      <c r="E5589" s="11">
        <v>6.0649838447570801</v>
      </c>
      <c r="F5589" s="11">
        <v>8.0857305526733398</v>
      </c>
    </row>
    <row r="5590" spans="1:6" hidden="1" x14ac:dyDescent="0.3">
      <c r="A5590" s="6">
        <v>40</v>
      </c>
      <c r="B5590" s="6" t="s">
        <v>161</v>
      </c>
      <c r="C5590" s="6" t="s">
        <v>484</v>
      </c>
      <c r="D5590" s="6" t="s">
        <v>162</v>
      </c>
      <c r="E5590" s="11">
        <v>4.9799237251281738</v>
      </c>
      <c r="F5590" s="11">
        <v>8.0857305526733398</v>
      </c>
    </row>
    <row r="5591" spans="1:6" hidden="1" x14ac:dyDescent="0.3">
      <c r="A5591" s="6">
        <v>40</v>
      </c>
      <c r="B5591" s="6" t="s">
        <v>161</v>
      </c>
      <c r="C5591" s="6" t="s">
        <v>485</v>
      </c>
      <c r="D5591" s="6" t="s">
        <v>162</v>
      </c>
      <c r="E5591" s="11">
        <v>124.42037200927734</v>
      </c>
      <c r="F5591" s="11">
        <v>8.0857305526733398</v>
      </c>
    </row>
    <row r="5592" spans="1:6" hidden="1" x14ac:dyDescent="0.3">
      <c r="A5592" s="6">
        <v>40</v>
      </c>
      <c r="B5592" s="6" t="s">
        <v>161</v>
      </c>
      <c r="C5592" s="6" t="s">
        <v>486</v>
      </c>
      <c r="D5592" s="6" t="s">
        <v>162</v>
      </c>
      <c r="E5592" s="11">
        <v>12.776945114135742</v>
      </c>
      <c r="F5592" s="11">
        <v>8.0857305526733398</v>
      </c>
    </row>
    <row r="5593" spans="1:6" hidden="1" x14ac:dyDescent="0.3">
      <c r="A5593" s="6">
        <v>40</v>
      </c>
      <c r="B5593" s="6" t="s">
        <v>161</v>
      </c>
      <c r="C5593" s="6" t="s">
        <v>487</v>
      </c>
      <c r="D5593" s="6" t="s">
        <v>162</v>
      </c>
      <c r="E5593" s="11">
        <v>7.4945363998413086</v>
      </c>
      <c r="F5593" s="11">
        <v>8.0857305526733398</v>
      </c>
    </row>
    <row r="5594" spans="1:6" hidden="1" x14ac:dyDescent="0.3">
      <c r="A5594" s="6">
        <v>40</v>
      </c>
      <c r="B5594" s="6" t="s">
        <v>161</v>
      </c>
      <c r="C5594" s="6" t="s">
        <v>488</v>
      </c>
      <c r="D5594" s="6" t="s">
        <v>162</v>
      </c>
      <c r="E5594" s="11">
        <v>5.2415494918823242</v>
      </c>
      <c r="F5594" s="11">
        <v>8.0857305526733398</v>
      </c>
    </row>
    <row r="5595" spans="1:6" hidden="1" x14ac:dyDescent="0.3">
      <c r="A5595" s="6">
        <v>40</v>
      </c>
      <c r="B5595" s="6" t="s">
        <v>161</v>
      </c>
      <c r="C5595" s="6" t="s">
        <v>489</v>
      </c>
      <c r="D5595" s="6" t="s">
        <v>162</v>
      </c>
      <c r="E5595" s="11">
        <v>6.8514924049377441</v>
      </c>
      <c r="F5595" s="11">
        <v>8.0857305526733398</v>
      </c>
    </row>
    <row r="5596" spans="1:6" hidden="1" x14ac:dyDescent="0.3">
      <c r="A5596" s="6">
        <v>40</v>
      </c>
      <c r="B5596" s="6" t="s">
        <v>161</v>
      </c>
      <c r="C5596" s="6" t="s">
        <v>490</v>
      </c>
      <c r="D5596" s="6" t="s">
        <v>162</v>
      </c>
      <c r="E5596" s="11">
        <v>4.8183231353759766</v>
      </c>
      <c r="F5596" s="11">
        <v>8.0857305526733398</v>
      </c>
    </row>
    <row r="5597" spans="1:6" hidden="1" x14ac:dyDescent="0.3">
      <c r="A5597" s="6">
        <v>40</v>
      </c>
      <c r="B5597" s="6" t="s">
        <v>161</v>
      </c>
      <c r="C5597" s="6" t="s">
        <v>491</v>
      </c>
      <c r="D5597" s="6" t="s">
        <v>162</v>
      </c>
      <c r="E5597" s="11">
        <v>12.14884090423584</v>
      </c>
      <c r="F5597" s="11">
        <v>8.0857305526733398</v>
      </c>
    </row>
    <row r="5598" spans="1:6" hidden="1" x14ac:dyDescent="0.3">
      <c r="A5598" s="6">
        <v>40</v>
      </c>
      <c r="B5598" s="6" t="s">
        <v>161</v>
      </c>
      <c r="C5598" s="6" t="s">
        <v>492</v>
      </c>
      <c r="D5598" s="6" t="s">
        <v>162</v>
      </c>
      <c r="E5598" s="11">
        <v>7.1553792953491211</v>
      </c>
      <c r="F5598" s="11">
        <v>8.0857305526733398</v>
      </c>
    </row>
    <row r="5599" spans="1:6" hidden="1" x14ac:dyDescent="0.3">
      <c r="A5599" s="6">
        <v>40</v>
      </c>
      <c r="B5599" s="6" t="s">
        <v>161</v>
      </c>
      <c r="C5599" s="6" t="s">
        <v>493</v>
      </c>
      <c r="D5599" s="6" t="s">
        <v>162</v>
      </c>
      <c r="E5599" s="11">
        <v>9.4572353363037109</v>
      </c>
      <c r="F5599" s="11">
        <v>8.0857305526733398</v>
      </c>
    </row>
    <row r="5600" spans="1:6" hidden="1" x14ac:dyDescent="0.3">
      <c r="A5600" s="6">
        <v>40</v>
      </c>
      <c r="B5600" s="6" t="s">
        <v>161</v>
      </c>
      <c r="C5600" s="6" t="s">
        <v>494</v>
      </c>
      <c r="D5600" s="6" t="s">
        <v>162</v>
      </c>
      <c r="E5600" s="11">
        <v>205.26048278808594</v>
      </c>
      <c r="F5600" s="11">
        <v>8.0857305526733398</v>
      </c>
    </row>
    <row r="5601" spans="1:6" hidden="1" x14ac:dyDescent="0.3">
      <c r="A5601" s="6">
        <v>40</v>
      </c>
      <c r="B5601" s="6" t="s">
        <v>161</v>
      </c>
      <c r="C5601" s="6" t="s">
        <v>495</v>
      </c>
      <c r="D5601" s="6" t="s">
        <v>162</v>
      </c>
      <c r="E5601" s="11">
        <v>4.6152200698852539</v>
      </c>
      <c r="F5601" s="11">
        <v>8.0857305526733398</v>
      </c>
    </row>
    <row r="5602" spans="1:6" hidden="1" x14ac:dyDescent="0.3">
      <c r="A5602" s="6">
        <v>41</v>
      </c>
      <c r="B5602" s="6" t="s">
        <v>163</v>
      </c>
      <c r="C5602" s="6" t="s">
        <v>356</v>
      </c>
      <c r="D5602" s="6" t="s">
        <v>164</v>
      </c>
      <c r="E5602" s="11">
        <v>4.6854457855224609</v>
      </c>
      <c r="F5602" s="11">
        <v>6.5629687309265137</v>
      </c>
    </row>
    <row r="5603" spans="1:6" hidden="1" x14ac:dyDescent="0.3">
      <c r="A5603" s="6">
        <v>41</v>
      </c>
      <c r="B5603" s="6" t="s">
        <v>163</v>
      </c>
      <c r="C5603" s="6" t="s">
        <v>357</v>
      </c>
      <c r="D5603" s="6" t="s">
        <v>164</v>
      </c>
      <c r="E5603" s="11">
        <v>3.5873358249664307</v>
      </c>
      <c r="F5603" s="11">
        <v>6.5629687309265137</v>
      </c>
    </row>
    <row r="5604" spans="1:6" hidden="1" x14ac:dyDescent="0.3">
      <c r="A5604" s="6">
        <v>41</v>
      </c>
      <c r="B5604" s="6" t="s">
        <v>163</v>
      </c>
      <c r="C5604" s="6" t="s">
        <v>358</v>
      </c>
      <c r="D5604" s="6" t="s">
        <v>164</v>
      </c>
      <c r="E5604" s="11">
        <v>6.4591894149780273</v>
      </c>
      <c r="F5604" s="11">
        <v>6.5629687309265137</v>
      </c>
    </row>
    <row r="5605" spans="1:6" hidden="1" x14ac:dyDescent="0.3">
      <c r="A5605" s="6">
        <v>41</v>
      </c>
      <c r="B5605" s="6" t="s">
        <v>163</v>
      </c>
      <c r="C5605" s="6" t="s">
        <v>359</v>
      </c>
      <c r="D5605" s="6" t="s">
        <v>164</v>
      </c>
      <c r="E5605" s="11">
        <v>14.621971130371094</v>
      </c>
      <c r="F5605" s="11">
        <v>6.5629687309265137</v>
      </c>
    </row>
    <row r="5606" spans="1:6" hidden="1" x14ac:dyDescent="0.3">
      <c r="A5606" s="6">
        <v>41</v>
      </c>
      <c r="B5606" s="6" t="s">
        <v>163</v>
      </c>
      <c r="C5606" s="6" t="s">
        <v>360</v>
      </c>
      <c r="D5606" s="6" t="s">
        <v>164</v>
      </c>
      <c r="E5606" s="11">
        <v>5.2189135551452637</v>
      </c>
      <c r="F5606" s="11">
        <v>6.5629687309265137</v>
      </c>
    </row>
    <row r="5607" spans="1:6" hidden="1" x14ac:dyDescent="0.3">
      <c r="A5607" s="6">
        <v>41</v>
      </c>
      <c r="B5607" s="6" t="s">
        <v>163</v>
      </c>
      <c r="C5607" s="6" t="s">
        <v>361</v>
      </c>
      <c r="D5607" s="6" t="s">
        <v>164</v>
      </c>
      <c r="E5607" s="11">
        <v>6.321235179901123</v>
      </c>
      <c r="F5607" s="11">
        <v>6.5629687309265137</v>
      </c>
    </row>
    <row r="5608" spans="1:6" hidden="1" x14ac:dyDescent="0.3">
      <c r="A5608" s="6">
        <v>41</v>
      </c>
      <c r="B5608" s="6" t="s">
        <v>163</v>
      </c>
      <c r="C5608" s="6" t="s">
        <v>362</v>
      </c>
      <c r="D5608" s="6" t="s">
        <v>164</v>
      </c>
      <c r="E5608" s="11">
        <v>13.383356094360352</v>
      </c>
      <c r="F5608" s="11">
        <v>6.5629687309265137</v>
      </c>
    </row>
    <row r="5609" spans="1:6" hidden="1" x14ac:dyDescent="0.3">
      <c r="A5609" s="6">
        <v>41</v>
      </c>
      <c r="B5609" s="6" t="s">
        <v>163</v>
      </c>
      <c r="C5609" s="6" t="s">
        <v>363</v>
      </c>
      <c r="D5609" s="6" t="s">
        <v>164</v>
      </c>
      <c r="E5609" s="11">
        <v>7.507087230682373</v>
      </c>
      <c r="F5609" s="11">
        <v>6.5629687309265137</v>
      </c>
    </row>
    <row r="5610" spans="1:6" hidden="1" x14ac:dyDescent="0.3">
      <c r="A5610" s="6">
        <v>41</v>
      </c>
      <c r="B5610" s="6" t="s">
        <v>163</v>
      </c>
      <c r="C5610" s="6" t="s">
        <v>364</v>
      </c>
      <c r="D5610" s="6" t="s">
        <v>164</v>
      </c>
      <c r="E5610" s="11">
        <v>1528.6949462890625</v>
      </c>
      <c r="F5610" s="11">
        <v>6.5629687309265137</v>
      </c>
    </row>
    <row r="5611" spans="1:6" hidden="1" x14ac:dyDescent="0.3">
      <c r="A5611" s="6">
        <v>41</v>
      </c>
      <c r="B5611" s="6" t="s">
        <v>163</v>
      </c>
      <c r="C5611" s="6" t="s">
        <v>365</v>
      </c>
      <c r="D5611" s="6" t="s">
        <v>164</v>
      </c>
      <c r="E5611" s="11">
        <v>3.3262045383453369</v>
      </c>
      <c r="F5611" s="11">
        <v>6.5629687309265137</v>
      </c>
    </row>
    <row r="5612" spans="1:6" hidden="1" x14ac:dyDescent="0.3">
      <c r="A5612" s="6">
        <v>41</v>
      </c>
      <c r="B5612" s="6" t="s">
        <v>163</v>
      </c>
      <c r="C5612" s="6" t="s">
        <v>366</v>
      </c>
      <c r="D5612" s="6" t="s">
        <v>164</v>
      </c>
      <c r="E5612" s="11">
        <v>6.5927772521972656</v>
      </c>
      <c r="F5612" s="11">
        <v>6.5629687309265137</v>
      </c>
    </row>
    <row r="5613" spans="1:6" hidden="1" x14ac:dyDescent="0.3">
      <c r="A5613" s="6">
        <v>41</v>
      </c>
      <c r="B5613" s="6" t="s">
        <v>163</v>
      </c>
      <c r="C5613" s="6" t="s">
        <v>367</v>
      </c>
      <c r="D5613" s="6" t="s">
        <v>164</v>
      </c>
      <c r="E5613" s="11">
        <v>7.1363182067871094</v>
      </c>
      <c r="F5613" s="11">
        <v>6.5629687309265137</v>
      </c>
    </row>
    <row r="5614" spans="1:6" hidden="1" x14ac:dyDescent="0.3">
      <c r="A5614" s="6">
        <v>41</v>
      </c>
      <c r="B5614" s="6" t="s">
        <v>163</v>
      </c>
      <c r="C5614" s="6" t="s">
        <v>368</v>
      </c>
      <c r="D5614" s="6" t="s">
        <v>164</v>
      </c>
      <c r="E5614" s="11">
        <v>3.6731693744659424</v>
      </c>
      <c r="F5614" s="11">
        <v>6.5629687309265137</v>
      </c>
    </row>
    <row r="5615" spans="1:6" hidden="1" x14ac:dyDescent="0.3">
      <c r="A5615" s="6">
        <v>41</v>
      </c>
      <c r="B5615" s="6" t="s">
        <v>163</v>
      </c>
      <c r="C5615" s="6" t="s">
        <v>369</v>
      </c>
      <c r="D5615" s="6" t="s">
        <v>164</v>
      </c>
      <c r="E5615" s="11">
        <v>6.5214667320251465</v>
      </c>
      <c r="F5615" s="11">
        <v>6.5629687309265137</v>
      </c>
    </row>
    <row r="5616" spans="1:6" hidden="1" x14ac:dyDescent="0.3">
      <c r="A5616" s="6">
        <v>41</v>
      </c>
      <c r="B5616" s="6" t="s">
        <v>163</v>
      </c>
      <c r="C5616" s="6" t="s">
        <v>370</v>
      </c>
      <c r="D5616" s="6" t="s">
        <v>164</v>
      </c>
      <c r="E5616" s="11">
        <v>15.793107032775879</v>
      </c>
      <c r="F5616" s="11">
        <v>6.5629687309265137</v>
      </c>
    </row>
    <row r="5617" spans="1:6" hidden="1" x14ac:dyDescent="0.3">
      <c r="A5617" s="6">
        <v>41</v>
      </c>
      <c r="B5617" s="6" t="s">
        <v>163</v>
      </c>
      <c r="C5617" s="6" t="s">
        <v>371</v>
      </c>
      <c r="D5617" s="6" t="s">
        <v>164</v>
      </c>
      <c r="E5617" s="11">
        <v>5.7609786987304688</v>
      </c>
      <c r="F5617" s="11">
        <v>6.5629687309265137</v>
      </c>
    </row>
    <row r="5618" spans="1:6" hidden="1" x14ac:dyDescent="0.3">
      <c r="A5618" s="6">
        <v>41</v>
      </c>
      <c r="B5618" s="6" t="s">
        <v>163</v>
      </c>
      <c r="C5618" s="6" t="s">
        <v>372</v>
      </c>
      <c r="D5618" s="6" t="s">
        <v>164</v>
      </c>
      <c r="E5618" s="11">
        <v>51.525489807128906</v>
      </c>
      <c r="F5618" s="11">
        <v>6.5629687309265137</v>
      </c>
    </row>
    <row r="5619" spans="1:6" hidden="1" x14ac:dyDescent="0.3">
      <c r="A5619" s="6">
        <v>41</v>
      </c>
      <c r="B5619" s="6" t="s">
        <v>163</v>
      </c>
      <c r="C5619" s="6" t="s">
        <v>373</v>
      </c>
      <c r="D5619" s="6" t="s">
        <v>164</v>
      </c>
      <c r="E5619" s="11">
        <v>7.3646478652954102</v>
      </c>
      <c r="F5619" s="11">
        <v>6.5629687309265137</v>
      </c>
    </row>
    <row r="5620" spans="1:6" hidden="1" x14ac:dyDescent="0.3">
      <c r="A5620" s="6">
        <v>41</v>
      </c>
      <c r="B5620" s="6" t="s">
        <v>163</v>
      </c>
      <c r="C5620" s="6" t="s">
        <v>374</v>
      </c>
      <c r="D5620" s="6" t="s">
        <v>164</v>
      </c>
      <c r="E5620" s="11">
        <v>5.2844085693359375</v>
      </c>
      <c r="F5620" s="11">
        <v>6.5629687309265137</v>
      </c>
    </row>
    <row r="5621" spans="1:6" hidden="1" x14ac:dyDescent="0.3">
      <c r="A5621" s="6">
        <v>41</v>
      </c>
      <c r="B5621" s="6" t="s">
        <v>163</v>
      </c>
      <c r="C5621" s="6" t="s">
        <v>375</v>
      </c>
      <c r="D5621" s="6" t="s">
        <v>164</v>
      </c>
      <c r="E5621" s="11">
        <v>6.3657951354980469</v>
      </c>
      <c r="F5621" s="11">
        <v>6.5629687309265137</v>
      </c>
    </row>
    <row r="5622" spans="1:6" hidden="1" x14ac:dyDescent="0.3">
      <c r="A5622" s="6">
        <v>41</v>
      </c>
      <c r="B5622" s="6" t="s">
        <v>163</v>
      </c>
      <c r="C5622" s="6" t="s">
        <v>376</v>
      </c>
      <c r="D5622" s="6" t="s">
        <v>164</v>
      </c>
      <c r="E5622" s="11">
        <v>4.7978401184082031</v>
      </c>
      <c r="F5622" s="11">
        <v>6.5629687309265137</v>
      </c>
    </row>
    <row r="5623" spans="1:6" hidden="1" x14ac:dyDescent="0.3">
      <c r="A5623" s="6">
        <v>41</v>
      </c>
      <c r="B5623" s="6" t="s">
        <v>163</v>
      </c>
      <c r="C5623" s="6" t="s">
        <v>377</v>
      </c>
      <c r="D5623" s="6" t="s">
        <v>164</v>
      </c>
      <c r="E5623" s="11">
        <v>8.4898967742919922</v>
      </c>
      <c r="F5623" s="11">
        <v>6.5629687309265137</v>
      </c>
    </row>
    <row r="5624" spans="1:6" hidden="1" x14ac:dyDescent="0.3">
      <c r="A5624" s="6">
        <v>41</v>
      </c>
      <c r="B5624" s="6" t="s">
        <v>163</v>
      </c>
      <c r="C5624" s="6" t="s">
        <v>378</v>
      </c>
      <c r="D5624" s="6" t="s">
        <v>164</v>
      </c>
      <c r="E5624" s="11">
        <v>15.520062446594238</v>
      </c>
      <c r="F5624" s="11">
        <v>6.5629687309265137</v>
      </c>
    </row>
    <row r="5625" spans="1:6" hidden="1" x14ac:dyDescent="0.3">
      <c r="A5625" s="6">
        <v>41</v>
      </c>
      <c r="B5625" s="6" t="s">
        <v>163</v>
      </c>
      <c r="C5625" s="6" t="s">
        <v>379</v>
      </c>
      <c r="D5625" s="6" t="s">
        <v>164</v>
      </c>
      <c r="E5625" s="11">
        <v>46.927886962890625</v>
      </c>
      <c r="F5625" s="11">
        <v>6.5629687309265137</v>
      </c>
    </row>
    <row r="5626" spans="1:6" hidden="1" x14ac:dyDescent="0.3">
      <c r="A5626" s="6">
        <v>41</v>
      </c>
      <c r="B5626" s="6" t="s">
        <v>163</v>
      </c>
      <c r="C5626" s="6" t="s">
        <v>380</v>
      </c>
      <c r="D5626" s="6" t="s">
        <v>164</v>
      </c>
      <c r="E5626" s="11">
        <v>4.8605270385742188</v>
      </c>
      <c r="F5626" s="11">
        <v>6.5629687309265137</v>
      </c>
    </row>
    <row r="5627" spans="1:6" hidden="1" x14ac:dyDescent="0.3">
      <c r="A5627" s="6">
        <v>41</v>
      </c>
      <c r="B5627" s="6" t="s">
        <v>163</v>
      </c>
      <c r="C5627" s="6" t="s">
        <v>381</v>
      </c>
      <c r="D5627" s="6" t="s">
        <v>164</v>
      </c>
      <c r="E5627" s="11">
        <v>5.0032625198364258</v>
      </c>
      <c r="F5627" s="11">
        <v>6.5629687309265137</v>
      </c>
    </row>
    <row r="5628" spans="1:6" hidden="1" x14ac:dyDescent="0.3">
      <c r="A5628" s="6">
        <v>41</v>
      </c>
      <c r="B5628" s="6" t="s">
        <v>163</v>
      </c>
      <c r="C5628" s="6" t="s">
        <v>382</v>
      </c>
      <c r="D5628" s="6" t="s">
        <v>164</v>
      </c>
      <c r="E5628" s="11">
        <v>7.177609920501709</v>
      </c>
      <c r="F5628" s="11">
        <v>6.5629687309265137</v>
      </c>
    </row>
    <row r="5629" spans="1:6" hidden="1" x14ac:dyDescent="0.3">
      <c r="A5629" s="6">
        <v>41</v>
      </c>
      <c r="B5629" s="6" t="s">
        <v>163</v>
      </c>
      <c r="C5629" s="6" t="s">
        <v>383</v>
      </c>
      <c r="D5629" s="6" t="s">
        <v>164</v>
      </c>
      <c r="E5629" s="11">
        <v>7.6040911674499512</v>
      </c>
      <c r="F5629" s="11">
        <v>6.5629687309265137</v>
      </c>
    </row>
    <row r="5630" spans="1:6" hidden="1" x14ac:dyDescent="0.3">
      <c r="A5630" s="6">
        <v>41</v>
      </c>
      <c r="B5630" s="6" t="s">
        <v>163</v>
      </c>
      <c r="C5630" s="6" t="s">
        <v>384</v>
      </c>
      <c r="D5630" s="6" t="s">
        <v>164</v>
      </c>
      <c r="E5630" s="11">
        <v>6.4485116004943848</v>
      </c>
      <c r="F5630" s="11">
        <v>6.5629687309265137</v>
      </c>
    </row>
    <row r="5631" spans="1:6" hidden="1" x14ac:dyDescent="0.3">
      <c r="A5631" s="6">
        <v>41</v>
      </c>
      <c r="B5631" s="6" t="s">
        <v>163</v>
      </c>
      <c r="C5631" s="6" t="s">
        <v>385</v>
      </c>
      <c r="D5631" s="6" t="s">
        <v>164</v>
      </c>
      <c r="E5631" s="11">
        <v>5.3333249092102051</v>
      </c>
      <c r="F5631" s="11">
        <v>6.5629687309265137</v>
      </c>
    </row>
    <row r="5632" spans="1:6" hidden="1" x14ac:dyDescent="0.3">
      <c r="A5632" s="6">
        <v>41</v>
      </c>
      <c r="B5632" s="6" t="s">
        <v>163</v>
      </c>
      <c r="C5632" s="6" t="s">
        <v>386</v>
      </c>
      <c r="D5632" s="6" t="s">
        <v>164</v>
      </c>
      <c r="E5632" s="11">
        <v>4.3095498085021973</v>
      </c>
      <c r="F5632" s="11">
        <v>6.5629687309265137</v>
      </c>
    </row>
    <row r="5633" spans="1:6" hidden="1" x14ac:dyDescent="0.3">
      <c r="A5633" s="6">
        <v>41</v>
      </c>
      <c r="B5633" s="6" t="s">
        <v>163</v>
      </c>
      <c r="C5633" s="6" t="s">
        <v>387</v>
      </c>
      <c r="D5633" s="6" t="s">
        <v>164</v>
      </c>
      <c r="E5633" s="11">
        <v>9.3676166534423828</v>
      </c>
      <c r="F5633" s="11">
        <v>6.5629687309265137</v>
      </c>
    </row>
    <row r="5634" spans="1:6" hidden="1" x14ac:dyDescent="0.3">
      <c r="A5634" s="6">
        <v>41</v>
      </c>
      <c r="B5634" s="6" t="s">
        <v>163</v>
      </c>
      <c r="C5634" s="6" t="s">
        <v>388</v>
      </c>
      <c r="D5634" s="6" t="s">
        <v>164</v>
      </c>
      <c r="E5634" s="11">
        <v>5.8536219596862793</v>
      </c>
      <c r="F5634" s="11">
        <v>6.5629687309265137</v>
      </c>
    </row>
    <row r="5635" spans="1:6" hidden="1" x14ac:dyDescent="0.3">
      <c r="A5635" s="6">
        <v>41</v>
      </c>
      <c r="B5635" s="6" t="s">
        <v>163</v>
      </c>
      <c r="C5635" s="6" t="s">
        <v>389</v>
      </c>
      <c r="D5635" s="6" t="s">
        <v>164</v>
      </c>
      <c r="E5635" s="11">
        <v>6.0244078636169434</v>
      </c>
      <c r="F5635" s="11">
        <v>6.5629687309265137</v>
      </c>
    </row>
    <row r="5636" spans="1:6" hidden="1" x14ac:dyDescent="0.3">
      <c r="A5636" s="6">
        <v>41</v>
      </c>
      <c r="B5636" s="6" t="s">
        <v>163</v>
      </c>
      <c r="C5636" s="6" t="s">
        <v>390</v>
      </c>
      <c r="D5636" s="6" t="s">
        <v>164</v>
      </c>
      <c r="E5636" s="11">
        <v>8.7126474380493164</v>
      </c>
      <c r="F5636" s="11">
        <v>6.5629687309265137</v>
      </c>
    </row>
    <row r="5637" spans="1:6" hidden="1" x14ac:dyDescent="0.3">
      <c r="A5637" s="6">
        <v>41</v>
      </c>
      <c r="B5637" s="6" t="s">
        <v>163</v>
      </c>
      <c r="C5637" s="6" t="s">
        <v>391</v>
      </c>
      <c r="D5637" s="6" t="s">
        <v>164</v>
      </c>
      <c r="E5637" s="11">
        <v>530.35943603515625</v>
      </c>
      <c r="F5637" s="11">
        <v>6.5629687309265137</v>
      </c>
    </row>
    <row r="5638" spans="1:6" hidden="1" x14ac:dyDescent="0.3">
      <c r="A5638" s="6">
        <v>41</v>
      </c>
      <c r="B5638" s="6" t="s">
        <v>163</v>
      </c>
      <c r="C5638" s="6" t="s">
        <v>392</v>
      </c>
      <c r="D5638" s="6" t="s">
        <v>164</v>
      </c>
      <c r="E5638" s="11">
        <v>6.0707859992980957</v>
      </c>
      <c r="F5638" s="11">
        <v>6.5629687309265137</v>
      </c>
    </row>
    <row r="5639" spans="1:6" hidden="1" x14ac:dyDescent="0.3">
      <c r="A5639" s="6">
        <v>41</v>
      </c>
      <c r="B5639" s="6" t="s">
        <v>163</v>
      </c>
      <c r="C5639" s="6" t="s">
        <v>393</v>
      </c>
      <c r="D5639" s="6" t="s">
        <v>164</v>
      </c>
      <c r="E5639" s="11">
        <v>7.4017248153686523</v>
      </c>
      <c r="F5639" s="11">
        <v>6.5629687309265137</v>
      </c>
    </row>
    <row r="5640" spans="1:6" hidden="1" x14ac:dyDescent="0.3">
      <c r="A5640" s="6">
        <v>41</v>
      </c>
      <c r="B5640" s="6" t="s">
        <v>163</v>
      </c>
      <c r="C5640" s="6" t="s">
        <v>394</v>
      </c>
      <c r="D5640" s="6" t="s">
        <v>164</v>
      </c>
      <c r="E5640" s="11">
        <v>5.5946264266967773</v>
      </c>
      <c r="F5640" s="11">
        <v>6.5629687309265137</v>
      </c>
    </row>
    <row r="5641" spans="1:6" hidden="1" x14ac:dyDescent="0.3">
      <c r="A5641" s="6">
        <v>41</v>
      </c>
      <c r="B5641" s="6" t="s">
        <v>163</v>
      </c>
      <c r="C5641" s="6" t="s">
        <v>395</v>
      </c>
      <c r="D5641" s="6" t="s">
        <v>164</v>
      </c>
      <c r="E5641" s="11">
        <v>9.970789909362793</v>
      </c>
      <c r="F5641" s="11">
        <v>6.5629687309265137</v>
      </c>
    </row>
    <row r="5642" spans="1:6" hidden="1" x14ac:dyDescent="0.3">
      <c r="A5642" s="6">
        <v>41</v>
      </c>
      <c r="B5642" s="6" t="s">
        <v>163</v>
      </c>
      <c r="C5642" s="6" t="s">
        <v>396</v>
      </c>
      <c r="D5642" s="6" t="s">
        <v>164</v>
      </c>
      <c r="E5642" s="11">
        <v>10.119665145874023</v>
      </c>
      <c r="F5642" s="11">
        <v>6.5629687309265137</v>
      </c>
    </row>
    <row r="5643" spans="1:6" hidden="1" x14ac:dyDescent="0.3">
      <c r="A5643" s="6">
        <v>41</v>
      </c>
      <c r="B5643" s="6" t="s">
        <v>163</v>
      </c>
      <c r="C5643" s="6" t="s">
        <v>397</v>
      </c>
      <c r="D5643" s="6" t="s">
        <v>164</v>
      </c>
      <c r="E5643" s="11">
        <v>1139.0699462890625</v>
      </c>
      <c r="F5643" s="11">
        <v>6.5629687309265137</v>
      </c>
    </row>
    <row r="5644" spans="1:6" hidden="1" x14ac:dyDescent="0.3">
      <c r="A5644" s="6">
        <v>41</v>
      </c>
      <c r="B5644" s="6" t="s">
        <v>163</v>
      </c>
      <c r="C5644" s="6" t="s">
        <v>398</v>
      </c>
      <c r="D5644" s="6" t="s">
        <v>164</v>
      </c>
      <c r="E5644" s="11">
        <v>5.8146438598632813</v>
      </c>
      <c r="F5644" s="11">
        <v>6.5629687309265137</v>
      </c>
    </row>
    <row r="5645" spans="1:6" hidden="1" x14ac:dyDescent="0.3">
      <c r="A5645" s="6">
        <v>41</v>
      </c>
      <c r="B5645" s="6" t="s">
        <v>163</v>
      </c>
      <c r="C5645" s="6" t="s">
        <v>399</v>
      </c>
      <c r="D5645" s="6" t="s">
        <v>164</v>
      </c>
      <c r="E5645" s="11">
        <v>7.9877557754516602</v>
      </c>
      <c r="F5645" s="11">
        <v>6.5629687309265137</v>
      </c>
    </row>
    <row r="5646" spans="1:6" hidden="1" x14ac:dyDescent="0.3">
      <c r="A5646" s="6">
        <v>41</v>
      </c>
      <c r="B5646" s="6" t="s">
        <v>163</v>
      </c>
      <c r="C5646" s="6" t="s">
        <v>400</v>
      </c>
      <c r="D5646" s="6" t="s">
        <v>164</v>
      </c>
      <c r="E5646" s="11">
        <v>4.3292684555053711</v>
      </c>
      <c r="F5646" s="11">
        <v>6.5629687309265137</v>
      </c>
    </row>
    <row r="5647" spans="1:6" hidden="1" x14ac:dyDescent="0.3">
      <c r="A5647" s="6">
        <v>41</v>
      </c>
      <c r="B5647" s="6" t="s">
        <v>163</v>
      </c>
      <c r="C5647" s="6" t="s">
        <v>401</v>
      </c>
      <c r="D5647" s="6" t="s">
        <v>164</v>
      </c>
      <c r="E5647" s="11">
        <v>12.500494956970215</v>
      </c>
      <c r="F5647" s="11">
        <v>6.5629687309265137</v>
      </c>
    </row>
    <row r="5648" spans="1:6" hidden="1" x14ac:dyDescent="0.3">
      <c r="A5648" s="6">
        <v>41</v>
      </c>
      <c r="B5648" s="6" t="s">
        <v>163</v>
      </c>
      <c r="C5648" s="6" t="s">
        <v>402</v>
      </c>
      <c r="D5648" s="6" t="s">
        <v>164</v>
      </c>
      <c r="E5648" s="11">
        <v>6.597475528717041</v>
      </c>
      <c r="F5648" s="11">
        <v>6.5629687309265137</v>
      </c>
    </row>
    <row r="5649" spans="1:6" hidden="1" x14ac:dyDescent="0.3">
      <c r="A5649" s="6">
        <v>41</v>
      </c>
      <c r="B5649" s="6" t="s">
        <v>163</v>
      </c>
      <c r="C5649" s="6" t="s">
        <v>403</v>
      </c>
      <c r="D5649" s="6" t="s">
        <v>164</v>
      </c>
      <c r="E5649" s="11">
        <v>8.155726432800293</v>
      </c>
      <c r="F5649" s="11">
        <v>6.5629687309265137</v>
      </c>
    </row>
    <row r="5650" spans="1:6" hidden="1" x14ac:dyDescent="0.3">
      <c r="A5650" s="6">
        <v>41</v>
      </c>
      <c r="B5650" s="6" t="s">
        <v>163</v>
      </c>
      <c r="C5650" s="6" t="s">
        <v>404</v>
      </c>
      <c r="D5650" s="6" t="s">
        <v>164</v>
      </c>
      <c r="E5650" s="11">
        <v>5.4341602325439453</v>
      </c>
      <c r="F5650" s="11">
        <v>6.5629687309265137</v>
      </c>
    </row>
    <row r="5651" spans="1:6" hidden="1" x14ac:dyDescent="0.3">
      <c r="A5651" s="6">
        <v>41</v>
      </c>
      <c r="B5651" s="6" t="s">
        <v>163</v>
      </c>
      <c r="C5651" s="6" t="s">
        <v>405</v>
      </c>
      <c r="D5651" s="6" t="s">
        <v>164</v>
      </c>
      <c r="E5651" s="11">
        <v>8.5303487777709961</v>
      </c>
      <c r="F5651" s="11">
        <v>6.5629687309265137</v>
      </c>
    </row>
    <row r="5652" spans="1:6" hidden="1" x14ac:dyDescent="0.3">
      <c r="A5652" s="6">
        <v>41</v>
      </c>
      <c r="B5652" s="6" t="s">
        <v>163</v>
      </c>
      <c r="C5652" s="6" t="s">
        <v>406</v>
      </c>
      <c r="D5652" s="6" t="s">
        <v>164</v>
      </c>
      <c r="E5652" s="11">
        <v>5.1302037239074707</v>
      </c>
      <c r="F5652" s="11">
        <v>6.5629687309265137</v>
      </c>
    </row>
    <row r="5653" spans="1:6" hidden="1" x14ac:dyDescent="0.3">
      <c r="A5653" s="6">
        <v>41</v>
      </c>
      <c r="B5653" s="6" t="s">
        <v>163</v>
      </c>
      <c r="C5653" s="6" t="s">
        <v>407</v>
      </c>
      <c r="D5653" s="6" t="s">
        <v>164</v>
      </c>
      <c r="E5653" s="11">
        <v>5.4276947975158691</v>
      </c>
      <c r="F5653" s="11">
        <v>6.5629687309265137</v>
      </c>
    </row>
    <row r="5654" spans="1:6" hidden="1" x14ac:dyDescent="0.3">
      <c r="A5654" s="6">
        <v>41</v>
      </c>
      <c r="B5654" s="6" t="s">
        <v>163</v>
      </c>
      <c r="C5654" s="6" t="s">
        <v>408</v>
      </c>
      <c r="D5654" s="6" t="s">
        <v>164</v>
      </c>
      <c r="E5654" s="11">
        <v>7.244908332824707</v>
      </c>
      <c r="F5654" s="11">
        <v>6.5629687309265137</v>
      </c>
    </row>
    <row r="5655" spans="1:6" hidden="1" x14ac:dyDescent="0.3">
      <c r="A5655" s="6">
        <v>41</v>
      </c>
      <c r="B5655" s="6" t="s">
        <v>163</v>
      </c>
      <c r="C5655" s="6" t="s">
        <v>409</v>
      </c>
      <c r="D5655" s="6" t="s">
        <v>164</v>
      </c>
      <c r="E5655" s="11">
        <v>7.1564416885375977</v>
      </c>
      <c r="F5655" s="11">
        <v>6.5629687309265137</v>
      </c>
    </row>
    <row r="5656" spans="1:6" hidden="1" x14ac:dyDescent="0.3">
      <c r="A5656" s="6">
        <v>41</v>
      </c>
      <c r="B5656" s="6" t="s">
        <v>163</v>
      </c>
      <c r="C5656" s="6" t="s">
        <v>410</v>
      </c>
      <c r="D5656" s="6" t="s">
        <v>164</v>
      </c>
      <c r="E5656" s="11">
        <v>6.0172805786132813</v>
      </c>
      <c r="F5656" s="11">
        <v>6.5629687309265137</v>
      </c>
    </row>
    <row r="5657" spans="1:6" hidden="1" x14ac:dyDescent="0.3">
      <c r="A5657" s="6">
        <v>41</v>
      </c>
      <c r="B5657" s="6" t="s">
        <v>163</v>
      </c>
      <c r="C5657" s="6" t="s">
        <v>411</v>
      </c>
      <c r="D5657" s="6" t="s">
        <v>164</v>
      </c>
      <c r="E5657" s="11">
        <v>5.9599423408508301</v>
      </c>
      <c r="F5657" s="11">
        <v>6.5629687309265137</v>
      </c>
    </row>
    <row r="5658" spans="1:6" hidden="1" x14ac:dyDescent="0.3">
      <c r="A5658" s="6">
        <v>41</v>
      </c>
      <c r="B5658" s="6" t="s">
        <v>163</v>
      </c>
      <c r="C5658" s="6" t="s">
        <v>412</v>
      </c>
      <c r="D5658" s="6" t="s">
        <v>164</v>
      </c>
      <c r="E5658" s="11">
        <v>6.8111424446105957</v>
      </c>
      <c r="F5658" s="11">
        <v>6.5629687309265137</v>
      </c>
    </row>
    <row r="5659" spans="1:6" hidden="1" x14ac:dyDescent="0.3">
      <c r="A5659" s="6">
        <v>41</v>
      </c>
      <c r="B5659" s="6" t="s">
        <v>163</v>
      </c>
      <c r="C5659" s="6" t="s">
        <v>413</v>
      </c>
      <c r="D5659" s="6" t="s">
        <v>164</v>
      </c>
      <c r="E5659" s="11">
        <v>9.1226511001586914</v>
      </c>
      <c r="F5659" s="11">
        <v>6.5629687309265137</v>
      </c>
    </row>
    <row r="5660" spans="1:6" hidden="1" x14ac:dyDescent="0.3">
      <c r="A5660" s="6">
        <v>41</v>
      </c>
      <c r="B5660" s="6" t="s">
        <v>163</v>
      </c>
      <c r="C5660" s="6" t="s">
        <v>414</v>
      </c>
      <c r="D5660" s="6" t="s">
        <v>164</v>
      </c>
      <c r="E5660" s="11">
        <v>7.7447509765625</v>
      </c>
      <c r="F5660" s="11">
        <v>6.5629687309265137</v>
      </c>
    </row>
    <row r="5661" spans="1:6" hidden="1" x14ac:dyDescent="0.3">
      <c r="A5661" s="6">
        <v>41</v>
      </c>
      <c r="B5661" s="6" t="s">
        <v>163</v>
      </c>
      <c r="C5661" s="6" t="s">
        <v>415</v>
      </c>
      <c r="D5661" s="6" t="s">
        <v>164</v>
      </c>
      <c r="E5661" s="11">
        <v>7.1946306228637695</v>
      </c>
      <c r="F5661" s="11">
        <v>6.5629687309265137</v>
      </c>
    </row>
    <row r="5662" spans="1:6" hidden="1" x14ac:dyDescent="0.3">
      <c r="A5662" s="6">
        <v>41</v>
      </c>
      <c r="B5662" s="6" t="s">
        <v>163</v>
      </c>
      <c r="C5662" s="6" t="s">
        <v>416</v>
      </c>
      <c r="D5662" s="6" t="s">
        <v>164</v>
      </c>
      <c r="E5662" s="11">
        <v>18.37031364440918</v>
      </c>
      <c r="F5662" s="11">
        <v>6.5629687309265137</v>
      </c>
    </row>
    <row r="5663" spans="1:6" hidden="1" x14ac:dyDescent="0.3">
      <c r="A5663" s="6">
        <v>41</v>
      </c>
      <c r="B5663" s="6" t="s">
        <v>163</v>
      </c>
      <c r="C5663" s="6" t="s">
        <v>417</v>
      </c>
      <c r="D5663" s="6" t="s">
        <v>164</v>
      </c>
      <c r="E5663" s="11">
        <v>6.5762357711791992</v>
      </c>
      <c r="F5663" s="11">
        <v>6.5629687309265137</v>
      </c>
    </row>
    <row r="5664" spans="1:6" hidden="1" x14ac:dyDescent="0.3">
      <c r="A5664" s="6">
        <v>41</v>
      </c>
      <c r="B5664" s="6" t="s">
        <v>163</v>
      </c>
      <c r="C5664" s="6" t="s">
        <v>418</v>
      </c>
      <c r="D5664" s="6" t="s">
        <v>164</v>
      </c>
      <c r="E5664" s="11">
        <v>3.7080972194671631</v>
      </c>
      <c r="F5664" s="11">
        <v>6.5629687309265137</v>
      </c>
    </row>
    <row r="5665" spans="1:6" hidden="1" x14ac:dyDescent="0.3">
      <c r="A5665" s="6">
        <v>41</v>
      </c>
      <c r="B5665" s="6" t="s">
        <v>163</v>
      </c>
      <c r="C5665" s="6" t="s">
        <v>419</v>
      </c>
      <c r="D5665" s="6" t="s">
        <v>164</v>
      </c>
      <c r="E5665" s="11">
        <v>7.847318172454834</v>
      </c>
      <c r="F5665" s="11">
        <v>6.5629687309265137</v>
      </c>
    </row>
    <row r="5666" spans="1:6" hidden="1" x14ac:dyDescent="0.3">
      <c r="A5666" s="6">
        <v>41</v>
      </c>
      <c r="B5666" s="6" t="s">
        <v>163</v>
      </c>
      <c r="C5666" s="6" t="s">
        <v>420</v>
      </c>
      <c r="D5666" s="6" t="s">
        <v>164</v>
      </c>
      <c r="E5666" s="11">
        <v>7.3371477127075195</v>
      </c>
      <c r="F5666" s="11">
        <v>6.5629687309265137</v>
      </c>
    </row>
    <row r="5667" spans="1:6" hidden="1" x14ac:dyDescent="0.3">
      <c r="A5667" s="6">
        <v>41</v>
      </c>
      <c r="B5667" s="6" t="s">
        <v>163</v>
      </c>
      <c r="C5667" s="6" t="s">
        <v>421</v>
      </c>
      <c r="D5667" s="6" t="s">
        <v>164</v>
      </c>
      <c r="E5667" s="11">
        <v>5.3828902244567871</v>
      </c>
      <c r="F5667" s="11">
        <v>6.5629687309265137</v>
      </c>
    </row>
    <row r="5668" spans="1:6" hidden="1" x14ac:dyDescent="0.3">
      <c r="A5668" s="6">
        <v>41</v>
      </c>
      <c r="B5668" s="6" t="s">
        <v>163</v>
      </c>
      <c r="C5668" s="6" t="s">
        <v>422</v>
      </c>
      <c r="D5668" s="6" t="s">
        <v>164</v>
      </c>
      <c r="E5668" s="11">
        <v>6.5508022308349609</v>
      </c>
      <c r="F5668" s="11">
        <v>6.5629687309265137</v>
      </c>
    </row>
    <row r="5669" spans="1:6" hidden="1" x14ac:dyDescent="0.3">
      <c r="A5669" s="6">
        <v>41</v>
      </c>
      <c r="B5669" s="6" t="s">
        <v>163</v>
      </c>
      <c r="C5669" s="6" t="s">
        <v>423</v>
      </c>
      <c r="D5669" s="6" t="s">
        <v>164</v>
      </c>
      <c r="E5669" s="11">
        <v>7.869328498840332</v>
      </c>
      <c r="F5669" s="11">
        <v>6.5629687309265137</v>
      </c>
    </row>
    <row r="5670" spans="1:6" hidden="1" x14ac:dyDescent="0.3">
      <c r="A5670" s="6">
        <v>41</v>
      </c>
      <c r="B5670" s="6" t="s">
        <v>163</v>
      </c>
      <c r="C5670" s="6" t="s">
        <v>424</v>
      </c>
      <c r="D5670" s="6" t="s">
        <v>164</v>
      </c>
      <c r="E5670" s="11">
        <v>7.4401140213012695</v>
      </c>
      <c r="F5670" s="11">
        <v>6.5629687309265137</v>
      </c>
    </row>
    <row r="5671" spans="1:6" hidden="1" x14ac:dyDescent="0.3">
      <c r="A5671" s="6">
        <v>41</v>
      </c>
      <c r="B5671" s="6" t="s">
        <v>163</v>
      </c>
      <c r="C5671" s="6" t="s">
        <v>425</v>
      </c>
      <c r="D5671" s="6" t="s">
        <v>164</v>
      </c>
      <c r="E5671" s="11">
        <v>54.039173126220703</v>
      </c>
      <c r="F5671" s="11">
        <v>6.5629687309265137</v>
      </c>
    </row>
    <row r="5672" spans="1:6" hidden="1" x14ac:dyDescent="0.3">
      <c r="A5672" s="6">
        <v>41</v>
      </c>
      <c r="B5672" s="6" t="s">
        <v>163</v>
      </c>
      <c r="C5672" s="6" t="s">
        <v>426</v>
      </c>
      <c r="D5672" s="6" t="s">
        <v>164</v>
      </c>
      <c r="E5672" s="11">
        <v>5.668550968170166</v>
      </c>
      <c r="F5672" s="11">
        <v>6.5629687309265137</v>
      </c>
    </row>
    <row r="5673" spans="1:6" hidden="1" x14ac:dyDescent="0.3">
      <c r="A5673" s="6">
        <v>41</v>
      </c>
      <c r="B5673" s="6" t="s">
        <v>163</v>
      </c>
      <c r="C5673" s="6" t="s">
        <v>427</v>
      </c>
      <c r="D5673" s="6" t="s">
        <v>164</v>
      </c>
      <c r="E5673" s="11">
        <v>4.8636045455932617</v>
      </c>
      <c r="F5673" s="11">
        <v>6.5629687309265137</v>
      </c>
    </row>
    <row r="5674" spans="1:6" hidden="1" x14ac:dyDescent="0.3">
      <c r="A5674" s="6">
        <v>41</v>
      </c>
      <c r="B5674" s="6" t="s">
        <v>163</v>
      </c>
      <c r="C5674" s="6" t="s">
        <v>428</v>
      </c>
      <c r="D5674" s="6" t="s">
        <v>164</v>
      </c>
      <c r="E5674" s="11"/>
      <c r="F5674" s="11">
        <v>6.5629687309265137</v>
      </c>
    </row>
    <row r="5675" spans="1:6" hidden="1" x14ac:dyDescent="0.3">
      <c r="A5675" s="6">
        <v>41</v>
      </c>
      <c r="B5675" s="6" t="s">
        <v>163</v>
      </c>
      <c r="C5675" s="6" t="s">
        <v>429</v>
      </c>
      <c r="D5675" s="6" t="s">
        <v>164</v>
      </c>
      <c r="E5675" s="11">
        <v>10.66834831237793</v>
      </c>
      <c r="F5675" s="11">
        <v>6.5629687309265137</v>
      </c>
    </row>
    <row r="5676" spans="1:6" hidden="1" x14ac:dyDescent="0.3">
      <c r="A5676" s="6">
        <v>41</v>
      </c>
      <c r="B5676" s="6" t="s">
        <v>163</v>
      </c>
      <c r="C5676" s="6" t="s">
        <v>430</v>
      </c>
      <c r="D5676" s="6" t="s">
        <v>164</v>
      </c>
      <c r="E5676" s="11">
        <v>3.1191346645355225</v>
      </c>
      <c r="F5676" s="11">
        <v>6.5629687309265137</v>
      </c>
    </row>
    <row r="5677" spans="1:6" hidden="1" x14ac:dyDescent="0.3">
      <c r="A5677" s="6">
        <v>41</v>
      </c>
      <c r="B5677" s="6" t="s">
        <v>163</v>
      </c>
      <c r="C5677" s="6" t="s">
        <v>431</v>
      </c>
      <c r="D5677" s="6" t="s">
        <v>164</v>
      </c>
      <c r="E5677" s="11">
        <v>7.9387316703796387</v>
      </c>
      <c r="F5677" s="11">
        <v>6.5629687309265137</v>
      </c>
    </row>
    <row r="5678" spans="1:6" hidden="1" x14ac:dyDescent="0.3">
      <c r="A5678" s="6">
        <v>41</v>
      </c>
      <c r="B5678" s="6" t="s">
        <v>163</v>
      </c>
      <c r="C5678" s="6" t="s">
        <v>432</v>
      </c>
      <c r="D5678" s="6" t="s">
        <v>164</v>
      </c>
      <c r="E5678" s="11">
        <v>6.5522861480712891</v>
      </c>
      <c r="F5678" s="11">
        <v>6.5629687309265137</v>
      </c>
    </row>
    <row r="5679" spans="1:6" hidden="1" x14ac:dyDescent="0.3">
      <c r="A5679" s="6">
        <v>41</v>
      </c>
      <c r="B5679" s="6" t="s">
        <v>163</v>
      </c>
      <c r="C5679" s="6" t="s">
        <v>433</v>
      </c>
      <c r="D5679" s="6" t="s">
        <v>164</v>
      </c>
      <c r="E5679" s="11">
        <v>8.0536613464355469</v>
      </c>
      <c r="F5679" s="11">
        <v>6.5629687309265137</v>
      </c>
    </row>
    <row r="5680" spans="1:6" hidden="1" x14ac:dyDescent="0.3">
      <c r="A5680" s="6">
        <v>41</v>
      </c>
      <c r="B5680" s="6" t="s">
        <v>163</v>
      </c>
      <c r="C5680" s="6" t="s">
        <v>434</v>
      </c>
      <c r="D5680" s="6" t="s">
        <v>164</v>
      </c>
      <c r="E5680" s="11">
        <v>3.0320234298706055</v>
      </c>
      <c r="F5680" s="11">
        <v>6.5629687309265137</v>
      </c>
    </row>
    <row r="5681" spans="1:6" hidden="1" x14ac:dyDescent="0.3">
      <c r="A5681" s="6">
        <v>41</v>
      </c>
      <c r="B5681" s="6" t="s">
        <v>163</v>
      </c>
      <c r="C5681" s="6" t="s">
        <v>435</v>
      </c>
      <c r="D5681" s="6" t="s">
        <v>164</v>
      </c>
      <c r="E5681" s="11">
        <v>38.449413299560547</v>
      </c>
      <c r="F5681" s="11">
        <v>6.5629687309265137</v>
      </c>
    </row>
    <row r="5682" spans="1:6" hidden="1" x14ac:dyDescent="0.3">
      <c r="A5682" s="6">
        <v>41</v>
      </c>
      <c r="B5682" s="6" t="s">
        <v>163</v>
      </c>
      <c r="C5682" s="6" t="s">
        <v>436</v>
      </c>
      <c r="D5682" s="6" t="s">
        <v>164</v>
      </c>
      <c r="E5682" s="11">
        <v>7.3099284172058105</v>
      </c>
      <c r="F5682" s="11">
        <v>6.5629687309265137</v>
      </c>
    </row>
    <row r="5683" spans="1:6" hidden="1" x14ac:dyDescent="0.3">
      <c r="A5683" s="6">
        <v>41</v>
      </c>
      <c r="B5683" s="6" t="s">
        <v>163</v>
      </c>
      <c r="C5683" s="6" t="s">
        <v>437</v>
      </c>
      <c r="D5683" s="6" t="s">
        <v>164</v>
      </c>
      <c r="E5683" s="11">
        <v>5.3905363082885742</v>
      </c>
      <c r="F5683" s="11">
        <v>6.5629687309265137</v>
      </c>
    </row>
    <row r="5684" spans="1:6" hidden="1" x14ac:dyDescent="0.3">
      <c r="A5684" s="6">
        <v>41</v>
      </c>
      <c r="B5684" s="6" t="s">
        <v>163</v>
      </c>
      <c r="C5684" s="6" t="s">
        <v>438</v>
      </c>
      <c r="D5684" s="6" t="s">
        <v>164</v>
      </c>
      <c r="E5684" s="11">
        <v>80.409332275390625</v>
      </c>
      <c r="F5684" s="11">
        <v>6.5629687309265137</v>
      </c>
    </row>
    <row r="5685" spans="1:6" hidden="1" x14ac:dyDescent="0.3">
      <c r="A5685" s="6">
        <v>41</v>
      </c>
      <c r="B5685" s="6" t="s">
        <v>163</v>
      </c>
      <c r="C5685" s="6" t="s">
        <v>439</v>
      </c>
      <c r="D5685" s="6" t="s">
        <v>164</v>
      </c>
      <c r="E5685" s="11">
        <v>5.0829854011535645</v>
      </c>
      <c r="F5685" s="11">
        <v>6.5629687309265137</v>
      </c>
    </row>
    <row r="5686" spans="1:6" hidden="1" x14ac:dyDescent="0.3">
      <c r="A5686" s="6">
        <v>41</v>
      </c>
      <c r="B5686" s="6" t="s">
        <v>163</v>
      </c>
      <c r="C5686" s="6" t="s">
        <v>440</v>
      </c>
      <c r="D5686" s="6" t="s">
        <v>164</v>
      </c>
      <c r="E5686" s="11">
        <v>6.3138461112976074</v>
      </c>
      <c r="F5686" s="11">
        <v>6.5629687309265137</v>
      </c>
    </row>
    <row r="5687" spans="1:6" hidden="1" x14ac:dyDescent="0.3">
      <c r="A5687" s="6">
        <v>41</v>
      </c>
      <c r="B5687" s="6" t="s">
        <v>163</v>
      </c>
      <c r="C5687" s="6" t="s">
        <v>441</v>
      </c>
      <c r="D5687" s="6" t="s">
        <v>164</v>
      </c>
      <c r="E5687" s="11">
        <v>5.7468881607055664</v>
      </c>
      <c r="F5687" s="11">
        <v>6.5629687309265137</v>
      </c>
    </row>
    <row r="5688" spans="1:6" hidden="1" x14ac:dyDescent="0.3">
      <c r="A5688" s="6">
        <v>41</v>
      </c>
      <c r="B5688" s="6" t="s">
        <v>163</v>
      </c>
      <c r="C5688" s="6" t="s">
        <v>442</v>
      </c>
      <c r="D5688" s="6" t="s">
        <v>164</v>
      </c>
      <c r="E5688" s="11">
        <v>8.5733623504638672</v>
      </c>
      <c r="F5688" s="11">
        <v>6.5629687309265137</v>
      </c>
    </row>
    <row r="5689" spans="1:6" hidden="1" x14ac:dyDescent="0.3">
      <c r="A5689" s="6">
        <v>41</v>
      </c>
      <c r="B5689" s="6" t="s">
        <v>163</v>
      </c>
      <c r="C5689" s="6" t="s">
        <v>443</v>
      </c>
      <c r="D5689" s="6" t="s">
        <v>164</v>
      </c>
      <c r="E5689" s="11">
        <v>3.7510643005371094</v>
      </c>
      <c r="F5689" s="11">
        <v>6.5629687309265137</v>
      </c>
    </row>
    <row r="5690" spans="1:6" hidden="1" x14ac:dyDescent="0.3">
      <c r="A5690" s="6">
        <v>41</v>
      </c>
      <c r="B5690" s="6" t="s">
        <v>163</v>
      </c>
      <c r="C5690" s="6" t="s">
        <v>444</v>
      </c>
      <c r="D5690" s="6" t="s">
        <v>164</v>
      </c>
      <c r="E5690" s="11">
        <v>4.5043692588806152</v>
      </c>
      <c r="F5690" s="11">
        <v>6.5629687309265137</v>
      </c>
    </row>
    <row r="5691" spans="1:6" hidden="1" x14ac:dyDescent="0.3">
      <c r="A5691" s="6">
        <v>41</v>
      </c>
      <c r="B5691" s="6" t="s">
        <v>163</v>
      </c>
      <c r="C5691" s="6" t="s">
        <v>445</v>
      </c>
      <c r="D5691" s="6" t="s">
        <v>164</v>
      </c>
      <c r="E5691" s="11">
        <v>6.35870361328125</v>
      </c>
      <c r="F5691" s="11">
        <v>6.5629687309265137</v>
      </c>
    </row>
    <row r="5692" spans="1:6" hidden="1" x14ac:dyDescent="0.3">
      <c r="A5692" s="6">
        <v>41</v>
      </c>
      <c r="B5692" s="6" t="s">
        <v>163</v>
      </c>
      <c r="C5692" s="6" t="s">
        <v>446</v>
      </c>
      <c r="D5692" s="6" t="s">
        <v>164</v>
      </c>
      <c r="E5692" s="11">
        <v>3.3929681777954102</v>
      </c>
      <c r="F5692" s="11">
        <v>6.5629687309265137</v>
      </c>
    </row>
    <row r="5693" spans="1:6" hidden="1" x14ac:dyDescent="0.3">
      <c r="A5693" s="6">
        <v>41</v>
      </c>
      <c r="B5693" s="6" t="s">
        <v>163</v>
      </c>
      <c r="C5693" s="6" t="s">
        <v>447</v>
      </c>
      <c r="D5693" s="6" t="s">
        <v>164</v>
      </c>
      <c r="E5693" s="11">
        <v>6.89276123046875</v>
      </c>
      <c r="F5693" s="11">
        <v>6.5629687309265137</v>
      </c>
    </row>
    <row r="5694" spans="1:6" hidden="1" x14ac:dyDescent="0.3">
      <c r="A5694" s="6">
        <v>41</v>
      </c>
      <c r="B5694" s="6" t="s">
        <v>163</v>
      </c>
      <c r="C5694" s="6" t="s">
        <v>448</v>
      </c>
      <c r="D5694" s="6" t="s">
        <v>164</v>
      </c>
      <c r="E5694" s="11">
        <v>7.4032192230224609</v>
      </c>
      <c r="F5694" s="11">
        <v>6.5629687309265137</v>
      </c>
    </row>
    <row r="5695" spans="1:6" hidden="1" x14ac:dyDescent="0.3">
      <c r="A5695" s="6">
        <v>41</v>
      </c>
      <c r="B5695" s="6" t="s">
        <v>163</v>
      </c>
      <c r="C5695" s="6" t="s">
        <v>449</v>
      </c>
      <c r="D5695" s="6" t="s">
        <v>164</v>
      </c>
      <c r="E5695" s="11">
        <v>3.3139328956604004</v>
      </c>
      <c r="F5695" s="11">
        <v>6.5629687309265137</v>
      </c>
    </row>
    <row r="5696" spans="1:6" hidden="1" x14ac:dyDescent="0.3">
      <c r="A5696" s="6">
        <v>41</v>
      </c>
      <c r="B5696" s="6" t="s">
        <v>163</v>
      </c>
      <c r="C5696" s="6" t="s">
        <v>450</v>
      </c>
      <c r="D5696" s="6" t="s">
        <v>164</v>
      </c>
      <c r="E5696" s="11">
        <v>6.6308145523071289</v>
      </c>
      <c r="F5696" s="11">
        <v>6.5629687309265137</v>
      </c>
    </row>
    <row r="5697" spans="1:6" hidden="1" x14ac:dyDescent="0.3">
      <c r="A5697" s="6">
        <v>41</v>
      </c>
      <c r="B5697" s="6" t="s">
        <v>163</v>
      </c>
      <c r="C5697" s="6" t="s">
        <v>451</v>
      </c>
      <c r="D5697" s="6" t="s">
        <v>164</v>
      </c>
      <c r="E5697" s="11">
        <v>6.5239472389221191</v>
      </c>
      <c r="F5697" s="11">
        <v>6.5629687309265137</v>
      </c>
    </row>
    <row r="5698" spans="1:6" hidden="1" x14ac:dyDescent="0.3">
      <c r="A5698" s="6">
        <v>41</v>
      </c>
      <c r="B5698" s="6" t="s">
        <v>163</v>
      </c>
      <c r="C5698" s="6" t="s">
        <v>452</v>
      </c>
      <c r="D5698" s="6" t="s">
        <v>164</v>
      </c>
      <c r="E5698" s="11">
        <v>6.2449579238891602</v>
      </c>
      <c r="F5698" s="11">
        <v>6.5629687309265137</v>
      </c>
    </row>
    <row r="5699" spans="1:6" hidden="1" x14ac:dyDescent="0.3">
      <c r="A5699" s="6">
        <v>41</v>
      </c>
      <c r="B5699" s="6" t="s">
        <v>163</v>
      </c>
      <c r="C5699" s="6" t="s">
        <v>453</v>
      </c>
      <c r="D5699" s="6" t="s">
        <v>164</v>
      </c>
      <c r="E5699" s="11">
        <v>3.6110174655914307</v>
      </c>
      <c r="F5699" s="11">
        <v>6.5629687309265137</v>
      </c>
    </row>
    <row r="5700" spans="1:6" hidden="1" x14ac:dyDescent="0.3">
      <c r="A5700" s="6">
        <v>41</v>
      </c>
      <c r="B5700" s="6" t="s">
        <v>163</v>
      </c>
      <c r="C5700" s="6" t="s">
        <v>454</v>
      </c>
      <c r="D5700" s="6" t="s">
        <v>164</v>
      </c>
      <c r="E5700" s="11">
        <v>7.1541051864624023</v>
      </c>
      <c r="F5700" s="11">
        <v>6.5629687309265137</v>
      </c>
    </row>
    <row r="5701" spans="1:6" hidden="1" x14ac:dyDescent="0.3">
      <c r="A5701" s="6">
        <v>41</v>
      </c>
      <c r="B5701" s="6" t="s">
        <v>163</v>
      </c>
      <c r="C5701" s="6" t="s">
        <v>455</v>
      </c>
      <c r="D5701" s="6" t="s">
        <v>164</v>
      </c>
      <c r="E5701" s="11">
        <v>5.4826278686523438</v>
      </c>
      <c r="F5701" s="11">
        <v>6.5629687309265137</v>
      </c>
    </row>
    <row r="5702" spans="1:6" hidden="1" x14ac:dyDescent="0.3">
      <c r="A5702" s="6">
        <v>41</v>
      </c>
      <c r="B5702" s="6" t="s">
        <v>163</v>
      </c>
      <c r="C5702" s="6" t="s">
        <v>456</v>
      </c>
      <c r="D5702" s="6" t="s">
        <v>164</v>
      </c>
      <c r="E5702" s="11">
        <v>6.2793879508972168</v>
      </c>
      <c r="F5702" s="11">
        <v>6.5629687309265137</v>
      </c>
    </row>
    <row r="5703" spans="1:6" hidden="1" x14ac:dyDescent="0.3">
      <c r="A5703" s="6">
        <v>41</v>
      </c>
      <c r="B5703" s="6" t="s">
        <v>163</v>
      </c>
      <c r="C5703" s="6" t="s">
        <v>457</v>
      </c>
      <c r="D5703" s="6" t="s">
        <v>164</v>
      </c>
      <c r="E5703" s="11">
        <v>8.1377477645874023</v>
      </c>
      <c r="F5703" s="11">
        <v>6.5629687309265137</v>
      </c>
    </row>
    <row r="5704" spans="1:6" hidden="1" x14ac:dyDescent="0.3">
      <c r="A5704" s="6">
        <v>41</v>
      </c>
      <c r="B5704" s="6" t="s">
        <v>163</v>
      </c>
      <c r="C5704" s="6" t="s">
        <v>458</v>
      </c>
      <c r="D5704" s="6" t="s">
        <v>164</v>
      </c>
      <c r="E5704" s="11">
        <v>6.9426312446594238</v>
      </c>
      <c r="F5704" s="11">
        <v>6.5629687309265137</v>
      </c>
    </row>
    <row r="5705" spans="1:6" hidden="1" x14ac:dyDescent="0.3">
      <c r="A5705" s="6">
        <v>41</v>
      </c>
      <c r="B5705" s="6" t="s">
        <v>163</v>
      </c>
      <c r="C5705" s="6" t="s">
        <v>459</v>
      </c>
      <c r="D5705" s="6" t="s">
        <v>164</v>
      </c>
      <c r="E5705" s="11">
        <v>9.2236557006835938</v>
      </c>
      <c r="F5705" s="11">
        <v>6.5629687309265137</v>
      </c>
    </row>
    <row r="5706" spans="1:6" hidden="1" x14ac:dyDescent="0.3">
      <c r="A5706" s="6">
        <v>41</v>
      </c>
      <c r="B5706" s="6" t="s">
        <v>163</v>
      </c>
      <c r="C5706" s="6" t="s">
        <v>460</v>
      </c>
      <c r="D5706" s="6" t="s">
        <v>164</v>
      </c>
      <c r="E5706" s="11">
        <v>9.6717462539672852</v>
      </c>
      <c r="F5706" s="11">
        <v>6.5629687309265137</v>
      </c>
    </row>
    <row r="5707" spans="1:6" hidden="1" x14ac:dyDescent="0.3">
      <c r="A5707" s="6">
        <v>41</v>
      </c>
      <c r="B5707" s="6" t="s">
        <v>163</v>
      </c>
      <c r="C5707" s="6" t="s">
        <v>461</v>
      </c>
      <c r="D5707" s="6" t="s">
        <v>164</v>
      </c>
      <c r="E5707" s="11">
        <v>6.9059624671936035</v>
      </c>
      <c r="F5707" s="11">
        <v>6.5629687309265137</v>
      </c>
    </row>
    <row r="5708" spans="1:6" hidden="1" x14ac:dyDescent="0.3">
      <c r="A5708" s="6">
        <v>41</v>
      </c>
      <c r="B5708" s="6" t="s">
        <v>163</v>
      </c>
      <c r="C5708" s="6" t="s">
        <v>462</v>
      </c>
      <c r="D5708" s="6" t="s">
        <v>164</v>
      </c>
      <c r="E5708" s="11">
        <v>4.2715029716491699</v>
      </c>
      <c r="F5708" s="11">
        <v>6.5629687309265137</v>
      </c>
    </row>
    <row r="5709" spans="1:6" hidden="1" x14ac:dyDescent="0.3">
      <c r="A5709" s="6">
        <v>41</v>
      </c>
      <c r="B5709" s="6" t="s">
        <v>163</v>
      </c>
      <c r="C5709" s="6" t="s">
        <v>463</v>
      </c>
      <c r="D5709" s="6" t="s">
        <v>164</v>
      </c>
      <c r="E5709" s="11">
        <v>22.357028961181641</v>
      </c>
      <c r="F5709" s="11">
        <v>6.5629687309265137</v>
      </c>
    </row>
    <row r="5710" spans="1:6" hidden="1" x14ac:dyDescent="0.3">
      <c r="A5710" s="6">
        <v>41</v>
      </c>
      <c r="B5710" s="6" t="s">
        <v>163</v>
      </c>
      <c r="C5710" s="6" t="s">
        <v>464</v>
      </c>
      <c r="D5710" s="6" t="s">
        <v>164</v>
      </c>
      <c r="E5710" s="11">
        <v>5.107940673828125</v>
      </c>
      <c r="F5710" s="11">
        <v>6.5629687309265137</v>
      </c>
    </row>
    <row r="5711" spans="1:6" hidden="1" x14ac:dyDescent="0.3">
      <c r="A5711" s="6">
        <v>41</v>
      </c>
      <c r="B5711" s="6" t="s">
        <v>163</v>
      </c>
      <c r="C5711" s="6" t="s">
        <v>465</v>
      </c>
      <c r="D5711" s="6" t="s">
        <v>164</v>
      </c>
      <c r="E5711" s="11">
        <v>7.9537081718444824</v>
      </c>
      <c r="F5711" s="11">
        <v>6.5629687309265137</v>
      </c>
    </row>
    <row r="5712" spans="1:6" hidden="1" x14ac:dyDescent="0.3">
      <c r="A5712" s="6">
        <v>41</v>
      </c>
      <c r="B5712" s="6" t="s">
        <v>163</v>
      </c>
      <c r="C5712" s="6" t="s">
        <v>466</v>
      </c>
      <c r="D5712" s="6" t="s">
        <v>164</v>
      </c>
      <c r="E5712" s="11">
        <v>4.3933701515197754</v>
      </c>
      <c r="F5712" s="11">
        <v>6.5629687309265137</v>
      </c>
    </row>
    <row r="5713" spans="1:6" hidden="1" x14ac:dyDescent="0.3">
      <c r="A5713" s="6">
        <v>41</v>
      </c>
      <c r="B5713" s="6" t="s">
        <v>163</v>
      </c>
      <c r="C5713" s="6" t="s">
        <v>467</v>
      </c>
      <c r="D5713" s="6" t="s">
        <v>164</v>
      </c>
      <c r="E5713" s="11">
        <v>6.3230295181274414</v>
      </c>
      <c r="F5713" s="11">
        <v>6.5629687309265137</v>
      </c>
    </row>
    <row r="5714" spans="1:6" hidden="1" x14ac:dyDescent="0.3">
      <c r="A5714" s="6">
        <v>41</v>
      </c>
      <c r="B5714" s="6" t="s">
        <v>163</v>
      </c>
      <c r="C5714" s="6" t="s">
        <v>468</v>
      </c>
      <c r="D5714" s="6" t="s">
        <v>164</v>
      </c>
      <c r="E5714" s="11">
        <v>8.203801155090332</v>
      </c>
      <c r="F5714" s="11">
        <v>6.5629687309265137</v>
      </c>
    </row>
    <row r="5715" spans="1:6" hidden="1" x14ac:dyDescent="0.3">
      <c r="A5715" s="6">
        <v>41</v>
      </c>
      <c r="B5715" s="6" t="s">
        <v>163</v>
      </c>
      <c r="C5715" s="6" t="s">
        <v>469</v>
      </c>
      <c r="D5715" s="6" t="s">
        <v>164</v>
      </c>
      <c r="E5715" s="11">
        <v>4.6475729942321777</v>
      </c>
      <c r="F5715" s="11">
        <v>6.5629687309265137</v>
      </c>
    </row>
    <row r="5716" spans="1:6" hidden="1" x14ac:dyDescent="0.3">
      <c r="A5716" s="6">
        <v>41</v>
      </c>
      <c r="B5716" s="6" t="s">
        <v>163</v>
      </c>
      <c r="C5716" s="6" t="s">
        <v>470</v>
      </c>
      <c r="D5716" s="6" t="s">
        <v>164</v>
      </c>
      <c r="E5716" s="11">
        <v>5.4938945770263672</v>
      </c>
      <c r="F5716" s="11">
        <v>6.5629687309265137</v>
      </c>
    </row>
    <row r="5717" spans="1:6" hidden="1" x14ac:dyDescent="0.3">
      <c r="A5717" s="6">
        <v>41</v>
      </c>
      <c r="B5717" s="6" t="s">
        <v>163</v>
      </c>
      <c r="C5717" s="6" t="s">
        <v>471</v>
      </c>
      <c r="D5717" s="6" t="s">
        <v>164</v>
      </c>
      <c r="E5717" s="11">
        <v>4.7763657569885254</v>
      </c>
      <c r="F5717" s="11">
        <v>6.5629687309265137</v>
      </c>
    </row>
    <row r="5718" spans="1:6" hidden="1" x14ac:dyDescent="0.3">
      <c r="A5718" s="6">
        <v>41</v>
      </c>
      <c r="B5718" s="6" t="s">
        <v>163</v>
      </c>
      <c r="C5718" s="6" t="s">
        <v>472</v>
      </c>
      <c r="D5718" s="6" t="s">
        <v>164</v>
      </c>
      <c r="E5718" s="11">
        <v>7.9745645523071289</v>
      </c>
      <c r="F5718" s="11">
        <v>6.5629687309265137</v>
      </c>
    </row>
    <row r="5719" spans="1:6" hidden="1" x14ac:dyDescent="0.3">
      <c r="A5719" s="6">
        <v>41</v>
      </c>
      <c r="B5719" s="6" t="s">
        <v>163</v>
      </c>
      <c r="C5719" s="6" t="s">
        <v>473</v>
      </c>
      <c r="D5719" s="6" t="s">
        <v>164</v>
      </c>
      <c r="E5719" s="11">
        <v>8.6882514953613281</v>
      </c>
      <c r="F5719" s="11">
        <v>6.5629687309265137</v>
      </c>
    </row>
    <row r="5720" spans="1:6" hidden="1" x14ac:dyDescent="0.3">
      <c r="A5720" s="6">
        <v>41</v>
      </c>
      <c r="B5720" s="6" t="s">
        <v>163</v>
      </c>
      <c r="C5720" s="6" t="s">
        <v>474</v>
      </c>
      <c r="D5720" s="6" t="s">
        <v>164</v>
      </c>
      <c r="E5720" s="11">
        <v>9.6705894470214844</v>
      </c>
      <c r="F5720" s="11">
        <v>6.5629687309265137</v>
      </c>
    </row>
    <row r="5721" spans="1:6" hidden="1" x14ac:dyDescent="0.3">
      <c r="A5721" s="6">
        <v>41</v>
      </c>
      <c r="B5721" s="6" t="s">
        <v>163</v>
      </c>
      <c r="C5721" s="6" t="s">
        <v>475</v>
      </c>
      <c r="D5721" s="6" t="s">
        <v>164</v>
      </c>
      <c r="E5721" s="11">
        <v>3.9610128402709961</v>
      </c>
      <c r="F5721" s="11">
        <v>6.5629687309265137</v>
      </c>
    </row>
    <row r="5722" spans="1:6" hidden="1" x14ac:dyDescent="0.3">
      <c r="A5722" s="6">
        <v>41</v>
      </c>
      <c r="B5722" s="6" t="s">
        <v>163</v>
      </c>
      <c r="C5722" s="6" t="s">
        <v>476</v>
      </c>
      <c r="D5722" s="6" t="s">
        <v>164</v>
      </c>
      <c r="E5722" s="11">
        <v>3.6175010204315186</v>
      </c>
      <c r="F5722" s="11">
        <v>6.5629687309265137</v>
      </c>
    </row>
    <row r="5723" spans="1:6" hidden="1" x14ac:dyDescent="0.3">
      <c r="A5723" s="6">
        <v>41</v>
      </c>
      <c r="B5723" s="6" t="s">
        <v>163</v>
      </c>
      <c r="C5723" s="6" t="s">
        <v>477</v>
      </c>
      <c r="D5723" s="6" t="s">
        <v>164</v>
      </c>
      <c r="E5723" s="11">
        <v>6.9922084808349609</v>
      </c>
      <c r="F5723" s="11">
        <v>6.5629687309265137</v>
      </c>
    </row>
    <row r="5724" spans="1:6" hidden="1" x14ac:dyDescent="0.3">
      <c r="A5724" s="6">
        <v>41</v>
      </c>
      <c r="B5724" s="6" t="s">
        <v>163</v>
      </c>
      <c r="C5724" s="6" t="s">
        <v>478</v>
      </c>
      <c r="D5724" s="6" t="s">
        <v>164</v>
      </c>
      <c r="E5724" s="11">
        <v>5.2139482498168945</v>
      </c>
      <c r="F5724" s="11">
        <v>6.5629687309265137</v>
      </c>
    </row>
    <row r="5725" spans="1:6" hidden="1" x14ac:dyDescent="0.3">
      <c r="A5725" s="6">
        <v>41</v>
      </c>
      <c r="B5725" s="6" t="s">
        <v>163</v>
      </c>
      <c r="C5725" s="6" t="s">
        <v>479</v>
      </c>
      <c r="D5725" s="6" t="s">
        <v>164</v>
      </c>
      <c r="E5725" s="11">
        <v>10.527728080749512</v>
      </c>
      <c r="F5725" s="11">
        <v>6.5629687309265137</v>
      </c>
    </row>
    <row r="5726" spans="1:6" hidden="1" x14ac:dyDescent="0.3">
      <c r="A5726" s="6">
        <v>41</v>
      </c>
      <c r="B5726" s="6" t="s">
        <v>163</v>
      </c>
      <c r="C5726" s="6" t="s">
        <v>480</v>
      </c>
      <c r="D5726" s="6" t="s">
        <v>164</v>
      </c>
      <c r="E5726" s="11">
        <v>7.5757570266723633</v>
      </c>
      <c r="F5726" s="11">
        <v>6.5629687309265137</v>
      </c>
    </row>
    <row r="5727" spans="1:6" hidden="1" x14ac:dyDescent="0.3">
      <c r="A5727" s="6">
        <v>41</v>
      </c>
      <c r="B5727" s="6" t="s">
        <v>163</v>
      </c>
      <c r="C5727" s="6" t="s">
        <v>481</v>
      </c>
      <c r="D5727" s="6" t="s">
        <v>164</v>
      </c>
      <c r="E5727" s="11">
        <v>5.9762473106384277</v>
      </c>
      <c r="F5727" s="11">
        <v>6.5629687309265137</v>
      </c>
    </row>
    <row r="5728" spans="1:6" hidden="1" x14ac:dyDescent="0.3">
      <c r="A5728" s="6">
        <v>41</v>
      </c>
      <c r="B5728" s="6" t="s">
        <v>163</v>
      </c>
      <c r="C5728" s="6" t="s">
        <v>482</v>
      </c>
      <c r="D5728" s="6" t="s">
        <v>164</v>
      </c>
      <c r="E5728" s="11">
        <v>7.0811233520507813</v>
      </c>
      <c r="F5728" s="11">
        <v>6.5629687309265137</v>
      </c>
    </row>
    <row r="5729" spans="1:6" hidden="1" x14ac:dyDescent="0.3">
      <c r="A5729" s="6">
        <v>41</v>
      </c>
      <c r="B5729" s="6" t="s">
        <v>163</v>
      </c>
      <c r="C5729" s="6" t="s">
        <v>483</v>
      </c>
      <c r="D5729" s="6" t="s">
        <v>164</v>
      </c>
      <c r="E5729" s="11">
        <v>19.514255523681641</v>
      </c>
      <c r="F5729" s="11">
        <v>6.5629687309265137</v>
      </c>
    </row>
    <row r="5730" spans="1:6" hidden="1" x14ac:dyDescent="0.3">
      <c r="A5730" s="6">
        <v>41</v>
      </c>
      <c r="B5730" s="6" t="s">
        <v>163</v>
      </c>
      <c r="C5730" s="6" t="s">
        <v>484</v>
      </c>
      <c r="D5730" s="6" t="s">
        <v>164</v>
      </c>
      <c r="E5730" s="11">
        <v>6.4806194305419922</v>
      </c>
      <c r="F5730" s="11">
        <v>6.5629687309265137</v>
      </c>
    </row>
    <row r="5731" spans="1:6" hidden="1" x14ac:dyDescent="0.3">
      <c r="A5731" s="6">
        <v>41</v>
      </c>
      <c r="B5731" s="6" t="s">
        <v>163</v>
      </c>
      <c r="C5731" s="6" t="s">
        <v>485</v>
      </c>
      <c r="D5731" s="6" t="s">
        <v>164</v>
      </c>
      <c r="E5731" s="11">
        <v>63.510360717773438</v>
      </c>
      <c r="F5731" s="11">
        <v>6.5629687309265137</v>
      </c>
    </row>
    <row r="5732" spans="1:6" hidden="1" x14ac:dyDescent="0.3">
      <c r="A5732" s="6">
        <v>41</v>
      </c>
      <c r="B5732" s="6" t="s">
        <v>163</v>
      </c>
      <c r="C5732" s="6" t="s">
        <v>486</v>
      </c>
      <c r="D5732" s="6" t="s">
        <v>164</v>
      </c>
      <c r="E5732" s="11">
        <v>14.685941696166992</v>
      </c>
      <c r="F5732" s="11">
        <v>6.5629687309265137</v>
      </c>
    </row>
    <row r="5733" spans="1:6" hidden="1" x14ac:dyDescent="0.3">
      <c r="A5733" s="6">
        <v>41</v>
      </c>
      <c r="B5733" s="6" t="s">
        <v>163</v>
      </c>
      <c r="C5733" s="6" t="s">
        <v>487</v>
      </c>
      <c r="D5733" s="6" t="s">
        <v>164</v>
      </c>
      <c r="E5733" s="11">
        <v>5.8877835273742676</v>
      </c>
      <c r="F5733" s="11">
        <v>6.5629687309265137</v>
      </c>
    </row>
    <row r="5734" spans="1:6" hidden="1" x14ac:dyDescent="0.3">
      <c r="A5734" s="6">
        <v>41</v>
      </c>
      <c r="B5734" s="6" t="s">
        <v>163</v>
      </c>
      <c r="C5734" s="6" t="s">
        <v>488</v>
      </c>
      <c r="D5734" s="6" t="s">
        <v>164</v>
      </c>
      <c r="E5734" s="11">
        <v>4.75848388671875</v>
      </c>
      <c r="F5734" s="11">
        <v>6.5629687309265137</v>
      </c>
    </row>
    <row r="5735" spans="1:6" hidden="1" x14ac:dyDescent="0.3">
      <c r="A5735" s="6">
        <v>41</v>
      </c>
      <c r="B5735" s="6" t="s">
        <v>163</v>
      </c>
      <c r="C5735" s="6" t="s">
        <v>489</v>
      </c>
      <c r="D5735" s="6" t="s">
        <v>164</v>
      </c>
      <c r="E5735" s="11">
        <v>8.0554447174072266</v>
      </c>
      <c r="F5735" s="11">
        <v>6.5629687309265137</v>
      </c>
    </row>
    <row r="5736" spans="1:6" hidden="1" x14ac:dyDescent="0.3">
      <c r="A5736" s="6">
        <v>41</v>
      </c>
      <c r="B5736" s="6" t="s">
        <v>163</v>
      </c>
      <c r="C5736" s="6" t="s">
        <v>490</v>
      </c>
      <c r="D5736" s="6" t="s">
        <v>164</v>
      </c>
      <c r="E5736" s="11">
        <v>5.5934920310974121</v>
      </c>
      <c r="F5736" s="11">
        <v>6.5629687309265137</v>
      </c>
    </row>
    <row r="5737" spans="1:6" hidden="1" x14ac:dyDescent="0.3">
      <c r="A5737" s="6">
        <v>41</v>
      </c>
      <c r="B5737" s="6" t="s">
        <v>163</v>
      </c>
      <c r="C5737" s="6" t="s">
        <v>491</v>
      </c>
      <c r="D5737" s="6" t="s">
        <v>164</v>
      </c>
      <c r="E5737" s="11">
        <v>13.712480545043945</v>
      </c>
      <c r="F5737" s="11">
        <v>6.5629687309265137</v>
      </c>
    </row>
    <row r="5738" spans="1:6" hidden="1" x14ac:dyDescent="0.3">
      <c r="A5738" s="6">
        <v>41</v>
      </c>
      <c r="B5738" s="6" t="s">
        <v>163</v>
      </c>
      <c r="C5738" s="6" t="s">
        <v>492</v>
      </c>
      <c r="D5738" s="6" t="s">
        <v>164</v>
      </c>
      <c r="E5738" s="11">
        <v>7.3711051940917969</v>
      </c>
      <c r="F5738" s="11">
        <v>6.5629687309265137</v>
      </c>
    </row>
    <row r="5739" spans="1:6" hidden="1" x14ac:dyDescent="0.3">
      <c r="A5739" s="6">
        <v>41</v>
      </c>
      <c r="B5739" s="6" t="s">
        <v>163</v>
      </c>
      <c r="C5739" s="6" t="s">
        <v>493</v>
      </c>
      <c r="D5739" s="6" t="s">
        <v>164</v>
      </c>
      <c r="E5739" s="11">
        <v>9.3479452133178711</v>
      </c>
      <c r="F5739" s="11">
        <v>6.5629687309265137</v>
      </c>
    </row>
    <row r="5740" spans="1:6" hidden="1" x14ac:dyDescent="0.3">
      <c r="A5740" s="6">
        <v>41</v>
      </c>
      <c r="B5740" s="6" t="s">
        <v>163</v>
      </c>
      <c r="C5740" s="6" t="s">
        <v>494</v>
      </c>
      <c r="D5740" s="6" t="s">
        <v>164</v>
      </c>
      <c r="E5740" s="11">
        <v>87.665779113769531</v>
      </c>
      <c r="F5740" s="11">
        <v>6.5629687309265137</v>
      </c>
    </row>
    <row r="5741" spans="1:6" hidden="1" x14ac:dyDescent="0.3">
      <c r="A5741" s="6">
        <v>41</v>
      </c>
      <c r="B5741" s="6" t="s">
        <v>163</v>
      </c>
      <c r="C5741" s="6" t="s">
        <v>495</v>
      </c>
      <c r="D5741" s="6" t="s">
        <v>164</v>
      </c>
      <c r="E5741" s="11">
        <v>4.3497147560119629</v>
      </c>
      <c r="F5741" s="11">
        <v>6.5629687309265137</v>
      </c>
    </row>
    <row r="5742" spans="1:6" hidden="1" x14ac:dyDescent="0.3">
      <c r="A5742" s="6">
        <v>42</v>
      </c>
      <c r="B5742" s="6" t="s">
        <v>165</v>
      </c>
      <c r="C5742" s="6" t="s">
        <v>356</v>
      </c>
      <c r="D5742" s="6" t="s">
        <v>166</v>
      </c>
      <c r="E5742" s="11">
        <v>4.8312826156616211</v>
      </c>
      <c r="F5742" s="11">
        <v>5.6945910453796387</v>
      </c>
    </row>
    <row r="5743" spans="1:6" hidden="1" x14ac:dyDescent="0.3">
      <c r="A5743" s="6">
        <v>42</v>
      </c>
      <c r="B5743" s="6" t="s">
        <v>165</v>
      </c>
      <c r="C5743" s="6" t="s">
        <v>357</v>
      </c>
      <c r="D5743" s="6" t="s">
        <v>166</v>
      </c>
      <c r="E5743" s="11">
        <v>5.6563339233398438</v>
      </c>
      <c r="F5743" s="11">
        <v>5.6945910453796387</v>
      </c>
    </row>
    <row r="5744" spans="1:6" hidden="1" x14ac:dyDescent="0.3">
      <c r="A5744" s="6">
        <v>42</v>
      </c>
      <c r="B5744" s="6" t="s">
        <v>165</v>
      </c>
      <c r="C5744" s="6" t="s">
        <v>358</v>
      </c>
      <c r="D5744" s="6" t="s">
        <v>166</v>
      </c>
      <c r="E5744" s="11">
        <v>5.7555398941040039</v>
      </c>
      <c r="F5744" s="11">
        <v>5.6945910453796387</v>
      </c>
    </row>
    <row r="5745" spans="1:6" hidden="1" x14ac:dyDescent="0.3">
      <c r="A5745" s="6">
        <v>42</v>
      </c>
      <c r="B5745" s="6" t="s">
        <v>165</v>
      </c>
      <c r="C5745" s="6" t="s">
        <v>359</v>
      </c>
      <c r="D5745" s="6" t="s">
        <v>166</v>
      </c>
      <c r="E5745" s="11">
        <v>5.4015274047851563</v>
      </c>
      <c r="F5745" s="11">
        <v>5.6945910453796387</v>
      </c>
    </row>
    <row r="5746" spans="1:6" hidden="1" x14ac:dyDescent="0.3">
      <c r="A5746" s="6">
        <v>42</v>
      </c>
      <c r="B5746" s="6" t="s">
        <v>165</v>
      </c>
      <c r="C5746" s="6" t="s">
        <v>360</v>
      </c>
      <c r="D5746" s="6" t="s">
        <v>166</v>
      </c>
      <c r="E5746" s="11">
        <v>5.4981184005737305</v>
      </c>
      <c r="F5746" s="11">
        <v>5.6945910453796387</v>
      </c>
    </row>
    <row r="5747" spans="1:6" hidden="1" x14ac:dyDescent="0.3">
      <c r="A5747" s="6">
        <v>42</v>
      </c>
      <c r="B5747" s="6" t="s">
        <v>165</v>
      </c>
      <c r="C5747" s="6" t="s">
        <v>361</v>
      </c>
      <c r="D5747" s="6" t="s">
        <v>166</v>
      </c>
      <c r="E5747" s="11">
        <v>5.7549490928649902</v>
      </c>
      <c r="F5747" s="11">
        <v>5.6945910453796387</v>
      </c>
    </row>
    <row r="5748" spans="1:6" hidden="1" x14ac:dyDescent="0.3">
      <c r="A5748" s="6">
        <v>42</v>
      </c>
      <c r="B5748" s="6" t="s">
        <v>165</v>
      </c>
      <c r="C5748" s="6" t="s">
        <v>362</v>
      </c>
      <c r="D5748" s="6" t="s">
        <v>166</v>
      </c>
      <c r="E5748" s="11">
        <v>11.432088851928711</v>
      </c>
      <c r="F5748" s="11">
        <v>5.6945910453796387</v>
      </c>
    </row>
    <row r="5749" spans="1:6" hidden="1" x14ac:dyDescent="0.3">
      <c r="A5749" s="6">
        <v>42</v>
      </c>
      <c r="B5749" s="6" t="s">
        <v>165</v>
      </c>
      <c r="C5749" s="6" t="s">
        <v>363</v>
      </c>
      <c r="D5749" s="6" t="s">
        <v>166</v>
      </c>
      <c r="E5749" s="11">
        <v>11.578293800354004</v>
      </c>
      <c r="F5749" s="11">
        <v>5.6945910453796387</v>
      </c>
    </row>
    <row r="5750" spans="1:6" hidden="1" x14ac:dyDescent="0.3">
      <c r="A5750" s="6">
        <v>42</v>
      </c>
      <c r="B5750" s="6" t="s">
        <v>165</v>
      </c>
      <c r="C5750" s="6" t="s">
        <v>364</v>
      </c>
      <c r="D5750" s="6" t="s">
        <v>166</v>
      </c>
      <c r="E5750" s="11"/>
      <c r="F5750" s="11">
        <v>5.6945910453796387</v>
      </c>
    </row>
    <row r="5751" spans="1:6" hidden="1" x14ac:dyDescent="0.3">
      <c r="A5751" s="6">
        <v>42</v>
      </c>
      <c r="B5751" s="6" t="s">
        <v>165</v>
      </c>
      <c r="C5751" s="6" t="s">
        <v>365</v>
      </c>
      <c r="D5751" s="6" t="s">
        <v>166</v>
      </c>
      <c r="E5751" s="11">
        <v>2.9337639808654785</v>
      </c>
      <c r="F5751" s="11">
        <v>5.6945910453796387</v>
      </c>
    </row>
    <row r="5752" spans="1:6" hidden="1" x14ac:dyDescent="0.3">
      <c r="A5752" s="6">
        <v>42</v>
      </c>
      <c r="B5752" s="6" t="s">
        <v>165</v>
      </c>
      <c r="C5752" s="6" t="s">
        <v>366</v>
      </c>
      <c r="D5752" s="6" t="s">
        <v>166</v>
      </c>
      <c r="E5752" s="11">
        <v>9.2208700180053711</v>
      </c>
      <c r="F5752" s="11">
        <v>5.6945910453796387</v>
      </c>
    </row>
    <row r="5753" spans="1:6" hidden="1" x14ac:dyDescent="0.3">
      <c r="A5753" s="6">
        <v>42</v>
      </c>
      <c r="B5753" s="6" t="s">
        <v>165</v>
      </c>
      <c r="C5753" s="6" t="s">
        <v>367</v>
      </c>
      <c r="D5753" s="6" t="s">
        <v>166</v>
      </c>
      <c r="E5753" s="11">
        <v>6.7428116798400879</v>
      </c>
      <c r="F5753" s="11">
        <v>5.6945910453796387</v>
      </c>
    </row>
    <row r="5754" spans="1:6" hidden="1" x14ac:dyDescent="0.3">
      <c r="A5754" s="6">
        <v>42</v>
      </c>
      <c r="B5754" s="6" t="s">
        <v>165</v>
      </c>
      <c r="C5754" s="6" t="s">
        <v>368</v>
      </c>
      <c r="D5754" s="6" t="s">
        <v>166</v>
      </c>
      <c r="E5754" s="11">
        <v>4.5958328247070313</v>
      </c>
      <c r="F5754" s="11">
        <v>5.6945910453796387</v>
      </c>
    </row>
    <row r="5755" spans="1:6" hidden="1" x14ac:dyDescent="0.3">
      <c r="A5755" s="6">
        <v>42</v>
      </c>
      <c r="B5755" s="6" t="s">
        <v>165</v>
      </c>
      <c r="C5755" s="6" t="s">
        <v>369</v>
      </c>
      <c r="D5755" s="6" t="s">
        <v>166</v>
      </c>
      <c r="E5755" s="11">
        <v>13.548270225524902</v>
      </c>
      <c r="F5755" s="11">
        <v>5.6945910453796387</v>
      </c>
    </row>
    <row r="5756" spans="1:6" hidden="1" x14ac:dyDescent="0.3">
      <c r="A5756" s="6">
        <v>42</v>
      </c>
      <c r="B5756" s="6" t="s">
        <v>165</v>
      </c>
      <c r="C5756" s="6" t="s">
        <v>370</v>
      </c>
      <c r="D5756" s="6" t="s">
        <v>166</v>
      </c>
      <c r="E5756" s="11">
        <v>6.7111010551452637</v>
      </c>
      <c r="F5756" s="11">
        <v>5.6945910453796387</v>
      </c>
    </row>
    <row r="5757" spans="1:6" hidden="1" x14ac:dyDescent="0.3">
      <c r="A5757" s="6">
        <v>42</v>
      </c>
      <c r="B5757" s="6" t="s">
        <v>165</v>
      </c>
      <c r="C5757" s="6" t="s">
        <v>371</v>
      </c>
      <c r="D5757" s="6" t="s">
        <v>166</v>
      </c>
      <c r="E5757" s="11">
        <v>4.6962604522705078</v>
      </c>
      <c r="F5757" s="11">
        <v>5.6945910453796387</v>
      </c>
    </row>
    <row r="5758" spans="1:6" hidden="1" x14ac:dyDescent="0.3">
      <c r="A5758" s="6">
        <v>42</v>
      </c>
      <c r="B5758" s="6" t="s">
        <v>165</v>
      </c>
      <c r="C5758" s="6" t="s">
        <v>372</v>
      </c>
      <c r="D5758" s="6" t="s">
        <v>166</v>
      </c>
      <c r="E5758" s="11">
        <v>3.7870335578918457</v>
      </c>
      <c r="F5758" s="11">
        <v>5.6945910453796387</v>
      </c>
    </row>
    <row r="5759" spans="1:6" hidden="1" x14ac:dyDescent="0.3">
      <c r="A5759" s="6">
        <v>42</v>
      </c>
      <c r="B5759" s="6" t="s">
        <v>165</v>
      </c>
      <c r="C5759" s="6" t="s">
        <v>373</v>
      </c>
      <c r="D5759" s="6" t="s">
        <v>166</v>
      </c>
      <c r="E5759" s="11">
        <v>5.9387445449829102</v>
      </c>
      <c r="F5759" s="11">
        <v>5.6945910453796387</v>
      </c>
    </row>
    <row r="5760" spans="1:6" hidden="1" x14ac:dyDescent="0.3">
      <c r="A5760" s="6">
        <v>42</v>
      </c>
      <c r="B5760" s="6" t="s">
        <v>165</v>
      </c>
      <c r="C5760" s="6" t="s">
        <v>374</v>
      </c>
      <c r="D5760" s="6" t="s">
        <v>166</v>
      </c>
      <c r="E5760" s="11">
        <v>5.2564797401428223</v>
      </c>
      <c r="F5760" s="11">
        <v>5.6945910453796387</v>
      </c>
    </row>
    <row r="5761" spans="1:6" hidden="1" x14ac:dyDescent="0.3">
      <c r="A5761" s="6">
        <v>42</v>
      </c>
      <c r="B5761" s="6" t="s">
        <v>165</v>
      </c>
      <c r="C5761" s="6" t="s">
        <v>375</v>
      </c>
      <c r="D5761" s="6" t="s">
        <v>166</v>
      </c>
      <c r="E5761" s="11">
        <v>6.8882160186767578</v>
      </c>
      <c r="F5761" s="11">
        <v>5.6945910453796387</v>
      </c>
    </row>
    <row r="5762" spans="1:6" hidden="1" x14ac:dyDescent="0.3">
      <c r="A5762" s="6">
        <v>42</v>
      </c>
      <c r="B5762" s="6" t="s">
        <v>165</v>
      </c>
      <c r="C5762" s="6" t="s">
        <v>376</v>
      </c>
      <c r="D5762" s="6" t="s">
        <v>166</v>
      </c>
      <c r="E5762" s="11">
        <v>6.3660187721252441</v>
      </c>
      <c r="F5762" s="11">
        <v>5.6945910453796387</v>
      </c>
    </row>
    <row r="5763" spans="1:6" hidden="1" x14ac:dyDescent="0.3">
      <c r="A5763" s="6">
        <v>42</v>
      </c>
      <c r="B5763" s="6" t="s">
        <v>165</v>
      </c>
      <c r="C5763" s="6" t="s">
        <v>377</v>
      </c>
      <c r="D5763" s="6" t="s">
        <v>166</v>
      </c>
      <c r="E5763" s="11">
        <v>5.0508308410644531</v>
      </c>
      <c r="F5763" s="11">
        <v>5.6945910453796387</v>
      </c>
    </row>
    <row r="5764" spans="1:6" hidden="1" x14ac:dyDescent="0.3">
      <c r="A5764" s="6">
        <v>42</v>
      </c>
      <c r="B5764" s="6" t="s">
        <v>165</v>
      </c>
      <c r="C5764" s="6" t="s">
        <v>378</v>
      </c>
      <c r="D5764" s="6" t="s">
        <v>166</v>
      </c>
      <c r="E5764" s="11">
        <v>4.5994219779968262</v>
      </c>
      <c r="F5764" s="11">
        <v>5.6945910453796387</v>
      </c>
    </row>
    <row r="5765" spans="1:6" hidden="1" x14ac:dyDescent="0.3">
      <c r="A5765" s="6">
        <v>42</v>
      </c>
      <c r="B5765" s="6" t="s">
        <v>165</v>
      </c>
      <c r="C5765" s="6" t="s">
        <v>379</v>
      </c>
      <c r="D5765" s="6" t="s">
        <v>166</v>
      </c>
      <c r="E5765" s="11">
        <v>4.8253521919250488</v>
      </c>
      <c r="F5765" s="11">
        <v>5.6945910453796387</v>
      </c>
    </row>
    <row r="5766" spans="1:6" hidden="1" x14ac:dyDescent="0.3">
      <c r="A5766" s="6">
        <v>42</v>
      </c>
      <c r="B5766" s="6" t="s">
        <v>165</v>
      </c>
      <c r="C5766" s="6" t="s">
        <v>380</v>
      </c>
      <c r="D5766" s="6" t="s">
        <v>166</v>
      </c>
      <c r="E5766" s="11">
        <v>4.206667423248291</v>
      </c>
      <c r="F5766" s="11">
        <v>5.6945910453796387</v>
      </c>
    </row>
    <row r="5767" spans="1:6" hidden="1" x14ac:dyDescent="0.3">
      <c r="A5767" s="6">
        <v>42</v>
      </c>
      <c r="B5767" s="6" t="s">
        <v>165</v>
      </c>
      <c r="C5767" s="6" t="s">
        <v>381</v>
      </c>
      <c r="D5767" s="6" t="s">
        <v>166</v>
      </c>
      <c r="E5767" s="11">
        <v>5.689185619354248</v>
      </c>
      <c r="F5767" s="11">
        <v>5.6945910453796387</v>
      </c>
    </row>
    <row r="5768" spans="1:6" hidden="1" x14ac:dyDescent="0.3">
      <c r="A5768" s="6">
        <v>42</v>
      </c>
      <c r="B5768" s="6" t="s">
        <v>165</v>
      </c>
      <c r="C5768" s="6" t="s">
        <v>382</v>
      </c>
      <c r="D5768" s="6" t="s">
        <v>166</v>
      </c>
      <c r="E5768" s="11">
        <v>4.3661842346191406</v>
      </c>
      <c r="F5768" s="11">
        <v>5.6945910453796387</v>
      </c>
    </row>
    <row r="5769" spans="1:6" hidden="1" x14ac:dyDescent="0.3">
      <c r="A5769" s="6">
        <v>42</v>
      </c>
      <c r="B5769" s="6" t="s">
        <v>165</v>
      </c>
      <c r="C5769" s="6" t="s">
        <v>383</v>
      </c>
      <c r="D5769" s="6" t="s">
        <v>166</v>
      </c>
      <c r="E5769" s="11">
        <v>7.4950761795043945</v>
      </c>
      <c r="F5769" s="11">
        <v>5.6945910453796387</v>
      </c>
    </row>
    <row r="5770" spans="1:6" hidden="1" x14ac:dyDescent="0.3">
      <c r="A5770" s="6">
        <v>42</v>
      </c>
      <c r="B5770" s="6" t="s">
        <v>165</v>
      </c>
      <c r="C5770" s="6" t="s">
        <v>384</v>
      </c>
      <c r="D5770" s="6" t="s">
        <v>166</v>
      </c>
      <c r="E5770" s="11">
        <v>6.5352702140808105</v>
      </c>
      <c r="F5770" s="11">
        <v>5.6945910453796387</v>
      </c>
    </row>
    <row r="5771" spans="1:6" hidden="1" x14ac:dyDescent="0.3">
      <c r="A5771" s="6">
        <v>42</v>
      </c>
      <c r="B5771" s="6" t="s">
        <v>165</v>
      </c>
      <c r="C5771" s="6" t="s">
        <v>385</v>
      </c>
      <c r="D5771" s="6" t="s">
        <v>166</v>
      </c>
      <c r="E5771" s="11">
        <v>5.2966494560241699</v>
      </c>
      <c r="F5771" s="11">
        <v>5.6945910453796387</v>
      </c>
    </row>
    <row r="5772" spans="1:6" hidden="1" x14ac:dyDescent="0.3">
      <c r="A5772" s="6">
        <v>42</v>
      </c>
      <c r="B5772" s="6" t="s">
        <v>165</v>
      </c>
      <c r="C5772" s="6" t="s">
        <v>386</v>
      </c>
      <c r="D5772" s="6" t="s">
        <v>166</v>
      </c>
      <c r="E5772" s="11">
        <v>8.229095458984375</v>
      </c>
      <c r="F5772" s="11">
        <v>5.6945910453796387</v>
      </c>
    </row>
    <row r="5773" spans="1:6" hidden="1" x14ac:dyDescent="0.3">
      <c r="A5773" s="6">
        <v>42</v>
      </c>
      <c r="B5773" s="6" t="s">
        <v>165</v>
      </c>
      <c r="C5773" s="6" t="s">
        <v>387</v>
      </c>
      <c r="D5773" s="6" t="s">
        <v>166</v>
      </c>
      <c r="E5773" s="11">
        <v>8.033477783203125</v>
      </c>
      <c r="F5773" s="11">
        <v>5.6945910453796387</v>
      </c>
    </row>
    <row r="5774" spans="1:6" hidden="1" x14ac:dyDescent="0.3">
      <c r="A5774" s="6">
        <v>42</v>
      </c>
      <c r="B5774" s="6" t="s">
        <v>165</v>
      </c>
      <c r="C5774" s="6" t="s">
        <v>388</v>
      </c>
      <c r="D5774" s="6" t="s">
        <v>166</v>
      </c>
      <c r="E5774" s="11">
        <v>7.9389386177062988</v>
      </c>
      <c r="F5774" s="11">
        <v>5.6945910453796387</v>
      </c>
    </row>
    <row r="5775" spans="1:6" hidden="1" x14ac:dyDescent="0.3">
      <c r="A5775" s="6">
        <v>42</v>
      </c>
      <c r="B5775" s="6" t="s">
        <v>165</v>
      </c>
      <c r="C5775" s="6" t="s">
        <v>389</v>
      </c>
      <c r="D5775" s="6" t="s">
        <v>166</v>
      </c>
      <c r="E5775" s="11">
        <v>6.1599650382995605</v>
      </c>
      <c r="F5775" s="11">
        <v>5.6945910453796387</v>
      </c>
    </row>
    <row r="5776" spans="1:6" hidden="1" x14ac:dyDescent="0.3">
      <c r="A5776" s="6">
        <v>42</v>
      </c>
      <c r="B5776" s="6" t="s">
        <v>165</v>
      </c>
      <c r="C5776" s="6" t="s">
        <v>390</v>
      </c>
      <c r="D5776" s="6" t="s">
        <v>166</v>
      </c>
      <c r="E5776" s="11">
        <v>6.7170391082763672</v>
      </c>
      <c r="F5776" s="11">
        <v>5.6945910453796387</v>
      </c>
    </row>
    <row r="5777" spans="1:6" hidden="1" x14ac:dyDescent="0.3">
      <c r="A5777" s="6">
        <v>42</v>
      </c>
      <c r="B5777" s="6" t="s">
        <v>165</v>
      </c>
      <c r="C5777" s="6" t="s">
        <v>391</v>
      </c>
      <c r="D5777" s="6" t="s">
        <v>166</v>
      </c>
      <c r="E5777" s="11">
        <v>18.215282440185547</v>
      </c>
      <c r="F5777" s="11">
        <v>5.6945910453796387</v>
      </c>
    </row>
    <row r="5778" spans="1:6" hidden="1" x14ac:dyDescent="0.3">
      <c r="A5778" s="6">
        <v>42</v>
      </c>
      <c r="B5778" s="6" t="s">
        <v>165</v>
      </c>
      <c r="C5778" s="6" t="s">
        <v>392</v>
      </c>
      <c r="D5778" s="6" t="s">
        <v>166</v>
      </c>
      <c r="E5778" s="11">
        <v>5.4432692527770996</v>
      </c>
      <c r="F5778" s="11">
        <v>5.6945910453796387</v>
      </c>
    </row>
    <row r="5779" spans="1:6" hidden="1" x14ac:dyDescent="0.3">
      <c r="A5779" s="6">
        <v>42</v>
      </c>
      <c r="B5779" s="6" t="s">
        <v>165</v>
      </c>
      <c r="C5779" s="6" t="s">
        <v>393</v>
      </c>
      <c r="D5779" s="6" t="s">
        <v>166</v>
      </c>
      <c r="E5779" s="11">
        <v>7.0641117095947266</v>
      </c>
      <c r="F5779" s="11">
        <v>5.6945910453796387</v>
      </c>
    </row>
    <row r="5780" spans="1:6" hidden="1" x14ac:dyDescent="0.3">
      <c r="A5780" s="6">
        <v>42</v>
      </c>
      <c r="B5780" s="6" t="s">
        <v>165</v>
      </c>
      <c r="C5780" s="6" t="s">
        <v>394</v>
      </c>
      <c r="D5780" s="6" t="s">
        <v>166</v>
      </c>
      <c r="E5780" s="11">
        <v>5.7851462364196777</v>
      </c>
      <c r="F5780" s="11">
        <v>5.6945910453796387</v>
      </c>
    </row>
    <row r="5781" spans="1:6" hidden="1" x14ac:dyDescent="0.3">
      <c r="A5781" s="6">
        <v>42</v>
      </c>
      <c r="B5781" s="6" t="s">
        <v>165</v>
      </c>
      <c r="C5781" s="6" t="s">
        <v>395</v>
      </c>
      <c r="D5781" s="6" t="s">
        <v>166</v>
      </c>
      <c r="E5781" s="11">
        <v>11.039447784423828</v>
      </c>
      <c r="F5781" s="11">
        <v>5.6945910453796387</v>
      </c>
    </row>
    <row r="5782" spans="1:6" hidden="1" x14ac:dyDescent="0.3">
      <c r="A5782" s="6">
        <v>42</v>
      </c>
      <c r="B5782" s="6" t="s">
        <v>165</v>
      </c>
      <c r="C5782" s="6" t="s">
        <v>396</v>
      </c>
      <c r="D5782" s="6" t="s">
        <v>166</v>
      </c>
      <c r="E5782" s="11">
        <v>614.50177001953125</v>
      </c>
      <c r="F5782" s="11">
        <v>5.6945910453796387</v>
      </c>
    </row>
    <row r="5783" spans="1:6" hidden="1" x14ac:dyDescent="0.3">
      <c r="A5783" s="6">
        <v>42</v>
      </c>
      <c r="B5783" s="6" t="s">
        <v>165</v>
      </c>
      <c r="C5783" s="6" t="s">
        <v>397</v>
      </c>
      <c r="D5783" s="6" t="s">
        <v>166</v>
      </c>
      <c r="E5783" s="11">
        <v>9.0159826278686523</v>
      </c>
      <c r="F5783" s="11">
        <v>5.6945910453796387</v>
      </c>
    </row>
    <row r="5784" spans="1:6" hidden="1" x14ac:dyDescent="0.3">
      <c r="A5784" s="6">
        <v>42</v>
      </c>
      <c r="B5784" s="6" t="s">
        <v>165</v>
      </c>
      <c r="C5784" s="6" t="s">
        <v>398</v>
      </c>
      <c r="D5784" s="6" t="s">
        <v>166</v>
      </c>
      <c r="E5784" s="11">
        <v>3.8050684928894043</v>
      </c>
      <c r="F5784" s="11">
        <v>5.6945910453796387</v>
      </c>
    </row>
    <row r="5785" spans="1:6" hidden="1" x14ac:dyDescent="0.3">
      <c r="A5785" s="6">
        <v>42</v>
      </c>
      <c r="B5785" s="6" t="s">
        <v>165</v>
      </c>
      <c r="C5785" s="6" t="s">
        <v>399</v>
      </c>
      <c r="D5785" s="6" t="s">
        <v>166</v>
      </c>
      <c r="E5785" s="11">
        <v>6.3015837669372559</v>
      </c>
      <c r="F5785" s="11">
        <v>5.6945910453796387</v>
      </c>
    </row>
    <row r="5786" spans="1:6" hidden="1" x14ac:dyDescent="0.3">
      <c r="A5786" s="6">
        <v>42</v>
      </c>
      <c r="B5786" s="6" t="s">
        <v>165</v>
      </c>
      <c r="C5786" s="6" t="s">
        <v>400</v>
      </c>
      <c r="D5786" s="6" t="s">
        <v>166</v>
      </c>
      <c r="E5786" s="11">
        <v>8.6166515350341797</v>
      </c>
      <c r="F5786" s="11">
        <v>5.6945910453796387</v>
      </c>
    </row>
    <row r="5787" spans="1:6" hidden="1" x14ac:dyDescent="0.3">
      <c r="A5787" s="6">
        <v>42</v>
      </c>
      <c r="B5787" s="6" t="s">
        <v>165</v>
      </c>
      <c r="C5787" s="6" t="s">
        <v>401</v>
      </c>
      <c r="D5787" s="6" t="s">
        <v>166</v>
      </c>
      <c r="E5787" s="11">
        <v>11.774574279785156</v>
      </c>
      <c r="F5787" s="11">
        <v>5.6945910453796387</v>
      </c>
    </row>
    <row r="5788" spans="1:6" hidden="1" x14ac:dyDescent="0.3">
      <c r="A5788" s="6">
        <v>42</v>
      </c>
      <c r="B5788" s="6" t="s">
        <v>165</v>
      </c>
      <c r="C5788" s="6" t="s">
        <v>402</v>
      </c>
      <c r="D5788" s="6" t="s">
        <v>166</v>
      </c>
      <c r="E5788" s="11">
        <v>6.8476228713989258</v>
      </c>
      <c r="F5788" s="11">
        <v>5.6945910453796387</v>
      </c>
    </row>
    <row r="5789" spans="1:6" hidden="1" x14ac:dyDescent="0.3">
      <c r="A5789" s="6">
        <v>42</v>
      </c>
      <c r="B5789" s="6" t="s">
        <v>165</v>
      </c>
      <c r="C5789" s="6" t="s">
        <v>403</v>
      </c>
      <c r="D5789" s="6" t="s">
        <v>166</v>
      </c>
      <c r="E5789" s="11">
        <v>7.0373210906982422</v>
      </c>
      <c r="F5789" s="11">
        <v>5.6945910453796387</v>
      </c>
    </row>
    <row r="5790" spans="1:6" hidden="1" x14ac:dyDescent="0.3">
      <c r="A5790" s="6">
        <v>42</v>
      </c>
      <c r="B5790" s="6" t="s">
        <v>165</v>
      </c>
      <c r="C5790" s="6" t="s">
        <v>404</v>
      </c>
      <c r="D5790" s="6" t="s">
        <v>166</v>
      </c>
      <c r="E5790" s="11">
        <v>7.6855401992797852</v>
      </c>
      <c r="F5790" s="11">
        <v>5.6945910453796387</v>
      </c>
    </row>
    <row r="5791" spans="1:6" hidden="1" x14ac:dyDescent="0.3">
      <c r="A5791" s="6">
        <v>42</v>
      </c>
      <c r="B5791" s="6" t="s">
        <v>165</v>
      </c>
      <c r="C5791" s="6" t="s">
        <v>405</v>
      </c>
      <c r="D5791" s="6" t="s">
        <v>166</v>
      </c>
      <c r="E5791" s="11">
        <v>5.9996776580810547</v>
      </c>
      <c r="F5791" s="11">
        <v>5.6945910453796387</v>
      </c>
    </row>
    <row r="5792" spans="1:6" hidden="1" x14ac:dyDescent="0.3">
      <c r="A5792" s="6">
        <v>42</v>
      </c>
      <c r="B5792" s="6" t="s">
        <v>165</v>
      </c>
      <c r="C5792" s="6" t="s">
        <v>406</v>
      </c>
      <c r="D5792" s="6" t="s">
        <v>166</v>
      </c>
      <c r="E5792" s="11">
        <v>6.770848274230957</v>
      </c>
      <c r="F5792" s="11">
        <v>5.6945910453796387</v>
      </c>
    </row>
    <row r="5793" spans="1:6" hidden="1" x14ac:dyDescent="0.3">
      <c r="A5793" s="6">
        <v>42</v>
      </c>
      <c r="B5793" s="6" t="s">
        <v>165</v>
      </c>
      <c r="C5793" s="6" t="s">
        <v>407</v>
      </c>
      <c r="D5793" s="6" t="s">
        <v>166</v>
      </c>
      <c r="E5793" s="11">
        <v>6.4072985649108887</v>
      </c>
      <c r="F5793" s="11">
        <v>5.6945910453796387</v>
      </c>
    </row>
    <row r="5794" spans="1:6" hidden="1" x14ac:dyDescent="0.3">
      <c r="A5794" s="6">
        <v>42</v>
      </c>
      <c r="B5794" s="6" t="s">
        <v>165</v>
      </c>
      <c r="C5794" s="6" t="s">
        <v>408</v>
      </c>
      <c r="D5794" s="6" t="s">
        <v>166</v>
      </c>
      <c r="E5794" s="11">
        <v>11.642339706420898</v>
      </c>
      <c r="F5794" s="11">
        <v>5.6945910453796387</v>
      </c>
    </row>
    <row r="5795" spans="1:6" hidden="1" x14ac:dyDescent="0.3">
      <c r="A5795" s="6">
        <v>42</v>
      </c>
      <c r="B5795" s="6" t="s">
        <v>165</v>
      </c>
      <c r="C5795" s="6" t="s">
        <v>409</v>
      </c>
      <c r="D5795" s="6" t="s">
        <v>166</v>
      </c>
      <c r="E5795" s="11">
        <v>6.8054709434509277</v>
      </c>
      <c r="F5795" s="11">
        <v>5.6945910453796387</v>
      </c>
    </row>
    <row r="5796" spans="1:6" hidden="1" x14ac:dyDescent="0.3">
      <c r="A5796" s="6">
        <v>42</v>
      </c>
      <c r="B5796" s="6" t="s">
        <v>165</v>
      </c>
      <c r="C5796" s="6" t="s">
        <v>410</v>
      </c>
      <c r="D5796" s="6" t="s">
        <v>166</v>
      </c>
      <c r="E5796" s="11">
        <v>18.570499420166016</v>
      </c>
      <c r="F5796" s="11">
        <v>5.6945910453796387</v>
      </c>
    </row>
    <row r="5797" spans="1:6" hidden="1" x14ac:dyDescent="0.3">
      <c r="A5797" s="6">
        <v>42</v>
      </c>
      <c r="B5797" s="6" t="s">
        <v>165</v>
      </c>
      <c r="C5797" s="6" t="s">
        <v>411</v>
      </c>
      <c r="D5797" s="6" t="s">
        <v>166</v>
      </c>
      <c r="E5797" s="11">
        <v>6.9481463432312012</v>
      </c>
      <c r="F5797" s="11">
        <v>5.6945910453796387</v>
      </c>
    </row>
    <row r="5798" spans="1:6" hidden="1" x14ac:dyDescent="0.3">
      <c r="A5798" s="6">
        <v>42</v>
      </c>
      <c r="B5798" s="6" t="s">
        <v>165</v>
      </c>
      <c r="C5798" s="6" t="s">
        <v>412</v>
      </c>
      <c r="D5798" s="6" t="s">
        <v>166</v>
      </c>
      <c r="E5798" s="11">
        <v>6.8104729652404785</v>
      </c>
      <c r="F5798" s="11">
        <v>5.6945910453796387</v>
      </c>
    </row>
    <row r="5799" spans="1:6" hidden="1" x14ac:dyDescent="0.3">
      <c r="A5799" s="6">
        <v>42</v>
      </c>
      <c r="B5799" s="6" t="s">
        <v>165</v>
      </c>
      <c r="C5799" s="6" t="s">
        <v>413</v>
      </c>
      <c r="D5799" s="6" t="s">
        <v>166</v>
      </c>
      <c r="E5799" s="11">
        <v>10.180655479431152</v>
      </c>
      <c r="F5799" s="11">
        <v>5.6945910453796387</v>
      </c>
    </row>
    <row r="5800" spans="1:6" hidden="1" x14ac:dyDescent="0.3">
      <c r="A5800" s="6">
        <v>42</v>
      </c>
      <c r="B5800" s="6" t="s">
        <v>165</v>
      </c>
      <c r="C5800" s="6" t="s">
        <v>414</v>
      </c>
      <c r="D5800" s="6" t="s">
        <v>166</v>
      </c>
      <c r="E5800" s="11">
        <v>5.0486860275268555</v>
      </c>
      <c r="F5800" s="11">
        <v>5.6945910453796387</v>
      </c>
    </row>
    <row r="5801" spans="1:6" hidden="1" x14ac:dyDescent="0.3">
      <c r="A5801" s="6">
        <v>42</v>
      </c>
      <c r="B5801" s="6" t="s">
        <v>165</v>
      </c>
      <c r="C5801" s="6" t="s">
        <v>415</v>
      </c>
      <c r="D5801" s="6" t="s">
        <v>166</v>
      </c>
      <c r="E5801" s="11">
        <v>15.303346633911133</v>
      </c>
      <c r="F5801" s="11">
        <v>5.6945910453796387</v>
      </c>
    </row>
    <row r="5802" spans="1:6" hidden="1" x14ac:dyDescent="0.3">
      <c r="A5802" s="6">
        <v>42</v>
      </c>
      <c r="B5802" s="6" t="s">
        <v>165</v>
      </c>
      <c r="C5802" s="6" t="s">
        <v>416</v>
      </c>
      <c r="D5802" s="6" t="s">
        <v>166</v>
      </c>
      <c r="E5802" s="11">
        <v>24.352960586547852</v>
      </c>
      <c r="F5802" s="11">
        <v>5.6945910453796387</v>
      </c>
    </row>
    <row r="5803" spans="1:6" hidden="1" x14ac:dyDescent="0.3">
      <c r="A5803" s="6">
        <v>42</v>
      </c>
      <c r="B5803" s="6" t="s">
        <v>165</v>
      </c>
      <c r="C5803" s="6" t="s">
        <v>417</v>
      </c>
      <c r="D5803" s="6" t="s">
        <v>166</v>
      </c>
      <c r="E5803" s="11">
        <v>4.8929257392883301</v>
      </c>
      <c r="F5803" s="11">
        <v>5.6945910453796387</v>
      </c>
    </row>
    <row r="5804" spans="1:6" hidden="1" x14ac:dyDescent="0.3">
      <c r="A5804" s="6">
        <v>42</v>
      </c>
      <c r="B5804" s="6" t="s">
        <v>165</v>
      </c>
      <c r="C5804" s="6" t="s">
        <v>418</v>
      </c>
      <c r="D5804" s="6" t="s">
        <v>166</v>
      </c>
      <c r="E5804" s="11">
        <v>4.4655022621154785</v>
      </c>
      <c r="F5804" s="11">
        <v>5.6945910453796387</v>
      </c>
    </row>
    <row r="5805" spans="1:6" hidden="1" x14ac:dyDescent="0.3">
      <c r="A5805" s="6">
        <v>42</v>
      </c>
      <c r="B5805" s="6" t="s">
        <v>165</v>
      </c>
      <c r="C5805" s="6" t="s">
        <v>419</v>
      </c>
      <c r="D5805" s="6" t="s">
        <v>166</v>
      </c>
      <c r="E5805" s="11">
        <v>4.0225086212158203</v>
      </c>
      <c r="F5805" s="11">
        <v>5.6945910453796387</v>
      </c>
    </row>
    <row r="5806" spans="1:6" hidden="1" x14ac:dyDescent="0.3">
      <c r="A5806" s="6">
        <v>42</v>
      </c>
      <c r="B5806" s="6" t="s">
        <v>165</v>
      </c>
      <c r="C5806" s="6" t="s">
        <v>420</v>
      </c>
      <c r="D5806" s="6" t="s">
        <v>166</v>
      </c>
      <c r="E5806" s="11">
        <v>8.0640430450439453</v>
      </c>
      <c r="F5806" s="11">
        <v>5.6945910453796387</v>
      </c>
    </row>
    <row r="5807" spans="1:6" hidden="1" x14ac:dyDescent="0.3">
      <c r="A5807" s="6">
        <v>42</v>
      </c>
      <c r="B5807" s="6" t="s">
        <v>165</v>
      </c>
      <c r="C5807" s="6" t="s">
        <v>421</v>
      </c>
      <c r="D5807" s="6" t="s">
        <v>166</v>
      </c>
      <c r="E5807" s="11">
        <v>5.704981803894043</v>
      </c>
      <c r="F5807" s="11">
        <v>5.6945910453796387</v>
      </c>
    </row>
    <row r="5808" spans="1:6" hidden="1" x14ac:dyDescent="0.3">
      <c r="A5808" s="6">
        <v>42</v>
      </c>
      <c r="B5808" s="6" t="s">
        <v>165</v>
      </c>
      <c r="C5808" s="6" t="s">
        <v>422</v>
      </c>
      <c r="D5808" s="6" t="s">
        <v>166</v>
      </c>
      <c r="E5808" s="11">
        <v>6.4979419708251953</v>
      </c>
      <c r="F5808" s="11">
        <v>5.6945910453796387</v>
      </c>
    </row>
    <row r="5809" spans="1:6" hidden="1" x14ac:dyDescent="0.3">
      <c r="A5809" s="6">
        <v>42</v>
      </c>
      <c r="B5809" s="6" t="s">
        <v>165</v>
      </c>
      <c r="C5809" s="6" t="s">
        <v>423</v>
      </c>
      <c r="D5809" s="6" t="s">
        <v>166</v>
      </c>
      <c r="E5809" s="11">
        <v>9.1476469039916992</v>
      </c>
      <c r="F5809" s="11">
        <v>5.6945910453796387</v>
      </c>
    </row>
    <row r="5810" spans="1:6" hidden="1" x14ac:dyDescent="0.3">
      <c r="A5810" s="6">
        <v>42</v>
      </c>
      <c r="B5810" s="6" t="s">
        <v>165</v>
      </c>
      <c r="C5810" s="6" t="s">
        <v>424</v>
      </c>
      <c r="D5810" s="6" t="s">
        <v>166</v>
      </c>
      <c r="E5810" s="11">
        <v>6.7065443992614746</v>
      </c>
      <c r="F5810" s="11">
        <v>5.6945910453796387</v>
      </c>
    </row>
    <row r="5811" spans="1:6" hidden="1" x14ac:dyDescent="0.3">
      <c r="A5811" s="6">
        <v>42</v>
      </c>
      <c r="B5811" s="6" t="s">
        <v>165</v>
      </c>
      <c r="C5811" s="6" t="s">
        <v>425</v>
      </c>
      <c r="D5811" s="6" t="s">
        <v>166</v>
      </c>
      <c r="E5811" s="11">
        <v>6.6806044578552246</v>
      </c>
      <c r="F5811" s="11">
        <v>5.6945910453796387</v>
      </c>
    </row>
    <row r="5812" spans="1:6" hidden="1" x14ac:dyDescent="0.3">
      <c r="A5812" s="6">
        <v>42</v>
      </c>
      <c r="B5812" s="6" t="s">
        <v>165</v>
      </c>
      <c r="C5812" s="6" t="s">
        <v>426</v>
      </c>
      <c r="D5812" s="6" t="s">
        <v>166</v>
      </c>
      <c r="E5812" s="11">
        <v>4.7073235511779785</v>
      </c>
      <c r="F5812" s="11">
        <v>5.6945910453796387</v>
      </c>
    </row>
    <row r="5813" spans="1:6" hidden="1" x14ac:dyDescent="0.3">
      <c r="A5813" s="6">
        <v>42</v>
      </c>
      <c r="B5813" s="6" t="s">
        <v>165</v>
      </c>
      <c r="C5813" s="6" t="s">
        <v>427</v>
      </c>
      <c r="D5813" s="6" t="s">
        <v>166</v>
      </c>
      <c r="E5813" s="11">
        <v>6.7293882369995117</v>
      </c>
      <c r="F5813" s="11">
        <v>5.6945910453796387</v>
      </c>
    </row>
    <row r="5814" spans="1:6" hidden="1" x14ac:dyDescent="0.3">
      <c r="A5814" s="6">
        <v>42</v>
      </c>
      <c r="B5814" s="6" t="s">
        <v>165</v>
      </c>
      <c r="C5814" s="6" t="s">
        <v>428</v>
      </c>
      <c r="D5814" s="6" t="s">
        <v>166</v>
      </c>
      <c r="E5814" s="11"/>
      <c r="F5814" s="11">
        <v>5.6945910453796387</v>
      </c>
    </row>
    <row r="5815" spans="1:6" hidden="1" x14ac:dyDescent="0.3">
      <c r="A5815" s="6">
        <v>42</v>
      </c>
      <c r="B5815" s="6" t="s">
        <v>165</v>
      </c>
      <c r="C5815" s="6" t="s">
        <v>429</v>
      </c>
      <c r="D5815" s="6" t="s">
        <v>166</v>
      </c>
      <c r="E5815" s="11">
        <v>15.305698394775391</v>
      </c>
      <c r="F5815" s="11">
        <v>5.6945910453796387</v>
      </c>
    </row>
    <row r="5816" spans="1:6" hidden="1" x14ac:dyDescent="0.3">
      <c r="A5816" s="6">
        <v>42</v>
      </c>
      <c r="B5816" s="6" t="s">
        <v>165</v>
      </c>
      <c r="C5816" s="6" t="s">
        <v>430</v>
      </c>
      <c r="D5816" s="6" t="s">
        <v>166</v>
      </c>
      <c r="E5816" s="11">
        <v>11.647418022155762</v>
      </c>
      <c r="F5816" s="11">
        <v>5.6945910453796387</v>
      </c>
    </row>
    <row r="5817" spans="1:6" hidden="1" x14ac:dyDescent="0.3">
      <c r="A5817" s="6">
        <v>42</v>
      </c>
      <c r="B5817" s="6" t="s">
        <v>165</v>
      </c>
      <c r="C5817" s="6" t="s">
        <v>431</v>
      </c>
      <c r="D5817" s="6" t="s">
        <v>166</v>
      </c>
      <c r="E5817" s="11">
        <v>12.524264335632324</v>
      </c>
      <c r="F5817" s="11">
        <v>5.6945910453796387</v>
      </c>
    </row>
    <row r="5818" spans="1:6" hidden="1" x14ac:dyDescent="0.3">
      <c r="A5818" s="6">
        <v>42</v>
      </c>
      <c r="B5818" s="6" t="s">
        <v>165</v>
      </c>
      <c r="C5818" s="6" t="s">
        <v>432</v>
      </c>
      <c r="D5818" s="6" t="s">
        <v>166</v>
      </c>
      <c r="E5818" s="11">
        <v>3.9802069664001465</v>
      </c>
      <c r="F5818" s="11">
        <v>5.6945910453796387</v>
      </c>
    </row>
    <row r="5819" spans="1:6" hidden="1" x14ac:dyDescent="0.3">
      <c r="A5819" s="6">
        <v>42</v>
      </c>
      <c r="B5819" s="6" t="s">
        <v>165</v>
      </c>
      <c r="C5819" s="6" t="s">
        <v>433</v>
      </c>
      <c r="D5819" s="6" t="s">
        <v>166</v>
      </c>
      <c r="E5819" s="11">
        <v>16.707067489624023</v>
      </c>
      <c r="F5819" s="11">
        <v>5.6945910453796387</v>
      </c>
    </row>
    <row r="5820" spans="1:6" hidden="1" x14ac:dyDescent="0.3">
      <c r="A5820" s="6">
        <v>42</v>
      </c>
      <c r="B5820" s="6" t="s">
        <v>165</v>
      </c>
      <c r="C5820" s="6" t="s">
        <v>434</v>
      </c>
      <c r="D5820" s="6" t="s">
        <v>166</v>
      </c>
      <c r="E5820" s="11">
        <v>4.5238170623779297</v>
      </c>
      <c r="F5820" s="11">
        <v>5.6945910453796387</v>
      </c>
    </row>
    <row r="5821" spans="1:6" hidden="1" x14ac:dyDescent="0.3">
      <c r="A5821" s="6">
        <v>42</v>
      </c>
      <c r="B5821" s="6" t="s">
        <v>165</v>
      </c>
      <c r="C5821" s="6" t="s">
        <v>435</v>
      </c>
      <c r="D5821" s="6" t="s">
        <v>166</v>
      </c>
      <c r="E5821" s="11">
        <v>365.40310668945313</v>
      </c>
      <c r="F5821" s="11">
        <v>5.6945910453796387</v>
      </c>
    </row>
    <row r="5822" spans="1:6" hidden="1" x14ac:dyDescent="0.3">
      <c r="A5822" s="6">
        <v>42</v>
      </c>
      <c r="B5822" s="6" t="s">
        <v>165</v>
      </c>
      <c r="C5822" s="6" t="s">
        <v>436</v>
      </c>
      <c r="D5822" s="6" t="s">
        <v>166</v>
      </c>
      <c r="E5822" s="11">
        <v>6.1140594482421875</v>
      </c>
      <c r="F5822" s="11">
        <v>5.6945910453796387</v>
      </c>
    </row>
    <row r="5823" spans="1:6" hidden="1" x14ac:dyDescent="0.3">
      <c r="A5823" s="6">
        <v>42</v>
      </c>
      <c r="B5823" s="6" t="s">
        <v>165</v>
      </c>
      <c r="C5823" s="6" t="s">
        <v>437</v>
      </c>
      <c r="D5823" s="6" t="s">
        <v>166</v>
      </c>
      <c r="E5823" s="11">
        <v>5.2940258979797363</v>
      </c>
      <c r="F5823" s="11">
        <v>5.6945910453796387</v>
      </c>
    </row>
    <row r="5824" spans="1:6" hidden="1" x14ac:dyDescent="0.3">
      <c r="A5824" s="6">
        <v>42</v>
      </c>
      <c r="B5824" s="6" t="s">
        <v>165</v>
      </c>
      <c r="C5824" s="6" t="s">
        <v>438</v>
      </c>
      <c r="D5824" s="6" t="s">
        <v>166</v>
      </c>
      <c r="E5824" s="11">
        <v>7.9089860916137695</v>
      </c>
      <c r="F5824" s="11">
        <v>5.6945910453796387</v>
      </c>
    </row>
    <row r="5825" spans="1:6" hidden="1" x14ac:dyDescent="0.3">
      <c r="A5825" s="6">
        <v>42</v>
      </c>
      <c r="B5825" s="6" t="s">
        <v>165</v>
      </c>
      <c r="C5825" s="6" t="s">
        <v>439</v>
      </c>
      <c r="D5825" s="6" t="s">
        <v>166</v>
      </c>
      <c r="E5825" s="11">
        <v>5.1216697692871094</v>
      </c>
      <c r="F5825" s="11">
        <v>5.6945910453796387</v>
      </c>
    </row>
    <row r="5826" spans="1:6" hidden="1" x14ac:dyDescent="0.3">
      <c r="A5826" s="6">
        <v>42</v>
      </c>
      <c r="B5826" s="6" t="s">
        <v>165</v>
      </c>
      <c r="C5826" s="6" t="s">
        <v>440</v>
      </c>
      <c r="D5826" s="6" t="s">
        <v>166</v>
      </c>
      <c r="E5826" s="11">
        <v>6.7774128913879395</v>
      </c>
      <c r="F5826" s="11">
        <v>5.6945910453796387</v>
      </c>
    </row>
    <row r="5827" spans="1:6" hidden="1" x14ac:dyDescent="0.3">
      <c r="A5827" s="6">
        <v>42</v>
      </c>
      <c r="B5827" s="6" t="s">
        <v>165</v>
      </c>
      <c r="C5827" s="6" t="s">
        <v>441</v>
      </c>
      <c r="D5827" s="6" t="s">
        <v>166</v>
      </c>
      <c r="E5827" s="11">
        <v>10.682636260986328</v>
      </c>
      <c r="F5827" s="11">
        <v>5.6945910453796387</v>
      </c>
    </row>
    <row r="5828" spans="1:6" hidden="1" x14ac:dyDescent="0.3">
      <c r="A5828" s="6">
        <v>42</v>
      </c>
      <c r="B5828" s="6" t="s">
        <v>165</v>
      </c>
      <c r="C5828" s="6" t="s">
        <v>442</v>
      </c>
      <c r="D5828" s="6" t="s">
        <v>166</v>
      </c>
      <c r="E5828" s="11">
        <v>10.571873664855957</v>
      </c>
      <c r="F5828" s="11">
        <v>5.6945910453796387</v>
      </c>
    </row>
    <row r="5829" spans="1:6" hidden="1" x14ac:dyDescent="0.3">
      <c r="A5829" s="6">
        <v>42</v>
      </c>
      <c r="B5829" s="6" t="s">
        <v>165</v>
      </c>
      <c r="C5829" s="6" t="s">
        <v>443</v>
      </c>
      <c r="D5829" s="6" t="s">
        <v>166</v>
      </c>
      <c r="E5829" s="11">
        <v>4.2211518287658691</v>
      </c>
      <c r="F5829" s="11">
        <v>5.6945910453796387</v>
      </c>
    </row>
    <row r="5830" spans="1:6" hidden="1" x14ac:dyDescent="0.3">
      <c r="A5830" s="6">
        <v>42</v>
      </c>
      <c r="B5830" s="6" t="s">
        <v>165</v>
      </c>
      <c r="C5830" s="6" t="s">
        <v>444</v>
      </c>
      <c r="D5830" s="6" t="s">
        <v>166</v>
      </c>
      <c r="E5830" s="11">
        <v>4.3984470367431641</v>
      </c>
      <c r="F5830" s="11">
        <v>5.6945910453796387</v>
      </c>
    </row>
    <row r="5831" spans="1:6" hidden="1" x14ac:dyDescent="0.3">
      <c r="A5831" s="6">
        <v>42</v>
      </c>
      <c r="B5831" s="6" t="s">
        <v>165</v>
      </c>
      <c r="C5831" s="6" t="s">
        <v>445</v>
      </c>
      <c r="D5831" s="6" t="s">
        <v>166</v>
      </c>
      <c r="E5831" s="11">
        <v>7.0844016075134277</v>
      </c>
      <c r="F5831" s="11">
        <v>5.6945910453796387</v>
      </c>
    </row>
    <row r="5832" spans="1:6" hidden="1" x14ac:dyDescent="0.3">
      <c r="A5832" s="6">
        <v>42</v>
      </c>
      <c r="B5832" s="6" t="s">
        <v>165</v>
      </c>
      <c r="C5832" s="6" t="s">
        <v>446</v>
      </c>
      <c r="D5832" s="6" t="s">
        <v>166</v>
      </c>
      <c r="E5832" s="11">
        <v>3.1506736278533936</v>
      </c>
      <c r="F5832" s="11">
        <v>5.6945910453796387</v>
      </c>
    </row>
    <row r="5833" spans="1:6" hidden="1" x14ac:dyDescent="0.3">
      <c r="A5833" s="6">
        <v>42</v>
      </c>
      <c r="B5833" s="6" t="s">
        <v>165</v>
      </c>
      <c r="C5833" s="6" t="s">
        <v>447</v>
      </c>
      <c r="D5833" s="6" t="s">
        <v>166</v>
      </c>
      <c r="E5833" s="11">
        <v>7.2737765312194824</v>
      </c>
      <c r="F5833" s="11">
        <v>5.6945910453796387</v>
      </c>
    </row>
    <row r="5834" spans="1:6" hidden="1" x14ac:dyDescent="0.3">
      <c r="A5834" s="6">
        <v>42</v>
      </c>
      <c r="B5834" s="6" t="s">
        <v>165</v>
      </c>
      <c r="C5834" s="6" t="s">
        <v>448</v>
      </c>
      <c r="D5834" s="6" t="s">
        <v>166</v>
      </c>
      <c r="E5834" s="11">
        <v>5.2280936241149902</v>
      </c>
      <c r="F5834" s="11">
        <v>5.6945910453796387</v>
      </c>
    </row>
    <row r="5835" spans="1:6" hidden="1" x14ac:dyDescent="0.3">
      <c r="A5835" s="6">
        <v>42</v>
      </c>
      <c r="B5835" s="6" t="s">
        <v>165</v>
      </c>
      <c r="C5835" s="6" t="s">
        <v>449</v>
      </c>
      <c r="D5835" s="6" t="s">
        <v>166</v>
      </c>
      <c r="E5835" s="11">
        <v>4.3291292190551758</v>
      </c>
      <c r="F5835" s="11">
        <v>5.6945910453796387</v>
      </c>
    </row>
    <row r="5836" spans="1:6" hidden="1" x14ac:dyDescent="0.3">
      <c r="A5836" s="6">
        <v>42</v>
      </c>
      <c r="B5836" s="6" t="s">
        <v>165</v>
      </c>
      <c r="C5836" s="6" t="s">
        <v>450</v>
      </c>
      <c r="D5836" s="6" t="s">
        <v>166</v>
      </c>
      <c r="E5836" s="11">
        <v>4.9431896209716797</v>
      </c>
      <c r="F5836" s="11">
        <v>5.6945910453796387</v>
      </c>
    </row>
    <row r="5837" spans="1:6" hidden="1" x14ac:dyDescent="0.3">
      <c r="A5837" s="6">
        <v>42</v>
      </c>
      <c r="B5837" s="6" t="s">
        <v>165</v>
      </c>
      <c r="C5837" s="6" t="s">
        <v>451</v>
      </c>
      <c r="D5837" s="6" t="s">
        <v>166</v>
      </c>
      <c r="E5837" s="11">
        <v>5.3008589744567871</v>
      </c>
      <c r="F5837" s="11">
        <v>5.6945910453796387</v>
      </c>
    </row>
    <row r="5838" spans="1:6" hidden="1" x14ac:dyDescent="0.3">
      <c r="A5838" s="6">
        <v>42</v>
      </c>
      <c r="B5838" s="6" t="s">
        <v>165</v>
      </c>
      <c r="C5838" s="6" t="s">
        <v>452</v>
      </c>
      <c r="D5838" s="6" t="s">
        <v>166</v>
      </c>
      <c r="E5838" s="11">
        <v>8.1759891510009766</v>
      </c>
      <c r="F5838" s="11">
        <v>5.6945910453796387</v>
      </c>
    </row>
    <row r="5839" spans="1:6" hidden="1" x14ac:dyDescent="0.3">
      <c r="A5839" s="6">
        <v>42</v>
      </c>
      <c r="B5839" s="6" t="s">
        <v>165</v>
      </c>
      <c r="C5839" s="6" t="s">
        <v>453</v>
      </c>
      <c r="D5839" s="6" t="s">
        <v>166</v>
      </c>
      <c r="E5839" s="11">
        <v>4.9368844032287598</v>
      </c>
      <c r="F5839" s="11">
        <v>5.6945910453796387</v>
      </c>
    </row>
    <row r="5840" spans="1:6" hidden="1" x14ac:dyDescent="0.3">
      <c r="A5840" s="6">
        <v>42</v>
      </c>
      <c r="B5840" s="6" t="s">
        <v>165</v>
      </c>
      <c r="C5840" s="6" t="s">
        <v>454</v>
      </c>
      <c r="D5840" s="6" t="s">
        <v>166</v>
      </c>
      <c r="E5840" s="11">
        <v>3.5739419460296631</v>
      </c>
      <c r="F5840" s="11">
        <v>5.6945910453796387</v>
      </c>
    </row>
    <row r="5841" spans="1:6" hidden="1" x14ac:dyDescent="0.3">
      <c r="A5841" s="6">
        <v>42</v>
      </c>
      <c r="B5841" s="6" t="s">
        <v>165</v>
      </c>
      <c r="C5841" s="6" t="s">
        <v>455</v>
      </c>
      <c r="D5841" s="6" t="s">
        <v>166</v>
      </c>
      <c r="E5841" s="11">
        <v>6.3524003028869629</v>
      </c>
      <c r="F5841" s="11">
        <v>5.6945910453796387</v>
      </c>
    </row>
    <row r="5842" spans="1:6" hidden="1" x14ac:dyDescent="0.3">
      <c r="A5842" s="6">
        <v>42</v>
      </c>
      <c r="B5842" s="6" t="s">
        <v>165</v>
      </c>
      <c r="C5842" s="6" t="s">
        <v>456</v>
      </c>
      <c r="D5842" s="6" t="s">
        <v>166</v>
      </c>
      <c r="E5842" s="11">
        <v>6.8975410461425781</v>
      </c>
      <c r="F5842" s="11">
        <v>5.6945910453796387</v>
      </c>
    </row>
    <row r="5843" spans="1:6" hidden="1" x14ac:dyDescent="0.3">
      <c r="A5843" s="6">
        <v>42</v>
      </c>
      <c r="B5843" s="6" t="s">
        <v>165</v>
      </c>
      <c r="C5843" s="6" t="s">
        <v>457</v>
      </c>
      <c r="D5843" s="6" t="s">
        <v>166</v>
      </c>
      <c r="E5843" s="11">
        <v>8.58984375</v>
      </c>
      <c r="F5843" s="11">
        <v>5.6945910453796387</v>
      </c>
    </row>
    <row r="5844" spans="1:6" hidden="1" x14ac:dyDescent="0.3">
      <c r="A5844" s="6">
        <v>42</v>
      </c>
      <c r="B5844" s="6" t="s">
        <v>165</v>
      </c>
      <c r="C5844" s="6" t="s">
        <v>458</v>
      </c>
      <c r="D5844" s="6" t="s">
        <v>166</v>
      </c>
      <c r="E5844" s="11">
        <v>6.7815680503845215</v>
      </c>
      <c r="F5844" s="11">
        <v>5.6945910453796387</v>
      </c>
    </row>
    <row r="5845" spans="1:6" hidden="1" x14ac:dyDescent="0.3">
      <c r="A5845" s="6">
        <v>42</v>
      </c>
      <c r="B5845" s="6" t="s">
        <v>165</v>
      </c>
      <c r="C5845" s="6" t="s">
        <v>459</v>
      </c>
      <c r="D5845" s="6" t="s">
        <v>166</v>
      </c>
      <c r="E5845" s="11">
        <v>6.7229928970336914</v>
      </c>
      <c r="F5845" s="11">
        <v>5.6945910453796387</v>
      </c>
    </row>
    <row r="5846" spans="1:6" hidden="1" x14ac:dyDescent="0.3">
      <c r="A5846" s="6">
        <v>42</v>
      </c>
      <c r="B5846" s="6" t="s">
        <v>165</v>
      </c>
      <c r="C5846" s="6" t="s">
        <v>460</v>
      </c>
      <c r="D5846" s="6" t="s">
        <v>166</v>
      </c>
      <c r="E5846" s="11">
        <v>10.918326377868652</v>
      </c>
      <c r="F5846" s="11">
        <v>5.6945910453796387</v>
      </c>
    </row>
    <row r="5847" spans="1:6" hidden="1" x14ac:dyDescent="0.3">
      <c r="A5847" s="6">
        <v>42</v>
      </c>
      <c r="B5847" s="6" t="s">
        <v>165</v>
      </c>
      <c r="C5847" s="6" t="s">
        <v>461</v>
      </c>
      <c r="D5847" s="6" t="s">
        <v>166</v>
      </c>
      <c r="E5847" s="11">
        <v>7.095005989074707</v>
      </c>
      <c r="F5847" s="11">
        <v>5.6945910453796387</v>
      </c>
    </row>
    <row r="5848" spans="1:6" hidden="1" x14ac:dyDescent="0.3">
      <c r="A5848" s="6">
        <v>42</v>
      </c>
      <c r="B5848" s="6" t="s">
        <v>165</v>
      </c>
      <c r="C5848" s="6" t="s">
        <v>462</v>
      </c>
      <c r="D5848" s="6" t="s">
        <v>166</v>
      </c>
      <c r="E5848" s="11">
        <v>5.8037004470825195</v>
      </c>
      <c r="F5848" s="11">
        <v>5.6945910453796387</v>
      </c>
    </row>
    <row r="5849" spans="1:6" hidden="1" x14ac:dyDescent="0.3">
      <c r="A5849" s="6">
        <v>42</v>
      </c>
      <c r="B5849" s="6" t="s">
        <v>165</v>
      </c>
      <c r="C5849" s="6" t="s">
        <v>463</v>
      </c>
      <c r="D5849" s="6" t="s">
        <v>166</v>
      </c>
      <c r="E5849" s="11">
        <v>11.064298629760742</v>
      </c>
      <c r="F5849" s="11">
        <v>5.6945910453796387</v>
      </c>
    </row>
    <row r="5850" spans="1:6" hidden="1" x14ac:dyDescent="0.3">
      <c r="A5850" s="6">
        <v>42</v>
      </c>
      <c r="B5850" s="6" t="s">
        <v>165</v>
      </c>
      <c r="C5850" s="6" t="s">
        <v>464</v>
      </c>
      <c r="D5850" s="6" t="s">
        <v>166</v>
      </c>
      <c r="E5850" s="11">
        <v>7.6787142753601074</v>
      </c>
      <c r="F5850" s="11">
        <v>5.6945910453796387</v>
      </c>
    </row>
    <row r="5851" spans="1:6" hidden="1" x14ac:dyDescent="0.3">
      <c r="A5851" s="6">
        <v>42</v>
      </c>
      <c r="B5851" s="6" t="s">
        <v>165</v>
      </c>
      <c r="C5851" s="6" t="s">
        <v>465</v>
      </c>
      <c r="D5851" s="6" t="s">
        <v>166</v>
      </c>
      <c r="E5851" s="11">
        <v>6.7511196136474609</v>
      </c>
      <c r="F5851" s="11">
        <v>5.6945910453796387</v>
      </c>
    </row>
    <row r="5852" spans="1:6" hidden="1" x14ac:dyDescent="0.3">
      <c r="A5852" s="6">
        <v>42</v>
      </c>
      <c r="B5852" s="6" t="s">
        <v>165</v>
      </c>
      <c r="C5852" s="6" t="s">
        <v>466</v>
      </c>
      <c r="D5852" s="6" t="s">
        <v>166</v>
      </c>
      <c r="E5852" s="11">
        <v>7.0456666946411133</v>
      </c>
      <c r="F5852" s="11">
        <v>5.6945910453796387</v>
      </c>
    </row>
    <row r="5853" spans="1:6" hidden="1" x14ac:dyDescent="0.3">
      <c r="A5853" s="6">
        <v>42</v>
      </c>
      <c r="B5853" s="6" t="s">
        <v>165</v>
      </c>
      <c r="C5853" s="6" t="s">
        <v>467</v>
      </c>
      <c r="D5853" s="6" t="s">
        <v>166</v>
      </c>
      <c r="E5853" s="11">
        <v>51.914524078369141</v>
      </c>
      <c r="F5853" s="11">
        <v>5.6945910453796387</v>
      </c>
    </row>
    <row r="5854" spans="1:6" hidden="1" x14ac:dyDescent="0.3">
      <c r="A5854" s="6">
        <v>42</v>
      </c>
      <c r="B5854" s="6" t="s">
        <v>165</v>
      </c>
      <c r="C5854" s="6" t="s">
        <v>468</v>
      </c>
      <c r="D5854" s="6" t="s">
        <v>166</v>
      </c>
      <c r="E5854" s="11">
        <v>11.431488037109375</v>
      </c>
      <c r="F5854" s="11">
        <v>5.6945910453796387</v>
      </c>
    </row>
    <row r="5855" spans="1:6" hidden="1" x14ac:dyDescent="0.3">
      <c r="A5855" s="6">
        <v>42</v>
      </c>
      <c r="B5855" s="6" t="s">
        <v>165</v>
      </c>
      <c r="C5855" s="6" t="s">
        <v>469</v>
      </c>
      <c r="D5855" s="6" t="s">
        <v>166</v>
      </c>
      <c r="E5855" s="11">
        <v>4.5393528938293457</v>
      </c>
      <c r="F5855" s="11">
        <v>5.6945910453796387</v>
      </c>
    </row>
    <row r="5856" spans="1:6" hidden="1" x14ac:dyDescent="0.3">
      <c r="A5856" s="6">
        <v>42</v>
      </c>
      <c r="B5856" s="6" t="s">
        <v>165</v>
      </c>
      <c r="C5856" s="6" t="s">
        <v>470</v>
      </c>
      <c r="D5856" s="6" t="s">
        <v>166</v>
      </c>
      <c r="E5856" s="11">
        <v>6.185823917388916</v>
      </c>
      <c r="F5856" s="11">
        <v>5.6945910453796387</v>
      </c>
    </row>
    <row r="5857" spans="1:6" hidden="1" x14ac:dyDescent="0.3">
      <c r="A5857" s="6">
        <v>42</v>
      </c>
      <c r="B5857" s="6" t="s">
        <v>165</v>
      </c>
      <c r="C5857" s="6" t="s">
        <v>471</v>
      </c>
      <c r="D5857" s="6" t="s">
        <v>166</v>
      </c>
      <c r="E5857" s="11">
        <v>5.1193547248840332</v>
      </c>
      <c r="F5857" s="11">
        <v>5.6945910453796387</v>
      </c>
    </row>
    <row r="5858" spans="1:6" hidden="1" x14ac:dyDescent="0.3">
      <c r="A5858" s="6">
        <v>42</v>
      </c>
      <c r="B5858" s="6" t="s">
        <v>165</v>
      </c>
      <c r="C5858" s="6" t="s">
        <v>472</v>
      </c>
      <c r="D5858" s="6" t="s">
        <v>166</v>
      </c>
      <c r="E5858" s="11">
        <v>8.1309366226196289</v>
      </c>
      <c r="F5858" s="11">
        <v>5.6945910453796387</v>
      </c>
    </row>
    <row r="5859" spans="1:6" hidden="1" x14ac:dyDescent="0.3">
      <c r="A5859" s="6">
        <v>42</v>
      </c>
      <c r="B5859" s="6" t="s">
        <v>165</v>
      </c>
      <c r="C5859" s="6" t="s">
        <v>473</v>
      </c>
      <c r="D5859" s="6" t="s">
        <v>166</v>
      </c>
      <c r="E5859" s="11">
        <v>18.1241455078125</v>
      </c>
      <c r="F5859" s="11">
        <v>5.6945910453796387</v>
      </c>
    </row>
    <row r="5860" spans="1:6" hidden="1" x14ac:dyDescent="0.3">
      <c r="A5860" s="6">
        <v>42</v>
      </c>
      <c r="B5860" s="6" t="s">
        <v>165</v>
      </c>
      <c r="C5860" s="6" t="s">
        <v>474</v>
      </c>
      <c r="D5860" s="6" t="s">
        <v>166</v>
      </c>
      <c r="E5860" s="11">
        <v>8.9318265914916992</v>
      </c>
      <c r="F5860" s="11">
        <v>5.6945910453796387</v>
      </c>
    </row>
    <row r="5861" spans="1:6" hidden="1" x14ac:dyDescent="0.3">
      <c r="A5861" s="6">
        <v>42</v>
      </c>
      <c r="B5861" s="6" t="s">
        <v>165</v>
      </c>
      <c r="C5861" s="6" t="s">
        <v>475</v>
      </c>
      <c r="D5861" s="6" t="s">
        <v>166</v>
      </c>
      <c r="E5861" s="11">
        <v>4.2619481086730957</v>
      </c>
      <c r="F5861" s="11">
        <v>5.6945910453796387</v>
      </c>
    </row>
    <row r="5862" spans="1:6" hidden="1" x14ac:dyDescent="0.3">
      <c r="A5862" s="6">
        <v>42</v>
      </c>
      <c r="B5862" s="6" t="s">
        <v>165</v>
      </c>
      <c r="C5862" s="6" t="s">
        <v>476</v>
      </c>
      <c r="D5862" s="6" t="s">
        <v>166</v>
      </c>
      <c r="E5862" s="11">
        <v>7.1454496383666992</v>
      </c>
      <c r="F5862" s="11">
        <v>5.6945910453796387</v>
      </c>
    </row>
    <row r="5863" spans="1:6" hidden="1" x14ac:dyDescent="0.3">
      <c r="A5863" s="6">
        <v>42</v>
      </c>
      <c r="B5863" s="6" t="s">
        <v>165</v>
      </c>
      <c r="C5863" s="6" t="s">
        <v>477</v>
      </c>
      <c r="D5863" s="6" t="s">
        <v>166</v>
      </c>
      <c r="E5863" s="11">
        <v>7.7572469711303711</v>
      </c>
      <c r="F5863" s="11">
        <v>5.6945910453796387</v>
      </c>
    </row>
    <row r="5864" spans="1:6" hidden="1" x14ac:dyDescent="0.3">
      <c r="A5864" s="6">
        <v>42</v>
      </c>
      <c r="B5864" s="6" t="s">
        <v>165</v>
      </c>
      <c r="C5864" s="6" t="s">
        <v>478</v>
      </c>
      <c r="D5864" s="6" t="s">
        <v>166</v>
      </c>
      <c r="E5864" s="11">
        <v>5.7630581855773926</v>
      </c>
      <c r="F5864" s="11">
        <v>5.6945910453796387</v>
      </c>
    </row>
    <row r="5865" spans="1:6" hidden="1" x14ac:dyDescent="0.3">
      <c r="A5865" s="6">
        <v>42</v>
      </c>
      <c r="B5865" s="6" t="s">
        <v>165</v>
      </c>
      <c r="C5865" s="6" t="s">
        <v>479</v>
      </c>
      <c r="D5865" s="6" t="s">
        <v>166</v>
      </c>
      <c r="E5865" s="11">
        <v>15.366518974304199</v>
      </c>
      <c r="F5865" s="11">
        <v>5.6945910453796387</v>
      </c>
    </row>
    <row r="5866" spans="1:6" hidden="1" x14ac:dyDescent="0.3">
      <c r="A5866" s="6">
        <v>42</v>
      </c>
      <c r="B5866" s="6" t="s">
        <v>165</v>
      </c>
      <c r="C5866" s="6" t="s">
        <v>480</v>
      </c>
      <c r="D5866" s="6" t="s">
        <v>166</v>
      </c>
      <c r="E5866" s="11">
        <v>7.8226513862609863</v>
      </c>
      <c r="F5866" s="11">
        <v>5.6945910453796387</v>
      </c>
    </row>
    <row r="5867" spans="1:6" hidden="1" x14ac:dyDescent="0.3">
      <c r="A5867" s="6">
        <v>42</v>
      </c>
      <c r="B5867" s="6" t="s">
        <v>165</v>
      </c>
      <c r="C5867" s="6" t="s">
        <v>481</v>
      </c>
      <c r="D5867" s="6" t="s">
        <v>166</v>
      </c>
      <c r="E5867" s="11">
        <v>5.4419641494750977</v>
      </c>
      <c r="F5867" s="11">
        <v>5.6945910453796387</v>
      </c>
    </row>
    <row r="5868" spans="1:6" hidden="1" x14ac:dyDescent="0.3">
      <c r="A5868" s="6">
        <v>42</v>
      </c>
      <c r="B5868" s="6" t="s">
        <v>165</v>
      </c>
      <c r="C5868" s="6" t="s">
        <v>482</v>
      </c>
      <c r="D5868" s="6" t="s">
        <v>166</v>
      </c>
      <c r="E5868" s="11">
        <v>6.9974656105041504</v>
      </c>
      <c r="F5868" s="11">
        <v>5.6945910453796387</v>
      </c>
    </row>
    <row r="5869" spans="1:6" hidden="1" x14ac:dyDescent="0.3">
      <c r="A5869" s="6">
        <v>42</v>
      </c>
      <c r="B5869" s="6" t="s">
        <v>165</v>
      </c>
      <c r="C5869" s="6" t="s">
        <v>483</v>
      </c>
      <c r="D5869" s="6" t="s">
        <v>166</v>
      </c>
      <c r="E5869" s="11">
        <v>9.8260231018066406</v>
      </c>
      <c r="F5869" s="11">
        <v>5.6945910453796387</v>
      </c>
    </row>
    <row r="5870" spans="1:6" hidden="1" x14ac:dyDescent="0.3">
      <c r="A5870" s="6">
        <v>42</v>
      </c>
      <c r="B5870" s="6" t="s">
        <v>165</v>
      </c>
      <c r="C5870" s="6" t="s">
        <v>484</v>
      </c>
      <c r="D5870" s="6" t="s">
        <v>166</v>
      </c>
      <c r="E5870" s="11">
        <v>6.1925239562988281</v>
      </c>
      <c r="F5870" s="11">
        <v>5.6945910453796387</v>
      </c>
    </row>
    <row r="5871" spans="1:6" hidden="1" x14ac:dyDescent="0.3">
      <c r="A5871" s="6">
        <v>42</v>
      </c>
      <c r="B5871" s="6" t="s">
        <v>165</v>
      </c>
      <c r="C5871" s="6" t="s">
        <v>485</v>
      </c>
      <c r="D5871" s="6" t="s">
        <v>166</v>
      </c>
      <c r="E5871" s="11">
        <v>10.234539031982422</v>
      </c>
      <c r="F5871" s="11">
        <v>5.6945910453796387</v>
      </c>
    </row>
    <row r="5872" spans="1:6" hidden="1" x14ac:dyDescent="0.3">
      <c r="A5872" s="6">
        <v>42</v>
      </c>
      <c r="B5872" s="6" t="s">
        <v>165</v>
      </c>
      <c r="C5872" s="6" t="s">
        <v>486</v>
      </c>
      <c r="D5872" s="6" t="s">
        <v>166</v>
      </c>
      <c r="E5872" s="11">
        <v>5.5408730506896973</v>
      </c>
      <c r="F5872" s="11">
        <v>5.6945910453796387</v>
      </c>
    </row>
    <row r="5873" spans="1:6" hidden="1" x14ac:dyDescent="0.3">
      <c r="A5873" s="6">
        <v>42</v>
      </c>
      <c r="B5873" s="6" t="s">
        <v>165</v>
      </c>
      <c r="C5873" s="6" t="s">
        <v>487</v>
      </c>
      <c r="D5873" s="6" t="s">
        <v>166</v>
      </c>
      <c r="E5873" s="11">
        <v>3.5983781814575195</v>
      </c>
      <c r="F5873" s="11">
        <v>5.6945910453796387</v>
      </c>
    </row>
    <row r="5874" spans="1:6" hidden="1" x14ac:dyDescent="0.3">
      <c r="A5874" s="6">
        <v>42</v>
      </c>
      <c r="B5874" s="6" t="s">
        <v>165</v>
      </c>
      <c r="C5874" s="6" t="s">
        <v>488</v>
      </c>
      <c r="D5874" s="6" t="s">
        <v>166</v>
      </c>
      <c r="E5874" s="11">
        <v>5.6080656051635742</v>
      </c>
      <c r="F5874" s="11">
        <v>5.6945910453796387</v>
      </c>
    </row>
    <row r="5875" spans="1:6" hidden="1" x14ac:dyDescent="0.3">
      <c r="A5875" s="6">
        <v>42</v>
      </c>
      <c r="B5875" s="6" t="s">
        <v>165</v>
      </c>
      <c r="C5875" s="6" t="s">
        <v>489</v>
      </c>
      <c r="D5875" s="6" t="s">
        <v>166</v>
      </c>
      <c r="E5875" s="11">
        <v>30.063106536865234</v>
      </c>
      <c r="F5875" s="11">
        <v>5.6945910453796387</v>
      </c>
    </row>
    <row r="5876" spans="1:6" hidden="1" x14ac:dyDescent="0.3">
      <c r="A5876" s="6">
        <v>42</v>
      </c>
      <c r="B5876" s="6" t="s">
        <v>165</v>
      </c>
      <c r="C5876" s="6" t="s">
        <v>490</v>
      </c>
      <c r="D5876" s="6" t="s">
        <v>166</v>
      </c>
      <c r="E5876" s="11">
        <v>5.8780288696289063</v>
      </c>
      <c r="F5876" s="11">
        <v>5.6945910453796387</v>
      </c>
    </row>
    <row r="5877" spans="1:6" hidden="1" x14ac:dyDescent="0.3">
      <c r="A5877" s="6">
        <v>42</v>
      </c>
      <c r="B5877" s="6" t="s">
        <v>165</v>
      </c>
      <c r="C5877" s="6" t="s">
        <v>491</v>
      </c>
      <c r="D5877" s="6" t="s">
        <v>166</v>
      </c>
      <c r="E5877" s="11">
        <v>6.4690079689025879</v>
      </c>
      <c r="F5877" s="11">
        <v>5.6945910453796387</v>
      </c>
    </row>
    <row r="5878" spans="1:6" hidden="1" x14ac:dyDescent="0.3">
      <c r="A5878" s="6">
        <v>42</v>
      </c>
      <c r="B5878" s="6" t="s">
        <v>165</v>
      </c>
      <c r="C5878" s="6" t="s">
        <v>492</v>
      </c>
      <c r="D5878" s="6" t="s">
        <v>166</v>
      </c>
      <c r="E5878" s="11">
        <v>15.460175514221191</v>
      </c>
      <c r="F5878" s="11">
        <v>5.6945910453796387</v>
      </c>
    </row>
    <row r="5879" spans="1:6" hidden="1" x14ac:dyDescent="0.3">
      <c r="A5879" s="6">
        <v>42</v>
      </c>
      <c r="B5879" s="6" t="s">
        <v>165</v>
      </c>
      <c r="C5879" s="6" t="s">
        <v>493</v>
      </c>
      <c r="D5879" s="6" t="s">
        <v>166</v>
      </c>
      <c r="E5879" s="11">
        <v>5.8245835304260254</v>
      </c>
      <c r="F5879" s="11">
        <v>5.6945910453796387</v>
      </c>
    </row>
    <row r="5880" spans="1:6" hidden="1" x14ac:dyDescent="0.3">
      <c r="A5880" s="6">
        <v>42</v>
      </c>
      <c r="B5880" s="6" t="s">
        <v>165</v>
      </c>
      <c r="C5880" s="6" t="s">
        <v>494</v>
      </c>
      <c r="D5880" s="6" t="s">
        <v>166</v>
      </c>
      <c r="E5880" s="11">
        <v>142.83711242675781</v>
      </c>
      <c r="F5880" s="11">
        <v>5.6945910453796387</v>
      </c>
    </row>
    <row r="5881" spans="1:6" hidden="1" x14ac:dyDescent="0.3">
      <c r="A5881" s="6">
        <v>42</v>
      </c>
      <c r="B5881" s="6" t="s">
        <v>165</v>
      </c>
      <c r="C5881" s="6" t="s">
        <v>495</v>
      </c>
      <c r="D5881" s="6" t="s">
        <v>166</v>
      </c>
      <c r="E5881" s="11">
        <v>4.7531309127807617</v>
      </c>
      <c r="F5881" s="11">
        <v>5.6945910453796387</v>
      </c>
    </row>
    <row r="5882" spans="1:6" hidden="1" x14ac:dyDescent="0.3">
      <c r="A5882" s="6">
        <v>43</v>
      </c>
      <c r="B5882" s="6" t="s">
        <v>167</v>
      </c>
      <c r="C5882" s="6" t="s">
        <v>356</v>
      </c>
      <c r="D5882" s="6" t="s">
        <v>168</v>
      </c>
      <c r="E5882" s="11">
        <v>3.4112482070922852</v>
      </c>
      <c r="F5882" s="11">
        <v>5.3749303817749023</v>
      </c>
    </row>
    <row r="5883" spans="1:6" hidden="1" x14ac:dyDescent="0.3">
      <c r="A5883" s="6">
        <v>43</v>
      </c>
      <c r="B5883" s="6" t="s">
        <v>167</v>
      </c>
      <c r="C5883" s="6" t="s">
        <v>357</v>
      </c>
      <c r="D5883" s="6" t="s">
        <v>168</v>
      </c>
      <c r="E5883" s="11">
        <v>17.519285202026367</v>
      </c>
      <c r="F5883" s="11">
        <v>5.3749303817749023</v>
      </c>
    </row>
    <row r="5884" spans="1:6" hidden="1" x14ac:dyDescent="0.3">
      <c r="A5884" s="6">
        <v>43</v>
      </c>
      <c r="B5884" s="6" t="s">
        <v>167</v>
      </c>
      <c r="C5884" s="6" t="s">
        <v>358</v>
      </c>
      <c r="D5884" s="6" t="s">
        <v>168</v>
      </c>
      <c r="E5884" s="11">
        <v>22.775897979736328</v>
      </c>
      <c r="F5884" s="11">
        <v>5.3749303817749023</v>
      </c>
    </row>
    <row r="5885" spans="1:6" hidden="1" x14ac:dyDescent="0.3">
      <c r="A5885" s="6">
        <v>43</v>
      </c>
      <c r="B5885" s="6" t="s">
        <v>167</v>
      </c>
      <c r="C5885" s="6" t="s">
        <v>359</v>
      </c>
      <c r="D5885" s="6" t="s">
        <v>168</v>
      </c>
      <c r="E5885" s="11">
        <v>4.8268709182739258</v>
      </c>
      <c r="F5885" s="11">
        <v>5.3749303817749023</v>
      </c>
    </row>
    <row r="5886" spans="1:6" hidden="1" x14ac:dyDescent="0.3">
      <c r="A5886" s="6">
        <v>43</v>
      </c>
      <c r="B5886" s="6" t="s">
        <v>167</v>
      </c>
      <c r="C5886" s="6" t="s">
        <v>360</v>
      </c>
      <c r="D5886" s="6" t="s">
        <v>168</v>
      </c>
      <c r="E5886" s="11">
        <v>4.6912517547607422</v>
      </c>
      <c r="F5886" s="11">
        <v>5.3749303817749023</v>
      </c>
    </row>
    <row r="5887" spans="1:6" hidden="1" x14ac:dyDescent="0.3">
      <c r="A5887" s="6">
        <v>43</v>
      </c>
      <c r="B5887" s="6" t="s">
        <v>167</v>
      </c>
      <c r="C5887" s="6" t="s">
        <v>361</v>
      </c>
      <c r="D5887" s="6" t="s">
        <v>168</v>
      </c>
      <c r="E5887" s="11">
        <v>4.1030158996582031</v>
      </c>
      <c r="F5887" s="11">
        <v>5.3749303817749023</v>
      </c>
    </row>
    <row r="5888" spans="1:6" hidden="1" x14ac:dyDescent="0.3">
      <c r="A5888" s="6">
        <v>43</v>
      </c>
      <c r="B5888" s="6" t="s">
        <v>167</v>
      </c>
      <c r="C5888" s="6" t="s">
        <v>362</v>
      </c>
      <c r="D5888" s="6" t="s">
        <v>168</v>
      </c>
      <c r="E5888" s="11">
        <v>6.2270336151123047</v>
      </c>
      <c r="F5888" s="11">
        <v>5.3749303817749023</v>
      </c>
    </row>
    <row r="5889" spans="1:6" hidden="1" x14ac:dyDescent="0.3">
      <c r="A5889" s="6">
        <v>43</v>
      </c>
      <c r="B5889" s="6" t="s">
        <v>167</v>
      </c>
      <c r="C5889" s="6" t="s">
        <v>363</v>
      </c>
      <c r="D5889" s="6" t="s">
        <v>168</v>
      </c>
      <c r="E5889" s="11">
        <v>4.1294293403625488</v>
      </c>
      <c r="F5889" s="11">
        <v>5.3749303817749023</v>
      </c>
    </row>
    <row r="5890" spans="1:6" hidden="1" x14ac:dyDescent="0.3">
      <c r="A5890" s="6">
        <v>43</v>
      </c>
      <c r="B5890" s="6" t="s">
        <v>167</v>
      </c>
      <c r="C5890" s="6" t="s">
        <v>364</v>
      </c>
      <c r="D5890" s="6" t="s">
        <v>168</v>
      </c>
      <c r="E5890" s="11">
        <v>21.465713500976563</v>
      </c>
      <c r="F5890" s="11">
        <v>5.3749303817749023</v>
      </c>
    </row>
    <row r="5891" spans="1:6" hidden="1" x14ac:dyDescent="0.3">
      <c r="A5891" s="6">
        <v>43</v>
      </c>
      <c r="B5891" s="6" t="s">
        <v>167</v>
      </c>
      <c r="C5891" s="6" t="s">
        <v>365</v>
      </c>
      <c r="D5891" s="6" t="s">
        <v>168</v>
      </c>
      <c r="E5891" s="11">
        <v>3.7806098461151123</v>
      </c>
      <c r="F5891" s="11">
        <v>5.3749303817749023</v>
      </c>
    </row>
    <row r="5892" spans="1:6" hidden="1" x14ac:dyDescent="0.3">
      <c r="A5892" s="6">
        <v>43</v>
      </c>
      <c r="B5892" s="6" t="s">
        <v>167</v>
      </c>
      <c r="C5892" s="6" t="s">
        <v>366</v>
      </c>
      <c r="D5892" s="6" t="s">
        <v>168</v>
      </c>
      <c r="E5892" s="11">
        <v>5.7768473625183105</v>
      </c>
      <c r="F5892" s="11">
        <v>5.3749303817749023</v>
      </c>
    </row>
    <row r="5893" spans="1:6" hidden="1" x14ac:dyDescent="0.3">
      <c r="A5893" s="6">
        <v>43</v>
      </c>
      <c r="B5893" s="6" t="s">
        <v>167</v>
      </c>
      <c r="C5893" s="6" t="s">
        <v>367</v>
      </c>
      <c r="D5893" s="6" t="s">
        <v>168</v>
      </c>
      <c r="E5893" s="11">
        <v>4.1685833930969238</v>
      </c>
      <c r="F5893" s="11">
        <v>5.3749303817749023</v>
      </c>
    </row>
    <row r="5894" spans="1:6" hidden="1" x14ac:dyDescent="0.3">
      <c r="A5894" s="6">
        <v>43</v>
      </c>
      <c r="B5894" s="6" t="s">
        <v>167</v>
      </c>
      <c r="C5894" s="6" t="s">
        <v>368</v>
      </c>
      <c r="D5894" s="6" t="s">
        <v>168</v>
      </c>
      <c r="E5894" s="11">
        <v>20.220373153686523</v>
      </c>
      <c r="F5894" s="11">
        <v>5.3749303817749023</v>
      </c>
    </row>
    <row r="5895" spans="1:6" hidden="1" x14ac:dyDescent="0.3">
      <c r="A5895" s="6">
        <v>43</v>
      </c>
      <c r="B5895" s="6" t="s">
        <v>167</v>
      </c>
      <c r="C5895" s="6" t="s">
        <v>369</v>
      </c>
      <c r="D5895" s="6" t="s">
        <v>168</v>
      </c>
      <c r="E5895" s="11">
        <v>8.0053939819335938</v>
      </c>
      <c r="F5895" s="11">
        <v>5.3749303817749023</v>
      </c>
    </row>
    <row r="5896" spans="1:6" hidden="1" x14ac:dyDescent="0.3">
      <c r="A5896" s="6">
        <v>43</v>
      </c>
      <c r="B5896" s="6" t="s">
        <v>167</v>
      </c>
      <c r="C5896" s="6" t="s">
        <v>370</v>
      </c>
      <c r="D5896" s="6" t="s">
        <v>168</v>
      </c>
      <c r="E5896" s="11">
        <v>3.9769523143768311</v>
      </c>
      <c r="F5896" s="11">
        <v>5.3749303817749023</v>
      </c>
    </row>
    <row r="5897" spans="1:6" hidden="1" x14ac:dyDescent="0.3">
      <c r="A5897" s="6">
        <v>43</v>
      </c>
      <c r="B5897" s="6" t="s">
        <v>167</v>
      </c>
      <c r="C5897" s="6" t="s">
        <v>371</v>
      </c>
      <c r="D5897" s="6" t="s">
        <v>168</v>
      </c>
      <c r="E5897" s="11">
        <v>3.3486757278442383</v>
      </c>
      <c r="F5897" s="11">
        <v>5.3749303817749023</v>
      </c>
    </row>
    <row r="5898" spans="1:6" hidden="1" x14ac:dyDescent="0.3">
      <c r="A5898" s="6">
        <v>43</v>
      </c>
      <c r="B5898" s="6" t="s">
        <v>167</v>
      </c>
      <c r="C5898" s="6" t="s">
        <v>372</v>
      </c>
      <c r="D5898" s="6" t="s">
        <v>168</v>
      </c>
      <c r="E5898" s="11">
        <v>17.223892211914063</v>
      </c>
      <c r="F5898" s="11">
        <v>5.3749303817749023</v>
      </c>
    </row>
    <row r="5899" spans="1:6" hidden="1" x14ac:dyDescent="0.3">
      <c r="A5899" s="6">
        <v>43</v>
      </c>
      <c r="B5899" s="6" t="s">
        <v>167</v>
      </c>
      <c r="C5899" s="6" t="s">
        <v>373</v>
      </c>
      <c r="D5899" s="6" t="s">
        <v>168</v>
      </c>
      <c r="E5899" s="11">
        <v>4.4884963035583496</v>
      </c>
      <c r="F5899" s="11">
        <v>5.3749303817749023</v>
      </c>
    </row>
    <row r="5900" spans="1:6" hidden="1" x14ac:dyDescent="0.3">
      <c r="A5900" s="6">
        <v>43</v>
      </c>
      <c r="B5900" s="6" t="s">
        <v>167</v>
      </c>
      <c r="C5900" s="6" t="s">
        <v>374</v>
      </c>
      <c r="D5900" s="6" t="s">
        <v>168</v>
      </c>
      <c r="E5900" s="11">
        <v>3.4985134601593018</v>
      </c>
      <c r="F5900" s="11">
        <v>5.3749303817749023</v>
      </c>
    </row>
    <row r="5901" spans="1:6" hidden="1" x14ac:dyDescent="0.3">
      <c r="A5901" s="6">
        <v>43</v>
      </c>
      <c r="B5901" s="6" t="s">
        <v>167</v>
      </c>
      <c r="C5901" s="6" t="s">
        <v>375</v>
      </c>
      <c r="D5901" s="6" t="s">
        <v>168</v>
      </c>
      <c r="E5901" s="11">
        <v>3.3621094226837158</v>
      </c>
      <c r="F5901" s="11">
        <v>5.3749303817749023</v>
      </c>
    </row>
    <row r="5902" spans="1:6" hidden="1" x14ac:dyDescent="0.3">
      <c r="A5902" s="6">
        <v>43</v>
      </c>
      <c r="B5902" s="6" t="s">
        <v>167</v>
      </c>
      <c r="C5902" s="6" t="s">
        <v>376</v>
      </c>
      <c r="D5902" s="6" t="s">
        <v>168</v>
      </c>
      <c r="E5902" s="11">
        <v>3.8966360092163086</v>
      </c>
      <c r="F5902" s="11">
        <v>5.3749303817749023</v>
      </c>
    </row>
    <row r="5903" spans="1:6" hidden="1" x14ac:dyDescent="0.3">
      <c r="A5903" s="6">
        <v>43</v>
      </c>
      <c r="B5903" s="6" t="s">
        <v>167</v>
      </c>
      <c r="C5903" s="6" t="s">
        <v>377</v>
      </c>
      <c r="D5903" s="6" t="s">
        <v>168</v>
      </c>
      <c r="E5903" s="11">
        <v>6.9307126998901367</v>
      </c>
      <c r="F5903" s="11">
        <v>5.3749303817749023</v>
      </c>
    </row>
    <row r="5904" spans="1:6" hidden="1" x14ac:dyDescent="0.3">
      <c r="A5904" s="6">
        <v>43</v>
      </c>
      <c r="B5904" s="6" t="s">
        <v>167</v>
      </c>
      <c r="C5904" s="6" t="s">
        <v>378</v>
      </c>
      <c r="D5904" s="6" t="s">
        <v>168</v>
      </c>
      <c r="E5904" s="11">
        <v>8.9154596328735352</v>
      </c>
      <c r="F5904" s="11">
        <v>5.3749303817749023</v>
      </c>
    </row>
    <row r="5905" spans="1:6" hidden="1" x14ac:dyDescent="0.3">
      <c r="A5905" s="6">
        <v>43</v>
      </c>
      <c r="B5905" s="6" t="s">
        <v>167</v>
      </c>
      <c r="C5905" s="6" t="s">
        <v>379</v>
      </c>
      <c r="D5905" s="6" t="s">
        <v>168</v>
      </c>
      <c r="E5905" s="11">
        <v>10.702206611633301</v>
      </c>
      <c r="F5905" s="11">
        <v>5.3749303817749023</v>
      </c>
    </row>
    <row r="5906" spans="1:6" hidden="1" x14ac:dyDescent="0.3">
      <c r="A5906" s="6">
        <v>43</v>
      </c>
      <c r="B5906" s="6" t="s">
        <v>167</v>
      </c>
      <c r="C5906" s="6" t="s">
        <v>380</v>
      </c>
      <c r="D5906" s="6" t="s">
        <v>168</v>
      </c>
      <c r="E5906" s="11">
        <v>3.3648695945739746</v>
      </c>
      <c r="F5906" s="11">
        <v>5.3749303817749023</v>
      </c>
    </row>
    <row r="5907" spans="1:6" hidden="1" x14ac:dyDescent="0.3">
      <c r="A5907" s="6">
        <v>43</v>
      </c>
      <c r="B5907" s="6" t="s">
        <v>167</v>
      </c>
      <c r="C5907" s="6" t="s">
        <v>381</v>
      </c>
      <c r="D5907" s="6" t="s">
        <v>168</v>
      </c>
      <c r="E5907" s="11">
        <v>3.9893860816955566</v>
      </c>
      <c r="F5907" s="11">
        <v>5.3749303817749023</v>
      </c>
    </row>
    <row r="5908" spans="1:6" hidden="1" x14ac:dyDescent="0.3">
      <c r="A5908" s="6">
        <v>43</v>
      </c>
      <c r="B5908" s="6" t="s">
        <v>167</v>
      </c>
      <c r="C5908" s="6" t="s">
        <v>382</v>
      </c>
      <c r="D5908" s="6" t="s">
        <v>168</v>
      </c>
      <c r="E5908" s="11">
        <v>16.792482376098633</v>
      </c>
      <c r="F5908" s="11">
        <v>5.3749303817749023</v>
      </c>
    </row>
    <row r="5909" spans="1:6" hidden="1" x14ac:dyDescent="0.3">
      <c r="A5909" s="6">
        <v>43</v>
      </c>
      <c r="B5909" s="6" t="s">
        <v>167</v>
      </c>
      <c r="C5909" s="6" t="s">
        <v>383</v>
      </c>
      <c r="D5909" s="6" t="s">
        <v>168</v>
      </c>
      <c r="E5909" s="11">
        <v>4.1557140350341797</v>
      </c>
      <c r="F5909" s="11">
        <v>5.3749303817749023</v>
      </c>
    </row>
    <row r="5910" spans="1:6" hidden="1" x14ac:dyDescent="0.3">
      <c r="A5910" s="6">
        <v>43</v>
      </c>
      <c r="B5910" s="6" t="s">
        <v>167</v>
      </c>
      <c r="C5910" s="6" t="s">
        <v>384</v>
      </c>
      <c r="D5910" s="6" t="s">
        <v>168</v>
      </c>
      <c r="E5910" s="11">
        <v>5.5653109550476074</v>
      </c>
      <c r="F5910" s="11">
        <v>5.3749303817749023</v>
      </c>
    </row>
    <row r="5911" spans="1:6" hidden="1" x14ac:dyDescent="0.3">
      <c r="A5911" s="6">
        <v>43</v>
      </c>
      <c r="B5911" s="6" t="s">
        <v>167</v>
      </c>
      <c r="C5911" s="6" t="s">
        <v>385</v>
      </c>
      <c r="D5911" s="6" t="s">
        <v>168</v>
      </c>
      <c r="E5911" s="11">
        <v>4.537693977355957</v>
      </c>
      <c r="F5911" s="11">
        <v>5.3749303817749023</v>
      </c>
    </row>
    <row r="5912" spans="1:6" hidden="1" x14ac:dyDescent="0.3">
      <c r="A5912" s="6">
        <v>43</v>
      </c>
      <c r="B5912" s="6" t="s">
        <v>167</v>
      </c>
      <c r="C5912" s="6" t="s">
        <v>386</v>
      </c>
      <c r="D5912" s="6" t="s">
        <v>168</v>
      </c>
      <c r="E5912" s="11">
        <v>4.2889533042907715</v>
      </c>
      <c r="F5912" s="11">
        <v>5.3749303817749023</v>
      </c>
    </row>
    <row r="5913" spans="1:6" hidden="1" x14ac:dyDescent="0.3">
      <c r="A5913" s="6">
        <v>43</v>
      </c>
      <c r="B5913" s="6" t="s">
        <v>167</v>
      </c>
      <c r="C5913" s="6" t="s">
        <v>387</v>
      </c>
      <c r="D5913" s="6" t="s">
        <v>168</v>
      </c>
      <c r="E5913" s="11">
        <v>22.630939483642578</v>
      </c>
      <c r="F5913" s="11">
        <v>5.3749303817749023</v>
      </c>
    </row>
    <row r="5914" spans="1:6" hidden="1" x14ac:dyDescent="0.3">
      <c r="A5914" s="6">
        <v>43</v>
      </c>
      <c r="B5914" s="6" t="s">
        <v>167</v>
      </c>
      <c r="C5914" s="6" t="s">
        <v>388</v>
      </c>
      <c r="D5914" s="6" t="s">
        <v>168</v>
      </c>
      <c r="E5914" s="11">
        <v>6.9650592803955078</v>
      </c>
      <c r="F5914" s="11">
        <v>5.3749303817749023</v>
      </c>
    </row>
    <row r="5915" spans="1:6" hidden="1" x14ac:dyDescent="0.3">
      <c r="A5915" s="6">
        <v>43</v>
      </c>
      <c r="B5915" s="6" t="s">
        <v>167</v>
      </c>
      <c r="C5915" s="6" t="s">
        <v>389</v>
      </c>
      <c r="D5915" s="6" t="s">
        <v>168</v>
      </c>
      <c r="E5915" s="11">
        <v>4.0552244186401367</v>
      </c>
      <c r="F5915" s="11">
        <v>5.3749303817749023</v>
      </c>
    </row>
    <row r="5916" spans="1:6" hidden="1" x14ac:dyDescent="0.3">
      <c r="A5916" s="6">
        <v>43</v>
      </c>
      <c r="B5916" s="6" t="s">
        <v>167</v>
      </c>
      <c r="C5916" s="6" t="s">
        <v>390</v>
      </c>
      <c r="D5916" s="6" t="s">
        <v>168</v>
      </c>
      <c r="E5916" s="11">
        <v>31.333303451538086</v>
      </c>
      <c r="F5916" s="11">
        <v>5.3749303817749023</v>
      </c>
    </row>
    <row r="5917" spans="1:6" hidden="1" x14ac:dyDescent="0.3">
      <c r="A5917" s="6">
        <v>43</v>
      </c>
      <c r="B5917" s="6" t="s">
        <v>167</v>
      </c>
      <c r="C5917" s="6" t="s">
        <v>391</v>
      </c>
      <c r="D5917" s="6" t="s">
        <v>168</v>
      </c>
      <c r="E5917" s="11">
        <v>3.0744307041168213</v>
      </c>
      <c r="F5917" s="11">
        <v>5.3749303817749023</v>
      </c>
    </row>
    <row r="5918" spans="1:6" hidden="1" x14ac:dyDescent="0.3">
      <c r="A5918" s="6">
        <v>43</v>
      </c>
      <c r="B5918" s="6" t="s">
        <v>167</v>
      </c>
      <c r="C5918" s="6" t="s">
        <v>392</v>
      </c>
      <c r="D5918" s="6" t="s">
        <v>168</v>
      </c>
      <c r="E5918" s="11">
        <v>4.9968695640563965</v>
      </c>
      <c r="F5918" s="11">
        <v>5.3749303817749023</v>
      </c>
    </row>
    <row r="5919" spans="1:6" hidden="1" x14ac:dyDescent="0.3">
      <c r="A5919" s="6">
        <v>43</v>
      </c>
      <c r="B5919" s="6" t="s">
        <v>167</v>
      </c>
      <c r="C5919" s="6" t="s">
        <v>393</v>
      </c>
      <c r="D5919" s="6" t="s">
        <v>168</v>
      </c>
      <c r="E5919" s="11">
        <v>4.8778848648071289</v>
      </c>
      <c r="F5919" s="11">
        <v>5.3749303817749023</v>
      </c>
    </row>
    <row r="5920" spans="1:6" hidden="1" x14ac:dyDescent="0.3">
      <c r="A5920" s="6">
        <v>43</v>
      </c>
      <c r="B5920" s="6" t="s">
        <v>167</v>
      </c>
      <c r="C5920" s="6" t="s">
        <v>394</v>
      </c>
      <c r="D5920" s="6" t="s">
        <v>168</v>
      </c>
      <c r="E5920" s="11">
        <v>4.2854809761047363</v>
      </c>
      <c r="F5920" s="11">
        <v>5.3749303817749023</v>
      </c>
    </row>
    <row r="5921" spans="1:6" hidden="1" x14ac:dyDescent="0.3">
      <c r="A5921" s="6">
        <v>43</v>
      </c>
      <c r="B5921" s="6" t="s">
        <v>167</v>
      </c>
      <c r="C5921" s="6" t="s">
        <v>395</v>
      </c>
      <c r="D5921" s="6" t="s">
        <v>168</v>
      </c>
      <c r="E5921" s="11">
        <v>8.1005411148071289</v>
      </c>
      <c r="F5921" s="11">
        <v>5.3749303817749023</v>
      </c>
    </row>
    <row r="5922" spans="1:6" hidden="1" x14ac:dyDescent="0.3">
      <c r="A5922" s="6">
        <v>43</v>
      </c>
      <c r="B5922" s="6" t="s">
        <v>167</v>
      </c>
      <c r="C5922" s="6" t="s">
        <v>396</v>
      </c>
      <c r="D5922" s="6" t="s">
        <v>168</v>
      </c>
      <c r="E5922" s="11">
        <v>5.7573251724243164</v>
      </c>
      <c r="F5922" s="11">
        <v>5.3749303817749023</v>
      </c>
    </row>
    <row r="5923" spans="1:6" hidden="1" x14ac:dyDescent="0.3">
      <c r="A5923" s="6">
        <v>43</v>
      </c>
      <c r="B5923" s="6" t="s">
        <v>167</v>
      </c>
      <c r="C5923" s="6" t="s">
        <v>397</v>
      </c>
      <c r="D5923" s="6" t="s">
        <v>168</v>
      </c>
      <c r="E5923" s="11">
        <v>32.440296173095703</v>
      </c>
      <c r="F5923" s="11">
        <v>5.3749303817749023</v>
      </c>
    </row>
    <row r="5924" spans="1:6" hidden="1" x14ac:dyDescent="0.3">
      <c r="A5924" s="6">
        <v>43</v>
      </c>
      <c r="B5924" s="6" t="s">
        <v>167</v>
      </c>
      <c r="C5924" s="6" t="s">
        <v>398</v>
      </c>
      <c r="D5924" s="6" t="s">
        <v>168</v>
      </c>
      <c r="E5924" s="11">
        <v>5.1955161094665527</v>
      </c>
      <c r="F5924" s="11">
        <v>5.3749303817749023</v>
      </c>
    </row>
    <row r="5925" spans="1:6" hidden="1" x14ac:dyDescent="0.3">
      <c r="A5925" s="6">
        <v>43</v>
      </c>
      <c r="B5925" s="6" t="s">
        <v>167</v>
      </c>
      <c r="C5925" s="6" t="s">
        <v>399</v>
      </c>
      <c r="D5925" s="6" t="s">
        <v>168</v>
      </c>
      <c r="E5925" s="11">
        <v>4.612452507019043</v>
      </c>
      <c r="F5925" s="11">
        <v>5.3749303817749023</v>
      </c>
    </row>
    <row r="5926" spans="1:6" hidden="1" x14ac:dyDescent="0.3">
      <c r="A5926" s="6">
        <v>43</v>
      </c>
      <c r="B5926" s="6" t="s">
        <v>167</v>
      </c>
      <c r="C5926" s="6" t="s">
        <v>400</v>
      </c>
      <c r="D5926" s="6" t="s">
        <v>168</v>
      </c>
      <c r="E5926" s="11">
        <v>3.3050374984741211</v>
      </c>
      <c r="F5926" s="11">
        <v>5.3749303817749023</v>
      </c>
    </row>
    <row r="5927" spans="1:6" hidden="1" x14ac:dyDescent="0.3">
      <c r="A5927" s="6">
        <v>43</v>
      </c>
      <c r="B5927" s="6" t="s">
        <v>167</v>
      </c>
      <c r="C5927" s="6" t="s">
        <v>401</v>
      </c>
      <c r="D5927" s="6" t="s">
        <v>168</v>
      </c>
      <c r="E5927" s="11">
        <v>19.411909103393555</v>
      </c>
      <c r="F5927" s="11">
        <v>5.3749303817749023</v>
      </c>
    </row>
    <row r="5928" spans="1:6" hidden="1" x14ac:dyDescent="0.3">
      <c r="A5928" s="6">
        <v>43</v>
      </c>
      <c r="B5928" s="6" t="s">
        <v>167</v>
      </c>
      <c r="C5928" s="6" t="s">
        <v>402</v>
      </c>
      <c r="D5928" s="6" t="s">
        <v>168</v>
      </c>
      <c r="E5928" s="11">
        <v>9.2348270416259766</v>
      </c>
      <c r="F5928" s="11">
        <v>5.3749303817749023</v>
      </c>
    </row>
    <row r="5929" spans="1:6" hidden="1" x14ac:dyDescent="0.3">
      <c r="A5929" s="6">
        <v>43</v>
      </c>
      <c r="B5929" s="6" t="s">
        <v>167</v>
      </c>
      <c r="C5929" s="6" t="s">
        <v>403</v>
      </c>
      <c r="D5929" s="6" t="s">
        <v>168</v>
      </c>
      <c r="E5929" s="11">
        <v>4.7300004959106445</v>
      </c>
      <c r="F5929" s="11">
        <v>5.3749303817749023</v>
      </c>
    </row>
    <row r="5930" spans="1:6" hidden="1" x14ac:dyDescent="0.3">
      <c r="A5930" s="6">
        <v>43</v>
      </c>
      <c r="B5930" s="6" t="s">
        <v>167</v>
      </c>
      <c r="C5930" s="6" t="s">
        <v>404</v>
      </c>
      <c r="D5930" s="6" t="s">
        <v>168</v>
      </c>
      <c r="E5930" s="11">
        <v>19.839347839355469</v>
      </c>
      <c r="F5930" s="11">
        <v>5.3749303817749023</v>
      </c>
    </row>
    <row r="5931" spans="1:6" hidden="1" x14ac:dyDescent="0.3">
      <c r="A5931" s="6">
        <v>43</v>
      </c>
      <c r="B5931" s="6" t="s">
        <v>167</v>
      </c>
      <c r="C5931" s="6" t="s">
        <v>405</v>
      </c>
      <c r="D5931" s="6" t="s">
        <v>168</v>
      </c>
      <c r="E5931" s="11">
        <v>5.0688867568969727</v>
      </c>
      <c r="F5931" s="11">
        <v>5.3749303817749023</v>
      </c>
    </row>
    <row r="5932" spans="1:6" hidden="1" x14ac:dyDescent="0.3">
      <c r="A5932" s="6">
        <v>43</v>
      </c>
      <c r="B5932" s="6" t="s">
        <v>167</v>
      </c>
      <c r="C5932" s="6" t="s">
        <v>406</v>
      </c>
      <c r="D5932" s="6" t="s">
        <v>168</v>
      </c>
      <c r="E5932" s="11">
        <v>5.0894527435302734</v>
      </c>
      <c r="F5932" s="11">
        <v>5.3749303817749023</v>
      </c>
    </row>
    <row r="5933" spans="1:6" hidden="1" x14ac:dyDescent="0.3">
      <c r="A5933" s="6">
        <v>43</v>
      </c>
      <c r="B5933" s="6" t="s">
        <v>167</v>
      </c>
      <c r="C5933" s="6" t="s">
        <v>407</v>
      </c>
      <c r="D5933" s="6" t="s">
        <v>168</v>
      </c>
      <c r="E5933" s="11">
        <v>11.537376403808594</v>
      </c>
      <c r="F5933" s="11">
        <v>5.3749303817749023</v>
      </c>
    </row>
    <row r="5934" spans="1:6" hidden="1" x14ac:dyDescent="0.3">
      <c r="A5934" s="6">
        <v>43</v>
      </c>
      <c r="B5934" s="6" t="s">
        <v>167</v>
      </c>
      <c r="C5934" s="6" t="s">
        <v>408</v>
      </c>
      <c r="D5934" s="6" t="s">
        <v>168</v>
      </c>
      <c r="E5934" s="11">
        <v>10.839391708374023</v>
      </c>
      <c r="F5934" s="11">
        <v>5.3749303817749023</v>
      </c>
    </row>
    <row r="5935" spans="1:6" hidden="1" x14ac:dyDescent="0.3">
      <c r="A5935" s="6">
        <v>43</v>
      </c>
      <c r="B5935" s="6" t="s">
        <v>167</v>
      </c>
      <c r="C5935" s="6" t="s">
        <v>409</v>
      </c>
      <c r="D5935" s="6" t="s">
        <v>168</v>
      </c>
      <c r="E5935" s="11">
        <v>5.5637607574462891</v>
      </c>
      <c r="F5935" s="11">
        <v>5.3749303817749023</v>
      </c>
    </row>
    <row r="5936" spans="1:6" hidden="1" x14ac:dyDescent="0.3">
      <c r="A5936" s="6">
        <v>43</v>
      </c>
      <c r="B5936" s="6" t="s">
        <v>167</v>
      </c>
      <c r="C5936" s="6" t="s">
        <v>410</v>
      </c>
      <c r="D5936" s="6" t="s">
        <v>168</v>
      </c>
      <c r="E5936" s="11">
        <v>13.337136268615723</v>
      </c>
      <c r="F5936" s="11">
        <v>5.3749303817749023</v>
      </c>
    </row>
    <row r="5937" spans="1:6" hidden="1" x14ac:dyDescent="0.3">
      <c r="A5937" s="6">
        <v>43</v>
      </c>
      <c r="B5937" s="6" t="s">
        <v>167</v>
      </c>
      <c r="C5937" s="6" t="s">
        <v>411</v>
      </c>
      <c r="D5937" s="6" t="s">
        <v>168</v>
      </c>
      <c r="E5937" s="11">
        <v>38.674957275390625</v>
      </c>
      <c r="F5937" s="11">
        <v>5.3749303817749023</v>
      </c>
    </row>
    <row r="5938" spans="1:6" hidden="1" x14ac:dyDescent="0.3">
      <c r="A5938" s="6">
        <v>43</v>
      </c>
      <c r="B5938" s="6" t="s">
        <v>167</v>
      </c>
      <c r="C5938" s="6" t="s">
        <v>412</v>
      </c>
      <c r="D5938" s="6" t="s">
        <v>168</v>
      </c>
      <c r="E5938" s="11">
        <v>5.8106002807617188</v>
      </c>
      <c r="F5938" s="11">
        <v>5.3749303817749023</v>
      </c>
    </row>
    <row r="5939" spans="1:6" hidden="1" x14ac:dyDescent="0.3">
      <c r="A5939" s="6">
        <v>43</v>
      </c>
      <c r="B5939" s="6" t="s">
        <v>167</v>
      </c>
      <c r="C5939" s="6" t="s">
        <v>413</v>
      </c>
      <c r="D5939" s="6" t="s">
        <v>168</v>
      </c>
      <c r="E5939" s="11">
        <v>5.837984561920166</v>
      </c>
      <c r="F5939" s="11">
        <v>5.3749303817749023</v>
      </c>
    </row>
    <row r="5940" spans="1:6" hidden="1" x14ac:dyDescent="0.3">
      <c r="A5940" s="6">
        <v>43</v>
      </c>
      <c r="B5940" s="6" t="s">
        <v>167</v>
      </c>
      <c r="C5940" s="6" t="s">
        <v>414</v>
      </c>
      <c r="D5940" s="6" t="s">
        <v>168</v>
      </c>
      <c r="E5940" s="11">
        <v>27.149232864379883</v>
      </c>
      <c r="F5940" s="11">
        <v>5.3749303817749023</v>
      </c>
    </row>
    <row r="5941" spans="1:6" hidden="1" x14ac:dyDescent="0.3">
      <c r="A5941" s="6">
        <v>43</v>
      </c>
      <c r="B5941" s="6" t="s">
        <v>167</v>
      </c>
      <c r="C5941" s="6" t="s">
        <v>415</v>
      </c>
      <c r="D5941" s="6" t="s">
        <v>168</v>
      </c>
      <c r="E5941" s="11">
        <v>4.0360212326049805</v>
      </c>
      <c r="F5941" s="11">
        <v>5.3749303817749023</v>
      </c>
    </row>
    <row r="5942" spans="1:6" hidden="1" x14ac:dyDescent="0.3">
      <c r="A5942" s="6">
        <v>43</v>
      </c>
      <c r="B5942" s="6" t="s">
        <v>167</v>
      </c>
      <c r="C5942" s="6" t="s">
        <v>416</v>
      </c>
      <c r="D5942" s="6" t="s">
        <v>168</v>
      </c>
      <c r="E5942" s="11">
        <v>43.661388397216797</v>
      </c>
      <c r="F5942" s="11">
        <v>5.3749303817749023</v>
      </c>
    </row>
    <row r="5943" spans="1:6" hidden="1" x14ac:dyDescent="0.3">
      <c r="A5943" s="6">
        <v>43</v>
      </c>
      <c r="B5943" s="6" t="s">
        <v>167</v>
      </c>
      <c r="C5943" s="6" t="s">
        <v>417</v>
      </c>
      <c r="D5943" s="6" t="s">
        <v>168</v>
      </c>
      <c r="E5943" s="11">
        <v>6.9912209510803223</v>
      </c>
      <c r="F5943" s="11">
        <v>5.3749303817749023</v>
      </c>
    </row>
    <row r="5944" spans="1:6" hidden="1" x14ac:dyDescent="0.3">
      <c r="A5944" s="6">
        <v>43</v>
      </c>
      <c r="B5944" s="6" t="s">
        <v>167</v>
      </c>
      <c r="C5944" s="6" t="s">
        <v>418</v>
      </c>
      <c r="D5944" s="6" t="s">
        <v>168</v>
      </c>
      <c r="E5944" s="11">
        <v>18.126636505126953</v>
      </c>
      <c r="F5944" s="11">
        <v>5.3749303817749023</v>
      </c>
    </row>
    <row r="5945" spans="1:6" hidden="1" x14ac:dyDescent="0.3">
      <c r="A5945" s="6">
        <v>43</v>
      </c>
      <c r="B5945" s="6" t="s">
        <v>167</v>
      </c>
      <c r="C5945" s="6" t="s">
        <v>419</v>
      </c>
      <c r="D5945" s="6" t="s">
        <v>168</v>
      </c>
      <c r="E5945" s="11">
        <v>22.863214492797852</v>
      </c>
      <c r="F5945" s="11">
        <v>5.3749303817749023</v>
      </c>
    </row>
    <row r="5946" spans="1:6" hidden="1" x14ac:dyDescent="0.3">
      <c r="A5946" s="6">
        <v>43</v>
      </c>
      <c r="B5946" s="6" t="s">
        <v>167</v>
      </c>
      <c r="C5946" s="6" t="s">
        <v>420</v>
      </c>
      <c r="D5946" s="6" t="s">
        <v>168</v>
      </c>
      <c r="E5946" s="11">
        <v>6.6492500305175781</v>
      </c>
      <c r="F5946" s="11">
        <v>5.3749303817749023</v>
      </c>
    </row>
    <row r="5947" spans="1:6" hidden="1" x14ac:dyDescent="0.3">
      <c r="A5947" s="6">
        <v>43</v>
      </c>
      <c r="B5947" s="6" t="s">
        <v>167</v>
      </c>
      <c r="C5947" s="6" t="s">
        <v>421</v>
      </c>
      <c r="D5947" s="6" t="s">
        <v>168</v>
      </c>
      <c r="E5947" s="11">
        <v>5.1769418716430664</v>
      </c>
      <c r="F5947" s="11">
        <v>5.3749303817749023</v>
      </c>
    </row>
    <row r="5948" spans="1:6" hidden="1" x14ac:dyDescent="0.3">
      <c r="A5948" s="6">
        <v>43</v>
      </c>
      <c r="B5948" s="6" t="s">
        <v>167</v>
      </c>
      <c r="C5948" s="6" t="s">
        <v>422</v>
      </c>
      <c r="D5948" s="6" t="s">
        <v>168</v>
      </c>
      <c r="E5948" s="11">
        <v>6.0720853805541992</v>
      </c>
      <c r="F5948" s="11">
        <v>5.3749303817749023</v>
      </c>
    </row>
    <row r="5949" spans="1:6" hidden="1" x14ac:dyDescent="0.3">
      <c r="A5949" s="6">
        <v>43</v>
      </c>
      <c r="B5949" s="6" t="s">
        <v>167</v>
      </c>
      <c r="C5949" s="6" t="s">
        <v>423</v>
      </c>
      <c r="D5949" s="6" t="s">
        <v>168</v>
      </c>
      <c r="E5949" s="11">
        <v>3.9716744422912598</v>
      </c>
      <c r="F5949" s="11">
        <v>5.3749303817749023</v>
      </c>
    </row>
    <row r="5950" spans="1:6" hidden="1" x14ac:dyDescent="0.3">
      <c r="A5950" s="6">
        <v>43</v>
      </c>
      <c r="B5950" s="6" t="s">
        <v>167</v>
      </c>
      <c r="C5950" s="6" t="s">
        <v>424</v>
      </c>
      <c r="D5950" s="6" t="s">
        <v>168</v>
      </c>
      <c r="E5950" s="11">
        <v>5.0177745819091797</v>
      </c>
      <c r="F5950" s="11">
        <v>5.3749303817749023</v>
      </c>
    </row>
    <row r="5951" spans="1:6" hidden="1" x14ac:dyDescent="0.3">
      <c r="A5951" s="6">
        <v>43</v>
      </c>
      <c r="B5951" s="6" t="s">
        <v>167</v>
      </c>
      <c r="C5951" s="6" t="s">
        <v>425</v>
      </c>
      <c r="D5951" s="6" t="s">
        <v>168</v>
      </c>
      <c r="E5951" s="11">
        <v>21.524944305419922</v>
      </c>
      <c r="F5951" s="11">
        <v>5.3749303817749023</v>
      </c>
    </row>
    <row r="5952" spans="1:6" hidden="1" x14ac:dyDescent="0.3">
      <c r="A5952" s="6">
        <v>43</v>
      </c>
      <c r="B5952" s="6" t="s">
        <v>167</v>
      </c>
      <c r="C5952" s="6" t="s">
        <v>426</v>
      </c>
      <c r="D5952" s="6" t="s">
        <v>168</v>
      </c>
      <c r="E5952" s="11">
        <v>7.3705554008483887</v>
      </c>
      <c r="F5952" s="11">
        <v>5.3749303817749023</v>
      </c>
    </row>
    <row r="5953" spans="1:6" hidden="1" x14ac:dyDescent="0.3">
      <c r="A5953" s="6">
        <v>43</v>
      </c>
      <c r="B5953" s="6" t="s">
        <v>167</v>
      </c>
      <c r="C5953" s="6" t="s">
        <v>427</v>
      </c>
      <c r="D5953" s="6" t="s">
        <v>168</v>
      </c>
      <c r="E5953" s="11">
        <v>24.748455047607422</v>
      </c>
      <c r="F5953" s="11">
        <v>5.3749303817749023</v>
      </c>
    </row>
    <row r="5954" spans="1:6" hidden="1" x14ac:dyDescent="0.3">
      <c r="A5954" s="6">
        <v>43</v>
      </c>
      <c r="B5954" s="6" t="s">
        <v>167</v>
      </c>
      <c r="C5954" s="6" t="s">
        <v>428</v>
      </c>
      <c r="D5954" s="6" t="s">
        <v>168</v>
      </c>
      <c r="E5954" s="11">
        <v>6.375490665435791</v>
      </c>
      <c r="F5954" s="11">
        <v>5.3749303817749023</v>
      </c>
    </row>
    <row r="5955" spans="1:6" hidden="1" x14ac:dyDescent="0.3">
      <c r="A5955" s="6">
        <v>43</v>
      </c>
      <c r="B5955" s="6" t="s">
        <v>167</v>
      </c>
      <c r="C5955" s="6" t="s">
        <v>429</v>
      </c>
      <c r="D5955" s="6" t="s">
        <v>168</v>
      </c>
      <c r="E5955" s="11">
        <v>3.0471193790435791</v>
      </c>
      <c r="F5955" s="11">
        <v>5.3749303817749023</v>
      </c>
    </row>
    <row r="5956" spans="1:6" hidden="1" x14ac:dyDescent="0.3">
      <c r="A5956" s="6">
        <v>43</v>
      </c>
      <c r="B5956" s="6" t="s">
        <v>167</v>
      </c>
      <c r="C5956" s="6" t="s">
        <v>430</v>
      </c>
      <c r="D5956" s="6" t="s">
        <v>168</v>
      </c>
      <c r="E5956" s="11">
        <v>24.0679931640625</v>
      </c>
      <c r="F5956" s="11">
        <v>5.3749303817749023</v>
      </c>
    </row>
    <row r="5957" spans="1:6" hidden="1" x14ac:dyDescent="0.3">
      <c r="A5957" s="6">
        <v>43</v>
      </c>
      <c r="B5957" s="6" t="s">
        <v>167</v>
      </c>
      <c r="C5957" s="6" t="s">
        <v>431</v>
      </c>
      <c r="D5957" s="6" t="s">
        <v>168</v>
      </c>
      <c r="E5957" s="11">
        <v>560.97015380859375</v>
      </c>
      <c r="F5957" s="11">
        <v>5.3749303817749023</v>
      </c>
    </row>
    <row r="5958" spans="1:6" hidden="1" x14ac:dyDescent="0.3">
      <c r="A5958" s="6">
        <v>43</v>
      </c>
      <c r="B5958" s="6" t="s">
        <v>167</v>
      </c>
      <c r="C5958" s="6" t="s">
        <v>432</v>
      </c>
      <c r="D5958" s="6" t="s">
        <v>168</v>
      </c>
      <c r="E5958" s="11">
        <v>20.001165390014648</v>
      </c>
      <c r="F5958" s="11">
        <v>5.3749303817749023</v>
      </c>
    </row>
    <row r="5959" spans="1:6" hidden="1" x14ac:dyDescent="0.3">
      <c r="A5959" s="6">
        <v>43</v>
      </c>
      <c r="B5959" s="6" t="s">
        <v>167</v>
      </c>
      <c r="C5959" s="6" t="s">
        <v>433</v>
      </c>
      <c r="D5959" s="6" t="s">
        <v>168</v>
      </c>
      <c r="E5959" s="11">
        <v>3.1130208969116211</v>
      </c>
      <c r="F5959" s="11">
        <v>5.3749303817749023</v>
      </c>
    </row>
    <row r="5960" spans="1:6" hidden="1" x14ac:dyDescent="0.3">
      <c r="A5960" s="6">
        <v>43</v>
      </c>
      <c r="B5960" s="6" t="s">
        <v>167</v>
      </c>
      <c r="C5960" s="6" t="s">
        <v>434</v>
      </c>
      <c r="D5960" s="6" t="s">
        <v>168</v>
      </c>
      <c r="E5960" s="11">
        <v>3.605881929397583</v>
      </c>
      <c r="F5960" s="11">
        <v>5.3749303817749023</v>
      </c>
    </row>
    <row r="5961" spans="1:6" hidden="1" x14ac:dyDescent="0.3">
      <c r="A5961" s="6">
        <v>43</v>
      </c>
      <c r="B5961" s="6" t="s">
        <v>167</v>
      </c>
      <c r="C5961" s="6" t="s">
        <v>435</v>
      </c>
      <c r="D5961" s="6" t="s">
        <v>168</v>
      </c>
      <c r="E5961" s="11">
        <v>19.917625427246094</v>
      </c>
      <c r="F5961" s="11">
        <v>5.3749303817749023</v>
      </c>
    </row>
    <row r="5962" spans="1:6" hidden="1" x14ac:dyDescent="0.3">
      <c r="A5962" s="6">
        <v>43</v>
      </c>
      <c r="B5962" s="6" t="s">
        <v>167</v>
      </c>
      <c r="C5962" s="6" t="s">
        <v>436</v>
      </c>
      <c r="D5962" s="6" t="s">
        <v>168</v>
      </c>
      <c r="E5962" s="11">
        <v>5.1653389930725098</v>
      </c>
      <c r="F5962" s="11">
        <v>5.3749303817749023</v>
      </c>
    </row>
    <row r="5963" spans="1:6" hidden="1" x14ac:dyDescent="0.3">
      <c r="A5963" s="6">
        <v>43</v>
      </c>
      <c r="B5963" s="6" t="s">
        <v>167</v>
      </c>
      <c r="C5963" s="6" t="s">
        <v>437</v>
      </c>
      <c r="D5963" s="6" t="s">
        <v>168</v>
      </c>
      <c r="E5963" s="11">
        <v>3.1718792915344238</v>
      </c>
      <c r="F5963" s="11">
        <v>5.3749303817749023</v>
      </c>
    </row>
    <row r="5964" spans="1:6" hidden="1" x14ac:dyDescent="0.3">
      <c r="A5964" s="6">
        <v>43</v>
      </c>
      <c r="B5964" s="6" t="s">
        <v>167</v>
      </c>
      <c r="C5964" s="6" t="s">
        <v>438</v>
      </c>
      <c r="D5964" s="6" t="s">
        <v>168</v>
      </c>
      <c r="E5964" s="11">
        <v>4.5550475120544434</v>
      </c>
      <c r="F5964" s="11">
        <v>5.3749303817749023</v>
      </c>
    </row>
    <row r="5965" spans="1:6" hidden="1" x14ac:dyDescent="0.3">
      <c r="A5965" s="6">
        <v>43</v>
      </c>
      <c r="B5965" s="6" t="s">
        <v>167</v>
      </c>
      <c r="C5965" s="6" t="s">
        <v>439</v>
      </c>
      <c r="D5965" s="6" t="s">
        <v>168</v>
      </c>
      <c r="E5965" s="11">
        <v>3.5968759059906006</v>
      </c>
      <c r="F5965" s="11">
        <v>5.3749303817749023</v>
      </c>
    </row>
    <row r="5966" spans="1:6" hidden="1" x14ac:dyDescent="0.3">
      <c r="A5966" s="6">
        <v>43</v>
      </c>
      <c r="B5966" s="6" t="s">
        <v>167</v>
      </c>
      <c r="C5966" s="6" t="s">
        <v>440</v>
      </c>
      <c r="D5966" s="6" t="s">
        <v>168</v>
      </c>
      <c r="E5966" s="11">
        <v>16.389560699462891</v>
      </c>
      <c r="F5966" s="11">
        <v>5.3749303817749023</v>
      </c>
    </row>
    <row r="5967" spans="1:6" hidden="1" x14ac:dyDescent="0.3">
      <c r="A5967" s="6">
        <v>43</v>
      </c>
      <c r="B5967" s="6" t="s">
        <v>167</v>
      </c>
      <c r="C5967" s="6" t="s">
        <v>441</v>
      </c>
      <c r="D5967" s="6" t="s">
        <v>168</v>
      </c>
      <c r="E5967" s="11">
        <v>8.3084993362426758</v>
      </c>
      <c r="F5967" s="11">
        <v>5.3749303817749023</v>
      </c>
    </row>
    <row r="5968" spans="1:6" hidden="1" x14ac:dyDescent="0.3">
      <c r="A5968" s="6">
        <v>43</v>
      </c>
      <c r="B5968" s="6" t="s">
        <v>167</v>
      </c>
      <c r="C5968" s="6" t="s">
        <v>442</v>
      </c>
      <c r="D5968" s="6" t="s">
        <v>168</v>
      </c>
      <c r="E5968" s="11">
        <v>4.9459595680236816</v>
      </c>
      <c r="F5968" s="11">
        <v>5.3749303817749023</v>
      </c>
    </row>
    <row r="5969" spans="1:6" hidden="1" x14ac:dyDescent="0.3">
      <c r="A5969" s="6">
        <v>43</v>
      </c>
      <c r="B5969" s="6" t="s">
        <v>167</v>
      </c>
      <c r="C5969" s="6" t="s">
        <v>443</v>
      </c>
      <c r="D5969" s="6" t="s">
        <v>168</v>
      </c>
      <c r="E5969" s="11">
        <v>4.4812769889831543</v>
      </c>
      <c r="F5969" s="11">
        <v>5.3749303817749023</v>
      </c>
    </row>
    <row r="5970" spans="1:6" hidden="1" x14ac:dyDescent="0.3">
      <c r="A5970" s="6">
        <v>43</v>
      </c>
      <c r="B5970" s="6" t="s">
        <v>167</v>
      </c>
      <c r="C5970" s="6" t="s">
        <v>444</v>
      </c>
      <c r="D5970" s="6" t="s">
        <v>168</v>
      </c>
      <c r="E5970" s="11">
        <v>3.8102836608886719</v>
      </c>
      <c r="F5970" s="11">
        <v>5.3749303817749023</v>
      </c>
    </row>
    <row r="5971" spans="1:6" hidden="1" x14ac:dyDescent="0.3">
      <c r="A5971" s="6">
        <v>43</v>
      </c>
      <c r="B5971" s="6" t="s">
        <v>167</v>
      </c>
      <c r="C5971" s="6" t="s">
        <v>445</v>
      </c>
      <c r="D5971" s="6" t="s">
        <v>168</v>
      </c>
      <c r="E5971" s="11">
        <v>5.6868429183959961</v>
      </c>
      <c r="F5971" s="11">
        <v>5.3749303817749023</v>
      </c>
    </row>
    <row r="5972" spans="1:6" hidden="1" x14ac:dyDescent="0.3">
      <c r="A5972" s="6">
        <v>43</v>
      </c>
      <c r="B5972" s="6" t="s">
        <v>167</v>
      </c>
      <c r="C5972" s="6" t="s">
        <v>446</v>
      </c>
      <c r="D5972" s="6" t="s">
        <v>168</v>
      </c>
      <c r="E5972" s="11">
        <v>5.7328701019287109</v>
      </c>
      <c r="F5972" s="11">
        <v>5.3749303817749023</v>
      </c>
    </row>
    <row r="5973" spans="1:6" hidden="1" x14ac:dyDescent="0.3">
      <c r="A5973" s="6">
        <v>43</v>
      </c>
      <c r="B5973" s="6" t="s">
        <v>167</v>
      </c>
      <c r="C5973" s="6" t="s">
        <v>447</v>
      </c>
      <c r="D5973" s="6" t="s">
        <v>168</v>
      </c>
      <c r="E5973" s="11">
        <v>3.844280481338501</v>
      </c>
      <c r="F5973" s="11">
        <v>5.3749303817749023</v>
      </c>
    </row>
    <row r="5974" spans="1:6" hidden="1" x14ac:dyDescent="0.3">
      <c r="A5974" s="6">
        <v>43</v>
      </c>
      <c r="B5974" s="6" t="s">
        <v>167</v>
      </c>
      <c r="C5974" s="6" t="s">
        <v>448</v>
      </c>
      <c r="D5974" s="6" t="s">
        <v>168</v>
      </c>
      <c r="E5974" s="11">
        <v>3.6737608909606934</v>
      </c>
      <c r="F5974" s="11">
        <v>5.3749303817749023</v>
      </c>
    </row>
    <row r="5975" spans="1:6" hidden="1" x14ac:dyDescent="0.3">
      <c r="A5975" s="6">
        <v>43</v>
      </c>
      <c r="B5975" s="6" t="s">
        <v>167</v>
      </c>
      <c r="C5975" s="6" t="s">
        <v>449</v>
      </c>
      <c r="D5975" s="6" t="s">
        <v>168</v>
      </c>
      <c r="E5975" s="11">
        <v>4.0569329261779785</v>
      </c>
      <c r="F5975" s="11">
        <v>5.3749303817749023</v>
      </c>
    </row>
    <row r="5976" spans="1:6" hidden="1" x14ac:dyDescent="0.3">
      <c r="A5976" s="6">
        <v>43</v>
      </c>
      <c r="B5976" s="6" t="s">
        <v>167</v>
      </c>
      <c r="C5976" s="6" t="s">
        <v>450</v>
      </c>
      <c r="D5976" s="6" t="s">
        <v>168</v>
      </c>
      <c r="E5976" s="11">
        <v>5.2811183929443359</v>
      </c>
      <c r="F5976" s="11">
        <v>5.3749303817749023</v>
      </c>
    </row>
    <row r="5977" spans="1:6" hidden="1" x14ac:dyDescent="0.3">
      <c r="A5977" s="6">
        <v>43</v>
      </c>
      <c r="B5977" s="6" t="s">
        <v>167</v>
      </c>
      <c r="C5977" s="6" t="s">
        <v>451</v>
      </c>
      <c r="D5977" s="6" t="s">
        <v>168</v>
      </c>
      <c r="E5977" s="11">
        <v>31.19993782043457</v>
      </c>
      <c r="F5977" s="11">
        <v>5.3749303817749023</v>
      </c>
    </row>
    <row r="5978" spans="1:6" hidden="1" x14ac:dyDescent="0.3">
      <c r="A5978" s="6">
        <v>43</v>
      </c>
      <c r="B5978" s="6" t="s">
        <v>167</v>
      </c>
      <c r="C5978" s="6" t="s">
        <v>452</v>
      </c>
      <c r="D5978" s="6" t="s">
        <v>168</v>
      </c>
      <c r="E5978" s="11">
        <v>16.802915573120117</v>
      </c>
      <c r="F5978" s="11">
        <v>5.3749303817749023</v>
      </c>
    </row>
    <row r="5979" spans="1:6" hidden="1" x14ac:dyDescent="0.3">
      <c r="A5979" s="6">
        <v>43</v>
      </c>
      <c r="B5979" s="6" t="s">
        <v>167</v>
      </c>
      <c r="C5979" s="6" t="s">
        <v>453</v>
      </c>
      <c r="D5979" s="6" t="s">
        <v>168</v>
      </c>
      <c r="E5979" s="11">
        <v>17.8916015625</v>
      </c>
      <c r="F5979" s="11">
        <v>5.3749303817749023</v>
      </c>
    </row>
    <row r="5980" spans="1:6" hidden="1" x14ac:dyDescent="0.3">
      <c r="A5980" s="6">
        <v>43</v>
      </c>
      <c r="B5980" s="6" t="s">
        <v>167</v>
      </c>
      <c r="C5980" s="6" t="s">
        <v>454</v>
      </c>
      <c r="D5980" s="6" t="s">
        <v>168</v>
      </c>
      <c r="E5980" s="11">
        <v>20.085784912109375</v>
      </c>
      <c r="F5980" s="11">
        <v>5.3749303817749023</v>
      </c>
    </row>
    <row r="5981" spans="1:6" hidden="1" x14ac:dyDescent="0.3">
      <c r="A5981" s="6">
        <v>43</v>
      </c>
      <c r="B5981" s="6" t="s">
        <v>167</v>
      </c>
      <c r="C5981" s="6" t="s">
        <v>455</v>
      </c>
      <c r="D5981" s="6" t="s">
        <v>168</v>
      </c>
      <c r="E5981" s="11">
        <v>6.6619176864624023</v>
      </c>
      <c r="F5981" s="11">
        <v>5.3749303817749023</v>
      </c>
    </row>
    <row r="5982" spans="1:6" hidden="1" x14ac:dyDescent="0.3">
      <c r="A5982" s="6">
        <v>43</v>
      </c>
      <c r="B5982" s="6" t="s">
        <v>167</v>
      </c>
      <c r="C5982" s="6" t="s">
        <v>456</v>
      </c>
      <c r="D5982" s="6" t="s">
        <v>168</v>
      </c>
      <c r="E5982" s="11">
        <v>5.6024441719055176</v>
      </c>
      <c r="F5982" s="11">
        <v>5.3749303817749023</v>
      </c>
    </row>
    <row r="5983" spans="1:6" hidden="1" x14ac:dyDescent="0.3">
      <c r="A5983" s="6">
        <v>43</v>
      </c>
      <c r="B5983" s="6" t="s">
        <v>167</v>
      </c>
      <c r="C5983" s="6" t="s">
        <v>457</v>
      </c>
      <c r="D5983" s="6" t="s">
        <v>168</v>
      </c>
      <c r="E5983" s="11">
        <v>4.7968120574951172</v>
      </c>
      <c r="F5983" s="11">
        <v>5.3749303817749023</v>
      </c>
    </row>
    <row r="5984" spans="1:6" hidden="1" x14ac:dyDescent="0.3">
      <c r="A5984" s="6">
        <v>43</v>
      </c>
      <c r="B5984" s="6" t="s">
        <v>167</v>
      </c>
      <c r="C5984" s="6" t="s">
        <v>458</v>
      </c>
      <c r="D5984" s="6" t="s">
        <v>168</v>
      </c>
      <c r="E5984" s="11">
        <v>4.3234090805053711</v>
      </c>
      <c r="F5984" s="11">
        <v>5.3749303817749023</v>
      </c>
    </row>
    <row r="5985" spans="1:6" hidden="1" x14ac:dyDescent="0.3">
      <c r="A5985" s="6">
        <v>43</v>
      </c>
      <c r="B5985" s="6" t="s">
        <v>167</v>
      </c>
      <c r="C5985" s="6" t="s">
        <v>459</v>
      </c>
      <c r="D5985" s="6" t="s">
        <v>168</v>
      </c>
      <c r="E5985" s="11">
        <v>3.9698019027709961</v>
      </c>
      <c r="F5985" s="11">
        <v>5.3749303817749023</v>
      </c>
    </row>
    <row r="5986" spans="1:6" hidden="1" x14ac:dyDescent="0.3">
      <c r="A5986" s="6">
        <v>43</v>
      </c>
      <c r="B5986" s="6" t="s">
        <v>167</v>
      </c>
      <c r="C5986" s="6" t="s">
        <v>460</v>
      </c>
      <c r="D5986" s="6" t="s">
        <v>168</v>
      </c>
      <c r="E5986" s="11">
        <v>7.178985595703125</v>
      </c>
      <c r="F5986" s="11">
        <v>5.3749303817749023</v>
      </c>
    </row>
    <row r="5987" spans="1:6" hidden="1" x14ac:dyDescent="0.3">
      <c r="A5987" s="6">
        <v>43</v>
      </c>
      <c r="B5987" s="6" t="s">
        <v>167</v>
      </c>
      <c r="C5987" s="6" t="s">
        <v>461</v>
      </c>
      <c r="D5987" s="6" t="s">
        <v>168</v>
      </c>
      <c r="E5987" s="11">
        <v>10.95119571685791</v>
      </c>
      <c r="F5987" s="11">
        <v>5.3749303817749023</v>
      </c>
    </row>
    <row r="5988" spans="1:6" hidden="1" x14ac:dyDescent="0.3">
      <c r="A5988" s="6">
        <v>43</v>
      </c>
      <c r="B5988" s="6" t="s">
        <v>167</v>
      </c>
      <c r="C5988" s="6" t="s">
        <v>462</v>
      </c>
      <c r="D5988" s="6" t="s">
        <v>168</v>
      </c>
      <c r="E5988" s="11">
        <v>4.4225988388061523</v>
      </c>
      <c r="F5988" s="11">
        <v>5.3749303817749023</v>
      </c>
    </row>
    <row r="5989" spans="1:6" hidden="1" x14ac:dyDescent="0.3">
      <c r="A5989" s="6">
        <v>43</v>
      </c>
      <c r="B5989" s="6" t="s">
        <v>167</v>
      </c>
      <c r="C5989" s="6" t="s">
        <v>463</v>
      </c>
      <c r="D5989" s="6" t="s">
        <v>168</v>
      </c>
      <c r="E5989" s="11">
        <v>5.3411746025085449</v>
      </c>
      <c r="F5989" s="11">
        <v>5.3749303817749023</v>
      </c>
    </row>
    <row r="5990" spans="1:6" hidden="1" x14ac:dyDescent="0.3">
      <c r="A5990" s="6">
        <v>43</v>
      </c>
      <c r="B5990" s="6" t="s">
        <v>167</v>
      </c>
      <c r="C5990" s="6" t="s">
        <v>464</v>
      </c>
      <c r="D5990" s="6" t="s">
        <v>168</v>
      </c>
      <c r="E5990" s="11">
        <v>4.7523589134216309</v>
      </c>
      <c r="F5990" s="11">
        <v>5.3749303817749023</v>
      </c>
    </row>
    <row r="5991" spans="1:6" hidden="1" x14ac:dyDescent="0.3">
      <c r="A5991" s="6">
        <v>43</v>
      </c>
      <c r="B5991" s="6" t="s">
        <v>167</v>
      </c>
      <c r="C5991" s="6" t="s">
        <v>465</v>
      </c>
      <c r="D5991" s="6" t="s">
        <v>168</v>
      </c>
      <c r="E5991" s="11">
        <v>7.1335306167602539</v>
      </c>
      <c r="F5991" s="11">
        <v>5.3749303817749023</v>
      </c>
    </row>
    <row r="5992" spans="1:6" hidden="1" x14ac:dyDescent="0.3">
      <c r="A5992" s="6">
        <v>43</v>
      </c>
      <c r="B5992" s="6" t="s">
        <v>167</v>
      </c>
      <c r="C5992" s="6" t="s">
        <v>466</v>
      </c>
      <c r="D5992" s="6" t="s">
        <v>168</v>
      </c>
      <c r="E5992" s="11">
        <v>9.826298713684082</v>
      </c>
      <c r="F5992" s="11">
        <v>5.3749303817749023</v>
      </c>
    </row>
    <row r="5993" spans="1:6" hidden="1" x14ac:dyDescent="0.3">
      <c r="A5993" s="6">
        <v>43</v>
      </c>
      <c r="B5993" s="6" t="s">
        <v>167</v>
      </c>
      <c r="C5993" s="6" t="s">
        <v>467</v>
      </c>
      <c r="D5993" s="6" t="s">
        <v>168</v>
      </c>
      <c r="E5993" s="11">
        <v>17.335304260253906</v>
      </c>
      <c r="F5993" s="11">
        <v>5.3749303817749023</v>
      </c>
    </row>
    <row r="5994" spans="1:6" hidden="1" x14ac:dyDescent="0.3">
      <c r="A5994" s="6">
        <v>43</v>
      </c>
      <c r="B5994" s="6" t="s">
        <v>167</v>
      </c>
      <c r="C5994" s="6" t="s">
        <v>468</v>
      </c>
      <c r="D5994" s="6" t="s">
        <v>168</v>
      </c>
      <c r="E5994" s="11">
        <v>4.6848263740539551</v>
      </c>
      <c r="F5994" s="11">
        <v>5.3749303817749023</v>
      </c>
    </row>
    <row r="5995" spans="1:6" hidden="1" x14ac:dyDescent="0.3">
      <c r="A5995" s="6">
        <v>43</v>
      </c>
      <c r="B5995" s="6" t="s">
        <v>167</v>
      </c>
      <c r="C5995" s="6" t="s">
        <v>469</v>
      </c>
      <c r="D5995" s="6" t="s">
        <v>168</v>
      </c>
      <c r="E5995" s="11">
        <v>6.1289119720458984</v>
      </c>
      <c r="F5995" s="11">
        <v>5.3749303817749023</v>
      </c>
    </row>
    <row r="5996" spans="1:6" hidden="1" x14ac:dyDescent="0.3">
      <c r="A5996" s="6">
        <v>43</v>
      </c>
      <c r="B5996" s="6" t="s">
        <v>167</v>
      </c>
      <c r="C5996" s="6" t="s">
        <v>470</v>
      </c>
      <c r="D5996" s="6" t="s">
        <v>168</v>
      </c>
      <c r="E5996" s="11">
        <v>4.652681827545166</v>
      </c>
      <c r="F5996" s="11">
        <v>5.3749303817749023</v>
      </c>
    </row>
    <row r="5997" spans="1:6" hidden="1" x14ac:dyDescent="0.3">
      <c r="A5997" s="6">
        <v>43</v>
      </c>
      <c r="B5997" s="6" t="s">
        <v>167</v>
      </c>
      <c r="C5997" s="6" t="s">
        <v>471</v>
      </c>
      <c r="D5997" s="6" t="s">
        <v>168</v>
      </c>
      <c r="E5997" s="11">
        <v>4.2858829498291016</v>
      </c>
      <c r="F5997" s="11">
        <v>5.3749303817749023</v>
      </c>
    </row>
    <row r="5998" spans="1:6" hidden="1" x14ac:dyDescent="0.3">
      <c r="A5998" s="6">
        <v>43</v>
      </c>
      <c r="B5998" s="6" t="s">
        <v>167</v>
      </c>
      <c r="C5998" s="6" t="s">
        <v>472</v>
      </c>
      <c r="D5998" s="6" t="s">
        <v>168</v>
      </c>
      <c r="E5998" s="11">
        <v>4.0194063186645508</v>
      </c>
      <c r="F5998" s="11">
        <v>5.3749303817749023</v>
      </c>
    </row>
    <row r="5999" spans="1:6" hidden="1" x14ac:dyDescent="0.3">
      <c r="A5999" s="6">
        <v>43</v>
      </c>
      <c r="B5999" s="6" t="s">
        <v>167</v>
      </c>
      <c r="C5999" s="6" t="s">
        <v>473</v>
      </c>
      <c r="D5999" s="6" t="s">
        <v>168</v>
      </c>
      <c r="E5999" s="11">
        <v>5.2905645370483398</v>
      </c>
      <c r="F5999" s="11">
        <v>5.3749303817749023</v>
      </c>
    </row>
    <row r="6000" spans="1:6" hidden="1" x14ac:dyDescent="0.3">
      <c r="A6000" s="6">
        <v>43</v>
      </c>
      <c r="B6000" s="6" t="s">
        <v>167</v>
      </c>
      <c r="C6000" s="6" t="s">
        <v>474</v>
      </c>
      <c r="D6000" s="6" t="s">
        <v>168</v>
      </c>
      <c r="E6000" s="11">
        <v>7.2535672187805176</v>
      </c>
      <c r="F6000" s="11">
        <v>5.3749303817749023</v>
      </c>
    </row>
    <row r="6001" spans="1:6" hidden="1" x14ac:dyDescent="0.3">
      <c r="A6001" s="6">
        <v>43</v>
      </c>
      <c r="B6001" s="6" t="s">
        <v>167</v>
      </c>
      <c r="C6001" s="6" t="s">
        <v>475</v>
      </c>
      <c r="D6001" s="6" t="s">
        <v>168</v>
      </c>
      <c r="E6001" s="11">
        <v>20.647653579711914</v>
      </c>
      <c r="F6001" s="11">
        <v>5.3749303817749023</v>
      </c>
    </row>
    <row r="6002" spans="1:6" hidden="1" x14ac:dyDescent="0.3">
      <c r="A6002" s="6">
        <v>43</v>
      </c>
      <c r="B6002" s="6" t="s">
        <v>167</v>
      </c>
      <c r="C6002" s="6" t="s">
        <v>476</v>
      </c>
      <c r="D6002" s="6" t="s">
        <v>168</v>
      </c>
      <c r="E6002" s="11">
        <v>14.487032890319824</v>
      </c>
      <c r="F6002" s="11">
        <v>5.3749303817749023</v>
      </c>
    </row>
    <row r="6003" spans="1:6" hidden="1" x14ac:dyDescent="0.3">
      <c r="A6003" s="6">
        <v>43</v>
      </c>
      <c r="B6003" s="6" t="s">
        <v>167</v>
      </c>
      <c r="C6003" s="6" t="s">
        <v>477</v>
      </c>
      <c r="D6003" s="6" t="s">
        <v>168</v>
      </c>
      <c r="E6003" s="11">
        <v>8.769251823425293</v>
      </c>
      <c r="F6003" s="11">
        <v>5.3749303817749023</v>
      </c>
    </row>
    <row r="6004" spans="1:6" hidden="1" x14ac:dyDescent="0.3">
      <c r="A6004" s="6">
        <v>43</v>
      </c>
      <c r="B6004" s="6" t="s">
        <v>167</v>
      </c>
      <c r="C6004" s="6" t="s">
        <v>478</v>
      </c>
      <c r="D6004" s="6" t="s">
        <v>168</v>
      </c>
      <c r="E6004" s="11">
        <v>10.071829795837402</v>
      </c>
      <c r="F6004" s="11">
        <v>5.3749303817749023</v>
      </c>
    </row>
    <row r="6005" spans="1:6" hidden="1" x14ac:dyDescent="0.3">
      <c r="A6005" s="6">
        <v>43</v>
      </c>
      <c r="B6005" s="6" t="s">
        <v>167</v>
      </c>
      <c r="C6005" s="6" t="s">
        <v>479</v>
      </c>
      <c r="D6005" s="6" t="s">
        <v>168</v>
      </c>
      <c r="E6005" s="11">
        <v>6.0606122016906738</v>
      </c>
      <c r="F6005" s="11">
        <v>5.3749303817749023</v>
      </c>
    </row>
    <row r="6006" spans="1:6" hidden="1" x14ac:dyDescent="0.3">
      <c r="A6006" s="6">
        <v>43</v>
      </c>
      <c r="B6006" s="6" t="s">
        <v>167</v>
      </c>
      <c r="C6006" s="6" t="s">
        <v>480</v>
      </c>
      <c r="D6006" s="6" t="s">
        <v>168</v>
      </c>
      <c r="E6006" s="11">
        <v>4.3253488540649414</v>
      </c>
      <c r="F6006" s="11">
        <v>5.3749303817749023</v>
      </c>
    </row>
    <row r="6007" spans="1:6" hidden="1" x14ac:dyDescent="0.3">
      <c r="A6007" s="6">
        <v>43</v>
      </c>
      <c r="B6007" s="6" t="s">
        <v>167</v>
      </c>
      <c r="C6007" s="6" t="s">
        <v>481</v>
      </c>
      <c r="D6007" s="6" t="s">
        <v>168</v>
      </c>
      <c r="E6007" s="11">
        <v>5.7935104370117188</v>
      </c>
      <c r="F6007" s="11">
        <v>5.3749303817749023</v>
      </c>
    </row>
    <row r="6008" spans="1:6" hidden="1" x14ac:dyDescent="0.3">
      <c r="A6008" s="6">
        <v>43</v>
      </c>
      <c r="B6008" s="6" t="s">
        <v>167</v>
      </c>
      <c r="C6008" s="6" t="s">
        <v>482</v>
      </c>
      <c r="D6008" s="6" t="s">
        <v>168</v>
      </c>
      <c r="E6008" s="11">
        <v>5.6138930320739746</v>
      </c>
      <c r="F6008" s="11">
        <v>5.3749303817749023</v>
      </c>
    </row>
    <row r="6009" spans="1:6" hidden="1" x14ac:dyDescent="0.3">
      <c r="A6009" s="6">
        <v>43</v>
      </c>
      <c r="B6009" s="6" t="s">
        <v>167</v>
      </c>
      <c r="C6009" s="6" t="s">
        <v>483</v>
      </c>
      <c r="D6009" s="6" t="s">
        <v>168</v>
      </c>
      <c r="E6009" s="11">
        <v>17.817445755004883</v>
      </c>
      <c r="F6009" s="11">
        <v>5.3749303817749023</v>
      </c>
    </row>
    <row r="6010" spans="1:6" hidden="1" x14ac:dyDescent="0.3">
      <c r="A6010" s="6">
        <v>43</v>
      </c>
      <c r="B6010" s="6" t="s">
        <v>167</v>
      </c>
      <c r="C6010" s="6" t="s">
        <v>484</v>
      </c>
      <c r="D6010" s="6" t="s">
        <v>168</v>
      </c>
      <c r="E6010" s="11">
        <v>21.708335876464844</v>
      </c>
      <c r="F6010" s="11">
        <v>5.3749303817749023</v>
      </c>
    </row>
    <row r="6011" spans="1:6" hidden="1" x14ac:dyDescent="0.3">
      <c r="A6011" s="6">
        <v>43</v>
      </c>
      <c r="B6011" s="6" t="s">
        <v>167</v>
      </c>
      <c r="C6011" s="6" t="s">
        <v>485</v>
      </c>
      <c r="D6011" s="6" t="s">
        <v>168</v>
      </c>
      <c r="E6011" s="11">
        <v>35.277114868164063</v>
      </c>
      <c r="F6011" s="11">
        <v>5.3749303817749023</v>
      </c>
    </row>
    <row r="6012" spans="1:6" hidden="1" x14ac:dyDescent="0.3">
      <c r="A6012" s="6">
        <v>43</v>
      </c>
      <c r="B6012" s="6" t="s">
        <v>167</v>
      </c>
      <c r="C6012" s="6" t="s">
        <v>486</v>
      </c>
      <c r="D6012" s="6" t="s">
        <v>168</v>
      </c>
      <c r="E6012" s="11">
        <v>10.183383941650391</v>
      </c>
      <c r="F6012" s="11">
        <v>5.3749303817749023</v>
      </c>
    </row>
    <row r="6013" spans="1:6" hidden="1" x14ac:dyDescent="0.3">
      <c r="A6013" s="6">
        <v>43</v>
      </c>
      <c r="B6013" s="6" t="s">
        <v>167</v>
      </c>
      <c r="C6013" s="6" t="s">
        <v>487</v>
      </c>
      <c r="D6013" s="6" t="s">
        <v>168</v>
      </c>
      <c r="E6013" s="11">
        <v>3.695446252822876</v>
      </c>
      <c r="F6013" s="11">
        <v>5.3749303817749023</v>
      </c>
    </row>
    <row r="6014" spans="1:6" hidden="1" x14ac:dyDescent="0.3">
      <c r="A6014" s="6">
        <v>43</v>
      </c>
      <c r="B6014" s="6" t="s">
        <v>167</v>
      </c>
      <c r="C6014" s="6" t="s">
        <v>488</v>
      </c>
      <c r="D6014" s="6" t="s">
        <v>168</v>
      </c>
      <c r="E6014" s="11">
        <v>6.2662816047668457</v>
      </c>
      <c r="F6014" s="11">
        <v>5.3749303817749023</v>
      </c>
    </row>
    <row r="6015" spans="1:6" hidden="1" x14ac:dyDescent="0.3">
      <c r="A6015" s="6">
        <v>43</v>
      </c>
      <c r="B6015" s="6" t="s">
        <v>167</v>
      </c>
      <c r="C6015" s="6" t="s">
        <v>489</v>
      </c>
      <c r="D6015" s="6" t="s">
        <v>168</v>
      </c>
      <c r="E6015" s="11">
        <v>25.237005233764648</v>
      </c>
      <c r="F6015" s="11">
        <v>5.3749303817749023</v>
      </c>
    </row>
    <row r="6016" spans="1:6" hidden="1" x14ac:dyDescent="0.3">
      <c r="A6016" s="6">
        <v>43</v>
      </c>
      <c r="B6016" s="6" t="s">
        <v>167</v>
      </c>
      <c r="C6016" s="6" t="s">
        <v>490</v>
      </c>
      <c r="D6016" s="6" t="s">
        <v>168</v>
      </c>
      <c r="E6016" s="11">
        <v>4.4225168228149414</v>
      </c>
      <c r="F6016" s="11">
        <v>5.3749303817749023</v>
      </c>
    </row>
    <row r="6017" spans="1:6" hidden="1" x14ac:dyDescent="0.3">
      <c r="A6017" s="6">
        <v>43</v>
      </c>
      <c r="B6017" s="6" t="s">
        <v>167</v>
      </c>
      <c r="C6017" s="6" t="s">
        <v>491</v>
      </c>
      <c r="D6017" s="6" t="s">
        <v>168</v>
      </c>
      <c r="E6017" s="11">
        <v>34.663990020751953</v>
      </c>
      <c r="F6017" s="11">
        <v>5.3749303817749023</v>
      </c>
    </row>
    <row r="6018" spans="1:6" hidden="1" x14ac:dyDescent="0.3">
      <c r="A6018" s="6">
        <v>43</v>
      </c>
      <c r="B6018" s="6" t="s">
        <v>167</v>
      </c>
      <c r="C6018" s="6" t="s">
        <v>492</v>
      </c>
      <c r="D6018" s="6" t="s">
        <v>168</v>
      </c>
      <c r="E6018" s="11">
        <v>55.176445007324219</v>
      </c>
      <c r="F6018" s="11">
        <v>5.3749303817749023</v>
      </c>
    </row>
    <row r="6019" spans="1:6" hidden="1" x14ac:dyDescent="0.3">
      <c r="A6019" s="6">
        <v>43</v>
      </c>
      <c r="B6019" s="6" t="s">
        <v>167</v>
      </c>
      <c r="C6019" s="6" t="s">
        <v>493</v>
      </c>
      <c r="D6019" s="6" t="s">
        <v>168</v>
      </c>
      <c r="E6019" s="11">
        <v>9.2939615249633789</v>
      </c>
      <c r="F6019" s="11">
        <v>5.3749303817749023</v>
      </c>
    </row>
    <row r="6020" spans="1:6" hidden="1" x14ac:dyDescent="0.3">
      <c r="A6020" s="6">
        <v>43</v>
      </c>
      <c r="B6020" s="6" t="s">
        <v>167</v>
      </c>
      <c r="C6020" s="6" t="s">
        <v>494</v>
      </c>
      <c r="D6020" s="6" t="s">
        <v>168</v>
      </c>
      <c r="E6020" s="11">
        <v>5.3461041450500488</v>
      </c>
      <c r="F6020" s="11">
        <v>5.3749303817749023</v>
      </c>
    </row>
    <row r="6021" spans="1:6" hidden="1" x14ac:dyDescent="0.3">
      <c r="A6021" s="6">
        <v>43</v>
      </c>
      <c r="B6021" s="6" t="s">
        <v>167</v>
      </c>
      <c r="C6021" s="6" t="s">
        <v>495</v>
      </c>
      <c r="D6021" s="6" t="s">
        <v>168</v>
      </c>
      <c r="E6021" s="11">
        <v>3.3338005542755127</v>
      </c>
      <c r="F6021" s="11">
        <v>5.3749303817749023</v>
      </c>
    </row>
    <row r="6022" spans="1:6" hidden="1" x14ac:dyDescent="0.3">
      <c r="A6022" s="6">
        <v>44</v>
      </c>
      <c r="B6022" s="6" t="s">
        <v>169</v>
      </c>
      <c r="C6022" s="6" t="s">
        <v>356</v>
      </c>
      <c r="D6022" s="6" t="s">
        <v>170</v>
      </c>
      <c r="E6022" s="11">
        <v>42.684352874755859</v>
      </c>
      <c r="F6022" s="11">
        <v>4.1900486946105957</v>
      </c>
    </row>
    <row r="6023" spans="1:6" hidden="1" x14ac:dyDescent="0.3">
      <c r="A6023" s="6">
        <v>44</v>
      </c>
      <c r="B6023" s="6" t="s">
        <v>169</v>
      </c>
      <c r="C6023" s="6" t="s">
        <v>357</v>
      </c>
      <c r="D6023" s="6" t="s">
        <v>170</v>
      </c>
      <c r="E6023" s="11">
        <v>3.0854377746582031</v>
      </c>
      <c r="F6023" s="11">
        <v>4.1900486946105957</v>
      </c>
    </row>
    <row r="6024" spans="1:6" hidden="1" x14ac:dyDescent="0.3">
      <c r="A6024" s="6">
        <v>44</v>
      </c>
      <c r="B6024" s="6" t="s">
        <v>169</v>
      </c>
      <c r="C6024" s="6" t="s">
        <v>358</v>
      </c>
      <c r="D6024" s="6" t="s">
        <v>170</v>
      </c>
      <c r="E6024" s="11">
        <v>4.6424493789672852</v>
      </c>
      <c r="F6024" s="11">
        <v>4.1900486946105957</v>
      </c>
    </row>
    <row r="6025" spans="1:6" hidden="1" x14ac:dyDescent="0.3">
      <c r="A6025" s="6">
        <v>44</v>
      </c>
      <c r="B6025" s="6" t="s">
        <v>169</v>
      </c>
      <c r="C6025" s="6" t="s">
        <v>359</v>
      </c>
      <c r="D6025" s="6" t="s">
        <v>170</v>
      </c>
      <c r="E6025" s="11">
        <v>4.7400002479553223</v>
      </c>
      <c r="F6025" s="11">
        <v>4.1900486946105957</v>
      </c>
    </row>
    <row r="6026" spans="1:6" hidden="1" x14ac:dyDescent="0.3">
      <c r="A6026" s="6">
        <v>44</v>
      </c>
      <c r="B6026" s="6" t="s">
        <v>169</v>
      </c>
      <c r="C6026" s="6" t="s">
        <v>360</v>
      </c>
      <c r="D6026" s="6" t="s">
        <v>170</v>
      </c>
      <c r="E6026" s="11">
        <v>5.2279853820800781</v>
      </c>
      <c r="F6026" s="11">
        <v>4.1900486946105957</v>
      </c>
    </row>
    <row r="6027" spans="1:6" hidden="1" x14ac:dyDescent="0.3">
      <c r="A6027" s="6">
        <v>44</v>
      </c>
      <c r="B6027" s="6" t="s">
        <v>169</v>
      </c>
      <c r="C6027" s="6" t="s">
        <v>361</v>
      </c>
      <c r="D6027" s="6" t="s">
        <v>170</v>
      </c>
      <c r="E6027" s="11">
        <v>4.4979920387268066</v>
      </c>
      <c r="F6027" s="11">
        <v>4.1900486946105957</v>
      </c>
    </row>
    <row r="6028" spans="1:6" hidden="1" x14ac:dyDescent="0.3">
      <c r="A6028" s="6">
        <v>44</v>
      </c>
      <c r="B6028" s="6" t="s">
        <v>169</v>
      </c>
      <c r="C6028" s="6" t="s">
        <v>362</v>
      </c>
      <c r="D6028" s="6" t="s">
        <v>170</v>
      </c>
      <c r="E6028" s="11">
        <v>4.353759765625</v>
      </c>
      <c r="F6028" s="11">
        <v>4.1900486946105957</v>
      </c>
    </row>
    <row r="6029" spans="1:6" hidden="1" x14ac:dyDescent="0.3">
      <c r="A6029" s="6">
        <v>44</v>
      </c>
      <c r="B6029" s="6" t="s">
        <v>169</v>
      </c>
      <c r="C6029" s="6" t="s">
        <v>363</v>
      </c>
      <c r="D6029" s="6" t="s">
        <v>170</v>
      </c>
      <c r="E6029" s="11">
        <v>5.6023483276367188</v>
      </c>
      <c r="F6029" s="11">
        <v>4.1900486946105957</v>
      </c>
    </row>
    <row r="6030" spans="1:6" hidden="1" x14ac:dyDescent="0.3">
      <c r="A6030" s="6">
        <v>44</v>
      </c>
      <c r="B6030" s="6" t="s">
        <v>169</v>
      </c>
      <c r="C6030" s="6" t="s">
        <v>364</v>
      </c>
      <c r="D6030" s="6" t="s">
        <v>170</v>
      </c>
      <c r="E6030" s="11">
        <v>4.3405146598815918</v>
      </c>
      <c r="F6030" s="11">
        <v>4.1900486946105957</v>
      </c>
    </row>
    <row r="6031" spans="1:6" hidden="1" x14ac:dyDescent="0.3">
      <c r="A6031" s="6">
        <v>44</v>
      </c>
      <c r="B6031" s="6" t="s">
        <v>169</v>
      </c>
      <c r="C6031" s="6" t="s">
        <v>365</v>
      </c>
      <c r="D6031" s="6" t="s">
        <v>170</v>
      </c>
      <c r="E6031" s="11">
        <v>2.9555559158325195</v>
      </c>
      <c r="F6031" s="11">
        <v>4.1900486946105957</v>
      </c>
    </row>
    <row r="6032" spans="1:6" hidden="1" x14ac:dyDescent="0.3">
      <c r="A6032" s="6">
        <v>44</v>
      </c>
      <c r="B6032" s="6" t="s">
        <v>169</v>
      </c>
      <c r="C6032" s="6" t="s">
        <v>366</v>
      </c>
      <c r="D6032" s="6" t="s">
        <v>170</v>
      </c>
      <c r="E6032" s="11">
        <v>4.3150997161865234</v>
      </c>
      <c r="F6032" s="11">
        <v>4.1900486946105957</v>
      </c>
    </row>
    <row r="6033" spans="1:6" hidden="1" x14ac:dyDescent="0.3">
      <c r="A6033" s="6">
        <v>44</v>
      </c>
      <c r="B6033" s="6" t="s">
        <v>169</v>
      </c>
      <c r="C6033" s="6" t="s">
        <v>367</v>
      </c>
      <c r="D6033" s="6" t="s">
        <v>170</v>
      </c>
      <c r="E6033" s="11">
        <v>3.5879380702972412</v>
      </c>
      <c r="F6033" s="11">
        <v>4.1900486946105957</v>
      </c>
    </row>
    <row r="6034" spans="1:6" hidden="1" x14ac:dyDescent="0.3">
      <c r="A6034" s="6">
        <v>44</v>
      </c>
      <c r="B6034" s="6" t="s">
        <v>169</v>
      </c>
      <c r="C6034" s="6" t="s">
        <v>368</v>
      </c>
      <c r="D6034" s="6" t="s">
        <v>170</v>
      </c>
      <c r="E6034" s="11">
        <v>4.6079878807067871</v>
      </c>
      <c r="F6034" s="11">
        <v>4.1900486946105957</v>
      </c>
    </row>
    <row r="6035" spans="1:6" hidden="1" x14ac:dyDescent="0.3">
      <c r="A6035" s="6">
        <v>44</v>
      </c>
      <c r="B6035" s="6" t="s">
        <v>169</v>
      </c>
      <c r="C6035" s="6" t="s">
        <v>369</v>
      </c>
      <c r="D6035" s="6" t="s">
        <v>170</v>
      </c>
      <c r="E6035" s="11">
        <v>7.6120443344116211</v>
      </c>
      <c r="F6035" s="11">
        <v>4.1900486946105957</v>
      </c>
    </row>
    <row r="6036" spans="1:6" hidden="1" x14ac:dyDescent="0.3">
      <c r="A6036" s="6">
        <v>44</v>
      </c>
      <c r="B6036" s="6" t="s">
        <v>169</v>
      </c>
      <c r="C6036" s="6" t="s">
        <v>370</v>
      </c>
      <c r="D6036" s="6" t="s">
        <v>170</v>
      </c>
      <c r="E6036" s="11">
        <v>3.4679019451141357</v>
      </c>
      <c r="F6036" s="11">
        <v>4.1900486946105957</v>
      </c>
    </row>
    <row r="6037" spans="1:6" hidden="1" x14ac:dyDescent="0.3">
      <c r="A6037" s="6">
        <v>44</v>
      </c>
      <c r="B6037" s="6" t="s">
        <v>169</v>
      </c>
      <c r="C6037" s="6" t="s">
        <v>371</v>
      </c>
      <c r="D6037" s="6" t="s">
        <v>170</v>
      </c>
      <c r="E6037" s="11">
        <v>5.8181376457214355</v>
      </c>
      <c r="F6037" s="11">
        <v>4.1900486946105957</v>
      </c>
    </row>
    <row r="6038" spans="1:6" hidden="1" x14ac:dyDescent="0.3">
      <c r="A6038" s="6">
        <v>44</v>
      </c>
      <c r="B6038" s="6" t="s">
        <v>169</v>
      </c>
      <c r="C6038" s="6" t="s">
        <v>372</v>
      </c>
      <c r="D6038" s="6" t="s">
        <v>170</v>
      </c>
      <c r="E6038" s="11">
        <v>4.4212584495544434</v>
      </c>
      <c r="F6038" s="11">
        <v>4.1900486946105957</v>
      </c>
    </row>
    <row r="6039" spans="1:6" hidden="1" x14ac:dyDescent="0.3">
      <c r="A6039" s="6">
        <v>44</v>
      </c>
      <c r="B6039" s="6" t="s">
        <v>169</v>
      </c>
      <c r="C6039" s="6" t="s">
        <v>373</v>
      </c>
      <c r="D6039" s="6" t="s">
        <v>170</v>
      </c>
      <c r="E6039" s="11">
        <v>3.5699999332427979</v>
      </c>
      <c r="F6039" s="11">
        <v>4.1900486946105957</v>
      </c>
    </row>
    <row r="6040" spans="1:6" hidden="1" x14ac:dyDescent="0.3">
      <c r="A6040" s="6">
        <v>44</v>
      </c>
      <c r="B6040" s="6" t="s">
        <v>169</v>
      </c>
      <c r="C6040" s="6" t="s">
        <v>374</v>
      </c>
      <c r="D6040" s="6" t="s">
        <v>170</v>
      </c>
      <c r="E6040" s="11">
        <v>3.3371438980102539</v>
      </c>
      <c r="F6040" s="11">
        <v>4.1900486946105957</v>
      </c>
    </row>
    <row r="6041" spans="1:6" hidden="1" x14ac:dyDescent="0.3">
      <c r="A6041" s="6">
        <v>44</v>
      </c>
      <c r="B6041" s="6" t="s">
        <v>169</v>
      </c>
      <c r="C6041" s="6" t="s">
        <v>375</v>
      </c>
      <c r="D6041" s="6" t="s">
        <v>170</v>
      </c>
      <c r="E6041" s="11">
        <v>5.8444280624389648</v>
      </c>
      <c r="F6041" s="11">
        <v>4.1900486946105957</v>
      </c>
    </row>
    <row r="6042" spans="1:6" hidden="1" x14ac:dyDescent="0.3">
      <c r="A6042" s="6">
        <v>44</v>
      </c>
      <c r="B6042" s="6" t="s">
        <v>169</v>
      </c>
      <c r="C6042" s="6" t="s">
        <v>376</v>
      </c>
      <c r="D6042" s="6" t="s">
        <v>170</v>
      </c>
      <c r="E6042" s="11">
        <v>4.013420581817627</v>
      </c>
      <c r="F6042" s="11">
        <v>4.1900486946105957</v>
      </c>
    </row>
    <row r="6043" spans="1:6" hidden="1" x14ac:dyDescent="0.3">
      <c r="A6043" s="6">
        <v>44</v>
      </c>
      <c r="B6043" s="6" t="s">
        <v>169</v>
      </c>
      <c r="C6043" s="6" t="s">
        <v>377</v>
      </c>
      <c r="D6043" s="6" t="s">
        <v>170</v>
      </c>
      <c r="E6043" s="11">
        <v>20.104890823364258</v>
      </c>
      <c r="F6043" s="11">
        <v>4.1900486946105957</v>
      </c>
    </row>
    <row r="6044" spans="1:6" hidden="1" x14ac:dyDescent="0.3">
      <c r="A6044" s="6">
        <v>44</v>
      </c>
      <c r="B6044" s="6" t="s">
        <v>169</v>
      </c>
      <c r="C6044" s="6" t="s">
        <v>378</v>
      </c>
      <c r="D6044" s="6" t="s">
        <v>170</v>
      </c>
      <c r="E6044" s="11">
        <v>3.8805420398712158</v>
      </c>
      <c r="F6044" s="11">
        <v>4.1900486946105957</v>
      </c>
    </row>
    <row r="6045" spans="1:6" hidden="1" x14ac:dyDescent="0.3">
      <c r="A6045" s="6">
        <v>44</v>
      </c>
      <c r="B6045" s="6" t="s">
        <v>169</v>
      </c>
      <c r="C6045" s="6" t="s">
        <v>379</v>
      </c>
      <c r="D6045" s="6" t="s">
        <v>170</v>
      </c>
      <c r="E6045" s="11">
        <v>39.91375732421875</v>
      </c>
      <c r="F6045" s="11">
        <v>4.1900486946105957</v>
      </c>
    </row>
    <row r="6046" spans="1:6" hidden="1" x14ac:dyDescent="0.3">
      <c r="A6046" s="6">
        <v>44</v>
      </c>
      <c r="B6046" s="6" t="s">
        <v>169</v>
      </c>
      <c r="C6046" s="6" t="s">
        <v>380</v>
      </c>
      <c r="D6046" s="6" t="s">
        <v>170</v>
      </c>
      <c r="E6046" s="11">
        <v>3.5426745414733887</v>
      </c>
      <c r="F6046" s="11">
        <v>4.1900486946105957</v>
      </c>
    </row>
    <row r="6047" spans="1:6" hidden="1" x14ac:dyDescent="0.3">
      <c r="A6047" s="6">
        <v>44</v>
      </c>
      <c r="B6047" s="6" t="s">
        <v>169</v>
      </c>
      <c r="C6047" s="6" t="s">
        <v>381</v>
      </c>
      <c r="D6047" s="6" t="s">
        <v>170</v>
      </c>
      <c r="E6047" s="11">
        <v>3.4378821849822998</v>
      </c>
      <c r="F6047" s="11">
        <v>4.1900486946105957</v>
      </c>
    </row>
    <row r="6048" spans="1:6" hidden="1" x14ac:dyDescent="0.3">
      <c r="A6048" s="6">
        <v>44</v>
      </c>
      <c r="B6048" s="6" t="s">
        <v>169</v>
      </c>
      <c r="C6048" s="6" t="s">
        <v>382</v>
      </c>
      <c r="D6048" s="6" t="s">
        <v>170</v>
      </c>
      <c r="E6048" s="11">
        <v>4.5984344482421875</v>
      </c>
      <c r="F6048" s="11">
        <v>4.1900486946105957</v>
      </c>
    </row>
    <row r="6049" spans="1:6" hidden="1" x14ac:dyDescent="0.3">
      <c r="A6049" s="6">
        <v>44</v>
      </c>
      <c r="B6049" s="6" t="s">
        <v>169</v>
      </c>
      <c r="C6049" s="6" t="s">
        <v>383</v>
      </c>
      <c r="D6049" s="6" t="s">
        <v>170</v>
      </c>
      <c r="E6049" s="11">
        <v>26.796695709228516</v>
      </c>
      <c r="F6049" s="11">
        <v>4.1900486946105957</v>
      </c>
    </row>
    <row r="6050" spans="1:6" hidden="1" x14ac:dyDescent="0.3">
      <c r="A6050" s="6">
        <v>44</v>
      </c>
      <c r="B6050" s="6" t="s">
        <v>169</v>
      </c>
      <c r="C6050" s="6" t="s">
        <v>384</v>
      </c>
      <c r="D6050" s="6" t="s">
        <v>170</v>
      </c>
      <c r="E6050" s="11">
        <v>4.9574122428894043</v>
      </c>
      <c r="F6050" s="11">
        <v>4.1900486946105957</v>
      </c>
    </row>
    <row r="6051" spans="1:6" hidden="1" x14ac:dyDescent="0.3">
      <c r="A6051" s="6">
        <v>44</v>
      </c>
      <c r="B6051" s="6" t="s">
        <v>169</v>
      </c>
      <c r="C6051" s="6" t="s">
        <v>385</v>
      </c>
      <c r="D6051" s="6" t="s">
        <v>170</v>
      </c>
      <c r="E6051" s="11">
        <v>4.2368817329406738</v>
      </c>
      <c r="F6051" s="11">
        <v>4.1900486946105957</v>
      </c>
    </row>
    <row r="6052" spans="1:6" hidden="1" x14ac:dyDescent="0.3">
      <c r="A6052" s="6">
        <v>44</v>
      </c>
      <c r="B6052" s="6" t="s">
        <v>169</v>
      </c>
      <c r="C6052" s="6" t="s">
        <v>386</v>
      </c>
      <c r="D6052" s="6" t="s">
        <v>170</v>
      </c>
      <c r="E6052" s="11">
        <v>15.763909339904785</v>
      </c>
      <c r="F6052" s="11">
        <v>4.1900486946105957</v>
      </c>
    </row>
    <row r="6053" spans="1:6" hidden="1" x14ac:dyDescent="0.3">
      <c r="A6053" s="6">
        <v>44</v>
      </c>
      <c r="B6053" s="6" t="s">
        <v>169</v>
      </c>
      <c r="C6053" s="6" t="s">
        <v>387</v>
      </c>
      <c r="D6053" s="6" t="s">
        <v>170</v>
      </c>
      <c r="E6053" s="11">
        <v>3.4633464813232422</v>
      </c>
      <c r="F6053" s="11">
        <v>4.1900486946105957</v>
      </c>
    </row>
    <row r="6054" spans="1:6" hidden="1" x14ac:dyDescent="0.3">
      <c r="A6054" s="6">
        <v>44</v>
      </c>
      <c r="B6054" s="6" t="s">
        <v>169</v>
      </c>
      <c r="C6054" s="6" t="s">
        <v>388</v>
      </c>
      <c r="D6054" s="6" t="s">
        <v>170</v>
      </c>
      <c r="E6054" s="11">
        <v>11.608804702758789</v>
      </c>
      <c r="F6054" s="11">
        <v>4.1900486946105957</v>
      </c>
    </row>
    <row r="6055" spans="1:6" hidden="1" x14ac:dyDescent="0.3">
      <c r="A6055" s="6">
        <v>44</v>
      </c>
      <c r="B6055" s="6" t="s">
        <v>169</v>
      </c>
      <c r="C6055" s="6" t="s">
        <v>389</v>
      </c>
      <c r="D6055" s="6" t="s">
        <v>170</v>
      </c>
      <c r="E6055" s="11">
        <v>30.262468338012695</v>
      </c>
      <c r="F6055" s="11">
        <v>4.1900486946105957</v>
      </c>
    </row>
    <row r="6056" spans="1:6" hidden="1" x14ac:dyDescent="0.3">
      <c r="A6056" s="6">
        <v>44</v>
      </c>
      <c r="B6056" s="6" t="s">
        <v>169</v>
      </c>
      <c r="C6056" s="6" t="s">
        <v>390</v>
      </c>
      <c r="D6056" s="6" t="s">
        <v>170</v>
      </c>
      <c r="E6056" s="11">
        <v>601.66766357421875</v>
      </c>
      <c r="F6056" s="11">
        <v>4.1900486946105957</v>
      </c>
    </row>
    <row r="6057" spans="1:6" hidden="1" x14ac:dyDescent="0.3">
      <c r="A6057" s="6">
        <v>44</v>
      </c>
      <c r="B6057" s="6" t="s">
        <v>169</v>
      </c>
      <c r="C6057" s="6" t="s">
        <v>391</v>
      </c>
      <c r="D6057" s="6" t="s">
        <v>170</v>
      </c>
      <c r="E6057" s="11"/>
      <c r="F6057" s="11">
        <v>4.1900486946105957</v>
      </c>
    </row>
    <row r="6058" spans="1:6" hidden="1" x14ac:dyDescent="0.3">
      <c r="A6058" s="6">
        <v>44</v>
      </c>
      <c r="B6058" s="6" t="s">
        <v>169</v>
      </c>
      <c r="C6058" s="6" t="s">
        <v>392</v>
      </c>
      <c r="D6058" s="6" t="s">
        <v>170</v>
      </c>
      <c r="E6058" s="11">
        <v>6.493710994720459</v>
      </c>
      <c r="F6058" s="11">
        <v>4.1900486946105957</v>
      </c>
    </row>
    <row r="6059" spans="1:6" hidden="1" x14ac:dyDescent="0.3">
      <c r="A6059" s="6">
        <v>44</v>
      </c>
      <c r="B6059" s="6" t="s">
        <v>169</v>
      </c>
      <c r="C6059" s="6" t="s">
        <v>393</v>
      </c>
      <c r="D6059" s="6" t="s">
        <v>170</v>
      </c>
      <c r="E6059" s="11">
        <v>5.3018946647644043</v>
      </c>
      <c r="F6059" s="11">
        <v>4.1900486946105957</v>
      </c>
    </row>
    <row r="6060" spans="1:6" hidden="1" x14ac:dyDescent="0.3">
      <c r="A6060" s="6">
        <v>44</v>
      </c>
      <c r="B6060" s="6" t="s">
        <v>169</v>
      </c>
      <c r="C6060" s="6" t="s">
        <v>394</v>
      </c>
      <c r="D6060" s="6" t="s">
        <v>170</v>
      </c>
      <c r="E6060" s="11">
        <v>3.9965152740478516</v>
      </c>
      <c r="F6060" s="11">
        <v>4.1900486946105957</v>
      </c>
    </row>
    <row r="6061" spans="1:6" hidden="1" x14ac:dyDescent="0.3">
      <c r="A6061" s="6">
        <v>44</v>
      </c>
      <c r="B6061" s="6" t="s">
        <v>169</v>
      </c>
      <c r="C6061" s="6" t="s">
        <v>395</v>
      </c>
      <c r="D6061" s="6" t="s">
        <v>170</v>
      </c>
      <c r="E6061" s="11">
        <v>6.0028185844421387</v>
      </c>
      <c r="F6061" s="11">
        <v>4.1900486946105957</v>
      </c>
    </row>
    <row r="6062" spans="1:6" hidden="1" x14ac:dyDescent="0.3">
      <c r="A6062" s="6">
        <v>44</v>
      </c>
      <c r="B6062" s="6" t="s">
        <v>169</v>
      </c>
      <c r="C6062" s="6" t="s">
        <v>396</v>
      </c>
      <c r="D6062" s="6" t="s">
        <v>170</v>
      </c>
      <c r="E6062" s="11">
        <v>46.436656951904297</v>
      </c>
      <c r="F6062" s="11">
        <v>4.1900486946105957</v>
      </c>
    </row>
    <row r="6063" spans="1:6" hidden="1" x14ac:dyDescent="0.3">
      <c r="A6063" s="6">
        <v>44</v>
      </c>
      <c r="B6063" s="6" t="s">
        <v>169</v>
      </c>
      <c r="C6063" s="6" t="s">
        <v>397</v>
      </c>
      <c r="D6063" s="6" t="s">
        <v>170</v>
      </c>
      <c r="E6063" s="11">
        <v>4.1090908050537109</v>
      </c>
      <c r="F6063" s="11">
        <v>4.1900486946105957</v>
      </c>
    </row>
    <row r="6064" spans="1:6" hidden="1" x14ac:dyDescent="0.3">
      <c r="A6064" s="6">
        <v>44</v>
      </c>
      <c r="B6064" s="6" t="s">
        <v>169</v>
      </c>
      <c r="C6064" s="6" t="s">
        <v>398</v>
      </c>
      <c r="D6064" s="6" t="s">
        <v>170</v>
      </c>
      <c r="E6064" s="11">
        <v>6.7563886642456055</v>
      </c>
      <c r="F6064" s="11">
        <v>4.1900486946105957</v>
      </c>
    </row>
    <row r="6065" spans="1:6" hidden="1" x14ac:dyDescent="0.3">
      <c r="A6065" s="6">
        <v>44</v>
      </c>
      <c r="B6065" s="6" t="s">
        <v>169</v>
      </c>
      <c r="C6065" s="6" t="s">
        <v>399</v>
      </c>
      <c r="D6065" s="6" t="s">
        <v>170</v>
      </c>
      <c r="E6065" s="11">
        <v>9.4687414169311523</v>
      </c>
      <c r="F6065" s="11">
        <v>4.1900486946105957</v>
      </c>
    </row>
    <row r="6066" spans="1:6" hidden="1" x14ac:dyDescent="0.3">
      <c r="A6066" s="6">
        <v>44</v>
      </c>
      <c r="B6066" s="6" t="s">
        <v>169</v>
      </c>
      <c r="C6066" s="6" t="s">
        <v>400</v>
      </c>
      <c r="D6066" s="6" t="s">
        <v>170</v>
      </c>
      <c r="E6066" s="11">
        <v>2.844620943069458</v>
      </c>
      <c r="F6066" s="11">
        <v>4.1900486946105957</v>
      </c>
    </row>
    <row r="6067" spans="1:6" hidden="1" x14ac:dyDescent="0.3">
      <c r="A6067" s="6">
        <v>44</v>
      </c>
      <c r="B6067" s="6" t="s">
        <v>169</v>
      </c>
      <c r="C6067" s="6" t="s">
        <v>401</v>
      </c>
      <c r="D6067" s="6" t="s">
        <v>170</v>
      </c>
      <c r="E6067" s="11">
        <v>5.9942975044250488</v>
      </c>
      <c r="F6067" s="11">
        <v>4.1900486946105957</v>
      </c>
    </row>
    <row r="6068" spans="1:6" hidden="1" x14ac:dyDescent="0.3">
      <c r="A6068" s="6">
        <v>44</v>
      </c>
      <c r="B6068" s="6" t="s">
        <v>169</v>
      </c>
      <c r="C6068" s="6" t="s">
        <v>402</v>
      </c>
      <c r="D6068" s="6" t="s">
        <v>170</v>
      </c>
      <c r="E6068" s="11">
        <v>8.0112771987915039</v>
      </c>
      <c r="F6068" s="11">
        <v>4.1900486946105957</v>
      </c>
    </row>
    <row r="6069" spans="1:6" hidden="1" x14ac:dyDescent="0.3">
      <c r="A6069" s="6">
        <v>44</v>
      </c>
      <c r="B6069" s="6" t="s">
        <v>169</v>
      </c>
      <c r="C6069" s="6" t="s">
        <v>403</v>
      </c>
      <c r="D6069" s="6" t="s">
        <v>170</v>
      </c>
      <c r="E6069" s="11">
        <v>4.0425243377685547</v>
      </c>
      <c r="F6069" s="11">
        <v>4.1900486946105957</v>
      </c>
    </row>
    <row r="6070" spans="1:6" hidden="1" x14ac:dyDescent="0.3">
      <c r="A6070" s="6">
        <v>44</v>
      </c>
      <c r="B6070" s="6" t="s">
        <v>169</v>
      </c>
      <c r="C6070" s="6" t="s">
        <v>404</v>
      </c>
      <c r="D6070" s="6" t="s">
        <v>170</v>
      </c>
      <c r="E6070" s="11">
        <v>3.8809797763824463</v>
      </c>
      <c r="F6070" s="11">
        <v>4.1900486946105957</v>
      </c>
    </row>
    <row r="6071" spans="1:6" hidden="1" x14ac:dyDescent="0.3">
      <c r="A6071" s="6">
        <v>44</v>
      </c>
      <c r="B6071" s="6" t="s">
        <v>169</v>
      </c>
      <c r="C6071" s="6" t="s">
        <v>405</v>
      </c>
      <c r="D6071" s="6" t="s">
        <v>170</v>
      </c>
      <c r="E6071" s="11">
        <v>3.1023478507995605</v>
      </c>
      <c r="F6071" s="11">
        <v>4.1900486946105957</v>
      </c>
    </row>
    <row r="6072" spans="1:6" hidden="1" x14ac:dyDescent="0.3">
      <c r="A6072" s="6">
        <v>44</v>
      </c>
      <c r="B6072" s="6" t="s">
        <v>169</v>
      </c>
      <c r="C6072" s="6" t="s">
        <v>406</v>
      </c>
      <c r="D6072" s="6" t="s">
        <v>170</v>
      </c>
      <c r="E6072" s="11">
        <v>4.3577475547790527</v>
      </c>
      <c r="F6072" s="11">
        <v>4.1900486946105957</v>
      </c>
    </row>
    <row r="6073" spans="1:6" hidden="1" x14ac:dyDescent="0.3">
      <c r="A6073" s="6">
        <v>44</v>
      </c>
      <c r="B6073" s="6" t="s">
        <v>169</v>
      </c>
      <c r="C6073" s="6" t="s">
        <v>407</v>
      </c>
      <c r="D6073" s="6" t="s">
        <v>170</v>
      </c>
      <c r="E6073" s="11">
        <v>3.0621621608734131</v>
      </c>
      <c r="F6073" s="11">
        <v>4.1900486946105957</v>
      </c>
    </row>
    <row r="6074" spans="1:6" hidden="1" x14ac:dyDescent="0.3">
      <c r="A6074" s="6">
        <v>44</v>
      </c>
      <c r="B6074" s="6" t="s">
        <v>169</v>
      </c>
      <c r="C6074" s="6" t="s">
        <v>408</v>
      </c>
      <c r="D6074" s="6" t="s">
        <v>170</v>
      </c>
      <c r="E6074" s="11">
        <v>6.5093803405761719</v>
      </c>
      <c r="F6074" s="11">
        <v>4.1900486946105957</v>
      </c>
    </row>
    <row r="6075" spans="1:6" hidden="1" x14ac:dyDescent="0.3">
      <c r="A6075" s="6">
        <v>44</v>
      </c>
      <c r="B6075" s="6" t="s">
        <v>169</v>
      </c>
      <c r="C6075" s="6" t="s">
        <v>409</v>
      </c>
      <c r="D6075" s="6" t="s">
        <v>170</v>
      </c>
      <c r="E6075" s="11">
        <v>4.525942325592041</v>
      </c>
      <c r="F6075" s="11">
        <v>4.1900486946105957</v>
      </c>
    </row>
    <row r="6076" spans="1:6" hidden="1" x14ac:dyDescent="0.3">
      <c r="A6076" s="6">
        <v>44</v>
      </c>
      <c r="B6076" s="6" t="s">
        <v>169</v>
      </c>
      <c r="C6076" s="6" t="s">
        <v>410</v>
      </c>
      <c r="D6076" s="6" t="s">
        <v>170</v>
      </c>
      <c r="E6076" s="11">
        <v>10.226999282836914</v>
      </c>
      <c r="F6076" s="11">
        <v>4.1900486946105957</v>
      </c>
    </row>
    <row r="6077" spans="1:6" hidden="1" x14ac:dyDescent="0.3">
      <c r="A6077" s="6">
        <v>44</v>
      </c>
      <c r="B6077" s="6" t="s">
        <v>169</v>
      </c>
      <c r="C6077" s="6" t="s">
        <v>411</v>
      </c>
      <c r="D6077" s="6" t="s">
        <v>170</v>
      </c>
      <c r="E6077" s="11">
        <v>5.9601879119873047</v>
      </c>
      <c r="F6077" s="11">
        <v>4.1900486946105957</v>
      </c>
    </row>
    <row r="6078" spans="1:6" hidden="1" x14ac:dyDescent="0.3">
      <c r="A6078" s="6">
        <v>44</v>
      </c>
      <c r="B6078" s="6" t="s">
        <v>169</v>
      </c>
      <c r="C6078" s="6" t="s">
        <v>412</v>
      </c>
      <c r="D6078" s="6" t="s">
        <v>170</v>
      </c>
      <c r="E6078" s="11">
        <v>4.429262638092041</v>
      </c>
      <c r="F6078" s="11">
        <v>4.1900486946105957</v>
      </c>
    </row>
    <row r="6079" spans="1:6" hidden="1" x14ac:dyDescent="0.3">
      <c r="A6079" s="6">
        <v>44</v>
      </c>
      <c r="B6079" s="6" t="s">
        <v>169</v>
      </c>
      <c r="C6079" s="6" t="s">
        <v>413</v>
      </c>
      <c r="D6079" s="6" t="s">
        <v>170</v>
      </c>
      <c r="E6079" s="11">
        <v>18.841501235961914</v>
      </c>
      <c r="F6079" s="11">
        <v>4.1900486946105957</v>
      </c>
    </row>
    <row r="6080" spans="1:6" hidden="1" x14ac:dyDescent="0.3">
      <c r="A6080" s="6">
        <v>44</v>
      </c>
      <c r="B6080" s="6" t="s">
        <v>169</v>
      </c>
      <c r="C6080" s="6" t="s">
        <v>414</v>
      </c>
      <c r="D6080" s="6" t="s">
        <v>170</v>
      </c>
      <c r="E6080" s="11">
        <v>10.680667877197266</v>
      </c>
      <c r="F6080" s="11">
        <v>4.1900486946105957</v>
      </c>
    </row>
    <row r="6081" spans="1:6" hidden="1" x14ac:dyDescent="0.3">
      <c r="A6081" s="6">
        <v>44</v>
      </c>
      <c r="B6081" s="6" t="s">
        <v>169</v>
      </c>
      <c r="C6081" s="6" t="s">
        <v>415</v>
      </c>
      <c r="D6081" s="6" t="s">
        <v>170</v>
      </c>
      <c r="E6081" s="11">
        <v>3.6531991958618164</v>
      </c>
      <c r="F6081" s="11">
        <v>4.1900486946105957</v>
      </c>
    </row>
    <row r="6082" spans="1:6" hidden="1" x14ac:dyDescent="0.3">
      <c r="A6082" s="6">
        <v>44</v>
      </c>
      <c r="B6082" s="6" t="s">
        <v>169</v>
      </c>
      <c r="C6082" s="6" t="s">
        <v>416</v>
      </c>
      <c r="D6082" s="6" t="s">
        <v>170</v>
      </c>
      <c r="E6082" s="11"/>
      <c r="F6082" s="11">
        <v>4.1900486946105957</v>
      </c>
    </row>
    <row r="6083" spans="1:6" hidden="1" x14ac:dyDescent="0.3">
      <c r="A6083" s="6">
        <v>44</v>
      </c>
      <c r="B6083" s="6" t="s">
        <v>169</v>
      </c>
      <c r="C6083" s="6" t="s">
        <v>417</v>
      </c>
      <c r="D6083" s="6" t="s">
        <v>170</v>
      </c>
      <c r="E6083" s="11">
        <v>5.5801434516906738</v>
      </c>
      <c r="F6083" s="11">
        <v>4.1900486946105957</v>
      </c>
    </row>
    <row r="6084" spans="1:6" hidden="1" x14ac:dyDescent="0.3">
      <c r="A6084" s="6">
        <v>44</v>
      </c>
      <c r="B6084" s="6" t="s">
        <v>169</v>
      </c>
      <c r="C6084" s="6" t="s">
        <v>418</v>
      </c>
      <c r="D6084" s="6" t="s">
        <v>170</v>
      </c>
      <c r="E6084" s="11">
        <v>2612.832275390625</v>
      </c>
      <c r="F6084" s="11">
        <v>4.1900486946105957</v>
      </c>
    </row>
    <row r="6085" spans="1:6" hidden="1" x14ac:dyDescent="0.3">
      <c r="A6085" s="6">
        <v>44</v>
      </c>
      <c r="B6085" s="6" t="s">
        <v>169</v>
      </c>
      <c r="C6085" s="6" t="s">
        <v>419</v>
      </c>
      <c r="D6085" s="6" t="s">
        <v>170</v>
      </c>
      <c r="E6085" s="11">
        <v>3.6510674953460693</v>
      </c>
      <c r="F6085" s="11">
        <v>4.1900486946105957</v>
      </c>
    </row>
    <row r="6086" spans="1:6" hidden="1" x14ac:dyDescent="0.3">
      <c r="A6086" s="6">
        <v>44</v>
      </c>
      <c r="B6086" s="6" t="s">
        <v>169</v>
      </c>
      <c r="C6086" s="6" t="s">
        <v>420</v>
      </c>
      <c r="D6086" s="6" t="s">
        <v>170</v>
      </c>
      <c r="E6086" s="11">
        <v>2.9036531448364258</v>
      </c>
      <c r="F6086" s="11">
        <v>4.1900486946105957</v>
      </c>
    </row>
    <row r="6087" spans="1:6" hidden="1" x14ac:dyDescent="0.3">
      <c r="A6087" s="6">
        <v>44</v>
      </c>
      <c r="B6087" s="6" t="s">
        <v>169</v>
      </c>
      <c r="C6087" s="6" t="s">
        <v>421</v>
      </c>
      <c r="D6087" s="6" t="s">
        <v>170</v>
      </c>
      <c r="E6087" s="11">
        <v>6.7786164283752441</v>
      </c>
      <c r="F6087" s="11">
        <v>4.1900486946105957</v>
      </c>
    </row>
    <row r="6088" spans="1:6" hidden="1" x14ac:dyDescent="0.3">
      <c r="A6088" s="6">
        <v>44</v>
      </c>
      <c r="B6088" s="6" t="s">
        <v>169</v>
      </c>
      <c r="C6088" s="6" t="s">
        <v>422</v>
      </c>
      <c r="D6088" s="6" t="s">
        <v>170</v>
      </c>
      <c r="E6088" s="11">
        <v>4.3449478149414063</v>
      </c>
      <c r="F6088" s="11">
        <v>4.1900486946105957</v>
      </c>
    </row>
    <row r="6089" spans="1:6" hidden="1" x14ac:dyDescent="0.3">
      <c r="A6089" s="6">
        <v>44</v>
      </c>
      <c r="B6089" s="6" t="s">
        <v>169</v>
      </c>
      <c r="C6089" s="6" t="s">
        <v>423</v>
      </c>
      <c r="D6089" s="6" t="s">
        <v>170</v>
      </c>
      <c r="E6089" s="11">
        <v>4.0620856285095215</v>
      </c>
      <c r="F6089" s="11">
        <v>4.1900486946105957</v>
      </c>
    </row>
    <row r="6090" spans="1:6" hidden="1" x14ac:dyDescent="0.3">
      <c r="A6090" s="6">
        <v>44</v>
      </c>
      <c r="B6090" s="6" t="s">
        <v>169</v>
      </c>
      <c r="C6090" s="6" t="s">
        <v>424</v>
      </c>
      <c r="D6090" s="6" t="s">
        <v>170</v>
      </c>
      <c r="E6090" s="11">
        <v>11.415634155273438</v>
      </c>
      <c r="F6090" s="11">
        <v>4.1900486946105957</v>
      </c>
    </row>
    <row r="6091" spans="1:6" hidden="1" x14ac:dyDescent="0.3">
      <c r="A6091" s="6">
        <v>44</v>
      </c>
      <c r="B6091" s="6" t="s">
        <v>169</v>
      </c>
      <c r="C6091" s="6" t="s">
        <v>425</v>
      </c>
      <c r="D6091" s="6" t="s">
        <v>170</v>
      </c>
      <c r="E6091" s="11">
        <v>10.765903472900391</v>
      </c>
      <c r="F6091" s="11">
        <v>4.1900486946105957</v>
      </c>
    </row>
    <row r="6092" spans="1:6" hidden="1" x14ac:dyDescent="0.3">
      <c r="A6092" s="6">
        <v>44</v>
      </c>
      <c r="B6092" s="6" t="s">
        <v>169</v>
      </c>
      <c r="C6092" s="6" t="s">
        <v>426</v>
      </c>
      <c r="D6092" s="6" t="s">
        <v>170</v>
      </c>
      <c r="E6092" s="11">
        <v>18.247272491455078</v>
      </c>
      <c r="F6092" s="11">
        <v>4.1900486946105957</v>
      </c>
    </row>
    <row r="6093" spans="1:6" hidden="1" x14ac:dyDescent="0.3">
      <c r="A6093" s="6">
        <v>44</v>
      </c>
      <c r="B6093" s="6" t="s">
        <v>169</v>
      </c>
      <c r="C6093" s="6" t="s">
        <v>427</v>
      </c>
      <c r="D6093" s="6" t="s">
        <v>170</v>
      </c>
      <c r="E6093" s="11">
        <v>7.6500000953674316</v>
      </c>
      <c r="F6093" s="11">
        <v>4.1900486946105957</v>
      </c>
    </row>
    <row r="6094" spans="1:6" hidden="1" x14ac:dyDescent="0.3">
      <c r="A6094" s="6">
        <v>44</v>
      </c>
      <c r="B6094" s="6" t="s">
        <v>169</v>
      </c>
      <c r="C6094" s="6" t="s">
        <v>428</v>
      </c>
      <c r="D6094" s="6" t="s">
        <v>170</v>
      </c>
      <c r="E6094" s="11">
        <v>6.1415586471557617</v>
      </c>
      <c r="F6094" s="11">
        <v>4.1900486946105957</v>
      </c>
    </row>
    <row r="6095" spans="1:6" hidden="1" x14ac:dyDescent="0.3">
      <c r="A6095" s="6">
        <v>44</v>
      </c>
      <c r="B6095" s="6" t="s">
        <v>169</v>
      </c>
      <c r="C6095" s="6" t="s">
        <v>429</v>
      </c>
      <c r="D6095" s="6" t="s">
        <v>170</v>
      </c>
      <c r="E6095" s="11">
        <v>4.2788786888122559</v>
      </c>
      <c r="F6095" s="11">
        <v>4.1900486946105957</v>
      </c>
    </row>
    <row r="6096" spans="1:6" hidden="1" x14ac:dyDescent="0.3">
      <c r="A6096" s="6">
        <v>44</v>
      </c>
      <c r="B6096" s="6" t="s">
        <v>169</v>
      </c>
      <c r="C6096" s="6" t="s">
        <v>430</v>
      </c>
      <c r="D6096" s="6" t="s">
        <v>170</v>
      </c>
      <c r="E6096" s="11">
        <v>3.5005533695220947</v>
      </c>
      <c r="F6096" s="11">
        <v>4.1900486946105957</v>
      </c>
    </row>
    <row r="6097" spans="1:6" hidden="1" x14ac:dyDescent="0.3">
      <c r="A6097" s="6">
        <v>44</v>
      </c>
      <c r="B6097" s="6" t="s">
        <v>169</v>
      </c>
      <c r="C6097" s="6" t="s">
        <v>431</v>
      </c>
      <c r="D6097" s="6" t="s">
        <v>170</v>
      </c>
      <c r="E6097" s="11">
        <v>3.4252612590789795</v>
      </c>
      <c r="F6097" s="11">
        <v>4.1900486946105957</v>
      </c>
    </row>
    <row r="6098" spans="1:6" hidden="1" x14ac:dyDescent="0.3">
      <c r="A6098" s="6">
        <v>44</v>
      </c>
      <c r="B6098" s="6" t="s">
        <v>169</v>
      </c>
      <c r="C6098" s="6" t="s">
        <v>432</v>
      </c>
      <c r="D6098" s="6" t="s">
        <v>170</v>
      </c>
      <c r="E6098" s="11">
        <v>3.4789426326751709</v>
      </c>
      <c r="F6098" s="11">
        <v>4.1900486946105957</v>
      </c>
    </row>
    <row r="6099" spans="1:6" hidden="1" x14ac:dyDescent="0.3">
      <c r="A6099" s="6">
        <v>44</v>
      </c>
      <c r="B6099" s="6" t="s">
        <v>169</v>
      </c>
      <c r="C6099" s="6" t="s">
        <v>433</v>
      </c>
      <c r="D6099" s="6" t="s">
        <v>170</v>
      </c>
      <c r="E6099" s="11">
        <v>3.6830413341522217</v>
      </c>
      <c r="F6099" s="11">
        <v>4.1900486946105957</v>
      </c>
    </row>
    <row r="6100" spans="1:6" hidden="1" x14ac:dyDescent="0.3">
      <c r="A6100" s="6">
        <v>44</v>
      </c>
      <c r="B6100" s="6" t="s">
        <v>169</v>
      </c>
      <c r="C6100" s="6" t="s">
        <v>434</v>
      </c>
      <c r="D6100" s="6" t="s">
        <v>170</v>
      </c>
      <c r="E6100" s="11">
        <v>5.8069443702697754</v>
      </c>
      <c r="F6100" s="11">
        <v>4.1900486946105957</v>
      </c>
    </row>
    <row r="6101" spans="1:6" hidden="1" x14ac:dyDescent="0.3">
      <c r="A6101" s="6">
        <v>44</v>
      </c>
      <c r="B6101" s="6" t="s">
        <v>169</v>
      </c>
      <c r="C6101" s="6" t="s">
        <v>435</v>
      </c>
      <c r="D6101" s="6" t="s">
        <v>170</v>
      </c>
      <c r="E6101" s="11">
        <v>4.4558181762695313</v>
      </c>
      <c r="F6101" s="11">
        <v>4.1900486946105957</v>
      </c>
    </row>
    <row r="6102" spans="1:6" hidden="1" x14ac:dyDescent="0.3">
      <c r="A6102" s="6">
        <v>44</v>
      </c>
      <c r="B6102" s="6" t="s">
        <v>169</v>
      </c>
      <c r="C6102" s="6" t="s">
        <v>436</v>
      </c>
      <c r="D6102" s="6" t="s">
        <v>170</v>
      </c>
      <c r="E6102" s="11">
        <v>3.9301111698150635</v>
      </c>
      <c r="F6102" s="11">
        <v>4.1900486946105957</v>
      </c>
    </row>
    <row r="6103" spans="1:6" hidden="1" x14ac:dyDescent="0.3">
      <c r="A6103" s="6">
        <v>44</v>
      </c>
      <c r="B6103" s="6" t="s">
        <v>169</v>
      </c>
      <c r="C6103" s="6" t="s">
        <v>437</v>
      </c>
      <c r="D6103" s="6" t="s">
        <v>170</v>
      </c>
      <c r="E6103" s="11">
        <v>12.108237266540527</v>
      </c>
      <c r="F6103" s="11">
        <v>4.1900486946105957</v>
      </c>
    </row>
    <row r="6104" spans="1:6" hidden="1" x14ac:dyDescent="0.3">
      <c r="A6104" s="6">
        <v>44</v>
      </c>
      <c r="B6104" s="6" t="s">
        <v>169</v>
      </c>
      <c r="C6104" s="6" t="s">
        <v>438</v>
      </c>
      <c r="D6104" s="6" t="s">
        <v>170</v>
      </c>
      <c r="E6104" s="11">
        <v>5.6483416557312012</v>
      </c>
      <c r="F6104" s="11">
        <v>4.1900486946105957</v>
      </c>
    </row>
    <row r="6105" spans="1:6" hidden="1" x14ac:dyDescent="0.3">
      <c r="A6105" s="6">
        <v>44</v>
      </c>
      <c r="B6105" s="6" t="s">
        <v>169</v>
      </c>
      <c r="C6105" s="6" t="s">
        <v>439</v>
      </c>
      <c r="D6105" s="6" t="s">
        <v>170</v>
      </c>
      <c r="E6105" s="11">
        <v>3.7694237232208252</v>
      </c>
      <c r="F6105" s="11">
        <v>4.1900486946105957</v>
      </c>
    </row>
    <row r="6106" spans="1:6" hidden="1" x14ac:dyDescent="0.3">
      <c r="A6106" s="6">
        <v>44</v>
      </c>
      <c r="B6106" s="6" t="s">
        <v>169</v>
      </c>
      <c r="C6106" s="6" t="s">
        <v>440</v>
      </c>
      <c r="D6106" s="6" t="s">
        <v>170</v>
      </c>
      <c r="E6106" s="11">
        <v>217.75387573242188</v>
      </c>
      <c r="F6106" s="11">
        <v>4.1900486946105957</v>
      </c>
    </row>
    <row r="6107" spans="1:6" hidden="1" x14ac:dyDescent="0.3">
      <c r="A6107" s="6">
        <v>44</v>
      </c>
      <c r="B6107" s="6" t="s">
        <v>169</v>
      </c>
      <c r="C6107" s="6" t="s">
        <v>441</v>
      </c>
      <c r="D6107" s="6" t="s">
        <v>170</v>
      </c>
      <c r="E6107" s="11">
        <v>6.7326827049255371</v>
      </c>
      <c r="F6107" s="11">
        <v>4.1900486946105957</v>
      </c>
    </row>
    <row r="6108" spans="1:6" hidden="1" x14ac:dyDescent="0.3">
      <c r="A6108" s="6">
        <v>44</v>
      </c>
      <c r="B6108" s="6" t="s">
        <v>169</v>
      </c>
      <c r="C6108" s="6" t="s">
        <v>442</v>
      </c>
      <c r="D6108" s="6" t="s">
        <v>170</v>
      </c>
      <c r="E6108" s="11">
        <v>3.2688748836517334</v>
      </c>
      <c r="F6108" s="11">
        <v>4.1900486946105957</v>
      </c>
    </row>
    <row r="6109" spans="1:6" hidden="1" x14ac:dyDescent="0.3">
      <c r="A6109" s="6">
        <v>44</v>
      </c>
      <c r="B6109" s="6" t="s">
        <v>169</v>
      </c>
      <c r="C6109" s="6" t="s">
        <v>443</v>
      </c>
      <c r="D6109" s="6" t="s">
        <v>170</v>
      </c>
      <c r="E6109" s="11">
        <v>2.8733608722686768</v>
      </c>
      <c r="F6109" s="11">
        <v>4.1900486946105957</v>
      </c>
    </row>
    <row r="6110" spans="1:6" hidden="1" x14ac:dyDescent="0.3">
      <c r="A6110" s="6">
        <v>44</v>
      </c>
      <c r="B6110" s="6" t="s">
        <v>169</v>
      </c>
      <c r="C6110" s="6" t="s">
        <v>444</v>
      </c>
      <c r="D6110" s="6" t="s">
        <v>170</v>
      </c>
      <c r="E6110" s="11">
        <v>2.8030815124511719</v>
      </c>
      <c r="F6110" s="11">
        <v>4.1900486946105957</v>
      </c>
    </row>
    <row r="6111" spans="1:6" hidden="1" x14ac:dyDescent="0.3">
      <c r="A6111" s="6">
        <v>44</v>
      </c>
      <c r="B6111" s="6" t="s">
        <v>169</v>
      </c>
      <c r="C6111" s="6" t="s">
        <v>445</v>
      </c>
      <c r="D6111" s="6" t="s">
        <v>170</v>
      </c>
      <c r="E6111" s="11">
        <v>5.2934789657592773</v>
      </c>
      <c r="F6111" s="11">
        <v>4.1900486946105957</v>
      </c>
    </row>
    <row r="6112" spans="1:6" hidden="1" x14ac:dyDescent="0.3">
      <c r="A6112" s="6">
        <v>44</v>
      </c>
      <c r="B6112" s="6" t="s">
        <v>169</v>
      </c>
      <c r="C6112" s="6" t="s">
        <v>446</v>
      </c>
      <c r="D6112" s="6" t="s">
        <v>170</v>
      </c>
      <c r="E6112" s="11">
        <v>5.7354779243469238</v>
      </c>
      <c r="F6112" s="11">
        <v>4.1900486946105957</v>
      </c>
    </row>
    <row r="6113" spans="1:6" hidden="1" x14ac:dyDescent="0.3">
      <c r="A6113" s="6">
        <v>44</v>
      </c>
      <c r="B6113" s="6" t="s">
        <v>169</v>
      </c>
      <c r="C6113" s="6" t="s">
        <v>447</v>
      </c>
      <c r="D6113" s="6" t="s">
        <v>170</v>
      </c>
      <c r="E6113" s="11">
        <v>5.921013355255127</v>
      </c>
      <c r="F6113" s="11">
        <v>4.1900486946105957</v>
      </c>
    </row>
    <row r="6114" spans="1:6" hidden="1" x14ac:dyDescent="0.3">
      <c r="A6114" s="6">
        <v>44</v>
      </c>
      <c r="B6114" s="6" t="s">
        <v>169</v>
      </c>
      <c r="C6114" s="6" t="s">
        <v>448</v>
      </c>
      <c r="D6114" s="6" t="s">
        <v>170</v>
      </c>
      <c r="E6114" s="11">
        <v>3.8149535655975342</v>
      </c>
      <c r="F6114" s="11">
        <v>4.1900486946105957</v>
      </c>
    </row>
    <row r="6115" spans="1:6" hidden="1" x14ac:dyDescent="0.3">
      <c r="A6115" s="6">
        <v>44</v>
      </c>
      <c r="B6115" s="6" t="s">
        <v>169</v>
      </c>
      <c r="C6115" s="6" t="s">
        <v>449</v>
      </c>
      <c r="D6115" s="6" t="s">
        <v>170</v>
      </c>
      <c r="E6115" s="11">
        <v>4.6878318786621094</v>
      </c>
      <c r="F6115" s="11">
        <v>4.1900486946105957</v>
      </c>
    </row>
    <row r="6116" spans="1:6" hidden="1" x14ac:dyDescent="0.3">
      <c r="A6116" s="6">
        <v>44</v>
      </c>
      <c r="B6116" s="6" t="s">
        <v>169</v>
      </c>
      <c r="C6116" s="6" t="s">
        <v>450</v>
      </c>
      <c r="D6116" s="6" t="s">
        <v>170</v>
      </c>
      <c r="E6116" s="11">
        <v>4.5815372467041016</v>
      </c>
      <c r="F6116" s="11">
        <v>4.1900486946105957</v>
      </c>
    </row>
    <row r="6117" spans="1:6" hidden="1" x14ac:dyDescent="0.3">
      <c r="A6117" s="6">
        <v>44</v>
      </c>
      <c r="B6117" s="6" t="s">
        <v>169</v>
      </c>
      <c r="C6117" s="6" t="s">
        <v>451</v>
      </c>
      <c r="D6117" s="6" t="s">
        <v>170</v>
      </c>
      <c r="E6117" s="11">
        <v>4.4609112739562988</v>
      </c>
      <c r="F6117" s="11">
        <v>4.1900486946105957</v>
      </c>
    </row>
    <row r="6118" spans="1:6" hidden="1" x14ac:dyDescent="0.3">
      <c r="A6118" s="6">
        <v>44</v>
      </c>
      <c r="B6118" s="6" t="s">
        <v>169</v>
      </c>
      <c r="C6118" s="6" t="s">
        <v>452</v>
      </c>
      <c r="D6118" s="6" t="s">
        <v>170</v>
      </c>
      <c r="E6118" s="11">
        <v>4.0270934104919434</v>
      </c>
      <c r="F6118" s="11">
        <v>4.1900486946105957</v>
      </c>
    </row>
    <row r="6119" spans="1:6" hidden="1" x14ac:dyDescent="0.3">
      <c r="A6119" s="6">
        <v>44</v>
      </c>
      <c r="B6119" s="6" t="s">
        <v>169</v>
      </c>
      <c r="C6119" s="6" t="s">
        <v>453</v>
      </c>
      <c r="D6119" s="6" t="s">
        <v>170</v>
      </c>
      <c r="E6119" s="11">
        <v>77.82330322265625</v>
      </c>
      <c r="F6119" s="11">
        <v>4.1900486946105957</v>
      </c>
    </row>
    <row r="6120" spans="1:6" hidden="1" x14ac:dyDescent="0.3">
      <c r="A6120" s="6">
        <v>44</v>
      </c>
      <c r="B6120" s="6" t="s">
        <v>169</v>
      </c>
      <c r="C6120" s="6" t="s">
        <v>454</v>
      </c>
      <c r="D6120" s="6" t="s">
        <v>170</v>
      </c>
      <c r="E6120" s="11">
        <v>3.4138145446777344</v>
      </c>
      <c r="F6120" s="11">
        <v>4.1900486946105957</v>
      </c>
    </row>
    <row r="6121" spans="1:6" hidden="1" x14ac:dyDescent="0.3">
      <c r="A6121" s="6">
        <v>44</v>
      </c>
      <c r="B6121" s="6" t="s">
        <v>169</v>
      </c>
      <c r="C6121" s="6" t="s">
        <v>455</v>
      </c>
      <c r="D6121" s="6" t="s">
        <v>170</v>
      </c>
      <c r="E6121" s="11">
        <v>3.5199129581451416</v>
      </c>
      <c r="F6121" s="11">
        <v>4.1900486946105957</v>
      </c>
    </row>
    <row r="6122" spans="1:6" hidden="1" x14ac:dyDescent="0.3">
      <c r="A6122" s="6">
        <v>44</v>
      </c>
      <c r="B6122" s="6" t="s">
        <v>169</v>
      </c>
      <c r="C6122" s="6" t="s">
        <v>456</v>
      </c>
      <c r="D6122" s="6" t="s">
        <v>170</v>
      </c>
      <c r="E6122" s="11">
        <v>4.3969268798828125</v>
      </c>
      <c r="F6122" s="11">
        <v>4.1900486946105957</v>
      </c>
    </row>
    <row r="6123" spans="1:6" hidden="1" x14ac:dyDescent="0.3">
      <c r="A6123" s="6">
        <v>44</v>
      </c>
      <c r="B6123" s="6" t="s">
        <v>169</v>
      </c>
      <c r="C6123" s="6" t="s">
        <v>457</v>
      </c>
      <c r="D6123" s="6" t="s">
        <v>170</v>
      </c>
      <c r="E6123" s="11">
        <v>6.2669000625610352</v>
      </c>
      <c r="F6123" s="11">
        <v>4.1900486946105957</v>
      </c>
    </row>
    <row r="6124" spans="1:6" hidden="1" x14ac:dyDescent="0.3">
      <c r="A6124" s="6">
        <v>44</v>
      </c>
      <c r="B6124" s="6" t="s">
        <v>169</v>
      </c>
      <c r="C6124" s="6" t="s">
        <v>458</v>
      </c>
      <c r="D6124" s="6" t="s">
        <v>170</v>
      </c>
      <c r="E6124" s="11">
        <v>7.8049483299255371</v>
      </c>
      <c r="F6124" s="11">
        <v>4.1900486946105957</v>
      </c>
    </row>
    <row r="6125" spans="1:6" hidden="1" x14ac:dyDescent="0.3">
      <c r="A6125" s="6">
        <v>44</v>
      </c>
      <c r="B6125" s="6" t="s">
        <v>169</v>
      </c>
      <c r="C6125" s="6" t="s">
        <v>459</v>
      </c>
      <c r="D6125" s="6" t="s">
        <v>170</v>
      </c>
      <c r="E6125" s="11">
        <v>5.689323902130127</v>
      </c>
      <c r="F6125" s="11">
        <v>4.1900486946105957</v>
      </c>
    </row>
    <row r="6126" spans="1:6" hidden="1" x14ac:dyDescent="0.3">
      <c r="A6126" s="6">
        <v>44</v>
      </c>
      <c r="B6126" s="6" t="s">
        <v>169</v>
      </c>
      <c r="C6126" s="6" t="s">
        <v>460</v>
      </c>
      <c r="D6126" s="6" t="s">
        <v>170</v>
      </c>
      <c r="E6126" s="11">
        <v>4.3693852424621582</v>
      </c>
      <c r="F6126" s="11">
        <v>4.1900486946105957</v>
      </c>
    </row>
    <row r="6127" spans="1:6" hidden="1" x14ac:dyDescent="0.3">
      <c r="A6127" s="6">
        <v>44</v>
      </c>
      <c r="B6127" s="6" t="s">
        <v>169</v>
      </c>
      <c r="C6127" s="6" t="s">
        <v>461</v>
      </c>
      <c r="D6127" s="6" t="s">
        <v>170</v>
      </c>
      <c r="E6127" s="11">
        <v>3.7824180126190186</v>
      </c>
      <c r="F6127" s="11">
        <v>4.1900486946105957</v>
      </c>
    </row>
    <row r="6128" spans="1:6" hidden="1" x14ac:dyDescent="0.3">
      <c r="A6128" s="6">
        <v>44</v>
      </c>
      <c r="B6128" s="6" t="s">
        <v>169</v>
      </c>
      <c r="C6128" s="6" t="s">
        <v>462</v>
      </c>
      <c r="D6128" s="6" t="s">
        <v>170</v>
      </c>
      <c r="E6128" s="11">
        <v>3.2811956405639648</v>
      </c>
      <c r="F6128" s="11">
        <v>4.1900486946105957</v>
      </c>
    </row>
    <row r="6129" spans="1:6" hidden="1" x14ac:dyDescent="0.3">
      <c r="A6129" s="6">
        <v>44</v>
      </c>
      <c r="B6129" s="6" t="s">
        <v>169</v>
      </c>
      <c r="C6129" s="6" t="s">
        <v>463</v>
      </c>
      <c r="D6129" s="6" t="s">
        <v>170</v>
      </c>
      <c r="E6129" s="11">
        <v>2.8281540870666504</v>
      </c>
      <c r="F6129" s="11">
        <v>4.1900486946105957</v>
      </c>
    </row>
    <row r="6130" spans="1:6" hidden="1" x14ac:dyDescent="0.3">
      <c r="A6130" s="6">
        <v>44</v>
      </c>
      <c r="B6130" s="6" t="s">
        <v>169</v>
      </c>
      <c r="C6130" s="6" t="s">
        <v>464</v>
      </c>
      <c r="D6130" s="6" t="s">
        <v>170</v>
      </c>
      <c r="E6130" s="11">
        <v>4.1352066993713379</v>
      </c>
      <c r="F6130" s="11">
        <v>4.1900486946105957</v>
      </c>
    </row>
    <row r="6131" spans="1:6" hidden="1" x14ac:dyDescent="0.3">
      <c r="A6131" s="6">
        <v>44</v>
      </c>
      <c r="B6131" s="6" t="s">
        <v>169</v>
      </c>
      <c r="C6131" s="6" t="s">
        <v>465</v>
      </c>
      <c r="D6131" s="6" t="s">
        <v>170</v>
      </c>
      <c r="E6131" s="11">
        <v>8.5056266784667969</v>
      </c>
      <c r="F6131" s="11">
        <v>4.1900486946105957</v>
      </c>
    </row>
    <row r="6132" spans="1:6" hidden="1" x14ac:dyDescent="0.3">
      <c r="A6132" s="6">
        <v>44</v>
      </c>
      <c r="B6132" s="6" t="s">
        <v>169</v>
      </c>
      <c r="C6132" s="6" t="s">
        <v>466</v>
      </c>
      <c r="D6132" s="6" t="s">
        <v>170</v>
      </c>
      <c r="E6132" s="11">
        <v>3.2228007316589355</v>
      </c>
      <c r="F6132" s="11">
        <v>4.1900486946105957</v>
      </c>
    </row>
    <row r="6133" spans="1:6" hidden="1" x14ac:dyDescent="0.3">
      <c r="A6133" s="6">
        <v>44</v>
      </c>
      <c r="B6133" s="6" t="s">
        <v>169</v>
      </c>
      <c r="C6133" s="6" t="s">
        <v>467</v>
      </c>
      <c r="D6133" s="6" t="s">
        <v>170</v>
      </c>
      <c r="E6133" s="11">
        <v>4.2343811988830566</v>
      </c>
      <c r="F6133" s="11">
        <v>4.1900486946105957</v>
      </c>
    </row>
    <row r="6134" spans="1:6" hidden="1" x14ac:dyDescent="0.3">
      <c r="A6134" s="6">
        <v>44</v>
      </c>
      <c r="B6134" s="6" t="s">
        <v>169</v>
      </c>
      <c r="C6134" s="6" t="s">
        <v>468</v>
      </c>
      <c r="D6134" s="6" t="s">
        <v>170</v>
      </c>
      <c r="E6134" s="11">
        <v>6.4430203437805176</v>
      </c>
      <c r="F6134" s="11">
        <v>4.1900486946105957</v>
      </c>
    </row>
    <row r="6135" spans="1:6" hidden="1" x14ac:dyDescent="0.3">
      <c r="A6135" s="6">
        <v>44</v>
      </c>
      <c r="B6135" s="6" t="s">
        <v>169</v>
      </c>
      <c r="C6135" s="6" t="s">
        <v>469</v>
      </c>
      <c r="D6135" s="6" t="s">
        <v>170</v>
      </c>
      <c r="E6135" s="11">
        <v>4.9214177131652832</v>
      </c>
      <c r="F6135" s="11">
        <v>4.1900486946105957</v>
      </c>
    </row>
    <row r="6136" spans="1:6" hidden="1" x14ac:dyDescent="0.3">
      <c r="A6136" s="6">
        <v>44</v>
      </c>
      <c r="B6136" s="6" t="s">
        <v>169</v>
      </c>
      <c r="C6136" s="6" t="s">
        <v>470</v>
      </c>
      <c r="D6136" s="6" t="s">
        <v>170</v>
      </c>
      <c r="E6136" s="11">
        <v>4.4170975685119629</v>
      </c>
      <c r="F6136" s="11">
        <v>4.1900486946105957</v>
      </c>
    </row>
    <row r="6137" spans="1:6" hidden="1" x14ac:dyDescent="0.3">
      <c r="A6137" s="6">
        <v>44</v>
      </c>
      <c r="B6137" s="6" t="s">
        <v>169</v>
      </c>
      <c r="C6137" s="6" t="s">
        <v>471</v>
      </c>
      <c r="D6137" s="6" t="s">
        <v>170</v>
      </c>
      <c r="E6137" s="11">
        <v>7.1697711944580078</v>
      </c>
      <c r="F6137" s="11">
        <v>4.1900486946105957</v>
      </c>
    </row>
    <row r="6138" spans="1:6" hidden="1" x14ac:dyDescent="0.3">
      <c r="A6138" s="6">
        <v>44</v>
      </c>
      <c r="B6138" s="6" t="s">
        <v>169</v>
      </c>
      <c r="C6138" s="6" t="s">
        <v>472</v>
      </c>
      <c r="D6138" s="6" t="s">
        <v>170</v>
      </c>
      <c r="E6138" s="11">
        <v>3.6816563606262207</v>
      </c>
      <c r="F6138" s="11">
        <v>4.1900486946105957</v>
      </c>
    </row>
    <row r="6139" spans="1:6" hidden="1" x14ac:dyDescent="0.3">
      <c r="A6139" s="6">
        <v>44</v>
      </c>
      <c r="B6139" s="6" t="s">
        <v>169</v>
      </c>
      <c r="C6139" s="6" t="s">
        <v>473</v>
      </c>
      <c r="D6139" s="6" t="s">
        <v>170</v>
      </c>
      <c r="E6139" s="11">
        <v>3.3233072757720947</v>
      </c>
      <c r="F6139" s="11">
        <v>4.1900486946105957</v>
      </c>
    </row>
    <row r="6140" spans="1:6" hidden="1" x14ac:dyDescent="0.3">
      <c r="A6140" s="6">
        <v>44</v>
      </c>
      <c r="B6140" s="6" t="s">
        <v>169</v>
      </c>
      <c r="C6140" s="6" t="s">
        <v>474</v>
      </c>
      <c r="D6140" s="6" t="s">
        <v>170</v>
      </c>
      <c r="E6140" s="11">
        <v>3.7557446956634521</v>
      </c>
      <c r="F6140" s="11">
        <v>4.1900486946105957</v>
      </c>
    </row>
    <row r="6141" spans="1:6" hidden="1" x14ac:dyDescent="0.3">
      <c r="A6141" s="6">
        <v>44</v>
      </c>
      <c r="B6141" s="6" t="s">
        <v>169</v>
      </c>
      <c r="C6141" s="6" t="s">
        <v>475</v>
      </c>
      <c r="D6141" s="6" t="s">
        <v>170</v>
      </c>
      <c r="E6141" s="11">
        <v>3.3226854801177979</v>
      </c>
      <c r="F6141" s="11">
        <v>4.1900486946105957</v>
      </c>
    </row>
    <row r="6142" spans="1:6" hidden="1" x14ac:dyDescent="0.3">
      <c r="A6142" s="6">
        <v>44</v>
      </c>
      <c r="B6142" s="6" t="s">
        <v>169</v>
      </c>
      <c r="C6142" s="6" t="s">
        <v>476</v>
      </c>
      <c r="D6142" s="6" t="s">
        <v>170</v>
      </c>
      <c r="E6142" s="11">
        <v>3.1928346157073975</v>
      </c>
      <c r="F6142" s="11">
        <v>4.1900486946105957</v>
      </c>
    </row>
    <row r="6143" spans="1:6" hidden="1" x14ac:dyDescent="0.3">
      <c r="A6143" s="6">
        <v>44</v>
      </c>
      <c r="B6143" s="6" t="s">
        <v>169</v>
      </c>
      <c r="C6143" s="6" t="s">
        <v>477</v>
      </c>
      <c r="D6143" s="6" t="s">
        <v>170</v>
      </c>
      <c r="E6143" s="11">
        <v>4.5543160438537598</v>
      </c>
      <c r="F6143" s="11">
        <v>4.1900486946105957</v>
      </c>
    </row>
    <row r="6144" spans="1:6" hidden="1" x14ac:dyDescent="0.3">
      <c r="A6144" s="6">
        <v>44</v>
      </c>
      <c r="B6144" s="6" t="s">
        <v>169</v>
      </c>
      <c r="C6144" s="6" t="s">
        <v>478</v>
      </c>
      <c r="D6144" s="6" t="s">
        <v>170</v>
      </c>
      <c r="E6144" s="11">
        <v>4.7581987380981445</v>
      </c>
      <c r="F6144" s="11">
        <v>4.1900486946105957</v>
      </c>
    </row>
    <row r="6145" spans="1:6" hidden="1" x14ac:dyDescent="0.3">
      <c r="A6145" s="6">
        <v>44</v>
      </c>
      <c r="B6145" s="6" t="s">
        <v>169</v>
      </c>
      <c r="C6145" s="6" t="s">
        <v>479</v>
      </c>
      <c r="D6145" s="6" t="s">
        <v>170</v>
      </c>
      <c r="E6145" s="11">
        <v>5.9785733222961426</v>
      </c>
      <c r="F6145" s="11">
        <v>4.1900486946105957</v>
      </c>
    </row>
    <row r="6146" spans="1:6" hidden="1" x14ac:dyDescent="0.3">
      <c r="A6146" s="6">
        <v>44</v>
      </c>
      <c r="B6146" s="6" t="s">
        <v>169</v>
      </c>
      <c r="C6146" s="6" t="s">
        <v>480</v>
      </c>
      <c r="D6146" s="6" t="s">
        <v>170</v>
      </c>
      <c r="E6146" s="11">
        <v>4.4593210220336914</v>
      </c>
      <c r="F6146" s="11">
        <v>4.1900486946105957</v>
      </c>
    </row>
    <row r="6147" spans="1:6" hidden="1" x14ac:dyDescent="0.3">
      <c r="A6147" s="6">
        <v>44</v>
      </c>
      <c r="B6147" s="6" t="s">
        <v>169</v>
      </c>
      <c r="C6147" s="6" t="s">
        <v>481</v>
      </c>
      <c r="D6147" s="6" t="s">
        <v>170</v>
      </c>
      <c r="E6147" s="11">
        <v>4.8774476051330566</v>
      </c>
      <c r="F6147" s="11">
        <v>4.1900486946105957</v>
      </c>
    </row>
    <row r="6148" spans="1:6" hidden="1" x14ac:dyDescent="0.3">
      <c r="A6148" s="6">
        <v>44</v>
      </c>
      <c r="B6148" s="6" t="s">
        <v>169</v>
      </c>
      <c r="C6148" s="6" t="s">
        <v>482</v>
      </c>
      <c r="D6148" s="6" t="s">
        <v>170</v>
      </c>
      <c r="E6148" s="11">
        <v>3.617250919342041</v>
      </c>
      <c r="F6148" s="11">
        <v>4.1900486946105957</v>
      </c>
    </row>
    <row r="6149" spans="1:6" hidden="1" x14ac:dyDescent="0.3">
      <c r="A6149" s="6">
        <v>44</v>
      </c>
      <c r="B6149" s="6" t="s">
        <v>169</v>
      </c>
      <c r="C6149" s="6" t="s">
        <v>483</v>
      </c>
      <c r="D6149" s="6" t="s">
        <v>170</v>
      </c>
      <c r="E6149" s="11">
        <v>2.8467187881469727</v>
      </c>
      <c r="F6149" s="11">
        <v>4.1900486946105957</v>
      </c>
    </row>
    <row r="6150" spans="1:6" hidden="1" x14ac:dyDescent="0.3">
      <c r="A6150" s="6">
        <v>44</v>
      </c>
      <c r="B6150" s="6" t="s">
        <v>169</v>
      </c>
      <c r="C6150" s="6" t="s">
        <v>484</v>
      </c>
      <c r="D6150" s="6" t="s">
        <v>170</v>
      </c>
      <c r="E6150" s="11">
        <v>3.8323290348052979</v>
      </c>
      <c r="F6150" s="11">
        <v>4.1900486946105957</v>
      </c>
    </row>
    <row r="6151" spans="1:6" hidden="1" x14ac:dyDescent="0.3">
      <c r="A6151" s="6">
        <v>44</v>
      </c>
      <c r="B6151" s="6" t="s">
        <v>169</v>
      </c>
      <c r="C6151" s="6" t="s">
        <v>485</v>
      </c>
      <c r="D6151" s="6" t="s">
        <v>170</v>
      </c>
      <c r="E6151" s="11">
        <v>3.7467856407165527</v>
      </c>
      <c r="F6151" s="11">
        <v>4.1900486946105957</v>
      </c>
    </row>
    <row r="6152" spans="1:6" hidden="1" x14ac:dyDescent="0.3">
      <c r="A6152" s="6">
        <v>44</v>
      </c>
      <c r="B6152" s="6" t="s">
        <v>169</v>
      </c>
      <c r="C6152" s="6" t="s">
        <v>486</v>
      </c>
      <c r="D6152" s="6" t="s">
        <v>170</v>
      </c>
      <c r="E6152" s="11">
        <v>3.1367521286010742</v>
      </c>
      <c r="F6152" s="11">
        <v>4.1900486946105957</v>
      </c>
    </row>
    <row r="6153" spans="1:6" hidden="1" x14ac:dyDescent="0.3">
      <c r="A6153" s="6">
        <v>44</v>
      </c>
      <c r="B6153" s="6" t="s">
        <v>169</v>
      </c>
      <c r="C6153" s="6" t="s">
        <v>487</v>
      </c>
      <c r="D6153" s="6" t="s">
        <v>170</v>
      </c>
      <c r="E6153" s="11">
        <v>3.5956082344055176</v>
      </c>
      <c r="F6153" s="11">
        <v>4.1900486946105957</v>
      </c>
    </row>
    <row r="6154" spans="1:6" hidden="1" x14ac:dyDescent="0.3">
      <c r="A6154" s="6">
        <v>44</v>
      </c>
      <c r="B6154" s="6" t="s">
        <v>169</v>
      </c>
      <c r="C6154" s="6" t="s">
        <v>488</v>
      </c>
      <c r="D6154" s="6" t="s">
        <v>170</v>
      </c>
      <c r="E6154" s="11">
        <v>3.7492866516113281</v>
      </c>
      <c r="F6154" s="11">
        <v>4.1900486946105957</v>
      </c>
    </row>
    <row r="6155" spans="1:6" hidden="1" x14ac:dyDescent="0.3">
      <c r="A6155" s="6">
        <v>44</v>
      </c>
      <c r="B6155" s="6" t="s">
        <v>169</v>
      </c>
      <c r="C6155" s="6" t="s">
        <v>489</v>
      </c>
      <c r="D6155" s="6" t="s">
        <v>170</v>
      </c>
      <c r="E6155" s="11">
        <v>4.8920245170593262</v>
      </c>
      <c r="F6155" s="11">
        <v>4.1900486946105957</v>
      </c>
    </row>
    <row r="6156" spans="1:6" hidden="1" x14ac:dyDescent="0.3">
      <c r="A6156" s="6">
        <v>44</v>
      </c>
      <c r="B6156" s="6" t="s">
        <v>169</v>
      </c>
      <c r="C6156" s="6" t="s">
        <v>490</v>
      </c>
      <c r="D6156" s="6" t="s">
        <v>170</v>
      </c>
      <c r="E6156" s="11">
        <v>4.1614880561828613</v>
      </c>
      <c r="F6156" s="11">
        <v>4.1900486946105957</v>
      </c>
    </row>
    <row r="6157" spans="1:6" hidden="1" x14ac:dyDescent="0.3">
      <c r="A6157" s="6">
        <v>44</v>
      </c>
      <c r="B6157" s="6" t="s">
        <v>169</v>
      </c>
      <c r="C6157" s="6" t="s">
        <v>491</v>
      </c>
      <c r="D6157" s="6" t="s">
        <v>170</v>
      </c>
      <c r="E6157" s="11">
        <v>4.3060402870178223</v>
      </c>
      <c r="F6157" s="11">
        <v>4.1900486946105957</v>
      </c>
    </row>
    <row r="6158" spans="1:6" hidden="1" x14ac:dyDescent="0.3">
      <c r="A6158" s="6">
        <v>44</v>
      </c>
      <c r="B6158" s="6" t="s">
        <v>169</v>
      </c>
      <c r="C6158" s="6" t="s">
        <v>492</v>
      </c>
      <c r="D6158" s="6" t="s">
        <v>170</v>
      </c>
      <c r="E6158" s="11">
        <v>4.1870803833007813</v>
      </c>
      <c r="F6158" s="11">
        <v>4.1900486946105957</v>
      </c>
    </row>
    <row r="6159" spans="1:6" hidden="1" x14ac:dyDescent="0.3">
      <c r="A6159" s="6">
        <v>44</v>
      </c>
      <c r="B6159" s="6" t="s">
        <v>169</v>
      </c>
      <c r="C6159" s="6" t="s">
        <v>493</v>
      </c>
      <c r="D6159" s="6" t="s">
        <v>170</v>
      </c>
      <c r="E6159" s="11">
        <v>440.19427490234375</v>
      </c>
      <c r="F6159" s="11">
        <v>4.1900486946105957</v>
      </c>
    </row>
    <row r="6160" spans="1:6" hidden="1" x14ac:dyDescent="0.3">
      <c r="A6160" s="6">
        <v>44</v>
      </c>
      <c r="B6160" s="6" t="s">
        <v>169</v>
      </c>
      <c r="C6160" s="6" t="s">
        <v>494</v>
      </c>
      <c r="D6160" s="6" t="s">
        <v>170</v>
      </c>
      <c r="E6160" s="11"/>
      <c r="F6160" s="11">
        <v>4.1900486946105957</v>
      </c>
    </row>
    <row r="6161" spans="1:6" hidden="1" x14ac:dyDescent="0.3">
      <c r="A6161" s="6">
        <v>44</v>
      </c>
      <c r="B6161" s="6" t="s">
        <v>169</v>
      </c>
      <c r="C6161" s="6" t="s">
        <v>495</v>
      </c>
      <c r="D6161" s="6" t="s">
        <v>170</v>
      </c>
      <c r="E6161" s="11">
        <v>3.4402599334716797</v>
      </c>
      <c r="F6161" s="11">
        <v>4.1900486946105957</v>
      </c>
    </row>
    <row r="6162" spans="1:6" hidden="1" x14ac:dyDescent="0.3">
      <c r="A6162" s="6">
        <v>45</v>
      </c>
      <c r="B6162" s="6" t="s">
        <v>171</v>
      </c>
      <c r="C6162" s="6" t="s">
        <v>356</v>
      </c>
      <c r="D6162" s="6" t="s">
        <v>172</v>
      </c>
      <c r="E6162" s="11">
        <v>15.111759185791016</v>
      </c>
      <c r="F6162" s="11">
        <v>4.3232064247131348</v>
      </c>
    </row>
    <row r="6163" spans="1:6" hidden="1" x14ac:dyDescent="0.3">
      <c r="A6163" s="6">
        <v>45</v>
      </c>
      <c r="B6163" s="6" t="s">
        <v>171</v>
      </c>
      <c r="C6163" s="6" t="s">
        <v>357</v>
      </c>
      <c r="D6163" s="6" t="s">
        <v>172</v>
      </c>
      <c r="E6163" s="11">
        <v>3.034447193145752</v>
      </c>
      <c r="F6163" s="11">
        <v>4.3232064247131348</v>
      </c>
    </row>
    <row r="6164" spans="1:6" hidden="1" x14ac:dyDescent="0.3">
      <c r="A6164" s="6">
        <v>45</v>
      </c>
      <c r="B6164" s="6" t="s">
        <v>171</v>
      </c>
      <c r="C6164" s="6" t="s">
        <v>358</v>
      </c>
      <c r="D6164" s="6" t="s">
        <v>172</v>
      </c>
      <c r="E6164" s="11">
        <v>4.460477352142334</v>
      </c>
      <c r="F6164" s="11">
        <v>4.3232064247131348</v>
      </c>
    </row>
    <row r="6165" spans="1:6" hidden="1" x14ac:dyDescent="0.3">
      <c r="A6165" s="6">
        <v>45</v>
      </c>
      <c r="B6165" s="6" t="s">
        <v>171</v>
      </c>
      <c r="C6165" s="6" t="s">
        <v>359</v>
      </c>
      <c r="D6165" s="6" t="s">
        <v>172</v>
      </c>
      <c r="E6165" s="11">
        <v>3.6953685283660889</v>
      </c>
      <c r="F6165" s="11">
        <v>4.3232064247131348</v>
      </c>
    </row>
    <row r="6166" spans="1:6" hidden="1" x14ac:dyDescent="0.3">
      <c r="A6166" s="6">
        <v>45</v>
      </c>
      <c r="B6166" s="6" t="s">
        <v>171</v>
      </c>
      <c r="C6166" s="6" t="s">
        <v>360</v>
      </c>
      <c r="D6166" s="6" t="s">
        <v>172</v>
      </c>
      <c r="E6166" s="11">
        <v>3.9921286106109619</v>
      </c>
      <c r="F6166" s="11">
        <v>4.3232064247131348</v>
      </c>
    </row>
    <row r="6167" spans="1:6" hidden="1" x14ac:dyDescent="0.3">
      <c r="A6167" s="6">
        <v>45</v>
      </c>
      <c r="B6167" s="6" t="s">
        <v>171</v>
      </c>
      <c r="C6167" s="6" t="s">
        <v>361</v>
      </c>
      <c r="D6167" s="6" t="s">
        <v>172</v>
      </c>
      <c r="E6167" s="11">
        <v>4.547213077545166</v>
      </c>
      <c r="F6167" s="11">
        <v>4.3232064247131348</v>
      </c>
    </row>
    <row r="6168" spans="1:6" hidden="1" x14ac:dyDescent="0.3">
      <c r="A6168" s="6">
        <v>45</v>
      </c>
      <c r="B6168" s="6" t="s">
        <v>171</v>
      </c>
      <c r="C6168" s="6" t="s">
        <v>362</v>
      </c>
      <c r="D6168" s="6" t="s">
        <v>172</v>
      </c>
      <c r="E6168" s="11">
        <v>7.1982121467590332</v>
      </c>
      <c r="F6168" s="11">
        <v>4.3232064247131348</v>
      </c>
    </row>
    <row r="6169" spans="1:6" hidden="1" x14ac:dyDescent="0.3">
      <c r="A6169" s="6">
        <v>45</v>
      </c>
      <c r="B6169" s="6" t="s">
        <v>171</v>
      </c>
      <c r="C6169" s="6" t="s">
        <v>363</v>
      </c>
      <c r="D6169" s="6" t="s">
        <v>172</v>
      </c>
      <c r="E6169" s="11">
        <v>4.7391705513000488</v>
      </c>
      <c r="F6169" s="11">
        <v>4.3232064247131348</v>
      </c>
    </row>
    <row r="6170" spans="1:6" hidden="1" x14ac:dyDescent="0.3">
      <c r="A6170" s="6">
        <v>45</v>
      </c>
      <c r="B6170" s="6" t="s">
        <v>171</v>
      </c>
      <c r="C6170" s="6" t="s">
        <v>364</v>
      </c>
      <c r="D6170" s="6" t="s">
        <v>172</v>
      </c>
      <c r="E6170" s="11">
        <v>4.5386843681335449</v>
      </c>
      <c r="F6170" s="11">
        <v>4.3232064247131348</v>
      </c>
    </row>
    <row r="6171" spans="1:6" hidden="1" x14ac:dyDescent="0.3">
      <c r="A6171" s="6">
        <v>45</v>
      </c>
      <c r="B6171" s="6" t="s">
        <v>171</v>
      </c>
      <c r="C6171" s="6" t="s">
        <v>365</v>
      </c>
      <c r="D6171" s="6" t="s">
        <v>172</v>
      </c>
      <c r="E6171" s="11">
        <v>3.5344560146331787</v>
      </c>
      <c r="F6171" s="11">
        <v>4.3232064247131348</v>
      </c>
    </row>
    <row r="6172" spans="1:6" hidden="1" x14ac:dyDescent="0.3">
      <c r="A6172" s="6">
        <v>45</v>
      </c>
      <c r="B6172" s="6" t="s">
        <v>171</v>
      </c>
      <c r="C6172" s="6" t="s">
        <v>366</v>
      </c>
      <c r="D6172" s="6" t="s">
        <v>172</v>
      </c>
      <c r="E6172" s="11">
        <v>28.305000305175781</v>
      </c>
      <c r="F6172" s="11">
        <v>4.3232064247131348</v>
      </c>
    </row>
    <row r="6173" spans="1:6" hidden="1" x14ac:dyDescent="0.3">
      <c r="A6173" s="6">
        <v>45</v>
      </c>
      <c r="B6173" s="6" t="s">
        <v>171</v>
      </c>
      <c r="C6173" s="6" t="s">
        <v>367</v>
      </c>
      <c r="D6173" s="6" t="s">
        <v>172</v>
      </c>
      <c r="E6173" s="11">
        <v>4.738471508026123</v>
      </c>
      <c r="F6173" s="11">
        <v>4.3232064247131348</v>
      </c>
    </row>
    <row r="6174" spans="1:6" hidden="1" x14ac:dyDescent="0.3">
      <c r="A6174" s="6">
        <v>45</v>
      </c>
      <c r="B6174" s="6" t="s">
        <v>171</v>
      </c>
      <c r="C6174" s="6" t="s">
        <v>368</v>
      </c>
      <c r="D6174" s="6" t="s">
        <v>172</v>
      </c>
      <c r="E6174" s="11">
        <v>3.1729631423950195</v>
      </c>
      <c r="F6174" s="11">
        <v>4.3232064247131348</v>
      </c>
    </row>
    <row r="6175" spans="1:6" hidden="1" x14ac:dyDescent="0.3">
      <c r="A6175" s="6">
        <v>45</v>
      </c>
      <c r="B6175" s="6" t="s">
        <v>171</v>
      </c>
      <c r="C6175" s="6" t="s">
        <v>369</v>
      </c>
      <c r="D6175" s="6" t="s">
        <v>172</v>
      </c>
      <c r="E6175" s="11">
        <v>6.8452396392822266</v>
      </c>
      <c r="F6175" s="11">
        <v>4.3232064247131348</v>
      </c>
    </row>
    <row r="6176" spans="1:6" hidden="1" x14ac:dyDescent="0.3">
      <c r="A6176" s="6">
        <v>45</v>
      </c>
      <c r="B6176" s="6" t="s">
        <v>171</v>
      </c>
      <c r="C6176" s="6" t="s">
        <v>370</v>
      </c>
      <c r="D6176" s="6" t="s">
        <v>172</v>
      </c>
      <c r="E6176" s="11">
        <v>3.8530998229980469</v>
      </c>
      <c r="F6176" s="11">
        <v>4.3232064247131348</v>
      </c>
    </row>
    <row r="6177" spans="1:6" hidden="1" x14ac:dyDescent="0.3">
      <c r="A6177" s="6">
        <v>45</v>
      </c>
      <c r="B6177" s="6" t="s">
        <v>171</v>
      </c>
      <c r="C6177" s="6" t="s">
        <v>371</v>
      </c>
      <c r="D6177" s="6" t="s">
        <v>172</v>
      </c>
      <c r="E6177" s="11">
        <v>4.5440101623535156</v>
      </c>
      <c r="F6177" s="11">
        <v>4.3232064247131348</v>
      </c>
    </row>
    <row r="6178" spans="1:6" hidden="1" x14ac:dyDescent="0.3">
      <c r="A6178" s="6">
        <v>45</v>
      </c>
      <c r="B6178" s="6" t="s">
        <v>171</v>
      </c>
      <c r="C6178" s="6" t="s">
        <v>372</v>
      </c>
      <c r="D6178" s="6" t="s">
        <v>172</v>
      </c>
      <c r="E6178" s="11">
        <v>5.2155466079711914</v>
      </c>
      <c r="F6178" s="11">
        <v>4.3232064247131348</v>
      </c>
    </row>
    <row r="6179" spans="1:6" hidden="1" x14ac:dyDescent="0.3">
      <c r="A6179" s="6">
        <v>45</v>
      </c>
      <c r="B6179" s="6" t="s">
        <v>171</v>
      </c>
      <c r="C6179" s="6" t="s">
        <v>373</v>
      </c>
      <c r="D6179" s="6" t="s">
        <v>172</v>
      </c>
      <c r="E6179" s="11">
        <v>3.7770822048187256</v>
      </c>
      <c r="F6179" s="11">
        <v>4.3232064247131348</v>
      </c>
    </row>
    <row r="6180" spans="1:6" hidden="1" x14ac:dyDescent="0.3">
      <c r="A6180" s="6">
        <v>45</v>
      </c>
      <c r="B6180" s="6" t="s">
        <v>171</v>
      </c>
      <c r="C6180" s="6" t="s">
        <v>374</v>
      </c>
      <c r="D6180" s="6" t="s">
        <v>172</v>
      </c>
      <c r="E6180" s="11">
        <v>4.953826904296875</v>
      </c>
      <c r="F6180" s="11">
        <v>4.3232064247131348</v>
      </c>
    </row>
    <row r="6181" spans="1:6" hidden="1" x14ac:dyDescent="0.3">
      <c r="A6181" s="6">
        <v>45</v>
      </c>
      <c r="B6181" s="6" t="s">
        <v>171</v>
      </c>
      <c r="C6181" s="6" t="s">
        <v>375</v>
      </c>
      <c r="D6181" s="6" t="s">
        <v>172</v>
      </c>
      <c r="E6181" s="11">
        <v>3.6770036220550537</v>
      </c>
      <c r="F6181" s="11">
        <v>4.3232064247131348</v>
      </c>
    </row>
    <row r="6182" spans="1:6" hidden="1" x14ac:dyDescent="0.3">
      <c r="A6182" s="6">
        <v>45</v>
      </c>
      <c r="B6182" s="6" t="s">
        <v>171</v>
      </c>
      <c r="C6182" s="6" t="s">
        <v>376</v>
      </c>
      <c r="D6182" s="6" t="s">
        <v>172</v>
      </c>
      <c r="E6182" s="11">
        <v>3.1994006633758545</v>
      </c>
      <c r="F6182" s="11">
        <v>4.3232064247131348</v>
      </c>
    </row>
    <row r="6183" spans="1:6" hidden="1" x14ac:dyDescent="0.3">
      <c r="A6183" s="6">
        <v>45</v>
      </c>
      <c r="B6183" s="6" t="s">
        <v>171</v>
      </c>
      <c r="C6183" s="6" t="s">
        <v>377</v>
      </c>
      <c r="D6183" s="6" t="s">
        <v>172</v>
      </c>
      <c r="E6183" s="11">
        <v>4.6478776931762695</v>
      </c>
      <c r="F6183" s="11">
        <v>4.3232064247131348</v>
      </c>
    </row>
    <row r="6184" spans="1:6" hidden="1" x14ac:dyDescent="0.3">
      <c r="A6184" s="6">
        <v>45</v>
      </c>
      <c r="B6184" s="6" t="s">
        <v>171</v>
      </c>
      <c r="C6184" s="6" t="s">
        <v>378</v>
      </c>
      <c r="D6184" s="6" t="s">
        <v>172</v>
      </c>
      <c r="E6184" s="11">
        <v>4.2093844413757324</v>
      </c>
      <c r="F6184" s="11">
        <v>4.3232064247131348</v>
      </c>
    </row>
    <row r="6185" spans="1:6" hidden="1" x14ac:dyDescent="0.3">
      <c r="A6185" s="6">
        <v>45</v>
      </c>
      <c r="B6185" s="6" t="s">
        <v>171</v>
      </c>
      <c r="C6185" s="6" t="s">
        <v>379</v>
      </c>
      <c r="D6185" s="6" t="s">
        <v>172</v>
      </c>
      <c r="E6185" s="11">
        <v>6.5666131973266602</v>
      </c>
      <c r="F6185" s="11">
        <v>4.3232064247131348</v>
      </c>
    </row>
    <row r="6186" spans="1:6" hidden="1" x14ac:dyDescent="0.3">
      <c r="A6186" s="6">
        <v>45</v>
      </c>
      <c r="B6186" s="6" t="s">
        <v>171</v>
      </c>
      <c r="C6186" s="6" t="s">
        <v>380</v>
      </c>
      <c r="D6186" s="6" t="s">
        <v>172</v>
      </c>
      <c r="E6186" s="11">
        <v>3.2818210124969482</v>
      </c>
      <c r="F6186" s="11">
        <v>4.3232064247131348</v>
      </c>
    </row>
    <row r="6187" spans="1:6" hidden="1" x14ac:dyDescent="0.3">
      <c r="A6187" s="6">
        <v>45</v>
      </c>
      <c r="B6187" s="6" t="s">
        <v>171</v>
      </c>
      <c r="C6187" s="6" t="s">
        <v>381</v>
      </c>
      <c r="D6187" s="6" t="s">
        <v>172</v>
      </c>
      <c r="E6187" s="11">
        <v>3.4221570491790771</v>
      </c>
      <c r="F6187" s="11">
        <v>4.3232064247131348</v>
      </c>
    </row>
    <row r="6188" spans="1:6" hidden="1" x14ac:dyDescent="0.3">
      <c r="A6188" s="6">
        <v>45</v>
      </c>
      <c r="B6188" s="6" t="s">
        <v>171</v>
      </c>
      <c r="C6188" s="6" t="s">
        <v>382</v>
      </c>
      <c r="D6188" s="6" t="s">
        <v>172</v>
      </c>
      <c r="E6188" s="11">
        <v>3.7679674625396729</v>
      </c>
      <c r="F6188" s="11">
        <v>4.3232064247131348</v>
      </c>
    </row>
    <row r="6189" spans="1:6" hidden="1" x14ac:dyDescent="0.3">
      <c r="A6189" s="6">
        <v>45</v>
      </c>
      <c r="B6189" s="6" t="s">
        <v>171</v>
      </c>
      <c r="C6189" s="6" t="s">
        <v>383</v>
      </c>
      <c r="D6189" s="6" t="s">
        <v>172</v>
      </c>
      <c r="E6189" s="11">
        <v>5.7070188522338867</v>
      </c>
      <c r="F6189" s="11">
        <v>4.3232064247131348</v>
      </c>
    </row>
    <row r="6190" spans="1:6" hidden="1" x14ac:dyDescent="0.3">
      <c r="A6190" s="6">
        <v>45</v>
      </c>
      <c r="B6190" s="6" t="s">
        <v>171</v>
      </c>
      <c r="C6190" s="6" t="s">
        <v>384</v>
      </c>
      <c r="D6190" s="6" t="s">
        <v>172</v>
      </c>
      <c r="E6190" s="11">
        <v>3.9808700084686279</v>
      </c>
      <c r="F6190" s="11">
        <v>4.3232064247131348</v>
      </c>
    </row>
    <row r="6191" spans="1:6" hidden="1" x14ac:dyDescent="0.3">
      <c r="A6191" s="6">
        <v>45</v>
      </c>
      <c r="B6191" s="6" t="s">
        <v>171</v>
      </c>
      <c r="C6191" s="6" t="s">
        <v>385</v>
      </c>
      <c r="D6191" s="6" t="s">
        <v>172</v>
      </c>
      <c r="E6191" s="11">
        <v>6.0066418647766113</v>
      </c>
      <c r="F6191" s="11">
        <v>4.3232064247131348</v>
      </c>
    </row>
    <row r="6192" spans="1:6" hidden="1" x14ac:dyDescent="0.3">
      <c r="A6192" s="6">
        <v>45</v>
      </c>
      <c r="B6192" s="6" t="s">
        <v>171</v>
      </c>
      <c r="C6192" s="6" t="s">
        <v>386</v>
      </c>
      <c r="D6192" s="6" t="s">
        <v>172</v>
      </c>
      <c r="E6192" s="11">
        <v>3.8452796936035156</v>
      </c>
      <c r="F6192" s="11">
        <v>4.3232064247131348</v>
      </c>
    </row>
    <row r="6193" spans="1:6" hidden="1" x14ac:dyDescent="0.3">
      <c r="A6193" s="6">
        <v>45</v>
      </c>
      <c r="B6193" s="6" t="s">
        <v>171</v>
      </c>
      <c r="C6193" s="6" t="s">
        <v>387</v>
      </c>
      <c r="D6193" s="6" t="s">
        <v>172</v>
      </c>
      <c r="E6193" s="11">
        <v>8.8828420639038086</v>
      </c>
      <c r="F6193" s="11">
        <v>4.3232064247131348</v>
      </c>
    </row>
    <row r="6194" spans="1:6" hidden="1" x14ac:dyDescent="0.3">
      <c r="A6194" s="6">
        <v>45</v>
      </c>
      <c r="B6194" s="6" t="s">
        <v>171</v>
      </c>
      <c r="C6194" s="6" t="s">
        <v>388</v>
      </c>
      <c r="D6194" s="6" t="s">
        <v>172</v>
      </c>
      <c r="E6194" s="11">
        <v>2.8213663101196289</v>
      </c>
      <c r="F6194" s="11">
        <v>4.3232064247131348</v>
      </c>
    </row>
    <row r="6195" spans="1:6" hidden="1" x14ac:dyDescent="0.3">
      <c r="A6195" s="6">
        <v>45</v>
      </c>
      <c r="B6195" s="6" t="s">
        <v>171</v>
      </c>
      <c r="C6195" s="6" t="s">
        <v>389</v>
      </c>
      <c r="D6195" s="6" t="s">
        <v>172</v>
      </c>
      <c r="E6195" s="11">
        <v>4.3278427124023438</v>
      </c>
      <c r="F6195" s="11">
        <v>4.3232064247131348</v>
      </c>
    </row>
    <row r="6196" spans="1:6" hidden="1" x14ac:dyDescent="0.3">
      <c r="A6196" s="6">
        <v>45</v>
      </c>
      <c r="B6196" s="6" t="s">
        <v>171</v>
      </c>
      <c r="C6196" s="6" t="s">
        <v>390</v>
      </c>
      <c r="D6196" s="6" t="s">
        <v>172</v>
      </c>
      <c r="E6196" s="11">
        <v>4.1095623970031738</v>
      </c>
      <c r="F6196" s="11">
        <v>4.3232064247131348</v>
      </c>
    </row>
    <row r="6197" spans="1:6" hidden="1" x14ac:dyDescent="0.3">
      <c r="A6197" s="6">
        <v>45</v>
      </c>
      <c r="B6197" s="6" t="s">
        <v>171</v>
      </c>
      <c r="C6197" s="6" t="s">
        <v>391</v>
      </c>
      <c r="D6197" s="6" t="s">
        <v>172</v>
      </c>
      <c r="E6197" s="11">
        <v>3.0505135059356689</v>
      </c>
      <c r="F6197" s="11">
        <v>4.3232064247131348</v>
      </c>
    </row>
    <row r="6198" spans="1:6" hidden="1" x14ac:dyDescent="0.3">
      <c r="A6198" s="6">
        <v>45</v>
      </c>
      <c r="B6198" s="6" t="s">
        <v>171</v>
      </c>
      <c r="C6198" s="6" t="s">
        <v>392</v>
      </c>
      <c r="D6198" s="6" t="s">
        <v>172</v>
      </c>
      <c r="E6198" s="11">
        <v>3.3132891654968262</v>
      </c>
      <c r="F6198" s="11">
        <v>4.3232064247131348</v>
      </c>
    </row>
    <row r="6199" spans="1:6" hidden="1" x14ac:dyDescent="0.3">
      <c r="A6199" s="6">
        <v>45</v>
      </c>
      <c r="B6199" s="6" t="s">
        <v>171</v>
      </c>
      <c r="C6199" s="6" t="s">
        <v>393</v>
      </c>
      <c r="D6199" s="6" t="s">
        <v>172</v>
      </c>
      <c r="E6199" s="11">
        <v>6.6502242088317871</v>
      </c>
      <c r="F6199" s="11">
        <v>4.3232064247131348</v>
      </c>
    </row>
    <row r="6200" spans="1:6" hidden="1" x14ac:dyDescent="0.3">
      <c r="A6200" s="6">
        <v>45</v>
      </c>
      <c r="B6200" s="6" t="s">
        <v>171</v>
      </c>
      <c r="C6200" s="6" t="s">
        <v>394</v>
      </c>
      <c r="D6200" s="6" t="s">
        <v>172</v>
      </c>
      <c r="E6200" s="11">
        <v>3.4683425426483154</v>
      </c>
      <c r="F6200" s="11">
        <v>4.3232064247131348</v>
      </c>
    </row>
    <row r="6201" spans="1:6" hidden="1" x14ac:dyDescent="0.3">
      <c r="A6201" s="6">
        <v>45</v>
      </c>
      <c r="B6201" s="6" t="s">
        <v>171</v>
      </c>
      <c r="C6201" s="6" t="s">
        <v>395</v>
      </c>
      <c r="D6201" s="6" t="s">
        <v>172</v>
      </c>
      <c r="E6201" s="11">
        <v>7.2056136131286621</v>
      </c>
      <c r="F6201" s="11">
        <v>4.3232064247131348</v>
      </c>
    </row>
    <row r="6202" spans="1:6" hidden="1" x14ac:dyDescent="0.3">
      <c r="A6202" s="6">
        <v>45</v>
      </c>
      <c r="B6202" s="6" t="s">
        <v>171</v>
      </c>
      <c r="C6202" s="6" t="s">
        <v>396</v>
      </c>
      <c r="D6202" s="6" t="s">
        <v>172</v>
      </c>
      <c r="E6202" s="11">
        <v>4.8071956634521484</v>
      </c>
      <c r="F6202" s="11">
        <v>4.3232064247131348</v>
      </c>
    </row>
    <row r="6203" spans="1:6" hidden="1" x14ac:dyDescent="0.3">
      <c r="A6203" s="6">
        <v>45</v>
      </c>
      <c r="B6203" s="6" t="s">
        <v>171</v>
      </c>
      <c r="C6203" s="6" t="s">
        <v>397</v>
      </c>
      <c r="D6203" s="6" t="s">
        <v>172</v>
      </c>
      <c r="E6203" s="11">
        <v>4.4474120140075684</v>
      </c>
      <c r="F6203" s="11">
        <v>4.3232064247131348</v>
      </c>
    </row>
    <row r="6204" spans="1:6" hidden="1" x14ac:dyDescent="0.3">
      <c r="A6204" s="6">
        <v>45</v>
      </c>
      <c r="B6204" s="6" t="s">
        <v>171</v>
      </c>
      <c r="C6204" s="6" t="s">
        <v>398</v>
      </c>
      <c r="D6204" s="6" t="s">
        <v>172</v>
      </c>
      <c r="E6204" s="11">
        <v>3.825340747833252</v>
      </c>
      <c r="F6204" s="11">
        <v>4.3232064247131348</v>
      </c>
    </row>
    <row r="6205" spans="1:6" hidden="1" x14ac:dyDescent="0.3">
      <c r="A6205" s="6">
        <v>45</v>
      </c>
      <c r="B6205" s="6" t="s">
        <v>171</v>
      </c>
      <c r="C6205" s="6" t="s">
        <v>399</v>
      </c>
      <c r="D6205" s="6" t="s">
        <v>172</v>
      </c>
      <c r="E6205" s="11">
        <v>4.0640406608581543</v>
      </c>
      <c r="F6205" s="11">
        <v>4.3232064247131348</v>
      </c>
    </row>
    <row r="6206" spans="1:6" hidden="1" x14ac:dyDescent="0.3">
      <c r="A6206" s="6">
        <v>45</v>
      </c>
      <c r="B6206" s="6" t="s">
        <v>171</v>
      </c>
      <c r="C6206" s="6" t="s">
        <v>400</v>
      </c>
      <c r="D6206" s="6" t="s">
        <v>172</v>
      </c>
      <c r="E6206" s="11">
        <v>3.0496201515197754</v>
      </c>
      <c r="F6206" s="11">
        <v>4.3232064247131348</v>
      </c>
    </row>
    <row r="6207" spans="1:6" hidden="1" x14ac:dyDescent="0.3">
      <c r="A6207" s="6">
        <v>45</v>
      </c>
      <c r="B6207" s="6" t="s">
        <v>171</v>
      </c>
      <c r="C6207" s="6" t="s">
        <v>401</v>
      </c>
      <c r="D6207" s="6" t="s">
        <v>172</v>
      </c>
      <c r="E6207" s="11">
        <v>5.7841005325317383</v>
      </c>
      <c r="F6207" s="11">
        <v>4.3232064247131348</v>
      </c>
    </row>
    <row r="6208" spans="1:6" hidden="1" x14ac:dyDescent="0.3">
      <c r="A6208" s="6">
        <v>45</v>
      </c>
      <c r="B6208" s="6" t="s">
        <v>171</v>
      </c>
      <c r="C6208" s="6" t="s">
        <v>402</v>
      </c>
      <c r="D6208" s="6" t="s">
        <v>172</v>
      </c>
      <c r="E6208" s="11">
        <v>5.9991512298583984</v>
      </c>
      <c r="F6208" s="11">
        <v>4.3232064247131348</v>
      </c>
    </row>
    <row r="6209" spans="1:6" hidden="1" x14ac:dyDescent="0.3">
      <c r="A6209" s="6">
        <v>45</v>
      </c>
      <c r="B6209" s="6" t="s">
        <v>171</v>
      </c>
      <c r="C6209" s="6" t="s">
        <v>403</v>
      </c>
      <c r="D6209" s="6" t="s">
        <v>172</v>
      </c>
      <c r="E6209" s="11">
        <v>5.7165923118591309</v>
      </c>
      <c r="F6209" s="11">
        <v>4.3232064247131348</v>
      </c>
    </row>
    <row r="6210" spans="1:6" hidden="1" x14ac:dyDescent="0.3">
      <c r="A6210" s="6">
        <v>45</v>
      </c>
      <c r="B6210" s="6" t="s">
        <v>171</v>
      </c>
      <c r="C6210" s="6" t="s">
        <v>404</v>
      </c>
      <c r="D6210" s="6" t="s">
        <v>172</v>
      </c>
      <c r="E6210" s="11">
        <v>4.2533259391784668</v>
      </c>
      <c r="F6210" s="11">
        <v>4.3232064247131348</v>
      </c>
    </row>
    <row r="6211" spans="1:6" hidden="1" x14ac:dyDescent="0.3">
      <c r="A6211" s="6">
        <v>45</v>
      </c>
      <c r="B6211" s="6" t="s">
        <v>171</v>
      </c>
      <c r="C6211" s="6" t="s">
        <v>405</v>
      </c>
      <c r="D6211" s="6" t="s">
        <v>172</v>
      </c>
      <c r="E6211" s="11">
        <v>3.6012868881225586</v>
      </c>
      <c r="F6211" s="11">
        <v>4.3232064247131348</v>
      </c>
    </row>
    <row r="6212" spans="1:6" hidden="1" x14ac:dyDescent="0.3">
      <c r="A6212" s="6">
        <v>45</v>
      </c>
      <c r="B6212" s="6" t="s">
        <v>171</v>
      </c>
      <c r="C6212" s="6" t="s">
        <v>406</v>
      </c>
      <c r="D6212" s="6" t="s">
        <v>172</v>
      </c>
      <c r="E6212" s="11">
        <v>4.8286228179931641</v>
      </c>
      <c r="F6212" s="11">
        <v>4.3232064247131348</v>
      </c>
    </row>
    <row r="6213" spans="1:6" hidden="1" x14ac:dyDescent="0.3">
      <c r="A6213" s="6">
        <v>45</v>
      </c>
      <c r="B6213" s="6" t="s">
        <v>171</v>
      </c>
      <c r="C6213" s="6" t="s">
        <v>407</v>
      </c>
      <c r="D6213" s="6" t="s">
        <v>172</v>
      </c>
      <c r="E6213" s="11">
        <v>4.0012903213500977</v>
      </c>
      <c r="F6213" s="11">
        <v>4.3232064247131348</v>
      </c>
    </row>
    <row r="6214" spans="1:6" hidden="1" x14ac:dyDescent="0.3">
      <c r="A6214" s="6">
        <v>45</v>
      </c>
      <c r="B6214" s="6" t="s">
        <v>171</v>
      </c>
      <c r="C6214" s="6" t="s">
        <v>408</v>
      </c>
      <c r="D6214" s="6" t="s">
        <v>172</v>
      </c>
      <c r="E6214" s="11">
        <v>5.4762592315673828</v>
      </c>
      <c r="F6214" s="11">
        <v>4.3232064247131348</v>
      </c>
    </row>
    <row r="6215" spans="1:6" hidden="1" x14ac:dyDescent="0.3">
      <c r="A6215" s="6">
        <v>45</v>
      </c>
      <c r="B6215" s="6" t="s">
        <v>171</v>
      </c>
      <c r="C6215" s="6" t="s">
        <v>409</v>
      </c>
      <c r="D6215" s="6" t="s">
        <v>172</v>
      </c>
      <c r="E6215" s="11">
        <v>6.2603950500488281</v>
      </c>
      <c r="F6215" s="11">
        <v>4.3232064247131348</v>
      </c>
    </row>
    <row r="6216" spans="1:6" hidden="1" x14ac:dyDescent="0.3">
      <c r="A6216" s="6">
        <v>45</v>
      </c>
      <c r="B6216" s="6" t="s">
        <v>171</v>
      </c>
      <c r="C6216" s="6" t="s">
        <v>410</v>
      </c>
      <c r="D6216" s="6" t="s">
        <v>172</v>
      </c>
      <c r="E6216" s="11">
        <v>4.9468884468078613</v>
      </c>
      <c r="F6216" s="11">
        <v>4.3232064247131348</v>
      </c>
    </row>
    <row r="6217" spans="1:6" hidden="1" x14ac:dyDescent="0.3">
      <c r="A6217" s="6">
        <v>45</v>
      </c>
      <c r="B6217" s="6" t="s">
        <v>171</v>
      </c>
      <c r="C6217" s="6" t="s">
        <v>411</v>
      </c>
      <c r="D6217" s="6" t="s">
        <v>172</v>
      </c>
      <c r="E6217" s="11">
        <v>5.8981246948242188</v>
      </c>
      <c r="F6217" s="11">
        <v>4.3232064247131348</v>
      </c>
    </row>
    <row r="6218" spans="1:6" hidden="1" x14ac:dyDescent="0.3">
      <c r="A6218" s="6">
        <v>45</v>
      </c>
      <c r="B6218" s="6" t="s">
        <v>171</v>
      </c>
      <c r="C6218" s="6" t="s">
        <v>412</v>
      </c>
      <c r="D6218" s="6" t="s">
        <v>172</v>
      </c>
      <c r="E6218" s="11">
        <v>3.454005241394043</v>
      </c>
      <c r="F6218" s="11">
        <v>4.3232064247131348</v>
      </c>
    </row>
    <row r="6219" spans="1:6" hidden="1" x14ac:dyDescent="0.3">
      <c r="A6219" s="6">
        <v>45</v>
      </c>
      <c r="B6219" s="6" t="s">
        <v>171</v>
      </c>
      <c r="C6219" s="6" t="s">
        <v>413</v>
      </c>
      <c r="D6219" s="6" t="s">
        <v>172</v>
      </c>
      <c r="E6219" s="11">
        <v>4.9382023811340332</v>
      </c>
      <c r="F6219" s="11">
        <v>4.3232064247131348</v>
      </c>
    </row>
    <row r="6220" spans="1:6" hidden="1" x14ac:dyDescent="0.3">
      <c r="A6220" s="6">
        <v>45</v>
      </c>
      <c r="B6220" s="6" t="s">
        <v>171</v>
      </c>
      <c r="C6220" s="6" t="s">
        <v>414</v>
      </c>
      <c r="D6220" s="6" t="s">
        <v>172</v>
      </c>
      <c r="E6220" s="11">
        <v>5.4788146018981934</v>
      </c>
      <c r="F6220" s="11">
        <v>4.3232064247131348</v>
      </c>
    </row>
    <row r="6221" spans="1:6" hidden="1" x14ac:dyDescent="0.3">
      <c r="A6221" s="6">
        <v>45</v>
      </c>
      <c r="B6221" s="6" t="s">
        <v>171</v>
      </c>
      <c r="C6221" s="6" t="s">
        <v>415</v>
      </c>
      <c r="D6221" s="6" t="s">
        <v>172</v>
      </c>
      <c r="E6221" s="11">
        <v>8.0860557556152344</v>
      </c>
      <c r="F6221" s="11">
        <v>4.3232064247131348</v>
      </c>
    </row>
    <row r="6222" spans="1:6" hidden="1" x14ac:dyDescent="0.3">
      <c r="A6222" s="6">
        <v>45</v>
      </c>
      <c r="B6222" s="6" t="s">
        <v>171</v>
      </c>
      <c r="C6222" s="6" t="s">
        <v>416</v>
      </c>
      <c r="D6222" s="6" t="s">
        <v>172</v>
      </c>
      <c r="E6222" s="11">
        <v>4.5007081031799316</v>
      </c>
      <c r="F6222" s="11">
        <v>4.3232064247131348</v>
      </c>
    </row>
    <row r="6223" spans="1:6" hidden="1" x14ac:dyDescent="0.3">
      <c r="A6223" s="6">
        <v>45</v>
      </c>
      <c r="B6223" s="6" t="s">
        <v>171</v>
      </c>
      <c r="C6223" s="6" t="s">
        <v>417</v>
      </c>
      <c r="D6223" s="6" t="s">
        <v>172</v>
      </c>
      <c r="E6223" s="11">
        <v>3.8872706890106201</v>
      </c>
      <c r="F6223" s="11">
        <v>4.3232064247131348</v>
      </c>
    </row>
    <row r="6224" spans="1:6" hidden="1" x14ac:dyDescent="0.3">
      <c r="A6224" s="6">
        <v>45</v>
      </c>
      <c r="B6224" s="6" t="s">
        <v>171</v>
      </c>
      <c r="C6224" s="6" t="s">
        <v>418</v>
      </c>
      <c r="D6224" s="6" t="s">
        <v>172</v>
      </c>
      <c r="E6224" s="11">
        <v>3.1123795509338379</v>
      </c>
      <c r="F6224" s="11">
        <v>4.3232064247131348</v>
      </c>
    </row>
    <row r="6225" spans="1:6" hidden="1" x14ac:dyDescent="0.3">
      <c r="A6225" s="6">
        <v>45</v>
      </c>
      <c r="B6225" s="6" t="s">
        <v>171</v>
      </c>
      <c r="C6225" s="6" t="s">
        <v>419</v>
      </c>
      <c r="D6225" s="6" t="s">
        <v>172</v>
      </c>
      <c r="E6225" s="11">
        <v>4.049628734588623</v>
      </c>
      <c r="F6225" s="11">
        <v>4.3232064247131348</v>
      </c>
    </row>
    <row r="6226" spans="1:6" hidden="1" x14ac:dyDescent="0.3">
      <c r="A6226" s="6">
        <v>45</v>
      </c>
      <c r="B6226" s="6" t="s">
        <v>171</v>
      </c>
      <c r="C6226" s="6" t="s">
        <v>420</v>
      </c>
      <c r="D6226" s="6" t="s">
        <v>172</v>
      </c>
      <c r="E6226" s="11">
        <v>3.3906779289245605</v>
      </c>
      <c r="F6226" s="11">
        <v>4.3232064247131348</v>
      </c>
    </row>
    <row r="6227" spans="1:6" hidden="1" x14ac:dyDescent="0.3">
      <c r="A6227" s="6">
        <v>45</v>
      </c>
      <c r="B6227" s="6" t="s">
        <v>171</v>
      </c>
      <c r="C6227" s="6" t="s">
        <v>421</v>
      </c>
      <c r="D6227" s="6" t="s">
        <v>172</v>
      </c>
      <c r="E6227" s="11">
        <v>3.7752456665039063</v>
      </c>
      <c r="F6227" s="11">
        <v>4.3232064247131348</v>
      </c>
    </row>
    <row r="6228" spans="1:6" hidden="1" x14ac:dyDescent="0.3">
      <c r="A6228" s="6">
        <v>45</v>
      </c>
      <c r="B6228" s="6" t="s">
        <v>171</v>
      </c>
      <c r="C6228" s="6" t="s">
        <v>422</v>
      </c>
      <c r="D6228" s="6" t="s">
        <v>172</v>
      </c>
      <c r="E6228" s="11">
        <v>4.7602849006652832</v>
      </c>
      <c r="F6228" s="11">
        <v>4.3232064247131348</v>
      </c>
    </row>
    <row r="6229" spans="1:6" hidden="1" x14ac:dyDescent="0.3">
      <c r="A6229" s="6">
        <v>45</v>
      </c>
      <c r="B6229" s="6" t="s">
        <v>171</v>
      </c>
      <c r="C6229" s="6" t="s">
        <v>423</v>
      </c>
      <c r="D6229" s="6" t="s">
        <v>172</v>
      </c>
      <c r="E6229" s="11">
        <v>4.4255566596984863</v>
      </c>
      <c r="F6229" s="11">
        <v>4.3232064247131348</v>
      </c>
    </row>
    <row r="6230" spans="1:6" hidden="1" x14ac:dyDescent="0.3">
      <c r="A6230" s="6">
        <v>45</v>
      </c>
      <c r="B6230" s="6" t="s">
        <v>171</v>
      </c>
      <c r="C6230" s="6" t="s">
        <v>424</v>
      </c>
      <c r="D6230" s="6" t="s">
        <v>172</v>
      </c>
      <c r="E6230" s="11">
        <v>2.9184494018554688</v>
      </c>
      <c r="F6230" s="11">
        <v>4.3232064247131348</v>
      </c>
    </row>
    <row r="6231" spans="1:6" hidden="1" x14ac:dyDescent="0.3">
      <c r="A6231" s="6">
        <v>45</v>
      </c>
      <c r="B6231" s="6" t="s">
        <v>171</v>
      </c>
      <c r="C6231" s="6" t="s">
        <v>425</v>
      </c>
      <c r="D6231" s="6" t="s">
        <v>172</v>
      </c>
      <c r="E6231" s="11">
        <v>3.9653217792510986</v>
      </c>
      <c r="F6231" s="11">
        <v>4.3232064247131348</v>
      </c>
    </row>
    <row r="6232" spans="1:6" hidden="1" x14ac:dyDescent="0.3">
      <c r="A6232" s="6">
        <v>45</v>
      </c>
      <c r="B6232" s="6" t="s">
        <v>171</v>
      </c>
      <c r="C6232" s="6" t="s">
        <v>426</v>
      </c>
      <c r="D6232" s="6" t="s">
        <v>172</v>
      </c>
      <c r="E6232" s="11">
        <v>6.5597648620605469</v>
      </c>
      <c r="F6232" s="11">
        <v>4.3232064247131348</v>
      </c>
    </row>
    <row r="6233" spans="1:6" hidden="1" x14ac:dyDescent="0.3">
      <c r="A6233" s="6">
        <v>45</v>
      </c>
      <c r="B6233" s="6" t="s">
        <v>171</v>
      </c>
      <c r="C6233" s="6" t="s">
        <v>427</v>
      </c>
      <c r="D6233" s="6" t="s">
        <v>172</v>
      </c>
      <c r="E6233" s="11">
        <v>4.3857259750366211</v>
      </c>
      <c r="F6233" s="11">
        <v>4.3232064247131348</v>
      </c>
    </row>
    <row r="6234" spans="1:6" hidden="1" x14ac:dyDescent="0.3">
      <c r="A6234" s="6">
        <v>45</v>
      </c>
      <c r="B6234" s="6" t="s">
        <v>171</v>
      </c>
      <c r="C6234" s="6" t="s">
        <v>428</v>
      </c>
      <c r="D6234" s="6" t="s">
        <v>172</v>
      </c>
      <c r="E6234" s="11">
        <v>6.7154369354248047</v>
      </c>
      <c r="F6234" s="11">
        <v>4.3232064247131348</v>
      </c>
    </row>
    <row r="6235" spans="1:6" hidden="1" x14ac:dyDescent="0.3">
      <c r="A6235" s="6">
        <v>45</v>
      </c>
      <c r="B6235" s="6" t="s">
        <v>171</v>
      </c>
      <c r="C6235" s="6" t="s">
        <v>429</v>
      </c>
      <c r="D6235" s="6" t="s">
        <v>172</v>
      </c>
      <c r="E6235" s="11">
        <v>7.9392151832580566</v>
      </c>
      <c r="F6235" s="11">
        <v>4.3232064247131348</v>
      </c>
    </row>
    <row r="6236" spans="1:6" hidden="1" x14ac:dyDescent="0.3">
      <c r="A6236" s="6">
        <v>45</v>
      </c>
      <c r="B6236" s="6" t="s">
        <v>171</v>
      </c>
      <c r="C6236" s="6" t="s">
        <v>430</v>
      </c>
      <c r="D6236" s="6" t="s">
        <v>172</v>
      </c>
      <c r="E6236" s="11">
        <v>4.1648406982421875</v>
      </c>
      <c r="F6236" s="11">
        <v>4.3232064247131348</v>
      </c>
    </row>
    <row r="6237" spans="1:6" hidden="1" x14ac:dyDescent="0.3">
      <c r="A6237" s="6">
        <v>45</v>
      </c>
      <c r="B6237" s="6" t="s">
        <v>171</v>
      </c>
      <c r="C6237" s="6" t="s">
        <v>431</v>
      </c>
      <c r="D6237" s="6" t="s">
        <v>172</v>
      </c>
      <c r="E6237" s="11">
        <v>14.795267105102539</v>
      </c>
      <c r="F6237" s="11">
        <v>4.3232064247131348</v>
      </c>
    </row>
    <row r="6238" spans="1:6" hidden="1" x14ac:dyDescent="0.3">
      <c r="A6238" s="6">
        <v>45</v>
      </c>
      <c r="B6238" s="6" t="s">
        <v>171</v>
      </c>
      <c r="C6238" s="6" t="s">
        <v>432</v>
      </c>
      <c r="D6238" s="6" t="s">
        <v>172</v>
      </c>
      <c r="E6238" s="11">
        <v>4.155632495880127</v>
      </c>
      <c r="F6238" s="11">
        <v>4.3232064247131348</v>
      </c>
    </row>
    <row r="6239" spans="1:6" hidden="1" x14ac:dyDescent="0.3">
      <c r="A6239" s="6">
        <v>45</v>
      </c>
      <c r="B6239" s="6" t="s">
        <v>171</v>
      </c>
      <c r="C6239" s="6" t="s">
        <v>433</v>
      </c>
      <c r="D6239" s="6" t="s">
        <v>172</v>
      </c>
      <c r="E6239" s="11">
        <v>3.7200801372528076</v>
      </c>
      <c r="F6239" s="11">
        <v>4.3232064247131348</v>
      </c>
    </row>
    <row r="6240" spans="1:6" hidden="1" x14ac:dyDescent="0.3">
      <c r="A6240" s="6">
        <v>45</v>
      </c>
      <c r="B6240" s="6" t="s">
        <v>171</v>
      </c>
      <c r="C6240" s="6" t="s">
        <v>434</v>
      </c>
      <c r="D6240" s="6" t="s">
        <v>172</v>
      </c>
      <c r="E6240" s="11">
        <v>3.3551275730133057</v>
      </c>
      <c r="F6240" s="11">
        <v>4.3232064247131348</v>
      </c>
    </row>
    <row r="6241" spans="1:6" hidden="1" x14ac:dyDescent="0.3">
      <c r="A6241" s="6">
        <v>45</v>
      </c>
      <c r="B6241" s="6" t="s">
        <v>171</v>
      </c>
      <c r="C6241" s="6" t="s">
        <v>435</v>
      </c>
      <c r="D6241" s="6" t="s">
        <v>172</v>
      </c>
      <c r="E6241" s="11">
        <v>3.8862662315368652</v>
      </c>
      <c r="F6241" s="11">
        <v>4.3232064247131348</v>
      </c>
    </row>
    <row r="6242" spans="1:6" hidden="1" x14ac:dyDescent="0.3">
      <c r="A6242" s="6">
        <v>45</v>
      </c>
      <c r="B6242" s="6" t="s">
        <v>171</v>
      </c>
      <c r="C6242" s="6" t="s">
        <v>436</v>
      </c>
      <c r="D6242" s="6" t="s">
        <v>172</v>
      </c>
      <c r="E6242" s="11">
        <v>3.4154210090637207</v>
      </c>
      <c r="F6242" s="11">
        <v>4.3232064247131348</v>
      </c>
    </row>
    <row r="6243" spans="1:6" hidden="1" x14ac:dyDescent="0.3">
      <c r="A6243" s="6">
        <v>45</v>
      </c>
      <c r="B6243" s="6" t="s">
        <v>171</v>
      </c>
      <c r="C6243" s="6" t="s">
        <v>437</v>
      </c>
      <c r="D6243" s="6" t="s">
        <v>172</v>
      </c>
      <c r="E6243" s="11">
        <v>3.8081707954406738</v>
      </c>
      <c r="F6243" s="11">
        <v>4.3232064247131348</v>
      </c>
    </row>
    <row r="6244" spans="1:6" hidden="1" x14ac:dyDescent="0.3">
      <c r="A6244" s="6">
        <v>45</v>
      </c>
      <c r="B6244" s="6" t="s">
        <v>171</v>
      </c>
      <c r="C6244" s="6" t="s">
        <v>438</v>
      </c>
      <c r="D6244" s="6" t="s">
        <v>172</v>
      </c>
      <c r="E6244" s="11">
        <v>3.5691452026367188</v>
      </c>
      <c r="F6244" s="11">
        <v>4.3232064247131348</v>
      </c>
    </row>
    <row r="6245" spans="1:6" hidden="1" x14ac:dyDescent="0.3">
      <c r="A6245" s="6">
        <v>45</v>
      </c>
      <c r="B6245" s="6" t="s">
        <v>171</v>
      </c>
      <c r="C6245" s="6" t="s">
        <v>439</v>
      </c>
      <c r="D6245" s="6" t="s">
        <v>172</v>
      </c>
      <c r="E6245" s="11">
        <v>4.1009311676025391</v>
      </c>
      <c r="F6245" s="11">
        <v>4.3232064247131348</v>
      </c>
    </row>
    <row r="6246" spans="1:6" hidden="1" x14ac:dyDescent="0.3">
      <c r="A6246" s="6">
        <v>45</v>
      </c>
      <c r="B6246" s="6" t="s">
        <v>171</v>
      </c>
      <c r="C6246" s="6" t="s">
        <v>440</v>
      </c>
      <c r="D6246" s="6" t="s">
        <v>172</v>
      </c>
      <c r="E6246" s="11">
        <v>3.2213237285614014</v>
      </c>
      <c r="F6246" s="11">
        <v>4.3232064247131348</v>
      </c>
    </row>
    <row r="6247" spans="1:6" hidden="1" x14ac:dyDescent="0.3">
      <c r="A6247" s="6">
        <v>45</v>
      </c>
      <c r="B6247" s="6" t="s">
        <v>171</v>
      </c>
      <c r="C6247" s="6" t="s">
        <v>441</v>
      </c>
      <c r="D6247" s="6" t="s">
        <v>172</v>
      </c>
      <c r="E6247" s="11">
        <v>5.6645193099975586</v>
      </c>
      <c r="F6247" s="11">
        <v>4.3232064247131348</v>
      </c>
    </row>
    <row r="6248" spans="1:6" hidden="1" x14ac:dyDescent="0.3">
      <c r="A6248" s="6">
        <v>45</v>
      </c>
      <c r="B6248" s="6" t="s">
        <v>171</v>
      </c>
      <c r="C6248" s="6" t="s">
        <v>442</v>
      </c>
      <c r="D6248" s="6" t="s">
        <v>172</v>
      </c>
      <c r="E6248" s="11">
        <v>3.0236001014709473</v>
      </c>
      <c r="F6248" s="11">
        <v>4.3232064247131348</v>
      </c>
    </row>
    <row r="6249" spans="1:6" hidden="1" x14ac:dyDescent="0.3">
      <c r="A6249" s="6">
        <v>45</v>
      </c>
      <c r="B6249" s="6" t="s">
        <v>171</v>
      </c>
      <c r="C6249" s="6" t="s">
        <v>443</v>
      </c>
      <c r="D6249" s="6" t="s">
        <v>172</v>
      </c>
      <c r="E6249" s="11">
        <v>2.9601624011993408</v>
      </c>
      <c r="F6249" s="11">
        <v>4.3232064247131348</v>
      </c>
    </row>
    <row r="6250" spans="1:6" hidden="1" x14ac:dyDescent="0.3">
      <c r="A6250" s="6">
        <v>45</v>
      </c>
      <c r="B6250" s="6" t="s">
        <v>171</v>
      </c>
      <c r="C6250" s="6" t="s">
        <v>444</v>
      </c>
      <c r="D6250" s="6" t="s">
        <v>172</v>
      </c>
      <c r="E6250" s="11">
        <v>3.0986354351043701</v>
      </c>
      <c r="F6250" s="11">
        <v>4.3232064247131348</v>
      </c>
    </row>
    <row r="6251" spans="1:6" hidden="1" x14ac:dyDescent="0.3">
      <c r="A6251" s="6">
        <v>45</v>
      </c>
      <c r="B6251" s="6" t="s">
        <v>171</v>
      </c>
      <c r="C6251" s="6" t="s">
        <v>445</v>
      </c>
      <c r="D6251" s="6" t="s">
        <v>172</v>
      </c>
      <c r="E6251" s="11">
        <v>4.2648420333862305</v>
      </c>
      <c r="F6251" s="11">
        <v>4.3232064247131348</v>
      </c>
    </row>
    <row r="6252" spans="1:6" hidden="1" x14ac:dyDescent="0.3">
      <c r="A6252" s="6">
        <v>45</v>
      </c>
      <c r="B6252" s="6" t="s">
        <v>171</v>
      </c>
      <c r="C6252" s="6" t="s">
        <v>446</v>
      </c>
      <c r="D6252" s="6" t="s">
        <v>172</v>
      </c>
      <c r="E6252" s="11">
        <v>6.1898913383483887</v>
      </c>
      <c r="F6252" s="11">
        <v>4.3232064247131348</v>
      </c>
    </row>
    <row r="6253" spans="1:6" hidden="1" x14ac:dyDescent="0.3">
      <c r="A6253" s="6">
        <v>45</v>
      </c>
      <c r="B6253" s="6" t="s">
        <v>171</v>
      </c>
      <c r="C6253" s="6" t="s">
        <v>447</v>
      </c>
      <c r="D6253" s="6" t="s">
        <v>172</v>
      </c>
      <c r="E6253" s="11">
        <v>4.2115292549133301</v>
      </c>
      <c r="F6253" s="11">
        <v>4.3232064247131348</v>
      </c>
    </row>
    <row r="6254" spans="1:6" hidden="1" x14ac:dyDescent="0.3">
      <c r="A6254" s="6">
        <v>45</v>
      </c>
      <c r="B6254" s="6" t="s">
        <v>171</v>
      </c>
      <c r="C6254" s="6" t="s">
        <v>448</v>
      </c>
      <c r="D6254" s="6" t="s">
        <v>172</v>
      </c>
      <c r="E6254" s="11">
        <v>4.665280818939209</v>
      </c>
      <c r="F6254" s="11">
        <v>4.3232064247131348</v>
      </c>
    </row>
    <row r="6255" spans="1:6" hidden="1" x14ac:dyDescent="0.3">
      <c r="A6255" s="6">
        <v>45</v>
      </c>
      <c r="B6255" s="6" t="s">
        <v>171</v>
      </c>
      <c r="C6255" s="6" t="s">
        <v>449</v>
      </c>
      <c r="D6255" s="6" t="s">
        <v>172</v>
      </c>
      <c r="E6255" s="11">
        <v>2.954017162322998</v>
      </c>
      <c r="F6255" s="11">
        <v>4.3232064247131348</v>
      </c>
    </row>
    <row r="6256" spans="1:6" hidden="1" x14ac:dyDescent="0.3">
      <c r="A6256" s="6">
        <v>45</v>
      </c>
      <c r="B6256" s="6" t="s">
        <v>171</v>
      </c>
      <c r="C6256" s="6" t="s">
        <v>450</v>
      </c>
      <c r="D6256" s="6" t="s">
        <v>172</v>
      </c>
      <c r="E6256" s="11">
        <v>5.5240821838378906</v>
      </c>
      <c r="F6256" s="11">
        <v>4.3232064247131348</v>
      </c>
    </row>
    <row r="6257" spans="1:6" hidden="1" x14ac:dyDescent="0.3">
      <c r="A6257" s="6">
        <v>45</v>
      </c>
      <c r="B6257" s="6" t="s">
        <v>171</v>
      </c>
      <c r="C6257" s="6" t="s">
        <v>451</v>
      </c>
      <c r="D6257" s="6" t="s">
        <v>172</v>
      </c>
      <c r="E6257" s="11">
        <v>5.0520915985107422</v>
      </c>
      <c r="F6257" s="11">
        <v>4.3232064247131348</v>
      </c>
    </row>
    <row r="6258" spans="1:6" hidden="1" x14ac:dyDescent="0.3">
      <c r="A6258" s="6">
        <v>45</v>
      </c>
      <c r="B6258" s="6" t="s">
        <v>171</v>
      </c>
      <c r="C6258" s="6" t="s">
        <v>452</v>
      </c>
      <c r="D6258" s="6" t="s">
        <v>172</v>
      </c>
      <c r="E6258" s="11">
        <v>5.3751559257507324</v>
      </c>
      <c r="F6258" s="11">
        <v>4.3232064247131348</v>
      </c>
    </row>
    <row r="6259" spans="1:6" hidden="1" x14ac:dyDescent="0.3">
      <c r="A6259" s="6">
        <v>45</v>
      </c>
      <c r="B6259" s="6" t="s">
        <v>171</v>
      </c>
      <c r="C6259" s="6" t="s">
        <v>453</v>
      </c>
      <c r="D6259" s="6" t="s">
        <v>172</v>
      </c>
      <c r="E6259" s="11">
        <v>3.2981424331665039</v>
      </c>
      <c r="F6259" s="11">
        <v>4.3232064247131348</v>
      </c>
    </row>
    <row r="6260" spans="1:6" hidden="1" x14ac:dyDescent="0.3">
      <c r="A6260" s="6">
        <v>45</v>
      </c>
      <c r="B6260" s="6" t="s">
        <v>171</v>
      </c>
      <c r="C6260" s="6" t="s">
        <v>454</v>
      </c>
      <c r="D6260" s="6" t="s">
        <v>172</v>
      </c>
      <c r="E6260" s="11">
        <v>3.5773880481719971</v>
      </c>
      <c r="F6260" s="11">
        <v>4.3232064247131348</v>
      </c>
    </row>
    <row r="6261" spans="1:6" hidden="1" x14ac:dyDescent="0.3">
      <c r="A6261" s="6">
        <v>45</v>
      </c>
      <c r="B6261" s="6" t="s">
        <v>171</v>
      </c>
      <c r="C6261" s="6" t="s">
        <v>455</v>
      </c>
      <c r="D6261" s="6" t="s">
        <v>172</v>
      </c>
      <c r="E6261" s="11">
        <v>3.7870306968688965</v>
      </c>
      <c r="F6261" s="11">
        <v>4.3232064247131348</v>
      </c>
    </row>
    <row r="6262" spans="1:6" hidden="1" x14ac:dyDescent="0.3">
      <c r="A6262" s="6">
        <v>45</v>
      </c>
      <c r="B6262" s="6" t="s">
        <v>171</v>
      </c>
      <c r="C6262" s="6" t="s">
        <v>456</v>
      </c>
      <c r="D6262" s="6" t="s">
        <v>172</v>
      </c>
      <c r="E6262" s="11">
        <v>5.2244925498962402</v>
      </c>
      <c r="F6262" s="11">
        <v>4.3232064247131348</v>
      </c>
    </row>
    <row r="6263" spans="1:6" hidden="1" x14ac:dyDescent="0.3">
      <c r="A6263" s="6">
        <v>45</v>
      </c>
      <c r="B6263" s="6" t="s">
        <v>171</v>
      </c>
      <c r="C6263" s="6" t="s">
        <v>457</v>
      </c>
      <c r="D6263" s="6" t="s">
        <v>172</v>
      </c>
      <c r="E6263" s="11">
        <v>4.7966413497924805</v>
      </c>
      <c r="F6263" s="11">
        <v>4.3232064247131348</v>
      </c>
    </row>
    <row r="6264" spans="1:6" hidden="1" x14ac:dyDescent="0.3">
      <c r="A6264" s="6">
        <v>45</v>
      </c>
      <c r="B6264" s="6" t="s">
        <v>171</v>
      </c>
      <c r="C6264" s="6" t="s">
        <v>458</v>
      </c>
      <c r="D6264" s="6" t="s">
        <v>172</v>
      </c>
      <c r="E6264" s="11">
        <v>6.9931244850158691</v>
      </c>
      <c r="F6264" s="11">
        <v>4.3232064247131348</v>
      </c>
    </row>
    <row r="6265" spans="1:6" hidden="1" x14ac:dyDescent="0.3">
      <c r="A6265" s="6">
        <v>45</v>
      </c>
      <c r="B6265" s="6" t="s">
        <v>171</v>
      </c>
      <c r="C6265" s="6" t="s">
        <v>459</v>
      </c>
      <c r="D6265" s="6" t="s">
        <v>172</v>
      </c>
      <c r="E6265" s="11">
        <v>4.1091251373291016</v>
      </c>
      <c r="F6265" s="11">
        <v>4.3232064247131348</v>
      </c>
    </row>
    <row r="6266" spans="1:6" hidden="1" x14ac:dyDescent="0.3">
      <c r="A6266" s="6">
        <v>45</v>
      </c>
      <c r="B6266" s="6" t="s">
        <v>171</v>
      </c>
      <c r="C6266" s="6" t="s">
        <v>460</v>
      </c>
      <c r="D6266" s="6" t="s">
        <v>172</v>
      </c>
      <c r="E6266" s="11">
        <v>3.6737880706787109</v>
      </c>
      <c r="F6266" s="11">
        <v>4.3232064247131348</v>
      </c>
    </row>
    <row r="6267" spans="1:6" hidden="1" x14ac:dyDescent="0.3">
      <c r="A6267" s="6">
        <v>45</v>
      </c>
      <c r="B6267" s="6" t="s">
        <v>171</v>
      </c>
      <c r="C6267" s="6" t="s">
        <v>461</v>
      </c>
      <c r="D6267" s="6" t="s">
        <v>172</v>
      </c>
      <c r="E6267" s="11">
        <v>3.4238862991333008</v>
      </c>
      <c r="F6267" s="11">
        <v>4.3232064247131348</v>
      </c>
    </row>
    <row r="6268" spans="1:6" hidden="1" x14ac:dyDescent="0.3">
      <c r="A6268" s="6">
        <v>45</v>
      </c>
      <c r="B6268" s="6" t="s">
        <v>171</v>
      </c>
      <c r="C6268" s="6" t="s">
        <v>462</v>
      </c>
      <c r="D6268" s="6" t="s">
        <v>172</v>
      </c>
      <c r="E6268" s="11">
        <v>4.9935493469238281</v>
      </c>
      <c r="F6268" s="11">
        <v>4.3232064247131348</v>
      </c>
    </row>
    <row r="6269" spans="1:6" hidden="1" x14ac:dyDescent="0.3">
      <c r="A6269" s="6">
        <v>45</v>
      </c>
      <c r="B6269" s="6" t="s">
        <v>171</v>
      </c>
      <c r="C6269" s="6" t="s">
        <v>463</v>
      </c>
      <c r="D6269" s="6" t="s">
        <v>172</v>
      </c>
      <c r="E6269" s="11">
        <v>3.9636690616607666</v>
      </c>
      <c r="F6269" s="11">
        <v>4.3232064247131348</v>
      </c>
    </row>
    <row r="6270" spans="1:6" hidden="1" x14ac:dyDescent="0.3">
      <c r="A6270" s="6">
        <v>45</v>
      </c>
      <c r="B6270" s="6" t="s">
        <v>171</v>
      </c>
      <c r="C6270" s="6" t="s">
        <v>464</v>
      </c>
      <c r="D6270" s="6" t="s">
        <v>172</v>
      </c>
      <c r="E6270" s="11">
        <v>3.1935117244720459</v>
      </c>
      <c r="F6270" s="11">
        <v>4.3232064247131348</v>
      </c>
    </row>
    <row r="6271" spans="1:6" hidden="1" x14ac:dyDescent="0.3">
      <c r="A6271" s="6">
        <v>45</v>
      </c>
      <c r="B6271" s="6" t="s">
        <v>171</v>
      </c>
      <c r="C6271" s="6" t="s">
        <v>465</v>
      </c>
      <c r="D6271" s="6" t="s">
        <v>172</v>
      </c>
      <c r="E6271" s="11">
        <v>4.3721833229064941</v>
      </c>
      <c r="F6271" s="11">
        <v>4.3232064247131348</v>
      </c>
    </row>
    <row r="6272" spans="1:6" hidden="1" x14ac:dyDescent="0.3">
      <c r="A6272" s="6">
        <v>45</v>
      </c>
      <c r="B6272" s="6" t="s">
        <v>171</v>
      </c>
      <c r="C6272" s="6" t="s">
        <v>466</v>
      </c>
      <c r="D6272" s="6" t="s">
        <v>172</v>
      </c>
      <c r="E6272" s="11">
        <v>3.2047367095947266</v>
      </c>
      <c r="F6272" s="11">
        <v>4.3232064247131348</v>
      </c>
    </row>
    <row r="6273" spans="1:6" hidden="1" x14ac:dyDescent="0.3">
      <c r="A6273" s="6">
        <v>45</v>
      </c>
      <c r="B6273" s="6" t="s">
        <v>171</v>
      </c>
      <c r="C6273" s="6" t="s">
        <v>467</v>
      </c>
      <c r="D6273" s="6" t="s">
        <v>172</v>
      </c>
      <c r="E6273" s="11">
        <v>2.7245223522186279</v>
      </c>
      <c r="F6273" s="11">
        <v>4.3232064247131348</v>
      </c>
    </row>
    <row r="6274" spans="1:6" hidden="1" x14ac:dyDescent="0.3">
      <c r="A6274" s="6">
        <v>45</v>
      </c>
      <c r="B6274" s="6" t="s">
        <v>171</v>
      </c>
      <c r="C6274" s="6" t="s">
        <v>468</v>
      </c>
      <c r="D6274" s="6" t="s">
        <v>172</v>
      </c>
      <c r="E6274" s="11">
        <v>14.495429039001465</v>
      </c>
      <c r="F6274" s="11">
        <v>4.3232064247131348</v>
      </c>
    </row>
    <row r="6275" spans="1:6" hidden="1" x14ac:dyDescent="0.3">
      <c r="A6275" s="6">
        <v>45</v>
      </c>
      <c r="B6275" s="6" t="s">
        <v>171</v>
      </c>
      <c r="C6275" s="6" t="s">
        <v>469</v>
      </c>
      <c r="D6275" s="6" t="s">
        <v>172</v>
      </c>
      <c r="E6275" s="11">
        <v>3.6866543292999268</v>
      </c>
      <c r="F6275" s="11">
        <v>4.3232064247131348</v>
      </c>
    </row>
    <row r="6276" spans="1:6" hidden="1" x14ac:dyDescent="0.3">
      <c r="A6276" s="6">
        <v>45</v>
      </c>
      <c r="B6276" s="6" t="s">
        <v>171</v>
      </c>
      <c r="C6276" s="6" t="s">
        <v>470</v>
      </c>
      <c r="D6276" s="6" t="s">
        <v>172</v>
      </c>
      <c r="E6276" s="11">
        <v>5.2337660789489746</v>
      </c>
      <c r="F6276" s="11">
        <v>4.3232064247131348</v>
      </c>
    </row>
    <row r="6277" spans="1:6" hidden="1" x14ac:dyDescent="0.3">
      <c r="A6277" s="6">
        <v>45</v>
      </c>
      <c r="B6277" s="6" t="s">
        <v>171</v>
      </c>
      <c r="C6277" s="6" t="s">
        <v>471</v>
      </c>
      <c r="D6277" s="6" t="s">
        <v>172</v>
      </c>
      <c r="E6277" s="11">
        <v>5.0498747825622559</v>
      </c>
      <c r="F6277" s="11">
        <v>4.3232064247131348</v>
      </c>
    </row>
    <row r="6278" spans="1:6" hidden="1" x14ac:dyDescent="0.3">
      <c r="A6278" s="6">
        <v>45</v>
      </c>
      <c r="B6278" s="6" t="s">
        <v>171</v>
      </c>
      <c r="C6278" s="6" t="s">
        <v>472</v>
      </c>
      <c r="D6278" s="6" t="s">
        <v>172</v>
      </c>
      <c r="E6278" s="11">
        <v>3.7121734619140625</v>
      </c>
      <c r="F6278" s="11">
        <v>4.3232064247131348</v>
      </c>
    </row>
    <row r="6279" spans="1:6" hidden="1" x14ac:dyDescent="0.3">
      <c r="A6279" s="6">
        <v>45</v>
      </c>
      <c r="B6279" s="6" t="s">
        <v>171</v>
      </c>
      <c r="C6279" s="6" t="s">
        <v>473</v>
      </c>
      <c r="D6279" s="6" t="s">
        <v>172</v>
      </c>
      <c r="E6279" s="11">
        <v>4.1209206581115723</v>
      </c>
      <c r="F6279" s="11">
        <v>4.3232064247131348</v>
      </c>
    </row>
    <row r="6280" spans="1:6" hidden="1" x14ac:dyDescent="0.3">
      <c r="A6280" s="6">
        <v>45</v>
      </c>
      <c r="B6280" s="6" t="s">
        <v>171</v>
      </c>
      <c r="C6280" s="6" t="s">
        <v>474</v>
      </c>
      <c r="D6280" s="6" t="s">
        <v>172</v>
      </c>
      <c r="E6280" s="11">
        <v>6.3982634544372559</v>
      </c>
      <c r="F6280" s="11">
        <v>4.3232064247131348</v>
      </c>
    </row>
    <row r="6281" spans="1:6" hidden="1" x14ac:dyDescent="0.3">
      <c r="A6281" s="6">
        <v>45</v>
      </c>
      <c r="B6281" s="6" t="s">
        <v>171</v>
      </c>
      <c r="C6281" s="6" t="s">
        <v>475</v>
      </c>
      <c r="D6281" s="6" t="s">
        <v>172</v>
      </c>
      <c r="E6281" s="11">
        <v>4.0573892593383789</v>
      </c>
      <c r="F6281" s="11">
        <v>4.3232064247131348</v>
      </c>
    </row>
    <row r="6282" spans="1:6" hidden="1" x14ac:dyDescent="0.3">
      <c r="A6282" s="6">
        <v>45</v>
      </c>
      <c r="B6282" s="6" t="s">
        <v>171</v>
      </c>
      <c r="C6282" s="6" t="s">
        <v>476</v>
      </c>
      <c r="D6282" s="6" t="s">
        <v>172</v>
      </c>
      <c r="E6282" s="11">
        <v>3.5889883041381836</v>
      </c>
      <c r="F6282" s="11">
        <v>4.3232064247131348</v>
      </c>
    </row>
    <row r="6283" spans="1:6" hidden="1" x14ac:dyDescent="0.3">
      <c r="A6283" s="6">
        <v>45</v>
      </c>
      <c r="B6283" s="6" t="s">
        <v>171</v>
      </c>
      <c r="C6283" s="6" t="s">
        <v>477</v>
      </c>
      <c r="D6283" s="6" t="s">
        <v>172</v>
      </c>
      <c r="E6283" s="11">
        <v>4.2723255157470703</v>
      </c>
      <c r="F6283" s="11">
        <v>4.3232064247131348</v>
      </c>
    </row>
    <row r="6284" spans="1:6" hidden="1" x14ac:dyDescent="0.3">
      <c r="A6284" s="6">
        <v>45</v>
      </c>
      <c r="B6284" s="6" t="s">
        <v>171</v>
      </c>
      <c r="C6284" s="6" t="s">
        <v>478</v>
      </c>
      <c r="D6284" s="6" t="s">
        <v>172</v>
      </c>
      <c r="E6284" s="11">
        <v>4.3382358551025391</v>
      </c>
      <c r="F6284" s="11">
        <v>4.3232064247131348</v>
      </c>
    </row>
    <row r="6285" spans="1:6" hidden="1" x14ac:dyDescent="0.3">
      <c r="A6285" s="6">
        <v>45</v>
      </c>
      <c r="B6285" s="6" t="s">
        <v>171</v>
      </c>
      <c r="C6285" s="6" t="s">
        <v>479</v>
      </c>
      <c r="D6285" s="6" t="s">
        <v>172</v>
      </c>
      <c r="E6285" s="11">
        <v>11.194976806640625</v>
      </c>
      <c r="F6285" s="11">
        <v>4.3232064247131348</v>
      </c>
    </row>
    <row r="6286" spans="1:6" hidden="1" x14ac:dyDescent="0.3">
      <c r="A6286" s="6">
        <v>45</v>
      </c>
      <c r="B6286" s="6" t="s">
        <v>171</v>
      </c>
      <c r="C6286" s="6" t="s">
        <v>480</v>
      </c>
      <c r="D6286" s="6" t="s">
        <v>172</v>
      </c>
      <c r="E6286" s="11">
        <v>3.4897115230560303</v>
      </c>
      <c r="F6286" s="11">
        <v>4.3232064247131348</v>
      </c>
    </row>
    <row r="6287" spans="1:6" hidden="1" x14ac:dyDescent="0.3">
      <c r="A6287" s="6">
        <v>45</v>
      </c>
      <c r="B6287" s="6" t="s">
        <v>171</v>
      </c>
      <c r="C6287" s="6" t="s">
        <v>481</v>
      </c>
      <c r="D6287" s="6" t="s">
        <v>172</v>
      </c>
      <c r="E6287" s="11">
        <v>5.1601109504699707</v>
      </c>
      <c r="F6287" s="11">
        <v>4.3232064247131348</v>
      </c>
    </row>
    <row r="6288" spans="1:6" hidden="1" x14ac:dyDescent="0.3">
      <c r="A6288" s="6">
        <v>45</v>
      </c>
      <c r="B6288" s="6" t="s">
        <v>171</v>
      </c>
      <c r="C6288" s="6" t="s">
        <v>482</v>
      </c>
      <c r="D6288" s="6" t="s">
        <v>172</v>
      </c>
      <c r="E6288" s="11">
        <v>5.1498231887817383</v>
      </c>
      <c r="F6288" s="11">
        <v>4.3232064247131348</v>
      </c>
    </row>
    <row r="6289" spans="1:6" hidden="1" x14ac:dyDescent="0.3">
      <c r="A6289" s="6">
        <v>45</v>
      </c>
      <c r="B6289" s="6" t="s">
        <v>171</v>
      </c>
      <c r="C6289" s="6" t="s">
        <v>483</v>
      </c>
      <c r="D6289" s="6" t="s">
        <v>172</v>
      </c>
      <c r="E6289" s="11">
        <v>4.0506229400634766</v>
      </c>
      <c r="F6289" s="11">
        <v>4.3232064247131348</v>
      </c>
    </row>
    <row r="6290" spans="1:6" hidden="1" x14ac:dyDescent="0.3">
      <c r="A6290" s="6">
        <v>45</v>
      </c>
      <c r="B6290" s="6" t="s">
        <v>171</v>
      </c>
      <c r="C6290" s="6" t="s">
        <v>484</v>
      </c>
      <c r="D6290" s="6" t="s">
        <v>172</v>
      </c>
      <c r="E6290" s="11">
        <v>4.2726283073425293</v>
      </c>
      <c r="F6290" s="11">
        <v>4.3232064247131348</v>
      </c>
    </row>
    <row r="6291" spans="1:6" hidden="1" x14ac:dyDescent="0.3">
      <c r="A6291" s="6">
        <v>45</v>
      </c>
      <c r="B6291" s="6" t="s">
        <v>171</v>
      </c>
      <c r="C6291" s="6" t="s">
        <v>485</v>
      </c>
      <c r="D6291" s="6" t="s">
        <v>172</v>
      </c>
      <c r="E6291" s="11">
        <v>3.61578369140625</v>
      </c>
      <c r="F6291" s="11">
        <v>4.3232064247131348</v>
      </c>
    </row>
    <row r="6292" spans="1:6" hidden="1" x14ac:dyDescent="0.3">
      <c r="A6292" s="6">
        <v>45</v>
      </c>
      <c r="B6292" s="6" t="s">
        <v>171</v>
      </c>
      <c r="C6292" s="6" t="s">
        <v>486</v>
      </c>
      <c r="D6292" s="6" t="s">
        <v>172</v>
      </c>
      <c r="E6292" s="11">
        <v>3.6334083080291748</v>
      </c>
      <c r="F6292" s="11">
        <v>4.3232064247131348</v>
      </c>
    </row>
    <row r="6293" spans="1:6" hidden="1" x14ac:dyDescent="0.3">
      <c r="A6293" s="6">
        <v>45</v>
      </c>
      <c r="B6293" s="6" t="s">
        <v>171</v>
      </c>
      <c r="C6293" s="6" t="s">
        <v>487</v>
      </c>
      <c r="D6293" s="6" t="s">
        <v>172</v>
      </c>
      <c r="E6293" s="11">
        <v>3.8335440158843994</v>
      </c>
      <c r="F6293" s="11">
        <v>4.3232064247131348</v>
      </c>
    </row>
    <row r="6294" spans="1:6" hidden="1" x14ac:dyDescent="0.3">
      <c r="A6294" s="6">
        <v>45</v>
      </c>
      <c r="B6294" s="6" t="s">
        <v>171</v>
      </c>
      <c r="C6294" s="6" t="s">
        <v>488</v>
      </c>
      <c r="D6294" s="6" t="s">
        <v>172</v>
      </c>
      <c r="E6294" s="11">
        <v>5.7351393699645996</v>
      </c>
      <c r="F6294" s="11">
        <v>4.3232064247131348</v>
      </c>
    </row>
    <row r="6295" spans="1:6" hidden="1" x14ac:dyDescent="0.3">
      <c r="A6295" s="6">
        <v>45</v>
      </c>
      <c r="B6295" s="6" t="s">
        <v>171</v>
      </c>
      <c r="C6295" s="6" t="s">
        <v>489</v>
      </c>
      <c r="D6295" s="6" t="s">
        <v>172</v>
      </c>
      <c r="E6295" s="11">
        <v>17.245141983032227</v>
      </c>
      <c r="F6295" s="11">
        <v>4.3232064247131348</v>
      </c>
    </row>
    <row r="6296" spans="1:6" hidden="1" x14ac:dyDescent="0.3">
      <c r="A6296" s="6">
        <v>45</v>
      </c>
      <c r="B6296" s="6" t="s">
        <v>171</v>
      </c>
      <c r="C6296" s="6" t="s">
        <v>490</v>
      </c>
      <c r="D6296" s="6" t="s">
        <v>172</v>
      </c>
      <c r="E6296" s="11">
        <v>4.5306396484375</v>
      </c>
      <c r="F6296" s="11">
        <v>4.3232064247131348</v>
      </c>
    </row>
    <row r="6297" spans="1:6" hidden="1" x14ac:dyDescent="0.3">
      <c r="A6297" s="6">
        <v>45</v>
      </c>
      <c r="B6297" s="6" t="s">
        <v>171</v>
      </c>
      <c r="C6297" s="6" t="s">
        <v>491</v>
      </c>
      <c r="D6297" s="6" t="s">
        <v>172</v>
      </c>
      <c r="E6297" s="11">
        <v>5.8654236793518066</v>
      </c>
      <c r="F6297" s="11">
        <v>4.3232064247131348</v>
      </c>
    </row>
    <row r="6298" spans="1:6" hidden="1" x14ac:dyDescent="0.3">
      <c r="A6298" s="6">
        <v>45</v>
      </c>
      <c r="B6298" s="6" t="s">
        <v>171</v>
      </c>
      <c r="C6298" s="6" t="s">
        <v>492</v>
      </c>
      <c r="D6298" s="6" t="s">
        <v>172</v>
      </c>
      <c r="E6298" s="11">
        <v>8.4757566452026367</v>
      </c>
      <c r="F6298" s="11">
        <v>4.3232064247131348</v>
      </c>
    </row>
    <row r="6299" spans="1:6" hidden="1" x14ac:dyDescent="0.3">
      <c r="A6299" s="6">
        <v>45</v>
      </c>
      <c r="B6299" s="6" t="s">
        <v>171</v>
      </c>
      <c r="C6299" s="6" t="s">
        <v>493</v>
      </c>
      <c r="D6299" s="6" t="s">
        <v>172</v>
      </c>
      <c r="E6299" s="11">
        <v>5.0792622566223145</v>
      </c>
      <c r="F6299" s="11">
        <v>4.3232064247131348</v>
      </c>
    </row>
    <row r="6300" spans="1:6" hidden="1" x14ac:dyDescent="0.3">
      <c r="A6300" s="6">
        <v>45</v>
      </c>
      <c r="B6300" s="6" t="s">
        <v>171</v>
      </c>
      <c r="C6300" s="6" t="s">
        <v>494</v>
      </c>
      <c r="D6300" s="6" t="s">
        <v>172</v>
      </c>
      <c r="E6300" s="11">
        <v>5.2774386405944824</v>
      </c>
      <c r="F6300" s="11">
        <v>4.3232064247131348</v>
      </c>
    </row>
    <row r="6301" spans="1:6" hidden="1" x14ac:dyDescent="0.3">
      <c r="A6301" s="6">
        <v>45</v>
      </c>
      <c r="B6301" s="6" t="s">
        <v>171</v>
      </c>
      <c r="C6301" s="6" t="s">
        <v>495</v>
      </c>
      <c r="D6301" s="6" t="s">
        <v>172</v>
      </c>
      <c r="E6301" s="11">
        <v>7.3637833595275879</v>
      </c>
      <c r="F6301" s="11">
        <v>4.3232064247131348</v>
      </c>
    </row>
    <row r="6302" spans="1:6" hidden="1" x14ac:dyDescent="0.3">
      <c r="A6302" s="6">
        <v>46</v>
      </c>
      <c r="B6302" s="6" t="s">
        <v>173</v>
      </c>
      <c r="C6302" s="6" t="s">
        <v>356</v>
      </c>
      <c r="D6302" s="6" t="s">
        <v>174</v>
      </c>
      <c r="E6302" s="11">
        <v>6.7321009635925293</v>
      </c>
      <c r="F6302" s="11">
        <v>6.743927001953125</v>
      </c>
    </row>
    <row r="6303" spans="1:6" hidden="1" x14ac:dyDescent="0.3">
      <c r="A6303" s="6">
        <v>46</v>
      </c>
      <c r="B6303" s="6" t="s">
        <v>173</v>
      </c>
      <c r="C6303" s="6" t="s">
        <v>357</v>
      </c>
      <c r="D6303" s="6" t="s">
        <v>174</v>
      </c>
      <c r="E6303" s="11">
        <v>8.0067691802978516</v>
      </c>
      <c r="F6303" s="11">
        <v>6.743927001953125</v>
      </c>
    </row>
    <row r="6304" spans="1:6" hidden="1" x14ac:dyDescent="0.3">
      <c r="A6304" s="6">
        <v>46</v>
      </c>
      <c r="B6304" s="6" t="s">
        <v>173</v>
      </c>
      <c r="C6304" s="6" t="s">
        <v>358</v>
      </c>
      <c r="D6304" s="6" t="s">
        <v>174</v>
      </c>
      <c r="E6304" s="11">
        <v>5.10540771484375</v>
      </c>
      <c r="F6304" s="11">
        <v>6.743927001953125</v>
      </c>
    </row>
    <row r="6305" spans="1:6" hidden="1" x14ac:dyDescent="0.3">
      <c r="A6305" s="6">
        <v>46</v>
      </c>
      <c r="B6305" s="6" t="s">
        <v>173</v>
      </c>
      <c r="C6305" s="6" t="s">
        <v>359</v>
      </c>
      <c r="D6305" s="6" t="s">
        <v>174</v>
      </c>
      <c r="E6305" s="11">
        <v>3.8796529769897461</v>
      </c>
      <c r="F6305" s="11">
        <v>6.743927001953125</v>
      </c>
    </row>
    <row r="6306" spans="1:6" hidden="1" x14ac:dyDescent="0.3">
      <c r="A6306" s="6">
        <v>46</v>
      </c>
      <c r="B6306" s="6" t="s">
        <v>173</v>
      </c>
      <c r="C6306" s="6" t="s">
        <v>360</v>
      </c>
      <c r="D6306" s="6" t="s">
        <v>174</v>
      </c>
      <c r="E6306" s="11">
        <v>8.1755199432373047</v>
      </c>
      <c r="F6306" s="11">
        <v>6.743927001953125</v>
      </c>
    </row>
    <row r="6307" spans="1:6" hidden="1" x14ac:dyDescent="0.3">
      <c r="A6307" s="6">
        <v>46</v>
      </c>
      <c r="B6307" s="6" t="s">
        <v>173</v>
      </c>
      <c r="C6307" s="6" t="s">
        <v>361</v>
      </c>
      <c r="D6307" s="6" t="s">
        <v>174</v>
      </c>
      <c r="E6307" s="11">
        <v>5.3220610618591309</v>
      </c>
      <c r="F6307" s="11">
        <v>6.743927001953125</v>
      </c>
    </row>
    <row r="6308" spans="1:6" hidden="1" x14ac:dyDescent="0.3">
      <c r="A6308" s="6">
        <v>46</v>
      </c>
      <c r="B6308" s="6" t="s">
        <v>173</v>
      </c>
      <c r="C6308" s="6" t="s">
        <v>362</v>
      </c>
      <c r="D6308" s="6" t="s">
        <v>174</v>
      </c>
      <c r="E6308" s="11">
        <v>4.830660343170166</v>
      </c>
      <c r="F6308" s="11">
        <v>6.743927001953125</v>
      </c>
    </row>
    <row r="6309" spans="1:6" hidden="1" x14ac:dyDescent="0.3">
      <c r="A6309" s="6">
        <v>46</v>
      </c>
      <c r="B6309" s="6" t="s">
        <v>173</v>
      </c>
      <c r="C6309" s="6" t="s">
        <v>363</v>
      </c>
      <c r="D6309" s="6" t="s">
        <v>174</v>
      </c>
      <c r="E6309" s="11">
        <v>7.0121636390686035</v>
      </c>
      <c r="F6309" s="11">
        <v>6.743927001953125</v>
      </c>
    </row>
    <row r="6310" spans="1:6" hidden="1" x14ac:dyDescent="0.3">
      <c r="A6310" s="6">
        <v>46</v>
      </c>
      <c r="B6310" s="6" t="s">
        <v>173</v>
      </c>
      <c r="C6310" s="6" t="s">
        <v>364</v>
      </c>
      <c r="D6310" s="6" t="s">
        <v>174</v>
      </c>
      <c r="E6310" s="11">
        <v>14.032297134399414</v>
      </c>
      <c r="F6310" s="11">
        <v>6.743927001953125</v>
      </c>
    </row>
    <row r="6311" spans="1:6" hidden="1" x14ac:dyDescent="0.3">
      <c r="A6311" s="6">
        <v>46</v>
      </c>
      <c r="B6311" s="6" t="s">
        <v>173</v>
      </c>
      <c r="C6311" s="6" t="s">
        <v>365</v>
      </c>
      <c r="D6311" s="6" t="s">
        <v>174</v>
      </c>
      <c r="E6311" s="11">
        <v>4.7300601005554199</v>
      </c>
      <c r="F6311" s="11">
        <v>6.743927001953125</v>
      </c>
    </row>
    <row r="6312" spans="1:6" hidden="1" x14ac:dyDescent="0.3">
      <c r="A6312" s="6">
        <v>46</v>
      </c>
      <c r="B6312" s="6" t="s">
        <v>173</v>
      </c>
      <c r="C6312" s="6" t="s">
        <v>366</v>
      </c>
      <c r="D6312" s="6" t="s">
        <v>174</v>
      </c>
      <c r="E6312" s="11">
        <v>4.1575546264648438</v>
      </c>
      <c r="F6312" s="11">
        <v>6.743927001953125</v>
      </c>
    </row>
    <row r="6313" spans="1:6" hidden="1" x14ac:dyDescent="0.3">
      <c r="A6313" s="6">
        <v>46</v>
      </c>
      <c r="B6313" s="6" t="s">
        <v>173</v>
      </c>
      <c r="C6313" s="6" t="s">
        <v>367</v>
      </c>
      <c r="D6313" s="6" t="s">
        <v>174</v>
      </c>
      <c r="E6313" s="11">
        <v>6.4521675109863281</v>
      </c>
      <c r="F6313" s="11">
        <v>6.743927001953125</v>
      </c>
    </row>
    <row r="6314" spans="1:6" hidden="1" x14ac:dyDescent="0.3">
      <c r="A6314" s="6">
        <v>46</v>
      </c>
      <c r="B6314" s="6" t="s">
        <v>173</v>
      </c>
      <c r="C6314" s="6" t="s">
        <v>368</v>
      </c>
      <c r="D6314" s="6" t="s">
        <v>174</v>
      </c>
      <c r="E6314" s="11">
        <v>9.1503257751464844</v>
      </c>
      <c r="F6314" s="11">
        <v>6.743927001953125</v>
      </c>
    </row>
    <row r="6315" spans="1:6" hidden="1" x14ac:dyDescent="0.3">
      <c r="A6315" s="6">
        <v>46</v>
      </c>
      <c r="B6315" s="6" t="s">
        <v>173</v>
      </c>
      <c r="C6315" s="6" t="s">
        <v>369</v>
      </c>
      <c r="D6315" s="6" t="s">
        <v>174</v>
      </c>
      <c r="E6315" s="11">
        <v>6.0100641250610352</v>
      </c>
      <c r="F6315" s="11">
        <v>6.743927001953125</v>
      </c>
    </row>
    <row r="6316" spans="1:6" hidden="1" x14ac:dyDescent="0.3">
      <c r="A6316" s="6">
        <v>46</v>
      </c>
      <c r="B6316" s="6" t="s">
        <v>173</v>
      </c>
      <c r="C6316" s="6" t="s">
        <v>370</v>
      </c>
      <c r="D6316" s="6" t="s">
        <v>174</v>
      </c>
      <c r="E6316" s="11">
        <v>7.0820274353027344</v>
      </c>
      <c r="F6316" s="11">
        <v>6.743927001953125</v>
      </c>
    </row>
    <row r="6317" spans="1:6" hidden="1" x14ac:dyDescent="0.3">
      <c r="A6317" s="6">
        <v>46</v>
      </c>
      <c r="B6317" s="6" t="s">
        <v>173</v>
      </c>
      <c r="C6317" s="6" t="s">
        <v>371</v>
      </c>
      <c r="D6317" s="6" t="s">
        <v>174</v>
      </c>
      <c r="E6317" s="11">
        <v>5.434417724609375</v>
      </c>
      <c r="F6317" s="11">
        <v>6.743927001953125</v>
      </c>
    </row>
    <row r="6318" spans="1:6" hidden="1" x14ac:dyDescent="0.3">
      <c r="A6318" s="6">
        <v>46</v>
      </c>
      <c r="B6318" s="6" t="s">
        <v>173</v>
      </c>
      <c r="C6318" s="6" t="s">
        <v>372</v>
      </c>
      <c r="D6318" s="6" t="s">
        <v>174</v>
      </c>
      <c r="E6318" s="11">
        <v>12.941938400268555</v>
      </c>
      <c r="F6318" s="11">
        <v>6.743927001953125</v>
      </c>
    </row>
    <row r="6319" spans="1:6" hidden="1" x14ac:dyDescent="0.3">
      <c r="A6319" s="6">
        <v>46</v>
      </c>
      <c r="B6319" s="6" t="s">
        <v>173</v>
      </c>
      <c r="C6319" s="6" t="s">
        <v>373</v>
      </c>
      <c r="D6319" s="6" t="s">
        <v>174</v>
      </c>
      <c r="E6319" s="11">
        <v>6.153099536895752</v>
      </c>
      <c r="F6319" s="11">
        <v>6.743927001953125</v>
      </c>
    </row>
    <row r="6320" spans="1:6" hidden="1" x14ac:dyDescent="0.3">
      <c r="A6320" s="6">
        <v>46</v>
      </c>
      <c r="B6320" s="6" t="s">
        <v>173</v>
      </c>
      <c r="C6320" s="6" t="s">
        <v>374</v>
      </c>
      <c r="D6320" s="6" t="s">
        <v>174</v>
      </c>
      <c r="E6320" s="11">
        <v>7.3097739219665527</v>
      </c>
      <c r="F6320" s="11">
        <v>6.743927001953125</v>
      </c>
    </row>
    <row r="6321" spans="1:6" hidden="1" x14ac:dyDescent="0.3">
      <c r="A6321" s="6">
        <v>46</v>
      </c>
      <c r="B6321" s="6" t="s">
        <v>173</v>
      </c>
      <c r="C6321" s="6" t="s">
        <v>375</v>
      </c>
      <c r="D6321" s="6" t="s">
        <v>174</v>
      </c>
      <c r="E6321" s="11">
        <v>8.3397455215454102</v>
      </c>
      <c r="F6321" s="11">
        <v>6.743927001953125</v>
      </c>
    </row>
    <row r="6322" spans="1:6" hidden="1" x14ac:dyDescent="0.3">
      <c r="A6322" s="6">
        <v>46</v>
      </c>
      <c r="B6322" s="6" t="s">
        <v>173</v>
      </c>
      <c r="C6322" s="6" t="s">
        <v>376</v>
      </c>
      <c r="D6322" s="6" t="s">
        <v>174</v>
      </c>
      <c r="E6322" s="11">
        <v>5.6165804862976074</v>
      </c>
      <c r="F6322" s="11">
        <v>6.743927001953125</v>
      </c>
    </row>
    <row r="6323" spans="1:6" hidden="1" x14ac:dyDescent="0.3">
      <c r="A6323" s="6">
        <v>46</v>
      </c>
      <c r="B6323" s="6" t="s">
        <v>173</v>
      </c>
      <c r="C6323" s="6" t="s">
        <v>377</v>
      </c>
      <c r="D6323" s="6" t="s">
        <v>174</v>
      </c>
      <c r="E6323" s="11">
        <v>8.9624300003051758</v>
      </c>
      <c r="F6323" s="11">
        <v>6.743927001953125</v>
      </c>
    </row>
    <row r="6324" spans="1:6" hidden="1" x14ac:dyDescent="0.3">
      <c r="A6324" s="6">
        <v>46</v>
      </c>
      <c r="B6324" s="6" t="s">
        <v>173</v>
      </c>
      <c r="C6324" s="6" t="s">
        <v>378</v>
      </c>
      <c r="D6324" s="6" t="s">
        <v>174</v>
      </c>
      <c r="E6324" s="11">
        <v>7.4526867866516113</v>
      </c>
      <c r="F6324" s="11">
        <v>6.743927001953125</v>
      </c>
    </row>
    <row r="6325" spans="1:6" hidden="1" x14ac:dyDescent="0.3">
      <c r="A6325" s="6">
        <v>46</v>
      </c>
      <c r="B6325" s="6" t="s">
        <v>173</v>
      </c>
      <c r="C6325" s="6" t="s">
        <v>379</v>
      </c>
      <c r="D6325" s="6" t="s">
        <v>174</v>
      </c>
      <c r="E6325" s="11">
        <v>6.9003186225891113</v>
      </c>
      <c r="F6325" s="11">
        <v>6.743927001953125</v>
      </c>
    </row>
    <row r="6326" spans="1:6" hidden="1" x14ac:dyDescent="0.3">
      <c r="A6326" s="6">
        <v>46</v>
      </c>
      <c r="B6326" s="6" t="s">
        <v>173</v>
      </c>
      <c r="C6326" s="6" t="s">
        <v>380</v>
      </c>
      <c r="D6326" s="6" t="s">
        <v>174</v>
      </c>
      <c r="E6326" s="11">
        <v>4.7800464630126953</v>
      </c>
      <c r="F6326" s="11">
        <v>6.743927001953125</v>
      </c>
    </row>
    <row r="6327" spans="1:6" hidden="1" x14ac:dyDescent="0.3">
      <c r="A6327" s="6">
        <v>46</v>
      </c>
      <c r="B6327" s="6" t="s">
        <v>173</v>
      </c>
      <c r="C6327" s="6" t="s">
        <v>381</v>
      </c>
      <c r="D6327" s="6" t="s">
        <v>174</v>
      </c>
      <c r="E6327" s="11">
        <v>6.0251760482788086</v>
      </c>
      <c r="F6327" s="11">
        <v>6.743927001953125</v>
      </c>
    </row>
    <row r="6328" spans="1:6" hidden="1" x14ac:dyDescent="0.3">
      <c r="A6328" s="6">
        <v>46</v>
      </c>
      <c r="B6328" s="6" t="s">
        <v>173</v>
      </c>
      <c r="C6328" s="6" t="s">
        <v>382</v>
      </c>
      <c r="D6328" s="6" t="s">
        <v>174</v>
      </c>
      <c r="E6328" s="11">
        <v>6.0301976203918457</v>
      </c>
      <c r="F6328" s="11">
        <v>6.743927001953125</v>
      </c>
    </row>
    <row r="6329" spans="1:6" hidden="1" x14ac:dyDescent="0.3">
      <c r="A6329" s="6">
        <v>46</v>
      </c>
      <c r="B6329" s="6" t="s">
        <v>173</v>
      </c>
      <c r="C6329" s="6" t="s">
        <v>383</v>
      </c>
      <c r="D6329" s="6" t="s">
        <v>174</v>
      </c>
      <c r="E6329" s="11">
        <v>7.5597143173217773</v>
      </c>
      <c r="F6329" s="11">
        <v>6.743927001953125</v>
      </c>
    </row>
    <row r="6330" spans="1:6" hidden="1" x14ac:dyDescent="0.3">
      <c r="A6330" s="6">
        <v>46</v>
      </c>
      <c r="B6330" s="6" t="s">
        <v>173</v>
      </c>
      <c r="C6330" s="6" t="s">
        <v>384</v>
      </c>
      <c r="D6330" s="6" t="s">
        <v>174</v>
      </c>
      <c r="E6330" s="11">
        <v>6.8077564239501953</v>
      </c>
      <c r="F6330" s="11">
        <v>6.743927001953125</v>
      </c>
    </row>
    <row r="6331" spans="1:6" hidden="1" x14ac:dyDescent="0.3">
      <c r="A6331" s="6">
        <v>46</v>
      </c>
      <c r="B6331" s="6" t="s">
        <v>173</v>
      </c>
      <c r="C6331" s="6" t="s">
        <v>385</v>
      </c>
      <c r="D6331" s="6" t="s">
        <v>174</v>
      </c>
      <c r="E6331" s="11">
        <v>6.8324527740478516</v>
      </c>
      <c r="F6331" s="11">
        <v>6.743927001953125</v>
      </c>
    </row>
    <row r="6332" spans="1:6" hidden="1" x14ac:dyDescent="0.3">
      <c r="A6332" s="6">
        <v>46</v>
      </c>
      <c r="B6332" s="6" t="s">
        <v>173</v>
      </c>
      <c r="C6332" s="6" t="s">
        <v>386</v>
      </c>
      <c r="D6332" s="6" t="s">
        <v>174</v>
      </c>
      <c r="E6332" s="11">
        <v>5.1293253898620605</v>
      </c>
      <c r="F6332" s="11">
        <v>6.743927001953125</v>
      </c>
    </row>
    <row r="6333" spans="1:6" hidden="1" x14ac:dyDescent="0.3">
      <c r="A6333" s="6">
        <v>46</v>
      </c>
      <c r="B6333" s="6" t="s">
        <v>173</v>
      </c>
      <c r="C6333" s="6" t="s">
        <v>387</v>
      </c>
      <c r="D6333" s="6" t="s">
        <v>174</v>
      </c>
      <c r="E6333" s="11">
        <v>5.0282173156738281</v>
      </c>
      <c r="F6333" s="11">
        <v>6.743927001953125</v>
      </c>
    </row>
    <row r="6334" spans="1:6" hidden="1" x14ac:dyDescent="0.3">
      <c r="A6334" s="6">
        <v>46</v>
      </c>
      <c r="B6334" s="6" t="s">
        <v>173</v>
      </c>
      <c r="C6334" s="6" t="s">
        <v>388</v>
      </c>
      <c r="D6334" s="6" t="s">
        <v>174</v>
      </c>
      <c r="E6334" s="11">
        <v>5.5263156890869141</v>
      </c>
      <c r="F6334" s="11">
        <v>6.743927001953125</v>
      </c>
    </row>
    <row r="6335" spans="1:6" hidden="1" x14ac:dyDescent="0.3">
      <c r="A6335" s="6">
        <v>46</v>
      </c>
      <c r="B6335" s="6" t="s">
        <v>173</v>
      </c>
      <c r="C6335" s="6" t="s">
        <v>389</v>
      </c>
      <c r="D6335" s="6" t="s">
        <v>174</v>
      </c>
      <c r="E6335" s="11">
        <v>6.9256973266601563</v>
      </c>
      <c r="F6335" s="11">
        <v>6.743927001953125</v>
      </c>
    </row>
    <row r="6336" spans="1:6" hidden="1" x14ac:dyDescent="0.3">
      <c r="A6336" s="6">
        <v>46</v>
      </c>
      <c r="B6336" s="6" t="s">
        <v>173</v>
      </c>
      <c r="C6336" s="6" t="s">
        <v>390</v>
      </c>
      <c r="D6336" s="6" t="s">
        <v>174</v>
      </c>
      <c r="E6336" s="11">
        <v>7.0646162033081055</v>
      </c>
      <c r="F6336" s="11">
        <v>6.743927001953125</v>
      </c>
    </row>
    <row r="6337" spans="1:6" hidden="1" x14ac:dyDescent="0.3">
      <c r="A6337" s="6">
        <v>46</v>
      </c>
      <c r="B6337" s="6" t="s">
        <v>173</v>
      </c>
      <c r="C6337" s="6" t="s">
        <v>391</v>
      </c>
      <c r="D6337" s="6" t="s">
        <v>174</v>
      </c>
      <c r="E6337" s="11">
        <v>6.7040920257568359</v>
      </c>
      <c r="F6337" s="11">
        <v>6.743927001953125</v>
      </c>
    </row>
    <row r="6338" spans="1:6" hidden="1" x14ac:dyDescent="0.3">
      <c r="A6338" s="6">
        <v>46</v>
      </c>
      <c r="B6338" s="6" t="s">
        <v>173</v>
      </c>
      <c r="C6338" s="6" t="s">
        <v>392</v>
      </c>
      <c r="D6338" s="6" t="s">
        <v>174</v>
      </c>
      <c r="E6338" s="11">
        <v>6.4162607192993164</v>
      </c>
      <c r="F6338" s="11">
        <v>6.743927001953125</v>
      </c>
    </row>
    <row r="6339" spans="1:6" hidden="1" x14ac:dyDescent="0.3">
      <c r="A6339" s="6">
        <v>46</v>
      </c>
      <c r="B6339" s="6" t="s">
        <v>173</v>
      </c>
      <c r="C6339" s="6" t="s">
        <v>393</v>
      </c>
      <c r="D6339" s="6" t="s">
        <v>174</v>
      </c>
      <c r="E6339" s="11">
        <v>6.6497511863708496</v>
      </c>
      <c r="F6339" s="11">
        <v>6.743927001953125</v>
      </c>
    </row>
    <row r="6340" spans="1:6" hidden="1" x14ac:dyDescent="0.3">
      <c r="A6340" s="6">
        <v>46</v>
      </c>
      <c r="B6340" s="6" t="s">
        <v>173</v>
      </c>
      <c r="C6340" s="6" t="s">
        <v>394</v>
      </c>
      <c r="D6340" s="6" t="s">
        <v>174</v>
      </c>
      <c r="E6340" s="11">
        <v>6.0699901580810547</v>
      </c>
      <c r="F6340" s="11">
        <v>6.743927001953125</v>
      </c>
    </row>
    <row r="6341" spans="1:6" hidden="1" x14ac:dyDescent="0.3">
      <c r="A6341" s="6">
        <v>46</v>
      </c>
      <c r="B6341" s="6" t="s">
        <v>173</v>
      </c>
      <c r="C6341" s="6" t="s">
        <v>395</v>
      </c>
      <c r="D6341" s="6" t="s">
        <v>174</v>
      </c>
      <c r="E6341" s="11">
        <v>5.6634120941162109</v>
      </c>
      <c r="F6341" s="11">
        <v>6.743927001953125</v>
      </c>
    </row>
    <row r="6342" spans="1:6" hidden="1" x14ac:dyDescent="0.3">
      <c r="A6342" s="6">
        <v>46</v>
      </c>
      <c r="B6342" s="6" t="s">
        <v>173</v>
      </c>
      <c r="C6342" s="6" t="s">
        <v>396</v>
      </c>
      <c r="D6342" s="6" t="s">
        <v>174</v>
      </c>
      <c r="E6342" s="11">
        <v>3.8040981292724609</v>
      </c>
      <c r="F6342" s="11">
        <v>6.743927001953125</v>
      </c>
    </row>
    <row r="6343" spans="1:6" hidden="1" x14ac:dyDescent="0.3">
      <c r="A6343" s="6">
        <v>46</v>
      </c>
      <c r="B6343" s="6" t="s">
        <v>173</v>
      </c>
      <c r="C6343" s="6" t="s">
        <v>397</v>
      </c>
      <c r="D6343" s="6" t="s">
        <v>174</v>
      </c>
      <c r="E6343" s="11">
        <v>3.346886157989502</v>
      </c>
      <c r="F6343" s="11">
        <v>6.743927001953125</v>
      </c>
    </row>
    <row r="6344" spans="1:6" hidden="1" x14ac:dyDescent="0.3">
      <c r="A6344" s="6">
        <v>46</v>
      </c>
      <c r="B6344" s="6" t="s">
        <v>173</v>
      </c>
      <c r="C6344" s="6" t="s">
        <v>398</v>
      </c>
      <c r="D6344" s="6" t="s">
        <v>174</v>
      </c>
      <c r="E6344" s="11">
        <v>4.3289885520935059</v>
      </c>
      <c r="F6344" s="11">
        <v>6.743927001953125</v>
      </c>
    </row>
    <row r="6345" spans="1:6" hidden="1" x14ac:dyDescent="0.3">
      <c r="A6345" s="6">
        <v>46</v>
      </c>
      <c r="B6345" s="6" t="s">
        <v>173</v>
      </c>
      <c r="C6345" s="6" t="s">
        <v>399</v>
      </c>
      <c r="D6345" s="6" t="s">
        <v>174</v>
      </c>
      <c r="E6345" s="11">
        <v>7.8497729301452637</v>
      </c>
      <c r="F6345" s="11">
        <v>6.743927001953125</v>
      </c>
    </row>
    <row r="6346" spans="1:6" hidden="1" x14ac:dyDescent="0.3">
      <c r="A6346" s="6">
        <v>46</v>
      </c>
      <c r="B6346" s="6" t="s">
        <v>173</v>
      </c>
      <c r="C6346" s="6" t="s">
        <v>400</v>
      </c>
      <c r="D6346" s="6" t="s">
        <v>174</v>
      </c>
      <c r="E6346" s="11">
        <v>7.7594070434570313</v>
      </c>
      <c r="F6346" s="11">
        <v>6.743927001953125</v>
      </c>
    </row>
    <row r="6347" spans="1:6" hidden="1" x14ac:dyDescent="0.3">
      <c r="A6347" s="6">
        <v>46</v>
      </c>
      <c r="B6347" s="6" t="s">
        <v>173</v>
      </c>
      <c r="C6347" s="6" t="s">
        <v>401</v>
      </c>
      <c r="D6347" s="6" t="s">
        <v>174</v>
      </c>
      <c r="E6347" s="11">
        <v>5.5804328918457031</v>
      </c>
      <c r="F6347" s="11">
        <v>6.743927001953125</v>
      </c>
    </row>
    <row r="6348" spans="1:6" hidden="1" x14ac:dyDescent="0.3">
      <c r="A6348" s="6">
        <v>46</v>
      </c>
      <c r="B6348" s="6" t="s">
        <v>173</v>
      </c>
      <c r="C6348" s="6" t="s">
        <v>402</v>
      </c>
      <c r="D6348" s="6" t="s">
        <v>174</v>
      </c>
      <c r="E6348" s="11">
        <v>7.4156899452209473</v>
      </c>
      <c r="F6348" s="11">
        <v>6.743927001953125</v>
      </c>
    </row>
    <row r="6349" spans="1:6" hidden="1" x14ac:dyDescent="0.3">
      <c r="A6349" s="6">
        <v>46</v>
      </c>
      <c r="B6349" s="6" t="s">
        <v>173</v>
      </c>
      <c r="C6349" s="6" t="s">
        <v>403</v>
      </c>
      <c r="D6349" s="6" t="s">
        <v>174</v>
      </c>
      <c r="E6349" s="11">
        <v>5.2540841102600098</v>
      </c>
      <c r="F6349" s="11">
        <v>6.743927001953125</v>
      </c>
    </row>
    <row r="6350" spans="1:6" hidden="1" x14ac:dyDescent="0.3">
      <c r="A6350" s="6">
        <v>46</v>
      </c>
      <c r="B6350" s="6" t="s">
        <v>173</v>
      </c>
      <c r="C6350" s="6" t="s">
        <v>404</v>
      </c>
      <c r="D6350" s="6" t="s">
        <v>174</v>
      </c>
      <c r="E6350" s="11">
        <v>7.1348066329956055</v>
      </c>
      <c r="F6350" s="11">
        <v>6.743927001953125</v>
      </c>
    </row>
    <row r="6351" spans="1:6" hidden="1" x14ac:dyDescent="0.3">
      <c r="A6351" s="6">
        <v>46</v>
      </c>
      <c r="B6351" s="6" t="s">
        <v>173</v>
      </c>
      <c r="C6351" s="6" t="s">
        <v>405</v>
      </c>
      <c r="D6351" s="6" t="s">
        <v>174</v>
      </c>
      <c r="E6351" s="11">
        <v>6.7876830101013184</v>
      </c>
      <c r="F6351" s="11">
        <v>6.743927001953125</v>
      </c>
    </row>
    <row r="6352" spans="1:6" hidden="1" x14ac:dyDescent="0.3">
      <c r="A6352" s="6">
        <v>46</v>
      </c>
      <c r="B6352" s="6" t="s">
        <v>173</v>
      </c>
      <c r="C6352" s="6" t="s">
        <v>406</v>
      </c>
      <c r="D6352" s="6" t="s">
        <v>174</v>
      </c>
      <c r="E6352" s="11">
        <v>7.0850934982299805</v>
      </c>
      <c r="F6352" s="11">
        <v>6.743927001953125</v>
      </c>
    </row>
    <row r="6353" spans="1:6" hidden="1" x14ac:dyDescent="0.3">
      <c r="A6353" s="6">
        <v>46</v>
      </c>
      <c r="B6353" s="6" t="s">
        <v>173</v>
      </c>
      <c r="C6353" s="6" t="s">
        <v>407</v>
      </c>
      <c r="D6353" s="6" t="s">
        <v>174</v>
      </c>
      <c r="E6353" s="11">
        <v>5.8073344230651855</v>
      </c>
      <c r="F6353" s="11">
        <v>6.743927001953125</v>
      </c>
    </row>
    <row r="6354" spans="1:6" hidden="1" x14ac:dyDescent="0.3">
      <c r="A6354" s="6">
        <v>46</v>
      </c>
      <c r="B6354" s="6" t="s">
        <v>173</v>
      </c>
      <c r="C6354" s="6" t="s">
        <v>408</v>
      </c>
      <c r="D6354" s="6" t="s">
        <v>174</v>
      </c>
      <c r="E6354" s="11">
        <v>6.1736664772033691</v>
      </c>
      <c r="F6354" s="11">
        <v>6.743927001953125</v>
      </c>
    </row>
    <row r="6355" spans="1:6" hidden="1" x14ac:dyDescent="0.3">
      <c r="A6355" s="6">
        <v>46</v>
      </c>
      <c r="B6355" s="6" t="s">
        <v>173</v>
      </c>
      <c r="C6355" s="6" t="s">
        <v>409</v>
      </c>
      <c r="D6355" s="6" t="s">
        <v>174</v>
      </c>
      <c r="E6355" s="11">
        <v>5.6571764945983887</v>
      </c>
      <c r="F6355" s="11">
        <v>6.743927001953125</v>
      </c>
    </row>
    <row r="6356" spans="1:6" hidden="1" x14ac:dyDescent="0.3">
      <c r="A6356" s="6">
        <v>46</v>
      </c>
      <c r="B6356" s="6" t="s">
        <v>173</v>
      </c>
      <c r="C6356" s="6" t="s">
        <v>410</v>
      </c>
      <c r="D6356" s="6" t="s">
        <v>174</v>
      </c>
      <c r="E6356" s="11">
        <v>6.4301562309265137</v>
      </c>
      <c r="F6356" s="11">
        <v>6.743927001953125</v>
      </c>
    </row>
    <row r="6357" spans="1:6" hidden="1" x14ac:dyDescent="0.3">
      <c r="A6357" s="6">
        <v>46</v>
      </c>
      <c r="B6357" s="6" t="s">
        <v>173</v>
      </c>
      <c r="C6357" s="6" t="s">
        <v>411</v>
      </c>
      <c r="D6357" s="6" t="s">
        <v>174</v>
      </c>
      <c r="E6357" s="11">
        <v>6.0642585754394531</v>
      </c>
      <c r="F6357" s="11">
        <v>6.743927001953125</v>
      </c>
    </row>
    <row r="6358" spans="1:6" hidden="1" x14ac:dyDescent="0.3">
      <c r="A6358" s="6">
        <v>46</v>
      </c>
      <c r="B6358" s="6" t="s">
        <v>173</v>
      </c>
      <c r="C6358" s="6" t="s">
        <v>412</v>
      </c>
      <c r="D6358" s="6" t="s">
        <v>174</v>
      </c>
      <c r="E6358" s="11">
        <v>8.1940803527832031</v>
      </c>
      <c r="F6358" s="11">
        <v>6.743927001953125</v>
      </c>
    </row>
    <row r="6359" spans="1:6" hidden="1" x14ac:dyDescent="0.3">
      <c r="A6359" s="6">
        <v>46</v>
      </c>
      <c r="B6359" s="6" t="s">
        <v>173</v>
      </c>
      <c r="C6359" s="6" t="s">
        <v>413</v>
      </c>
      <c r="D6359" s="6" t="s">
        <v>174</v>
      </c>
      <c r="E6359" s="11">
        <v>8.4512062072753906</v>
      </c>
      <c r="F6359" s="11">
        <v>6.743927001953125</v>
      </c>
    </row>
    <row r="6360" spans="1:6" hidden="1" x14ac:dyDescent="0.3">
      <c r="A6360" s="6">
        <v>46</v>
      </c>
      <c r="B6360" s="6" t="s">
        <v>173</v>
      </c>
      <c r="C6360" s="6" t="s">
        <v>414</v>
      </c>
      <c r="D6360" s="6" t="s">
        <v>174</v>
      </c>
      <c r="E6360" s="11">
        <v>4.8075318336486816</v>
      </c>
      <c r="F6360" s="11">
        <v>6.743927001953125</v>
      </c>
    </row>
    <row r="6361" spans="1:6" hidden="1" x14ac:dyDescent="0.3">
      <c r="A6361" s="6">
        <v>46</v>
      </c>
      <c r="B6361" s="6" t="s">
        <v>173</v>
      </c>
      <c r="C6361" s="6" t="s">
        <v>415</v>
      </c>
      <c r="D6361" s="6" t="s">
        <v>174</v>
      </c>
      <c r="E6361" s="11">
        <v>8.1736955642700195</v>
      </c>
      <c r="F6361" s="11">
        <v>6.743927001953125</v>
      </c>
    </row>
    <row r="6362" spans="1:6" hidden="1" x14ac:dyDescent="0.3">
      <c r="A6362" s="6">
        <v>46</v>
      </c>
      <c r="B6362" s="6" t="s">
        <v>173</v>
      </c>
      <c r="C6362" s="6" t="s">
        <v>416</v>
      </c>
      <c r="D6362" s="6" t="s">
        <v>174</v>
      </c>
      <c r="E6362" s="11">
        <v>6.6594843864440918</v>
      </c>
      <c r="F6362" s="11">
        <v>6.743927001953125</v>
      </c>
    </row>
    <row r="6363" spans="1:6" hidden="1" x14ac:dyDescent="0.3">
      <c r="A6363" s="6">
        <v>46</v>
      </c>
      <c r="B6363" s="6" t="s">
        <v>173</v>
      </c>
      <c r="C6363" s="6" t="s">
        <v>417</v>
      </c>
      <c r="D6363" s="6" t="s">
        <v>174</v>
      </c>
      <c r="E6363" s="11">
        <v>7.7146410942077637</v>
      </c>
      <c r="F6363" s="11">
        <v>6.743927001953125</v>
      </c>
    </row>
    <row r="6364" spans="1:6" hidden="1" x14ac:dyDescent="0.3">
      <c r="A6364" s="6">
        <v>46</v>
      </c>
      <c r="B6364" s="6" t="s">
        <v>173</v>
      </c>
      <c r="C6364" s="6" t="s">
        <v>418</v>
      </c>
      <c r="D6364" s="6" t="s">
        <v>174</v>
      </c>
      <c r="E6364" s="11">
        <v>7.0179619789123535</v>
      </c>
      <c r="F6364" s="11">
        <v>6.743927001953125</v>
      </c>
    </row>
    <row r="6365" spans="1:6" hidden="1" x14ac:dyDescent="0.3">
      <c r="A6365" s="6">
        <v>46</v>
      </c>
      <c r="B6365" s="6" t="s">
        <v>173</v>
      </c>
      <c r="C6365" s="6" t="s">
        <v>419</v>
      </c>
      <c r="D6365" s="6" t="s">
        <v>174</v>
      </c>
      <c r="E6365" s="11">
        <v>8.4701337814331055</v>
      </c>
      <c r="F6365" s="11">
        <v>6.743927001953125</v>
      </c>
    </row>
    <row r="6366" spans="1:6" hidden="1" x14ac:dyDescent="0.3">
      <c r="A6366" s="6">
        <v>46</v>
      </c>
      <c r="B6366" s="6" t="s">
        <v>173</v>
      </c>
      <c r="C6366" s="6" t="s">
        <v>420</v>
      </c>
      <c r="D6366" s="6" t="s">
        <v>174</v>
      </c>
      <c r="E6366" s="11">
        <v>5.7130260467529297</v>
      </c>
      <c r="F6366" s="11">
        <v>6.743927001953125</v>
      </c>
    </row>
    <row r="6367" spans="1:6" hidden="1" x14ac:dyDescent="0.3">
      <c r="A6367" s="6">
        <v>46</v>
      </c>
      <c r="B6367" s="6" t="s">
        <v>173</v>
      </c>
      <c r="C6367" s="6" t="s">
        <v>421</v>
      </c>
      <c r="D6367" s="6" t="s">
        <v>174</v>
      </c>
      <c r="E6367" s="11">
        <v>5.8378520011901855</v>
      </c>
      <c r="F6367" s="11">
        <v>6.743927001953125</v>
      </c>
    </row>
    <row r="6368" spans="1:6" hidden="1" x14ac:dyDescent="0.3">
      <c r="A6368" s="6">
        <v>46</v>
      </c>
      <c r="B6368" s="6" t="s">
        <v>173</v>
      </c>
      <c r="C6368" s="6" t="s">
        <v>422</v>
      </c>
      <c r="D6368" s="6" t="s">
        <v>174</v>
      </c>
      <c r="E6368" s="11">
        <v>6.4306015968322754</v>
      </c>
      <c r="F6368" s="11">
        <v>6.743927001953125</v>
      </c>
    </row>
    <row r="6369" spans="1:6" hidden="1" x14ac:dyDescent="0.3">
      <c r="A6369" s="6">
        <v>46</v>
      </c>
      <c r="B6369" s="6" t="s">
        <v>173</v>
      </c>
      <c r="C6369" s="6" t="s">
        <v>423</v>
      </c>
      <c r="D6369" s="6" t="s">
        <v>174</v>
      </c>
      <c r="E6369" s="11">
        <v>7.361412525177002</v>
      </c>
      <c r="F6369" s="11">
        <v>6.743927001953125</v>
      </c>
    </row>
    <row r="6370" spans="1:6" hidden="1" x14ac:dyDescent="0.3">
      <c r="A6370" s="6">
        <v>46</v>
      </c>
      <c r="B6370" s="6" t="s">
        <v>173</v>
      </c>
      <c r="C6370" s="6" t="s">
        <v>424</v>
      </c>
      <c r="D6370" s="6" t="s">
        <v>174</v>
      </c>
      <c r="E6370" s="11">
        <v>6.671349048614502</v>
      </c>
      <c r="F6370" s="11">
        <v>6.743927001953125</v>
      </c>
    </row>
    <row r="6371" spans="1:6" hidden="1" x14ac:dyDescent="0.3">
      <c r="A6371" s="6">
        <v>46</v>
      </c>
      <c r="B6371" s="6" t="s">
        <v>173</v>
      </c>
      <c r="C6371" s="6" t="s">
        <v>425</v>
      </c>
      <c r="D6371" s="6" t="s">
        <v>174</v>
      </c>
      <c r="E6371" s="11">
        <v>12.384422302246094</v>
      </c>
      <c r="F6371" s="11">
        <v>6.743927001953125</v>
      </c>
    </row>
    <row r="6372" spans="1:6" hidden="1" x14ac:dyDescent="0.3">
      <c r="A6372" s="6">
        <v>46</v>
      </c>
      <c r="B6372" s="6" t="s">
        <v>173</v>
      </c>
      <c r="C6372" s="6" t="s">
        <v>426</v>
      </c>
      <c r="D6372" s="6" t="s">
        <v>174</v>
      </c>
      <c r="E6372" s="11">
        <v>5.2365398406982422</v>
      </c>
      <c r="F6372" s="11">
        <v>6.743927001953125</v>
      </c>
    </row>
    <row r="6373" spans="1:6" hidden="1" x14ac:dyDescent="0.3">
      <c r="A6373" s="6">
        <v>46</v>
      </c>
      <c r="B6373" s="6" t="s">
        <v>173</v>
      </c>
      <c r="C6373" s="6" t="s">
        <v>427</v>
      </c>
      <c r="D6373" s="6" t="s">
        <v>174</v>
      </c>
      <c r="E6373" s="11">
        <v>8.35211181640625</v>
      </c>
      <c r="F6373" s="11">
        <v>6.743927001953125</v>
      </c>
    </row>
    <row r="6374" spans="1:6" hidden="1" x14ac:dyDescent="0.3">
      <c r="A6374" s="6">
        <v>46</v>
      </c>
      <c r="B6374" s="6" t="s">
        <v>173</v>
      </c>
      <c r="C6374" s="6" t="s">
        <v>428</v>
      </c>
      <c r="D6374" s="6" t="s">
        <v>174</v>
      </c>
      <c r="E6374" s="11">
        <v>10.514392852783203</v>
      </c>
      <c r="F6374" s="11">
        <v>6.743927001953125</v>
      </c>
    </row>
    <row r="6375" spans="1:6" hidden="1" x14ac:dyDescent="0.3">
      <c r="A6375" s="6">
        <v>46</v>
      </c>
      <c r="B6375" s="6" t="s">
        <v>173</v>
      </c>
      <c r="C6375" s="6" t="s">
        <v>429</v>
      </c>
      <c r="D6375" s="6" t="s">
        <v>174</v>
      </c>
      <c r="E6375" s="11">
        <v>6.4070568084716797</v>
      </c>
      <c r="F6375" s="11">
        <v>6.743927001953125</v>
      </c>
    </row>
    <row r="6376" spans="1:6" hidden="1" x14ac:dyDescent="0.3">
      <c r="A6376" s="6">
        <v>46</v>
      </c>
      <c r="B6376" s="6" t="s">
        <v>173</v>
      </c>
      <c r="C6376" s="6" t="s">
        <v>430</v>
      </c>
      <c r="D6376" s="6" t="s">
        <v>174</v>
      </c>
      <c r="E6376" s="11">
        <v>6.4163875579833984</v>
      </c>
      <c r="F6376" s="11">
        <v>6.743927001953125</v>
      </c>
    </row>
    <row r="6377" spans="1:6" hidden="1" x14ac:dyDescent="0.3">
      <c r="A6377" s="6">
        <v>46</v>
      </c>
      <c r="B6377" s="6" t="s">
        <v>173</v>
      </c>
      <c r="C6377" s="6" t="s">
        <v>431</v>
      </c>
      <c r="D6377" s="6" t="s">
        <v>174</v>
      </c>
      <c r="E6377" s="11">
        <v>6.2181735038757324</v>
      </c>
      <c r="F6377" s="11">
        <v>6.743927001953125</v>
      </c>
    </row>
    <row r="6378" spans="1:6" hidden="1" x14ac:dyDescent="0.3">
      <c r="A6378" s="6">
        <v>46</v>
      </c>
      <c r="B6378" s="6" t="s">
        <v>173</v>
      </c>
      <c r="C6378" s="6" t="s">
        <v>432</v>
      </c>
      <c r="D6378" s="6" t="s">
        <v>174</v>
      </c>
      <c r="E6378" s="11">
        <v>7.3815760612487793</v>
      </c>
      <c r="F6378" s="11">
        <v>6.743927001953125</v>
      </c>
    </row>
    <row r="6379" spans="1:6" hidden="1" x14ac:dyDescent="0.3">
      <c r="A6379" s="6">
        <v>46</v>
      </c>
      <c r="B6379" s="6" t="s">
        <v>173</v>
      </c>
      <c r="C6379" s="6" t="s">
        <v>433</v>
      </c>
      <c r="D6379" s="6" t="s">
        <v>174</v>
      </c>
      <c r="E6379" s="11">
        <v>5.6720976829528809</v>
      </c>
      <c r="F6379" s="11">
        <v>6.743927001953125</v>
      </c>
    </row>
    <row r="6380" spans="1:6" hidden="1" x14ac:dyDescent="0.3">
      <c r="A6380" s="6">
        <v>46</v>
      </c>
      <c r="B6380" s="6" t="s">
        <v>173</v>
      </c>
      <c r="C6380" s="6" t="s">
        <v>434</v>
      </c>
      <c r="D6380" s="6" t="s">
        <v>174</v>
      </c>
      <c r="E6380" s="11">
        <v>3.1817803382873535</v>
      </c>
      <c r="F6380" s="11">
        <v>6.743927001953125</v>
      </c>
    </row>
    <row r="6381" spans="1:6" hidden="1" x14ac:dyDescent="0.3">
      <c r="A6381" s="6">
        <v>46</v>
      </c>
      <c r="B6381" s="6" t="s">
        <v>173</v>
      </c>
      <c r="C6381" s="6" t="s">
        <v>435</v>
      </c>
      <c r="D6381" s="6" t="s">
        <v>174</v>
      </c>
      <c r="E6381" s="11">
        <v>6.4198508262634277</v>
      </c>
      <c r="F6381" s="11">
        <v>6.743927001953125</v>
      </c>
    </row>
    <row r="6382" spans="1:6" hidden="1" x14ac:dyDescent="0.3">
      <c r="A6382" s="6">
        <v>46</v>
      </c>
      <c r="B6382" s="6" t="s">
        <v>173</v>
      </c>
      <c r="C6382" s="6" t="s">
        <v>436</v>
      </c>
      <c r="D6382" s="6" t="s">
        <v>174</v>
      </c>
      <c r="E6382" s="11">
        <v>7.3175206184387207</v>
      </c>
      <c r="F6382" s="11">
        <v>6.743927001953125</v>
      </c>
    </row>
    <row r="6383" spans="1:6" hidden="1" x14ac:dyDescent="0.3">
      <c r="A6383" s="6">
        <v>46</v>
      </c>
      <c r="B6383" s="6" t="s">
        <v>173</v>
      </c>
      <c r="C6383" s="6" t="s">
        <v>437</v>
      </c>
      <c r="D6383" s="6" t="s">
        <v>174</v>
      </c>
      <c r="E6383" s="11">
        <v>6.9691004753112793</v>
      </c>
      <c r="F6383" s="11">
        <v>6.743927001953125</v>
      </c>
    </row>
    <row r="6384" spans="1:6" hidden="1" x14ac:dyDescent="0.3">
      <c r="A6384" s="6">
        <v>46</v>
      </c>
      <c r="B6384" s="6" t="s">
        <v>173</v>
      </c>
      <c r="C6384" s="6" t="s">
        <v>438</v>
      </c>
      <c r="D6384" s="6" t="s">
        <v>174</v>
      </c>
      <c r="E6384" s="11">
        <v>5.0073637962341309</v>
      </c>
      <c r="F6384" s="11">
        <v>6.743927001953125</v>
      </c>
    </row>
    <row r="6385" spans="1:6" hidden="1" x14ac:dyDescent="0.3">
      <c r="A6385" s="6">
        <v>46</v>
      </c>
      <c r="B6385" s="6" t="s">
        <v>173</v>
      </c>
      <c r="C6385" s="6" t="s">
        <v>439</v>
      </c>
      <c r="D6385" s="6" t="s">
        <v>174</v>
      </c>
      <c r="E6385" s="11">
        <v>6.9200515747070313</v>
      </c>
      <c r="F6385" s="11">
        <v>6.743927001953125</v>
      </c>
    </row>
    <row r="6386" spans="1:6" hidden="1" x14ac:dyDescent="0.3">
      <c r="A6386" s="6">
        <v>46</v>
      </c>
      <c r="B6386" s="6" t="s">
        <v>173</v>
      </c>
      <c r="C6386" s="6" t="s">
        <v>440</v>
      </c>
      <c r="D6386" s="6" t="s">
        <v>174</v>
      </c>
      <c r="E6386" s="11">
        <v>7.8825173377990723</v>
      </c>
      <c r="F6386" s="11">
        <v>6.743927001953125</v>
      </c>
    </row>
    <row r="6387" spans="1:6" hidden="1" x14ac:dyDescent="0.3">
      <c r="A6387" s="6">
        <v>46</v>
      </c>
      <c r="B6387" s="6" t="s">
        <v>173</v>
      </c>
      <c r="C6387" s="6" t="s">
        <v>441</v>
      </c>
      <c r="D6387" s="6" t="s">
        <v>174</v>
      </c>
      <c r="E6387" s="11">
        <v>7.8416757583618164</v>
      </c>
      <c r="F6387" s="11">
        <v>6.743927001953125</v>
      </c>
    </row>
    <row r="6388" spans="1:6" hidden="1" x14ac:dyDescent="0.3">
      <c r="A6388" s="6">
        <v>46</v>
      </c>
      <c r="B6388" s="6" t="s">
        <v>173</v>
      </c>
      <c r="C6388" s="6" t="s">
        <v>442</v>
      </c>
      <c r="D6388" s="6" t="s">
        <v>174</v>
      </c>
      <c r="E6388" s="11">
        <v>6.2266378402709961</v>
      </c>
      <c r="F6388" s="11">
        <v>6.743927001953125</v>
      </c>
    </row>
    <row r="6389" spans="1:6" hidden="1" x14ac:dyDescent="0.3">
      <c r="A6389" s="6">
        <v>46</v>
      </c>
      <c r="B6389" s="6" t="s">
        <v>173</v>
      </c>
      <c r="C6389" s="6" t="s">
        <v>443</v>
      </c>
      <c r="D6389" s="6" t="s">
        <v>174</v>
      </c>
      <c r="E6389" s="11">
        <v>5.1515212059020996</v>
      </c>
      <c r="F6389" s="11">
        <v>6.743927001953125</v>
      </c>
    </row>
    <row r="6390" spans="1:6" hidden="1" x14ac:dyDescent="0.3">
      <c r="A6390" s="6">
        <v>46</v>
      </c>
      <c r="B6390" s="6" t="s">
        <v>173</v>
      </c>
      <c r="C6390" s="6" t="s">
        <v>444</v>
      </c>
      <c r="D6390" s="6" t="s">
        <v>174</v>
      </c>
      <c r="E6390" s="11">
        <v>4.9596438407897949</v>
      </c>
      <c r="F6390" s="11">
        <v>6.743927001953125</v>
      </c>
    </row>
    <row r="6391" spans="1:6" hidden="1" x14ac:dyDescent="0.3">
      <c r="A6391" s="6">
        <v>46</v>
      </c>
      <c r="B6391" s="6" t="s">
        <v>173</v>
      </c>
      <c r="C6391" s="6" t="s">
        <v>445</v>
      </c>
      <c r="D6391" s="6" t="s">
        <v>174</v>
      </c>
      <c r="E6391" s="11">
        <v>5.6156868934631348</v>
      </c>
      <c r="F6391" s="11">
        <v>6.743927001953125</v>
      </c>
    </row>
    <row r="6392" spans="1:6" hidden="1" x14ac:dyDescent="0.3">
      <c r="A6392" s="6">
        <v>46</v>
      </c>
      <c r="B6392" s="6" t="s">
        <v>173</v>
      </c>
      <c r="C6392" s="6" t="s">
        <v>446</v>
      </c>
      <c r="D6392" s="6" t="s">
        <v>174</v>
      </c>
      <c r="E6392" s="11">
        <v>10.671455383300781</v>
      </c>
      <c r="F6392" s="11">
        <v>6.743927001953125</v>
      </c>
    </row>
    <row r="6393" spans="1:6" hidden="1" x14ac:dyDescent="0.3">
      <c r="A6393" s="6">
        <v>46</v>
      </c>
      <c r="B6393" s="6" t="s">
        <v>173</v>
      </c>
      <c r="C6393" s="6" t="s">
        <v>447</v>
      </c>
      <c r="D6393" s="6" t="s">
        <v>174</v>
      </c>
      <c r="E6393" s="11">
        <v>6.8016676902770996</v>
      </c>
      <c r="F6393" s="11">
        <v>6.743927001953125</v>
      </c>
    </row>
    <row r="6394" spans="1:6" hidden="1" x14ac:dyDescent="0.3">
      <c r="A6394" s="6">
        <v>46</v>
      </c>
      <c r="B6394" s="6" t="s">
        <v>173</v>
      </c>
      <c r="C6394" s="6" t="s">
        <v>448</v>
      </c>
      <c r="D6394" s="6" t="s">
        <v>174</v>
      </c>
      <c r="E6394" s="11">
        <v>6.0114879608154297</v>
      </c>
      <c r="F6394" s="11">
        <v>6.743927001953125</v>
      </c>
    </row>
    <row r="6395" spans="1:6" hidden="1" x14ac:dyDescent="0.3">
      <c r="A6395" s="6">
        <v>46</v>
      </c>
      <c r="B6395" s="6" t="s">
        <v>173</v>
      </c>
      <c r="C6395" s="6" t="s">
        <v>449</v>
      </c>
      <c r="D6395" s="6" t="s">
        <v>174</v>
      </c>
      <c r="E6395" s="11">
        <v>6.8399715423583984</v>
      </c>
      <c r="F6395" s="11">
        <v>6.743927001953125</v>
      </c>
    </row>
    <row r="6396" spans="1:6" hidden="1" x14ac:dyDescent="0.3">
      <c r="A6396" s="6">
        <v>46</v>
      </c>
      <c r="B6396" s="6" t="s">
        <v>173</v>
      </c>
      <c r="C6396" s="6" t="s">
        <v>450</v>
      </c>
      <c r="D6396" s="6" t="s">
        <v>174</v>
      </c>
      <c r="E6396" s="11">
        <v>5.3763046264648438</v>
      </c>
      <c r="F6396" s="11">
        <v>6.743927001953125</v>
      </c>
    </row>
    <row r="6397" spans="1:6" hidden="1" x14ac:dyDescent="0.3">
      <c r="A6397" s="6">
        <v>46</v>
      </c>
      <c r="B6397" s="6" t="s">
        <v>173</v>
      </c>
      <c r="C6397" s="6" t="s">
        <v>451</v>
      </c>
      <c r="D6397" s="6" t="s">
        <v>174</v>
      </c>
      <c r="E6397" s="11">
        <v>4.9954133033752441</v>
      </c>
      <c r="F6397" s="11">
        <v>6.743927001953125</v>
      </c>
    </row>
    <row r="6398" spans="1:6" hidden="1" x14ac:dyDescent="0.3">
      <c r="A6398" s="6">
        <v>46</v>
      </c>
      <c r="B6398" s="6" t="s">
        <v>173</v>
      </c>
      <c r="C6398" s="6" t="s">
        <v>452</v>
      </c>
      <c r="D6398" s="6" t="s">
        <v>174</v>
      </c>
      <c r="E6398" s="11">
        <v>4.9577670097351074</v>
      </c>
      <c r="F6398" s="11">
        <v>6.743927001953125</v>
      </c>
    </row>
    <row r="6399" spans="1:6" hidden="1" x14ac:dyDescent="0.3">
      <c r="A6399" s="6">
        <v>46</v>
      </c>
      <c r="B6399" s="6" t="s">
        <v>173</v>
      </c>
      <c r="C6399" s="6" t="s">
        <v>453</v>
      </c>
      <c r="D6399" s="6" t="s">
        <v>174</v>
      </c>
      <c r="E6399" s="11">
        <v>7.3229475021362305</v>
      </c>
      <c r="F6399" s="11">
        <v>6.743927001953125</v>
      </c>
    </row>
    <row r="6400" spans="1:6" hidden="1" x14ac:dyDescent="0.3">
      <c r="A6400" s="6">
        <v>46</v>
      </c>
      <c r="B6400" s="6" t="s">
        <v>173</v>
      </c>
      <c r="C6400" s="6" t="s">
        <v>454</v>
      </c>
      <c r="D6400" s="6" t="s">
        <v>174</v>
      </c>
      <c r="E6400" s="11">
        <v>7.9895129203796387</v>
      </c>
      <c r="F6400" s="11">
        <v>6.743927001953125</v>
      </c>
    </row>
    <row r="6401" spans="1:6" hidden="1" x14ac:dyDescent="0.3">
      <c r="A6401" s="6">
        <v>46</v>
      </c>
      <c r="B6401" s="6" t="s">
        <v>173</v>
      </c>
      <c r="C6401" s="6" t="s">
        <v>455</v>
      </c>
      <c r="D6401" s="6" t="s">
        <v>174</v>
      </c>
      <c r="E6401" s="11">
        <v>8.281982421875</v>
      </c>
      <c r="F6401" s="11">
        <v>6.743927001953125</v>
      </c>
    </row>
    <row r="6402" spans="1:6" hidden="1" x14ac:dyDescent="0.3">
      <c r="A6402" s="6">
        <v>46</v>
      </c>
      <c r="B6402" s="6" t="s">
        <v>173</v>
      </c>
      <c r="C6402" s="6" t="s">
        <v>456</v>
      </c>
      <c r="D6402" s="6" t="s">
        <v>174</v>
      </c>
      <c r="E6402" s="11">
        <v>5.3832798004150391</v>
      </c>
      <c r="F6402" s="11">
        <v>6.743927001953125</v>
      </c>
    </row>
    <row r="6403" spans="1:6" hidden="1" x14ac:dyDescent="0.3">
      <c r="A6403" s="6">
        <v>46</v>
      </c>
      <c r="B6403" s="6" t="s">
        <v>173</v>
      </c>
      <c r="C6403" s="6" t="s">
        <v>457</v>
      </c>
      <c r="D6403" s="6" t="s">
        <v>174</v>
      </c>
      <c r="E6403" s="11">
        <v>6.1229805946350098</v>
      </c>
      <c r="F6403" s="11">
        <v>6.743927001953125</v>
      </c>
    </row>
    <row r="6404" spans="1:6" hidden="1" x14ac:dyDescent="0.3">
      <c r="A6404" s="6">
        <v>46</v>
      </c>
      <c r="B6404" s="6" t="s">
        <v>173</v>
      </c>
      <c r="C6404" s="6" t="s">
        <v>458</v>
      </c>
      <c r="D6404" s="6" t="s">
        <v>174</v>
      </c>
      <c r="E6404" s="11">
        <v>6.1096758842468262</v>
      </c>
      <c r="F6404" s="11">
        <v>6.743927001953125</v>
      </c>
    </row>
    <row r="6405" spans="1:6" hidden="1" x14ac:dyDescent="0.3">
      <c r="A6405" s="6">
        <v>46</v>
      </c>
      <c r="B6405" s="6" t="s">
        <v>173</v>
      </c>
      <c r="C6405" s="6" t="s">
        <v>459</v>
      </c>
      <c r="D6405" s="6" t="s">
        <v>174</v>
      </c>
      <c r="E6405" s="11">
        <v>8.5628366470336914</v>
      </c>
      <c r="F6405" s="11">
        <v>6.743927001953125</v>
      </c>
    </row>
    <row r="6406" spans="1:6" hidden="1" x14ac:dyDescent="0.3">
      <c r="A6406" s="6">
        <v>46</v>
      </c>
      <c r="B6406" s="6" t="s">
        <v>173</v>
      </c>
      <c r="C6406" s="6" t="s">
        <v>460</v>
      </c>
      <c r="D6406" s="6" t="s">
        <v>174</v>
      </c>
      <c r="E6406" s="11">
        <v>9.8278064727783203</v>
      </c>
      <c r="F6406" s="11">
        <v>6.743927001953125</v>
      </c>
    </row>
    <row r="6407" spans="1:6" hidden="1" x14ac:dyDescent="0.3">
      <c r="A6407" s="6">
        <v>46</v>
      </c>
      <c r="B6407" s="6" t="s">
        <v>173</v>
      </c>
      <c r="C6407" s="6" t="s">
        <v>461</v>
      </c>
      <c r="D6407" s="6" t="s">
        <v>174</v>
      </c>
      <c r="E6407" s="11">
        <v>7.8684005737304688</v>
      </c>
      <c r="F6407" s="11">
        <v>6.743927001953125</v>
      </c>
    </row>
    <row r="6408" spans="1:6" hidden="1" x14ac:dyDescent="0.3">
      <c r="A6408" s="6">
        <v>46</v>
      </c>
      <c r="B6408" s="6" t="s">
        <v>173</v>
      </c>
      <c r="C6408" s="6" t="s">
        <v>462</v>
      </c>
      <c r="D6408" s="6" t="s">
        <v>174</v>
      </c>
      <c r="E6408" s="11">
        <v>12.904257774353027</v>
      </c>
      <c r="F6408" s="11">
        <v>6.743927001953125</v>
      </c>
    </row>
    <row r="6409" spans="1:6" hidden="1" x14ac:dyDescent="0.3">
      <c r="A6409" s="6">
        <v>46</v>
      </c>
      <c r="B6409" s="6" t="s">
        <v>173</v>
      </c>
      <c r="C6409" s="6" t="s">
        <v>463</v>
      </c>
      <c r="D6409" s="6" t="s">
        <v>174</v>
      </c>
      <c r="E6409" s="11">
        <v>8.2147378921508789</v>
      </c>
      <c r="F6409" s="11">
        <v>6.743927001953125</v>
      </c>
    </row>
    <row r="6410" spans="1:6" hidden="1" x14ac:dyDescent="0.3">
      <c r="A6410" s="6">
        <v>46</v>
      </c>
      <c r="B6410" s="6" t="s">
        <v>173</v>
      </c>
      <c r="C6410" s="6" t="s">
        <v>464</v>
      </c>
      <c r="D6410" s="6" t="s">
        <v>174</v>
      </c>
      <c r="E6410" s="11">
        <v>6.2682356834411621</v>
      </c>
      <c r="F6410" s="11">
        <v>6.743927001953125</v>
      </c>
    </row>
    <row r="6411" spans="1:6" hidden="1" x14ac:dyDescent="0.3">
      <c r="A6411" s="6">
        <v>46</v>
      </c>
      <c r="B6411" s="6" t="s">
        <v>173</v>
      </c>
      <c r="C6411" s="6" t="s">
        <v>465</v>
      </c>
      <c r="D6411" s="6" t="s">
        <v>174</v>
      </c>
      <c r="E6411" s="11">
        <v>8.731536865234375</v>
      </c>
      <c r="F6411" s="11">
        <v>6.743927001953125</v>
      </c>
    </row>
    <row r="6412" spans="1:6" hidden="1" x14ac:dyDescent="0.3">
      <c r="A6412" s="6">
        <v>46</v>
      </c>
      <c r="B6412" s="6" t="s">
        <v>173</v>
      </c>
      <c r="C6412" s="6" t="s">
        <v>466</v>
      </c>
      <c r="D6412" s="6" t="s">
        <v>174</v>
      </c>
      <c r="E6412" s="11">
        <v>5.2765874862670898</v>
      </c>
      <c r="F6412" s="11">
        <v>6.743927001953125</v>
      </c>
    </row>
    <row r="6413" spans="1:6" hidden="1" x14ac:dyDescent="0.3">
      <c r="A6413" s="6">
        <v>46</v>
      </c>
      <c r="B6413" s="6" t="s">
        <v>173</v>
      </c>
      <c r="C6413" s="6" t="s">
        <v>467</v>
      </c>
      <c r="D6413" s="6" t="s">
        <v>174</v>
      </c>
      <c r="E6413" s="11">
        <v>3.9916923046112061</v>
      </c>
      <c r="F6413" s="11">
        <v>6.743927001953125</v>
      </c>
    </row>
    <row r="6414" spans="1:6" hidden="1" x14ac:dyDescent="0.3">
      <c r="A6414" s="6">
        <v>46</v>
      </c>
      <c r="B6414" s="6" t="s">
        <v>173</v>
      </c>
      <c r="C6414" s="6" t="s">
        <v>468</v>
      </c>
      <c r="D6414" s="6" t="s">
        <v>174</v>
      </c>
      <c r="E6414" s="11">
        <v>6.8810825347900391</v>
      </c>
      <c r="F6414" s="11">
        <v>6.743927001953125</v>
      </c>
    </row>
    <row r="6415" spans="1:6" hidden="1" x14ac:dyDescent="0.3">
      <c r="A6415" s="6">
        <v>46</v>
      </c>
      <c r="B6415" s="6" t="s">
        <v>173</v>
      </c>
      <c r="C6415" s="6" t="s">
        <v>469</v>
      </c>
      <c r="D6415" s="6" t="s">
        <v>174</v>
      </c>
      <c r="E6415" s="11">
        <v>5.753110408782959</v>
      </c>
      <c r="F6415" s="11">
        <v>6.743927001953125</v>
      </c>
    </row>
    <row r="6416" spans="1:6" hidden="1" x14ac:dyDescent="0.3">
      <c r="A6416" s="6">
        <v>46</v>
      </c>
      <c r="B6416" s="6" t="s">
        <v>173</v>
      </c>
      <c r="C6416" s="6" t="s">
        <v>470</v>
      </c>
      <c r="D6416" s="6" t="s">
        <v>174</v>
      </c>
      <c r="E6416" s="11">
        <v>7.157768726348877</v>
      </c>
      <c r="F6416" s="11">
        <v>6.743927001953125</v>
      </c>
    </row>
    <row r="6417" spans="1:6" hidden="1" x14ac:dyDescent="0.3">
      <c r="A6417" s="6">
        <v>46</v>
      </c>
      <c r="B6417" s="6" t="s">
        <v>173</v>
      </c>
      <c r="C6417" s="6" t="s">
        <v>471</v>
      </c>
      <c r="D6417" s="6" t="s">
        <v>174</v>
      </c>
      <c r="E6417" s="11">
        <v>5.0071249008178711</v>
      </c>
      <c r="F6417" s="11">
        <v>6.743927001953125</v>
      </c>
    </row>
    <row r="6418" spans="1:6" hidden="1" x14ac:dyDescent="0.3">
      <c r="A6418" s="6">
        <v>46</v>
      </c>
      <c r="B6418" s="6" t="s">
        <v>173</v>
      </c>
      <c r="C6418" s="6" t="s">
        <v>472</v>
      </c>
      <c r="D6418" s="6" t="s">
        <v>174</v>
      </c>
      <c r="E6418" s="11">
        <v>7.2234091758728027</v>
      </c>
      <c r="F6418" s="11">
        <v>6.743927001953125</v>
      </c>
    </row>
    <row r="6419" spans="1:6" hidden="1" x14ac:dyDescent="0.3">
      <c r="A6419" s="6">
        <v>46</v>
      </c>
      <c r="B6419" s="6" t="s">
        <v>173</v>
      </c>
      <c r="C6419" s="6" t="s">
        <v>473</v>
      </c>
      <c r="D6419" s="6" t="s">
        <v>174</v>
      </c>
      <c r="E6419" s="11">
        <v>6.6204700469970703</v>
      </c>
      <c r="F6419" s="11">
        <v>6.743927001953125</v>
      </c>
    </row>
    <row r="6420" spans="1:6" hidden="1" x14ac:dyDescent="0.3">
      <c r="A6420" s="6">
        <v>46</v>
      </c>
      <c r="B6420" s="6" t="s">
        <v>173</v>
      </c>
      <c r="C6420" s="6" t="s">
        <v>474</v>
      </c>
      <c r="D6420" s="6" t="s">
        <v>174</v>
      </c>
      <c r="E6420" s="11">
        <v>5.828648567199707</v>
      </c>
      <c r="F6420" s="11">
        <v>6.743927001953125</v>
      </c>
    </row>
    <row r="6421" spans="1:6" hidden="1" x14ac:dyDescent="0.3">
      <c r="A6421" s="6">
        <v>46</v>
      </c>
      <c r="B6421" s="6" t="s">
        <v>173</v>
      </c>
      <c r="C6421" s="6" t="s">
        <v>475</v>
      </c>
      <c r="D6421" s="6" t="s">
        <v>174</v>
      </c>
      <c r="E6421" s="11">
        <v>7.6100573539733887</v>
      </c>
      <c r="F6421" s="11">
        <v>6.743927001953125</v>
      </c>
    </row>
    <row r="6422" spans="1:6" hidden="1" x14ac:dyDescent="0.3">
      <c r="A6422" s="6">
        <v>46</v>
      </c>
      <c r="B6422" s="6" t="s">
        <v>173</v>
      </c>
      <c r="C6422" s="6" t="s">
        <v>476</v>
      </c>
      <c r="D6422" s="6" t="s">
        <v>174</v>
      </c>
      <c r="E6422" s="11">
        <v>5.9598536491394043</v>
      </c>
      <c r="F6422" s="11">
        <v>6.743927001953125</v>
      </c>
    </row>
    <row r="6423" spans="1:6" hidden="1" x14ac:dyDescent="0.3">
      <c r="A6423" s="6">
        <v>46</v>
      </c>
      <c r="B6423" s="6" t="s">
        <v>173</v>
      </c>
      <c r="C6423" s="6" t="s">
        <v>477</v>
      </c>
      <c r="D6423" s="6" t="s">
        <v>174</v>
      </c>
      <c r="E6423" s="11">
        <v>7.8573236465454102</v>
      </c>
      <c r="F6423" s="11">
        <v>6.743927001953125</v>
      </c>
    </row>
    <row r="6424" spans="1:6" hidden="1" x14ac:dyDescent="0.3">
      <c r="A6424" s="6">
        <v>46</v>
      </c>
      <c r="B6424" s="6" t="s">
        <v>173</v>
      </c>
      <c r="C6424" s="6" t="s">
        <v>478</v>
      </c>
      <c r="D6424" s="6" t="s">
        <v>174</v>
      </c>
      <c r="E6424" s="11">
        <v>6.4815540313720703</v>
      </c>
      <c r="F6424" s="11">
        <v>6.743927001953125</v>
      </c>
    </row>
    <row r="6425" spans="1:6" hidden="1" x14ac:dyDescent="0.3">
      <c r="A6425" s="6">
        <v>46</v>
      </c>
      <c r="B6425" s="6" t="s">
        <v>173</v>
      </c>
      <c r="C6425" s="6" t="s">
        <v>479</v>
      </c>
      <c r="D6425" s="6" t="s">
        <v>174</v>
      </c>
      <c r="E6425" s="11">
        <v>8.0815925598144531</v>
      </c>
      <c r="F6425" s="11">
        <v>6.743927001953125</v>
      </c>
    </row>
    <row r="6426" spans="1:6" hidden="1" x14ac:dyDescent="0.3">
      <c r="A6426" s="6">
        <v>46</v>
      </c>
      <c r="B6426" s="6" t="s">
        <v>173</v>
      </c>
      <c r="C6426" s="6" t="s">
        <v>480</v>
      </c>
      <c r="D6426" s="6" t="s">
        <v>174</v>
      </c>
      <c r="E6426" s="11">
        <v>6.9580755233764648</v>
      </c>
      <c r="F6426" s="11">
        <v>6.743927001953125</v>
      </c>
    </row>
    <row r="6427" spans="1:6" hidden="1" x14ac:dyDescent="0.3">
      <c r="A6427" s="6">
        <v>46</v>
      </c>
      <c r="B6427" s="6" t="s">
        <v>173</v>
      </c>
      <c r="C6427" s="6" t="s">
        <v>481</v>
      </c>
      <c r="D6427" s="6" t="s">
        <v>174</v>
      </c>
      <c r="E6427" s="11">
        <v>5.9300804138183594</v>
      </c>
      <c r="F6427" s="11">
        <v>6.743927001953125</v>
      </c>
    </row>
    <row r="6428" spans="1:6" hidden="1" x14ac:dyDescent="0.3">
      <c r="A6428" s="6">
        <v>46</v>
      </c>
      <c r="B6428" s="6" t="s">
        <v>173</v>
      </c>
      <c r="C6428" s="6" t="s">
        <v>482</v>
      </c>
      <c r="D6428" s="6" t="s">
        <v>174</v>
      </c>
      <c r="E6428" s="11">
        <v>8.0967283248901367</v>
      </c>
      <c r="F6428" s="11">
        <v>6.743927001953125</v>
      </c>
    </row>
    <row r="6429" spans="1:6" hidden="1" x14ac:dyDescent="0.3">
      <c r="A6429" s="6">
        <v>46</v>
      </c>
      <c r="B6429" s="6" t="s">
        <v>173</v>
      </c>
      <c r="C6429" s="6" t="s">
        <v>483</v>
      </c>
      <c r="D6429" s="6" t="s">
        <v>174</v>
      </c>
      <c r="E6429" s="11">
        <v>8.0201168060302734</v>
      </c>
      <c r="F6429" s="11">
        <v>6.743927001953125</v>
      </c>
    </row>
    <row r="6430" spans="1:6" hidden="1" x14ac:dyDescent="0.3">
      <c r="A6430" s="6">
        <v>46</v>
      </c>
      <c r="B6430" s="6" t="s">
        <v>173</v>
      </c>
      <c r="C6430" s="6" t="s">
        <v>484</v>
      </c>
      <c r="D6430" s="6" t="s">
        <v>174</v>
      </c>
      <c r="E6430" s="11">
        <v>7.7547421455383301</v>
      </c>
      <c r="F6430" s="11">
        <v>6.743927001953125</v>
      </c>
    </row>
    <row r="6431" spans="1:6" hidden="1" x14ac:dyDescent="0.3">
      <c r="A6431" s="6">
        <v>46</v>
      </c>
      <c r="B6431" s="6" t="s">
        <v>173</v>
      </c>
      <c r="C6431" s="6" t="s">
        <v>485</v>
      </c>
      <c r="D6431" s="6" t="s">
        <v>174</v>
      </c>
      <c r="E6431" s="11">
        <v>5.2169108390808105</v>
      </c>
      <c r="F6431" s="11">
        <v>6.743927001953125</v>
      </c>
    </row>
    <row r="6432" spans="1:6" hidden="1" x14ac:dyDescent="0.3">
      <c r="A6432" s="6">
        <v>46</v>
      </c>
      <c r="B6432" s="6" t="s">
        <v>173</v>
      </c>
      <c r="C6432" s="6" t="s">
        <v>486</v>
      </c>
      <c r="D6432" s="6" t="s">
        <v>174</v>
      </c>
      <c r="E6432" s="11">
        <v>5.9239592552185059</v>
      </c>
      <c r="F6432" s="11">
        <v>6.743927001953125</v>
      </c>
    </row>
    <row r="6433" spans="1:6" hidden="1" x14ac:dyDescent="0.3">
      <c r="A6433" s="6">
        <v>46</v>
      </c>
      <c r="B6433" s="6" t="s">
        <v>173</v>
      </c>
      <c r="C6433" s="6" t="s">
        <v>487</v>
      </c>
      <c r="D6433" s="6" t="s">
        <v>174</v>
      </c>
      <c r="E6433" s="11">
        <v>6.7571859359741211</v>
      </c>
      <c r="F6433" s="11">
        <v>6.743927001953125</v>
      </c>
    </row>
    <row r="6434" spans="1:6" hidden="1" x14ac:dyDescent="0.3">
      <c r="A6434" s="6">
        <v>46</v>
      </c>
      <c r="B6434" s="6" t="s">
        <v>173</v>
      </c>
      <c r="C6434" s="6" t="s">
        <v>488</v>
      </c>
      <c r="D6434" s="6" t="s">
        <v>174</v>
      </c>
      <c r="E6434" s="11">
        <v>8.7582864761352539</v>
      </c>
      <c r="F6434" s="11">
        <v>6.743927001953125</v>
      </c>
    </row>
    <row r="6435" spans="1:6" hidden="1" x14ac:dyDescent="0.3">
      <c r="A6435" s="6">
        <v>46</v>
      </c>
      <c r="B6435" s="6" t="s">
        <v>173</v>
      </c>
      <c r="C6435" s="6" t="s">
        <v>489</v>
      </c>
      <c r="D6435" s="6" t="s">
        <v>174</v>
      </c>
      <c r="E6435" s="11">
        <v>8.0519819259643555</v>
      </c>
      <c r="F6435" s="11">
        <v>6.743927001953125</v>
      </c>
    </row>
    <row r="6436" spans="1:6" hidden="1" x14ac:dyDescent="0.3">
      <c r="A6436" s="6">
        <v>46</v>
      </c>
      <c r="B6436" s="6" t="s">
        <v>173</v>
      </c>
      <c r="C6436" s="6" t="s">
        <v>490</v>
      </c>
      <c r="D6436" s="6" t="s">
        <v>174</v>
      </c>
      <c r="E6436" s="11">
        <v>7.0986838340759277</v>
      </c>
      <c r="F6436" s="11">
        <v>6.743927001953125</v>
      </c>
    </row>
    <row r="6437" spans="1:6" hidden="1" x14ac:dyDescent="0.3">
      <c r="A6437" s="6">
        <v>46</v>
      </c>
      <c r="B6437" s="6" t="s">
        <v>173</v>
      </c>
      <c r="C6437" s="6" t="s">
        <v>491</v>
      </c>
      <c r="D6437" s="6" t="s">
        <v>174</v>
      </c>
      <c r="E6437" s="11">
        <v>6.8640575408935547</v>
      </c>
      <c r="F6437" s="11">
        <v>6.743927001953125</v>
      </c>
    </row>
    <row r="6438" spans="1:6" hidden="1" x14ac:dyDescent="0.3">
      <c r="A6438" s="6">
        <v>46</v>
      </c>
      <c r="B6438" s="6" t="s">
        <v>173</v>
      </c>
      <c r="C6438" s="6" t="s">
        <v>492</v>
      </c>
      <c r="D6438" s="6" t="s">
        <v>174</v>
      </c>
      <c r="E6438" s="11">
        <v>5.4106202125549316</v>
      </c>
      <c r="F6438" s="11">
        <v>6.743927001953125</v>
      </c>
    </row>
    <row r="6439" spans="1:6" hidden="1" x14ac:dyDescent="0.3">
      <c r="A6439" s="6">
        <v>46</v>
      </c>
      <c r="B6439" s="6" t="s">
        <v>173</v>
      </c>
      <c r="C6439" s="6" t="s">
        <v>493</v>
      </c>
      <c r="D6439" s="6" t="s">
        <v>174</v>
      </c>
      <c r="E6439" s="11">
        <v>7.8366141319274902</v>
      </c>
      <c r="F6439" s="11">
        <v>6.743927001953125</v>
      </c>
    </row>
    <row r="6440" spans="1:6" hidden="1" x14ac:dyDescent="0.3">
      <c r="A6440" s="6">
        <v>46</v>
      </c>
      <c r="B6440" s="6" t="s">
        <v>173</v>
      </c>
      <c r="C6440" s="6" t="s">
        <v>494</v>
      </c>
      <c r="D6440" s="6" t="s">
        <v>174</v>
      </c>
      <c r="E6440" s="11">
        <v>4.933621883392334</v>
      </c>
      <c r="F6440" s="11">
        <v>6.743927001953125</v>
      </c>
    </row>
    <row r="6441" spans="1:6" hidden="1" x14ac:dyDescent="0.3">
      <c r="A6441" s="6">
        <v>46</v>
      </c>
      <c r="B6441" s="6" t="s">
        <v>173</v>
      </c>
      <c r="C6441" s="6" t="s">
        <v>495</v>
      </c>
      <c r="D6441" s="6" t="s">
        <v>174</v>
      </c>
      <c r="E6441" s="11">
        <v>8.1003007888793945</v>
      </c>
      <c r="F6441" s="11">
        <v>6.743927001953125</v>
      </c>
    </row>
    <row r="6442" spans="1:6" hidden="1" x14ac:dyDescent="0.3">
      <c r="A6442" s="6">
        <v>47</v>
      </c>
      <c r="B6442" s="6" t="s">
        <v>175</v>
      </c>
      <c r="C6442" s="6" t="s">
        <v>356</v>
      </c>
      <c r="D6442" s="6" t="s">
        <v>176</v>
      </c>
      <c r="E6442" s="11">
        <v>4.9810681343078613</v>
      </c>
      <c r="F6442" s="11">
        <v>5.8627982139587402</v>
      </c>
    </row>
    <row r="6443" spans="1:6" hidden="1" x14ac:dyDescent="0.3">
      <c r="A6443" s="6">
        <v>47</v>
      </c>
      <c r="B6443" s="6" t="s">
        <v>175</v>
      </c>
      <c r="C6443" s="6" t="s">
        <v>357</v>
      </c>
      <c r="D6443" s="6" t="s">
        <v>176</v>
      </c>
      <c r="E6443" s="11">
        <v>5.8195428848266602</v>
      </c>
      <c r="F6443" s="11">
        <v>5.8627982139587402</v>
      </c>
    </row>
    <row r="6444" spans="1:6" hidden="1" x14ac:dyDescent="0.3">
      <c r="A6444" s="6">
        <v>47</v>
      </c>
      <c r="B6444" s="6" t="s">
        <v>175</v>
      </c>
      <c r="C6444" s="6" t="s">
        <v>358</v>
      </c>
      <c r="D6444" s="6" t="s">
        <v>176</v>
      </c>
      <c r="E6444" s="11">
        <v>5.2768783569335938</v>
      </c>
      <c r="F6444" s="11">
        <v>5.8627982139587402</v>
      </c>
    </row>
    <row r="6445" spans="1:6" hidden="1" x14ac:dyDescent="0.3">
      <c r="A6445" s="6">
        <v>47</v>
      </c>
      <c r="B6445" s="6" t="s">
        <v>175</v>
      </c>
      <c r="C6445" s="6" t="s">
        <v>359</v>
      </c>
      <c r="D6445" s="6" t="s">
        <v>176</v>
      </c>
      <c r="E6445" s="11">
        <v>5.5349979400634766</v>
      </c>
      <c r="F6445" s="11">
        <v>5.8627982139587402</v>
      </c>
    </row>
    <row r="6446" spans="1:6" hidden="1" x14ac:dyDescent="0.3">
      <c r="A6446" s="6">
        <v>47</v>
      </c>
      <c r="B6446" s="6" t="s">
        <v>175</v>
      </c>
      <c r="C6446" s="6" t="s">
        <v>360</v>
      </c>
      <c r="D6446" s="6" t="s">
        <v>176</v>
      </c>
      <c r="E6446" s="11">
        <v>6.7666497230529785</v>
      </c>
      <c r="F6446" s="11">
        <v>5.8627982139587402</v>
      </c>
    </row>
    <row r="6447" spans="1:6" hidden="1" x14ac:dyDescent="0.3">
      <c r="A6447" s="6">
        <v>47</v>
      </c>
      <c r="B6447" s="6" t="s">
        <v>175</v>
      </c>
      <c r="C6447" s="6" t="s">
        <v>361</v>
      </c>
      <c r="D6447" s="6" t="s">
        <v>176</v>
      </c>
      <c r="E6447" s="11">
        <v>7.5889644622802734</v>
      </c>
      <c r="F6447" s="11">
        <v>5.8627982139587402</v>
      </c>
    </row>
    <row r="6448" spans="1:6" hidden="1" x14ac:dyDescent="0.3">
      <c r="A6448" s="6">
        <v>47</v>
      </c>
      <c r="B6448" s="6" t="s">
        <v>175</v>
      </c>
      <c r="C6448" s="6" t="s">
        <v>362</v>
      </c>
      <c r="D6448" s="6" t="s">
        <v>176</v>
      </c>
      <c r="E6448" s="11">
        <v>4.5341997146606445</v>
      </c>
      <c r="F6448" s="11">
        <v>5.8627982139587402</v>
      </c>
    </row>
    <row r="6449" spans="1:6" hidden="1" x14ac:dyDescent="0.3">
      <c r="A6449" s="6">
        <v>47</v>
      </c>
      <c r="B6449" s="6" t="s">
        <v>175</v>
      </c>
      <c r="C6449" s="6" t="s">
        <v>363</v>
      </c>
      <c r="D6449" s="6" t="s">
        <v>176</v>
      </c>
      <c r="E6449" s="11">
        <v>51.665889739990234</v>
      </c>
      <c r="F6449" s="11">
        <v>5.8627982139587402</v>
      </c>
    </row>
    <row r="6450" spans="1:6" hidden="1" x14ac:dyDescent="0.3">
      <c r="A6450" s="6">
        <v>47</v>
      </c>
      <c r="B6450" s="6" t="s">
        <v>175</v>
      </c>
      <c r="C6450" s="6" t="s">
        <v>364</v>
      </c>
      <c r="D6450" s="6" t="s">
        <v>176</v>
      </c>
      <c r="E6450" s="11">
        <v>5.8210625648498535</v>
      </c>
      <c r="F6450" s="11">
        <v>5.8627982139587402</v>
      </c>
    </row>
    <row r="6451" spans="1:6" hidden="1" x14ac:dyDescent="0.3">
      <c r="A6451" s="6">
        <v>47</v>
      </c>
      <c r="B6451" s="6" t="s">
        <v>175</v>
      </c>
      <c r="C6451" s="6" t="s">
        <v>365</v>
      </c>
      <c r="D6451" s="6" t="s">
        <v>176</v>
      </c>
      <c r="E6451" s="11">
        <v>6.4569015502929688</v>
      </c>
      <c r="F6451" s="11">
        <v>5.8627982139587402</v>
      </c>
    </row>
    <row r="6452" spans="1:6" hidden="1" x14ac:dyDescent="0.3">
      <c r="A6452" s="6">
        <v>47</v>
      </c>
      <c r="B6452" s="6" t="s">
        <v>175</v>
      </c>
      <c r="C6452" s="6" t="s">
        <v>366</v>
      </c>
      <c r="D6452" s="6" t="s">
        <v>176</v>
      </c>
      <c r="E6452" s="11">
        <v>8.8976716995239258</v>
      </c>
      <c r="F6452" s="11">
        <v>5.8627982139587402</v>
      </c>
    </row>
    <row r="6453" spans="1:6" hidden="1" x14ac:dyDescent="0.3">
      <c r="A6453" s="6">
        <v>47</v>
      </c>
      <c r="B6453" s="6" t="s">
        <v>175</v>
      </c>
      <c r="C6453" s="6" t="s">
        <v>367</v>
      </c>
      <c r="D6453" s="6" t="s">
        <v>176</v>
      </c>
      <c r="E6453" s="11">
        <v>18.180749893188477</v>
      </c>
      <c r="F6453" s="11">
        <v>5.8627982139587402</v>
      </c>
    </row>
    <row r="6454" spans="1:6" hidden="1" x14ac:dyDescent="0.3">
      <c r="A6454" s="6">
        <v>47</v>
      </c>
      <c r="B6454" s="6" t="s">
        <v>175</v>
      </c>
      <c r="C6454" s="6" t="s">
        <v>368</v>
      </c>
      <c r="D6454" s="6" t="s">
        <v>176</v>
      </c>
      <c r="E6454" s="11">
        <v>5.9038467407226563</v>
      </c>
      <c r="F6454" s="11">
        <v>5.8627982139587402</v>
      </c>
    </row>
    <row r="6455" spans="1:6" hidden="1" x14ac:dyDescent="0.3">
      <c r="A6455" s="6">
        <v>47</v>
      </c>
      <c r="B6455" s="6" t="s">
        <v>175</v>
      </c>
      <c r="C6455" s="6" t="s">
        <v>369</v>
      </c>
      <c r="D6455" s="6" t="s">
        <v>176</v>
      </c>
      <c r="E6455" s="11">
        <v>5.6885075569152832</v>
      </c>
      <c r="F6455" s="11">
        <v>5.8627982139587402</v>
      </c>
    </row>
    <row r="6456" spans="1:6" hidden="1" x14ac:dyDescent="0.3">
      <c r="A6456" s="6">
        <v>47</v>
      </c>
      <c r="B6456" s="6" t="s">
        <v>175</v>
      </c>
      <c r="C6456" s="6" t="s">
        <v>370</v>
      </c>
      <c r="D6456" s="6" t="s">
        <v>176</v>
      </c>
      <c r="E6456" s="11">
        <v>6.1721177101135254</v>
      </c>
      <c r="F6456" s="11">
        <v>5.8627982139587402</v>
      </c>
    </row>
    <row r="6457" spans="1:6" hidden="1" x14ac:dyDescent="0.3">
      <c r="A6457" s="6">
        <v>47</v>
      </c>
      <c r="B6457" s="6" t="s">
        <v>175</v>
      </c>
      <c r="C6457" s="6" t="s">
        <v>371</v>
      </c>
      <c r="D6457" s="6" t="s">
        <v>176</v>
      </c>
      <c r="E6457" s="11">
        <v>5.3631153106689453</v>
      </c>
      <c r="F6457" s="11">
        <v>5.8627982139587402</v>
      </c>
    </row>
    <row r="6458" spans="1:6" hidden="1" x14ac:dyDescent="0.3">
      <c r="A6458" s="6">
        <v>47</v>
      </c>
      <c r="B6458" s="6" t="s">
        <v>175</v>
      </c>
      <c r="C6458" s="6" t="s">
        <v>372</v>
      </c>
      <c r="D6458" s="6" t="s">
        <v>176</v>
      </c>
      <c r="E6458" s="11">
        <v>4.286837100982666</v>
      </c>
      <c r="F6458" s="11">
        <v>5.8627982139587402</v>
      </c>
    </row>
    <row r="6459" spans="1:6" hidden="1" x14ac:dyDescent="0.3">
      <c r="A6459" s="6">
        <v>47</v>
      </c>
      <c r="B6459" s="6" t="s">
        <v>175</v>
      </c>
      <c r="C6459" s="6" t="s">
        <v>373</v>
      </c>
      <c r="D6459" s="6" t="s">
        <v>176</v>
      </c>
      <c r="E6459" s="11">
        <v>4.5300745964050293</v>
      </c>
      <c r="F6459" s="11">
        <v>5.8627982139587402</v>
      </c>
    </row>
    <row r="6460" spans="1:6" hidden="1" x14ac:dyDescent="0.3">
      <c r="A6460" s="6">
        <v>47</v>
      </c>
      <c r="B6460" s="6" t="s">
        <v>175</v>
      </c>
      <c r="C6460" s="6" t="s">
        <v>374</v>
      </c>
      <c r="D6460" s="6" t="s">
        <v>176</v>
      </c>
      <c r="E6460" s="11">
        <v>6.0762858390808105</v>
      </c>
      <c r="F6460" s="11">
        <v>5.8627982139587402</v>
      </c>
    </row>
    <row r="6461" spans="1:6" hidden="1" x14ac:dyDescent="0.3">
      <c r="A6461" s="6">
        <v>47</v>
      </c>
      <c r="B6461" s="6" t="s">
        <v>175</v>
      </c>
      <c r="C6461" s="6" t="s">
        <v>375</v>
      </c>
      <c r="D6461" s="6" t="s">
        <v>176</v>
      </c>
      <c r="E6461" s="11">
        <v>5.7280387878417969</v>
      </c>
      <c r="F6461" s="11">
        <v>5.8627982139587402</v>
      </c>
    </row>
    <row r="6462" spans="1:6" hidden="1" x14ac:dyDescent="0.3">
      <c r="A6462" s="6">
        <v>47</v>
      </c>
      <c r="B6462" s="6" t="s">
        <v>175</v>
      </c>
      <c r="C6462" s="6" t="s">
        <v>376</v>
      </c>
      <c r="D6462" s="6" t="s">
        <v>176</v>
      </c>
      <c r="E6462" s="11">
        <v>6.9142999649047852</v>
      </c>
      <c r="F6462" s="11">
        <v>5.8627982139587402</v>
      </c>
    </row>
    <row r="6463" spans="1:6" hidden="1" x14ac:dyDescent="0.3">
      <c r="A6463" s="6">
        <v>47</v>
      </c>
      <c r="B6463" s="6" t="s">
        <v>175</v>
      </c>
      <c r="C6463" s="6" t="s">
        <v>377</v>
      </c>
      <c r="D6463" s="6" t="s">
        <v>176</v>
      </c>
      <c r="E6463" s="11">
        <v>5.7200679779052734</v>
      </c>
      <c r="F6463" s="11">
        <v>5.8627982139587402</v>
      </c>
    </row>
    <row r="6464" spans="1:6" hidden="1" x14ac:dyDescent="0.3">
      <c r="A6464" s="6">
        <v>47</v>
      </c>
      <c r="B6464" s="6" t="s">
        <v>175</v>
      </c>
      <c r="C6464" s="6" t="s">
        <v>378</v>
      </c>
      <c r="D6464" s="6" t="s">
        <v>176</v>
      </c>
      <c r="E6464" s="11">
        <v>4.9225931167602539</v>
      </c>
      <c r="F6464" s="11">
        <v>5.8627982139587402</v>
      </c>
    </row>
    <row r="6465" spans="1:6" hidden="1" x14ac:dyDescent="0.3">
      <c r="A6465" s="6">
        <v>47</v>
      </c>
      <c r="B6465" s="6" t="s">
        <v>175</v>
      </c>
      <c r="C6465" s="6" t="s">
        <v>379</v>
      </c>
      <c r="D6465" s="6" t="s">
        <v>176</v>
      </c>
      <c r="E6465" s="11">
        <v>5.0532035827636719</v>
      </c>
      <c r="F6465" s="11">
        <v>5.8627982139587402</v>
      </c>
    </row>
    <row r="6466" spans="1:6" hidden="1" x14ac:dyDescent="0.3">
      <c r="A6466" s="6">
        <v>47</v>
      </c>
      <c r="B6466" s="6" t="s">
        <v>175</v>
      </c>
      <c r="C6466" s="6" t="s">
        <v>380</v>
      </c>
      <c r="D6466" s="6" t="s">
        <v>176</v>
      </c>
      <c r="E6466" s="11">
        <v>5.560051441192627</v>
      </c>
      <c r="F6466" s="11">
        <v>5.8627982139587402</v>
      </c>
    </row>
    <row r="6467" spans="1:6" hidden="1" x14ac:dyDescent="0.3">
      <c r="A6467" s="6">
        <v>47</v>
      </c>
      <c r="B6467" s="6" t="s">
        <v>175</v>
      </c>
      <c r="C6467" s="6" t="s">
        <v>381</v>
      </c>
      <c r="D6467" s="6" t="s">
        <v>176</v>
      </c>
      <c r="E6467" s="11">
        <v>4.7512354850769043</v>
      </c>
      <c r="F6467" s="11">
        <v>5.8627982139587402</v>
      </c>
    </row>
    <row r="6468" spans="1:6" hidden="1" x14ac:dyDescent="0.3">
      <c r="A6468" s="6">
        <v>47</v>
      </c>
      <c r="B6468" s="6" t="s">
        <v>175</v>
      </c>
      <c r="C6468" s="6" t="s">
        <v>382</v>
      </c>
      <c r="D6468" s="6" t="s">
        <v>176</v>
      </c>
      <c r="E6468" s="11">
        <v>9.2294750213623047</v>
      </c>
      <c r="F6468" s="11">
        <v>5.8627982139587402</v>
      </c>
    </row>
    <row r="6469" spans="1:6" hidden="1" x14ac:dyDescent="0.3">
      <c r="A6469" s="6">
        <v>47</v>
      </c>
      <c r="B6469" s="6" t="s">
        <v>175</v>
      </c>
      <c r="C6469" s="6" t="s">
        <v>383</v>
      </c>
      <c r="D6469" s="6" t="s">
        <v>176</v>
      </c>
      <c r="E6469" s="11">
        <v>11.289109230041504</v>
      </c>
      <c r="F6469" s="11">
        <v>5.8627982139587402</v>
      </c>
    </row>
    <row r="6470" spans="1:6" hidden="1" x14ac:dyDescent="0.3">
      <c r="A6470" s="6">
        <v>47</v>
      </c>
      <c r="B6470" s="6" t="s">
        <v>175</v>
      </c>
      <c r="C6470" s="6" t="s">
        <v>384</v>
      </c>
      <c r="D6470" s="6" t="s">
        <v>176</v>
      </c>
      <c r="E6470" s="11">
        <v>5.4710679054260254</v>
      </c>
      <c r="F6470" s="11">
        <v>5.8627982139587402</v>
      </c>
    </row>
    <row r="6471" spans="1:6" hidden="1" x14ac:dyDescent="0.3">
      <c r="A6471" s="6">
        <v>47</v>
      </c>
      <c r="B6471" s="6" t="s">
        <v>175</v>
      </c>
      <c r="C6471" s="6" t="s">
        <v>385</v>
      </c>
      <c r="D6471" s="6" t="s">
        <v>176</v>
      </c>
      <c r="E6471" s="11">
        <v>53.680091857910156</v>
      </c>
      <c r="F6471" s="11">
        <v>5.8627982139587402</v>
      </c>
    </row>
    <row r="6472" spans="1:6" hidden="1" x14ac:dyDescent="0.3">
      <c r="A6472" s="6">
        <v>47</v>
      </c>
      <c r="B6472" s="6" t="s">
        <v>175</v>
      </c>
      <c r="C6472" s="6" t="s">
        <v>386</v>
      </c>
      <c r="D6472" s="6" t="s">
        <v>176</v>
      </c>
      <c r="E6472" s="11">
        <v>4.5172219276428223</v>
      </c>
      <c r="F6472" s="11">
        <v>5.8627982139587402</v>
      </c>
    </row>
    <row r="6473" spans="1:6" hidden="1" x14ac:dyDescent="0.3">
      <c r="A6473" s="6">
        <v>47</v>
      </c>
      <c r="B6473" s="6" t="s">
        <v>175</v>
      </c>
      <c r="C6473" s="6" t="s">
        <v>387</v>
      </c>
      <c r="D6473" s="6" t="s">
        <v>176</v>
      </c>
      <c r="E6473" s="11">
        <v>5.6912274360656738</v>
      </c>
      <c r="F6473" s="11">
        <v>5.8627982139587402</v>
      </c>
    </row>
    <row r="6474" spans="1:6" hidden="1" x14ac:dyDescent="0.3">
      <c r="A6474" s="6">
        <v>47</v>
      </c>
      <c r="B6474" s="6" t="s">
        <v>175</v>
      </c>
      <c r="C6474" s="6" t="s">
        <v>388</v>
      </c>
      <c r="D6474" s="6" t="s">
        <v>176</v>
      </c>
      <c r="E6474" s="11">
        <v>4.331418514251709</v>
      </c>
      <c r="F6474" s="11">
        <v>5.8627982139587402</v>
      </c>
    </row>
    <row r="6475" spans="1:6" hidden="1" x14ac:dyDescent="0.3">
      <c r="A6475" s="6">
        <v>47</v>
      </c>
      <c r="B6475" s="6" t="s">
        <v>175</v>
      </c>
      <c r="C6475" s="6" t="s">
        <v>389</v>
      </c>
      <c r="D6475" s="6" t="s">
        <v>176</v>
      </c>
      <c r="E6475" s="11">
        <v>5.207120418548584</v>
      </c>
      <c r="F6475" s="11">
        <v>5.8627982139587402</v>
      </c>
    </row>
    <row r="6476" spans="1:6" hidden="1" x14ac:dyDescent="0.3">
      <c r="A6476" s="6">
        <v>47</v>
      </c>
      <c r="B6476" s="6" t="s">
        <v>175</v>
      </c>
      <c r="C6476" s="6" t="s">
        <v>390</v>
      </c>
      <c r="D6476" s="6" t="s">
        <v>176</v>
      </c>
      <c r="E6476" s="11">
        <v>49.159862518310547</v>
      </c>
      <c r="F6476" s="11">
        <v>5.8627982139587402</v>
      </c>
    </row>
    <row r="6477" spans="1:6" hidden="1" x14ac:dyDescent="0.3">
      <c r="A6477" s="6">
        <v>47</v>
      </c>
      <c r="B6477" s="6" t="s">
        <v>175</v>
      </c>
      <c r="C6477" s="6" t="s">
        <v>391</v>
      </c>
      <c r="D6477" s="6" t="s">
        <v>176</v>
      </c>
      <c r="E6477" s="11">
        <v>5.2283077239990234</v>
      </c>
      <c r="F6477" s="11">
        <v>5.8627982139587402</v>
      </c>
    </row>
    <row r="6478" spans="1:6" hidden="1" x14ac:dyDescent="0.3">
      <c r="A6478" s="6">
        <v>47</v>
      </c>
      <c r="B6478" s="6" t="s">
        <v>175</v>
      </c>
      <c r="C6478" s="6" t="s">
        <v>392</v>
      </c>
      <c r="D6478" s="6" t="s">
        <v>176</v>
      </c>
      <c r="E6478" s="11">
        <v>50.381710052490234</v>
      </c>
      <c r="F6478" s="11">
        <v>5.8627982139587402</v>
      </c>
    </row>
    <row r="6479" spans="1:6" hidden="1" x14ac:dyDescent="0.3">
      <c r="A6479" s="6">
        <v>47</v>
      </c>
      <c r="B6479" s="6" t="s">
        <v>175</v>
      </c>
      <c r="C6479" s="6" t="s">
        <v>393</v>
      </c>
      <c r="D6479" s="6" t="s">
        <v>176</v>
      </c>
      <c r="E6479" s="11">
        <v>14.663276672363281</v>
      </c>
      <c r="F6479" s="11">
        <v>5.8627982139587402</v>
      </c>
    </row>
    <row r="6480" spans="1:6" hidden="1" x14ac:dyDescent="0.3">
      <c r="A6480" s="6">
        <v>47</v>
      </c>
      <c r="B6480" s="6" t="s">
        <v>175</v>
      </c>
      <c r="C6480" s="6" t="s">
        <v>394</v>
      </c>
      <c r="D6480" s="6" t="s">
        <v>176</v>
      </c>
      <c r="E6480" s="11">
        <v>5.5633077621459961</v>
      </c>
      <c r="F6480" s="11">
        <v>5.8627982139587402</v>
      </c>
    </row>
    <row r="6481" spans="1:6" hidden="1" x14ac:dyDescent="0.3">
      <c r="A6481" s="6">
        <v>47</v>
      </c>
      <c r="B6481" s="6" t="s">
        <v>175</v>
      </c>
      <c r="C6481" s="6" t="s">
        <v>395</v>
      </c>
      <c r="D6481" s="6" t="s">
        <v>176</v>
      </c>
      <c r="E6481" s="11">
        <v>4.8676857948303223</v>
      </c>
      <c r="F6481" s="11">
        <v>5.8627982139587402</v>
      </c>
    </row>
    <row r="6482" spans="1:6" hidden="1" x14ac:dyDescent="0.3">
      <c r="A6482" s="6">
        <v>47</v>
      </c>
      <c r="B6482" s="6" t="s">
        <v>175</v>
      </c>
      <c r="C6482" s="6" t="s">
        <v>396</v>
      </c>
      <c r="D6482" s="6" t="s">
        <v>176</v>
      </c>
      <c r="E6482" s="11">
        <v>5.8263683319091797</v>
      </c>
      <c r="F6482" s="11">
        <v>5.8627982139587402</v>
      </c>
    </row>
    <row r="6483" spans="1:6" hidden="1" x14ac:dyDescent="0.3">
      <c r="A6483" s="6">
        <v>47</v>
      </c>
      <c r="B6483" s="6" t="s">
        <v>175</v>
      </c>
      <c r="C6483" s="6" t="s">
        <v>397</v>
      </c>
      <c r="D6483" s="6" t="s">
        <v>176</v>
      </c>
      <c r="E6483" s="11">
        <v>3.9311108589172363</v>
      </c>
      <c r="F6483" s="11">
        <v>5.8627982139587402</v>
      </c>
    </row>
    <row r="6484" spans="1:6" hidden="1" x14ac:dyDescent="0.3">
      <c r="A6484" s="6">
        <v>47</v>
      </c>
      <c r="B6484" s="6" t="s">
        <v>175</v>
      </c>
      <c r="C6484" s="6" t="s">
        <v>398</v>
      </c>
      <c r="D6484" s="6" t="s">
        <v>176</v>
      </c>
      <c r="E6484" s="11">
        <v>6.4866800308227539</v>
      </c>
      <c r="F6484" s="11">
        <v>5.8627982139587402</v>
      </c>
    </row>
    <row r="6485" spans="1:6" hidden="1" x14ac:dyDescent="0.3">
      <c r="A6485" s="6">
        <v>47</v>
      </c>
      <c r="B6485" s="6" t="s">
        <v>175</v>
      </c>
      <c r="C6485" s="6" t="s">
        <v>399</v>
      </c>
      <c r="D6485" s="6" t="s">
        <v>176</v>
      </c>
      <c r="E6485" s="11">
        <v>5.3597879409790039</v>
      </c>
      <c r="F6485" s="11">
        <v>5.8627982139587402</v>
      </c>
    </row>
    <row r="6486" spans="1:6" hidden="1" x14ac:dyDescent="0.3">
      <c r="A6486" s="6">
        <v>47</v>
      </c>
      <c r="B6486" s="6" t="s">
        <v>175</v>
      </c>
      <c r="C6486" s="6" t="s">
        <v>400</v>
      </c>
      <c r="D6486" s="6" t="s">
        <v>176</v>
      </c>
      <c r="E6486" s="11">
        <v>6.6435222625732422</v>
      </c>
      <c r="F6486" s="11">
        <v>5.8627982139587402</v>
      </c>
    </row>
    <row r="6487" spans="1:6" hidden="1" x14ac:dyDescent="0.3">
      <c r="A6487" s="6">
        <v>47</v>
      </c>
      <c r="B6487" s="6" t="s">
        <v>175</v>
      </c>
      <c r="C6487" s="6" t="s">
        <v>401</v>
      </c>
      <c r="D6487" s="6" t="s">
        <v>176</v>
      </c>
      <c r="E6487" s="11">
        <v>5.4976296424865723</v>
      </c>
      <c r="F6487" s="11">
        <v>5.8627982139587402</v>
      </c>
    </row>
    <row r="6488" spans="1:6" hidden="1" x14ac:dyDescent="0.3">
      <c r="A6488" s="6">
        <v>47</v>
      </c>
      <c r="B6488" s="6" t="s">
        <v>175</v>
      </c>
      <c r="C6488" s="6" t="s">
        <v>402</v>
      </c>
      <c r="D6488" s="6" t="s">
        <v>176</v>
      </c>
      <c r="E6488" s="11">
        <v>7.3344025611877441</v>
      </c>
      <c r="F6488" s="11">
        <v>5.8627982139587402</v>
      </c>
    </row>
    <row r="6489" spans="1:6" hidden="1" x14ac:dyDescent="0.3">
      <c r="A6489" s="6">
        <v>47</v>
      </c>
      <c r="B6489" s="6" t="s">
        <v>175</v>
      </c>
      <c r="C6489" s="6" t="s">
        <v>403</v>
      </c>
      <c r="D6489" s="6" t="s">
        <v>176</v>
      </c>
      <c r="E6489" s="11">
        <v>37.083820343017578</v>
      </c>
      <c r="F6489" s="11">
        <v>5.8627982139587402</v>
      </c>
    </row>
    <row r="6490" spans="1:6" hidden="1" x14ac:dyDescent="0.3">
      <c r="A6490" s="6">
        <v>47</v>
      </c>
      <c r="B6490" s="6" t="s">
        <v>175</v>
      </c>
      <c r="C6490" s="6" t="s">
        <v>404</v>
      </c>
      <c r="D6490" s="6" t="s">
        <v>176</v>
      </c>
      <c r="E6490" s="11">
        <v>7.4045090675354004</v>
      </c>
      <c r="F6490" s="11">
        <v>5.8627982139587402</v>
      </c>
    </row>
    <row r="6491" spans="1:6" hidden="1" x14ac:dyDescent="0.3">
      <c r="A6491" s="6">
        <v>47</v>
      </c>
      <c r="B6491" s="6" t="s">
        <v>175</v>
      </c>
      <c r="C6491" s="6" t="s">
        <v>405</v>
      </c>
      <c r="D6491" s="6" t="s">
        <v>176</v>
      </c>
      <c r="E6491" s="11">
        <v>4.5409855842590332</v>
      </c>
      <c r="F6491" s="11">
        <v>5.8627982139587402</v>
      </c>
    </row>
    <row r="6492" spans="1:6" hidden="1" x14ac:dyDescent="0.3">
      <c r="A6492" s="6">
        <v>47</v>
      </c>
      <c r="B6492" s="6" t="s">
        <v>175</v>
      </c>
      <c r="C6492" s="6" t="s">
        <v>406</v>
      </c>
      <c r="D6492" s="6" t="s">
        <v>176</v>
      </c>
      <c r="E6492" s="11">
        <v>5.8702297210693359</v>
      </c>
      <c r="F6492" s="11">
        <v>5.8627982139587402</v>
      </c>
    </row>
    <row r="6493" spans="1:6" hidden="1" x14ac:dyDescent="0.3">
      <c r="A6493" s="6">
        <v>47</v>
      </c>
      <c r="B6493" s="6" t="s">
        <v>175</v>
      </c>
      <c r="C6493" s="6" t="s">
        <v>407</v>
      </c>
      <c r="D6493" s="6" t="s">
        <v>176</v>
      </c>
      <c r="E6493" s="11">
        <v>3.9847636222839355</v>
      </c>
      <c r="F6493" s="11">
        <v>5.8627982139587402</v>
      </c>
    </row>
    <row r="6494" spans="1:6" hidden="1" x14ac:dyDescent="0.3">
      <c r="A6494" s="6">
        <v>47</v>
      </c>
      <c r="B6494" s="6" t="s">
        <v>175</v>
      </c>
      <c r="C6494" s="6" t="s">
        <v>408</v>
      </c>
      <c r="D6494" s="6" t="s">
        <v>176</v>
      </c>
      <c r="E6494" s="11">
        <v>7.1841449737548828</v>
      </c>
      <c r="F6494" s="11">
        <v>5.8627982139587402</v>
      </c>
    </row>
    <row r="6495" spans="1:6" hidden="1" x14ac:dyDescent="0.3">
      <c r="A6495" s="6">
        <v>47</v>
      </c>
      <c r="B6495" s="6" t="s">
        <v>175</v>
      </c>
      <c r="C6495" s="6" t="s">
        <v>409</v>
      </c>
      <c r="D6495" s="6" t="s">
        <v>176</v>
      </c>
      <c r="E6495" s="11">
        <v>14.081182479858398</v>
      </c>
      <c r="F6495" s="11">
        <v>5.8627982139587402</v>
      </c>
    </row>
    <row r="6496" spans="1:6" hidden="1" x14ac:dyDescent="0.3">
      <c r="A6496" s="6">
        <v>47</v>
      </c>
      <c r="B6496" s="6" t="s">
        <v>175</v>
      </c>
      <c r="C6496" s="6" t="s">
        <v>410</v>
      </c>
      <c r="D6496" s="6" t="s">
        <v>176</v>
      </c>
      <c r="E6496" s="11">
        <v>5.7964787483215332</v>
      </c>
      <c r="F6496" s="11">
        <v>5.8627982139587402</v>
      </c>
    </row>
    <row r="6497" spans="1:6" hidden="1" x14ac:dyDescent="0.3">
      <c r="A6497" s="6">
        <v>47</v>
      </c>
      <c r="B6497" s="6" t="s">
        <v>175</v>
      </c>
      <c r="C6497" s="6" t="s">
        <v>411</v>
      </c>
      <c r="D6497" s="6" t="s">
        <v>176</v>
      </c>
      <c r="E6497" s="11">
        <v>8.6215076446533203</v>
      </c>
      <c r="F6497" s="11">
        <v>5.8627982139587402</v>
      </c>
    </row>
    <row r="6498" spans="1:6" hidden="1" x14ac:dyDescent="0.3">
      <c r="A6498" s="6">
        <v>47</v>
      </c>
      <c r="B6498" s="6" t="s">
        <v>175</v>
      </c>
      <c r="C6498" s="6" t="s">
        <v>412</v>
      </c>
      <c r="D6498" s="6" t="s">
        <v>176</v>
      </c>
      <c r="E6498" s="11">
        <v>6.1170392036437988</v>
      </c>
      <c r="F6498" s="11">
        <v>5.8627982139587402</v>
      </c>
    </row>
    <row r="6499" spans="1:6" hidden="1" x14ac:dyDescent="0.3">
      <c r="A6499" s="6">
        <v>47</v>
      </c>
      <c r="B6499" s="6" t="s">
        <v>175</v>
      </c>
      <c r="C6499" s="6" t="s">
        <v>413</v>
      </c>
      <c r="D6499" s="6" t="s">
        <v>176</v>
      </c>
      <c r="E6499" s="11">
        <v>6.3359522819519043</v>
      </c>
      <c r="F6499" s="11">
        <v>5.8627982139587402</v>
      </c>
    </row>
    <row r="6500" spans="1:6" hidden="1" x14ac:dyDescent="0.3">
      <c r="A6500" s="6">
        <v>47</v>
      </c>
      <c r="B6500" s="6" t="s">
        <v>175</v>
      </c>
      <c r="C6500" s="6" t="s">
        <v>414</v>
      </c>
      <c r="D6500" s="6" t="s">
        <v>176</v>
      </c>
      <c r="E6500" s="11">
        <v>4.7928237915039063</v>
      </c>
      <c r="F6500" s="11">
        <v>5.8627982139587402</v>
      </c>
    </row>
    <row r="6501" spans="1:6" hidden="1" x14ac:dyDescent="0.3">
      <c r="A6501" s="6">
        <v>47</v>
      </c>
      <c r="B6501" s="6" t="s">
        <v>175</v>
      </c>
      <c r="C6501" s="6" t="s">
        <v>415</v>
      </c>
      <c r="D6501" s="6" t="s">
        <v>176</v>
      </c>
      <c r="E6501" s="11">
        <v>5.2253704071044922</v>
      </c>
      <c r="F6501" s="11">
        <v>5.8627982139587402</v>
      </c>
    </row>
    <row r="6502" spans="1:6" hidden="1" x14ac:dyDescent="0.3">
      <c r="A6502" s="6">
        <v>47</v>
      </c>
      <c r="B6502" s="6" t="s">
        <v>175</v>
      </c>
      <c r="C6502" s="6" t="s">
        <v>416</v>
      </c>
      <c r="D6502" s="6" t="s">
        <v>176</v>
      </c>
      <c r="E6502" s="11">
        <v>5.4140663146972656</v>
      </c>
      <c r="F6502" s="11">
        <v>5.8627982139587402</v>
      </c>
    </row>
    <row r="6503" spans="1:6" hidden="1" x14ac:dyDescent="0.3">
      <c r="A6503" s="6">
        <v>47</v>
      </c>
      <c r="B6503" s="6" t="s">
        <v>175</v>
      </c>
      <c r="C6503" s="6" t="s">
        <v>417</v>
      </c>
      <c r="D6503" s="6" t="s">
        <v>176</v>
      </c>
      <c r="E6503" s="11">
        <v>6.3340110778808594</v>
      </c>
      <c r="F6503" s="11">
        <v>5.8627982139587402</v>
      </c>
    </row>
    <row r="6504" spans="1:6" hidden="1" x14ac:dyDescent="0.3">
      <c r="A6504" s="6">
        <v>47</v>
      </c>
      <c r="B6504" s="6" t="s">
        <v>175</v>
      </c>
      <c r="C6504" s="6" t="s">
        <v>418</v>
      </c>
      <c r="D6504" s="6" t="s">
        <v>176</v>
      </c>
      <c r="E6504" s="11">
        <v>5.9783687591552734</v>
      </c>
      <c r="F6504" s="11">
        <v>5.8627982139587402</v>
      </c>
    </row>
    <row r="6505" spans="1:6" hidden="1" x14ac:dyDescent="0.3">
      <c r="A6505" s="6">
        <v>47</v>
      </c>
      <c r="B6505" s="6" t="s">
        <v>175</v>
      </c>
      <c r="C6505" s="6" t="s">
        <v>419</v>
      </c>
      <c r="D6505" s="6" t="s">
        <v>176</v>
      </c>
      <c r="E6505" s="11">
        <v>4.6407933235168457</v>
      </c>
      <c r="F6505" s="11">
        <v>5.8627982139587402</v>
      </c>
    </row>
    <row r="6506" spans="1:6" hidden="1" x14ac:dyDescent="0.3">
      <c r="A6506" s="6">
        <v>47</v>
      </c>
      <c r="B6506" s="6" t="s">
        <v>175</v>
      </c>
      <c r="C6506" s="6" t="s">
        <v>420</v>
      </c>
      <c r="D6506" s="6" t="s">
        <v>176</v>
      </c>
      <c r="E6506" s="11">
        <v>5.0343623161315918</v>
      </c>
      <c r="F6506" s="11">
        <v>5.8627982139587402</v>
      </c>
    </row>
    <row r="6507" spans="1:6" hidden="1" x14ac:dyDescent="0.3">
      <c r="A6507" s="6">
        <v>47</v>
      </c>
      <c r="B6507" s="6" t="s">
        <v>175</v>
      </c>
      <c r="C6507" s="6" t="s">
        <v>421</v>
      </c>
      <c r="D6507" s="6" t="s">
        <v>176</v>
      </c>
      <c r="E6507" s="11">
        <v>4.3798604011535645</v>
      </c>
      <c r="F6507" s="11">
        <v>5.8627982139587402</v>
      </c>
    </row>
    <row r="6508" spans="1:6" hidden="1" x14ac:dyDescent="0.3">
      <c r="A6508" s="6">
        <v>47</v>
      </c>
      <c r="B6508" s="6" t="s">
        <v>175</v>
      </c>
      <c r="C6508" s="6" t="s">
        <v>422</v>
      </c>
      <c r="D6508" s="6" t="s">
        <v>176</v>
      </c>
      <c r="E6508" s="11">
        <v>10.654443740844727</v>
      </c>
      <c r="F6508" s="11">
        <v>5.8627982139587402</v>
      </c>
    </row>
    <row r="6509" spans="1:6" hidden="1" x14ac:dyDescent="0.3">
      <c r="A6509" s="6">
        <v>47</v>
      </c>
      <c r="B6509" s="6" t="s">
        <v>175</v>
      </c>
      <c r="C6509" s="6" t="s">
        <v>423</v>
      </c>
      <c r="D6509" s="6" t="s">
        <v>176</v>
      </c>
      <c r="E6509" s="11">
        <v>8.5532598495483398</v>
      </c>
      <c r="F6509" s="11">
        <v>5.8627982139587402</v>
      </c>
    </row>
    <row r="6510" spans="1:6" hidden="1" x14ac:dyDescent="0.3">
      <c r="A6510" s="6">
        <v>47</v>
      </c>
      <c r="B6510" s="6" t="s">
        <v>175</v>
      </c>
      <c r="C6510" s="6" t="s">
        <v>424</v>
      </c>
      <c r="D6510" s="6" t="s">
        <v>176</v>
      </c>
      <c r="E6510" s="11">
        <v>5.1910719871520996</v>
      </c>
      <c r="F6510" s="11">
        <v>5.8627982139587402</v>
      </c>
    </row>
    <row r="6511" spans="1:6" hidden="1" x14ac:dyDescent="0.3">
      <c r="A6511" s="6">
        <v>47</v>
      </c>
      <c r="B6511" s="6" t="s">
        <v>175</v>
      </c>
      <c r="C6511" s="6" t="s">
        <v>425</v>
      </c>
      <c r="D6511" s="6" t="s">
        <v>176</v>
      </c>
      <c r="E6511" s="11">
        <v>29.818140029907227</v>
      </c>
      <c r="F6511" s="11">
        <v>5.8627982139587402</v>
      </c>
    </row>
    <row r="6512" spans="1:6" hidden="1" x14ac:dyDescent="0.3">
      <c r="A6512" s="6">
        <v>47</v>
      </c>
      <c r="B6512" s="6" t="s">
        <v>175</v>
      </c>
      <c r="C6512" s="6" t="s">
        <v>426</v>
      </c>
      <c r="D6512" s="6" t="s">
        <v>176</v>
      </c>
      <c r="E6512" s="11">
        <v>4.5013155937194824</v>
      </c>
      <c r="F6512" s="11">
        <v>5.8627982139587402</v>
      </c>
    </row>
    <row r="6513" spans="1:6" hidden="1" x14ac:dyDescent="0.3">
      <c r="A6513" s="6">
        <v>47</v>
      </c>
      <c r="B6513" s="6" t="s">
        <v>175</v>
      </c>
      <c r="C6513" s="6" t="s">
        <v>427</v>
      </c>
      <c r="D6513" s="6" t="s">
        <v>176</v>
      </c>
      <c r="E6513" s="11">
        <v>5.6941070556640625</v>
      </c>
      <c r="F6513" s="11">
        <v>5.8627982139587402</v>
      </c>
    </row>
    <row r="6514" spans="1:6" hidden="1" x14ac:dyDescent="0.3">
      <c r="A6514" s="6">
        <v>47</v>
      </c>
      <c r="B6514" s="6" t="s">
        <v>175</v>
      </c>
      <c r="C6514" s="6" t="s">
        <v>428</v>
      </c>
      <c r="D6514" s="6" t="s">
        <v>176</v>
      </c>
      <c r="E6514" s="11">
        <v>5.5300946235656738</v>
      </c>
      <c r="F6514" s="11">
        <v>5.8627982139587402</v>
      </c>
    </row>
    <row r="6515" spans="1:6" hidden="1" x14ac:dyDescent="0.3">
      <c r="A6515" s="6">
        <v>47</v>
      </c>
      <c r="B6515" s="6" t="s">
        <v>175</v>
      </c>
      <c r="C6515" s="6" t="s">
        <v>429</v>
      </c>
      <c r="D6515" s="6" t="s">
        <v>176</v>
      </c>
      <c r="E6515" s="11">
        <v>5.4635968208312988</v>
      </c>
      <c r="F6515" s="11">
        <v>5.8627982139587402</v>
      </c>
    </row>
    <row r="6516" spans="1:6" hidden="1" x14ac:dyDescent="0.3">
      <c r="A6516" s="6">
        <v>47</v>
      </c>
      <c r="B6516" s="6" t="s">
        <v>175</v>
      </c>
      <c r="C6516" s="6" t="s">
        <v>430</v>
      </c>
      <c r="D6516" s="6" t="s">
        <v>176</v>
      </c>
      <c r="E6516" s="11">
        <v>9.5529394149780273</v>
      </c>
      <c r="F6516" s="11">
        <v>5.8627982139587402</v>
      </c>
    </row>
    <row r="6517" spans="1:6" hidden="1" x14ac:dyDescent="0.3">
      <c r="A6517" s="6">
        <v>47</v>
      </c>
      <c r="B6517" s="6" t="s">
        <v>175</v>
      </c>
      <c r="C6517" s="6" t="s">
        <v>431</v>
      </c>
      <c r="D6517" s="6" t="s">
        <v>176</v>
      </c>
      <c r="E6517" s="11">
        <v>11.359833717346191</v>
      </c>
      <c r="F6517" s="11">
        <v>5.8627982139587402</v>
      </c>
    </row>
    <row r="6518" spans="1:6" hidden="1" x14ac:dyDescent="0.3">
      <c r="A6518" s="6">
        <v>47</v>
      </c>
      <c r="B6518" s="6" t="s">
        <v>175</v>
      </c>
      <c r="C6518" s="6" t="s">
        <v>432</v>
      </c>
      <c r="D6518" s="6" t="s">
        <v>176</v>
      </c>
      <c r="E6518" s="11">
        <v>6.6714000701904297</v>
      </c>
      <c r="F6518" s="11">
        <v>5.8627982139587402</v>
      </c>
    </row>
    <row r="6519" spans="1:6" hidden="1" x14ac:dyDescent="0.3">
      <c r="A6519" s="6">
        <v>47</v>
      </c>
      <c r="B6519" s="6" t="s">
        <v>175</v>
      </c>
      <c r="C6519" s="6" t="s">
        <v>433</v>
      </c>
      <c r="D6519" s="6" t="s">
        <v>176</v>
      </c>
      <c r="E6519" s="11">
        <v>5.2037777900695801</v>
      </c>
      <c r="F6519" s="11">
        <v>5.8627982139587402</v>
      </c>
    </row>
    <row r="6520" spans="1:6" hidden="1" x14ac:dyDescent="0.3">
      <c r="A6520" s="6">
        <v>47</v>
      </c>
      <c r="B6520" s="6" t="s">
        <v>175</v>
      </c>
      <c r="C6520" s="6" t="s">
        <v>434</v>
      </c>
      <c r="D6520" s="6" t="s">
        <v>176</v>
      </c>
      <c r="E6520" s="11">
        <v>5.2232985496520996</v>
      </c>
      <c r="F6520" s="11">
        <v>5.8627982139587402</v>
      </c>
    </row>
    <row r="6521" spans="1:6" hidden="1" x14ac:dyDescent="0.3">
      <c r="A6521" s="6">
        <v>47</v>
      </c>
      <c r="B6521" s="6" t="s">
        <v>175</v>
      </c>
      <c r="C6521" s="6" t="s">
        <v>435</v>
      </c>
      <c r="D6521" s="6" t="s">
        <v>176</v>
      </c>
      <c r="E6521" s="11">
        <v>5.8609228134155273</v>
      </c>
      <c r="F6521" s="11">
        <v>5.8627982139587402</v>
      </c>
    </row>
    <row r="6522" spans="1:6" hidden="1" x14ac:dyDescent="0.3">
      <c r="A6522" s="6">
        <v>47</v>
      </c>
      <c r="B6522" s="6" t="s">
        <v>175</v>
      </c>
      <c r="C6522" s="6" t="s">
        <v>436</v>
      </c>
      <c r="D6522" s="6" t="s">
        <v>176</v>
      </c>
      <c r="E6522" s="11">
        <v>21.593349456787109</v>
      </c>
      <c r="F6522" s="11">
        <v>5.8627982139587402</v>
      </c>
    </row>
    <row r="6523" spans="1:6" hidden="1" x14ac:dyDescent="0.3">
      <c r="A6523" s="6">
        <v>47</v>
      </c>
      <c r="B6523" s="6" t="s">
        <v>175</v>
      </c>
      <c r="C6523" s="6" t="s">
        <v>437</v>
      </c>
      <c r="D6523" s="6" t="s">
        <v>176</v>
      </c>
      <c r="E6523" s="11">
        <v>6.7917170524597168</v>
      </c>
      <c r="F6523" s="11">
        <v>5.8627982139587402</v>
      </c>
    </row>
    <row r="6524" spans="1:6" hidden="1" x14ac:dyDescent="0.3">
      <c r="A6524" s="6">
        <v>47</v>
      </c>
      <c r="B6524" s="6" t="s">
        <v>175</v>
      </c>
      <c r="C6524" s="6" t="s">
        <v>438</v>
      </c>
      <c r="D6524" s="6" t="s">
        <v>176</v>
      </c>
      <c r="E6524" s="11">
        <v>5.5153093338012695</v>
      </c>
      <c r="F6524" s="11">
        <v>5.8627982139587402</v>
      </c>
    </row>
    <row r="6525" spans="1:6" hidden="1" x14ac:dyDescent="0.3">
      <c r="A6525" s="6">
        <v>47</v>
      </c>
      <c r="B6525" s="6" t="s">
        <v>175</v>
      </c>
      <c r="C6525" s="6" t="s">
        <v>439</v>
      </c>
      <c r="D6525" s="6" t="s">
        <v>176</v>
      </c>
      <c r="E6525" s="11">
        <v>5.6539254188537598</v>
      </c>
      <c r="F6525" s="11">
        <v>5.8627982139587402</v>
      </c>
    </row>
    <row r="6526" spans="1:6" hidden="1" x14ac:dyDescent="0.3">
      <c r="A6526" s="6">
        <v>47</v>
      </c>
      <c r="B6526" s="6" t="s">
        <v>175</v>
      </c>
      <c r="C6526" s="6" t="s">
        <v>440</v>
      </c>
      <c r="D6526" s="6" t="s">
        <v>176</v>
      </c>
      <c r="E6526" s="11">
        <v>6.4290313720703125</v>
      </c>
      <c r="F6526" s="11">
        <v>5.8627982139587402</v>
      </c>
    </row>
    <row r="6527" spans="1:6" hidden="1" x14ac:dyDescent="0.3">
      <c r="A6527" s="6">
        <v>47</v>
      </c>
      <c r="B6527" s="6" t="s">
        <v>175</v>
      </c>
      <c r="C6527" s="6" t="s">
        <v>441</v>
      </c>
      <c r="D6527" s="6" t="s">
        <v>176</v>
      </c>
      <c r="E6527" s="11">
        <v>3.9552483558654785</v>
      </c>
      <c r="F6527" s="11">
        <v>5.8627982139587402</v>
      </c>
    </row>
    <row r="6528" spans="1:6" hidden="1" x14ac:dyDescent="0.3">
      <c r="A6528" s="6">
        <v>47</v>
      </c>
      <c r="B6528" s="6" t="s">
        <v>175</v>
      </c>
      <c r="C6528" s="6" t="s">
        <v>442</v>
      </c>
      <c r="D6528" s="6" t="s">
        <v>176</v>
      </c>
      <c r="E6528" s="11">
        <v>8.865631103515625</v>
      </c>
      <c r="F6528" s="11">
        <v>5.8627982139587402</v>
      </c>
    </row>
    <row r="6529" spans="1:6" hidden="1" x14ac:dyDescent="0.3">
      <c r="A6529" s="6">
        <v>47</v>
      </c>
      <c r="B6529" s="6" t="s">
        <v>175</v>
      </c>
      <c r="C6529" s="6" t="s">
        <v>443</v>
      </c>
      <c r="D6529" s="6" t="s">
        <v>176</v>
      </c>
      <c r="E6529" s="11">
        <v>12.8236083984375</v>
      </c>
      <c r="F6529" s="11">
        <v>5.8627982139587402</v>
      </c>
    </row>
    <row r="6530" spans="1:6" hidden="1" x14ac:dyDescent="0.3">
      <c r="A6530" s="6">
        <v>47</v>
      </c>
      <c r="B6530" s="6" t="s">
        <v>175</v>
      </c>
      <c r="C6530" s="6" t="s">
        <v>444</v>
      </c>
      <c r="D6530" s="6" t="s">
        <v>176</v>
      </c>
      <c r="E6530" s="11">
        <v>4.5687642097473145</v>
      </c>
      <c r="F6530" s="11">
        <v>5.8627982139587402</v>
      </c>
    </row>
    <row r="6531" spans="1:6" hidden="1" x14ac:dyDescent="0.3">
      <c r="A6531" s="6">
        <v>47</v>
      </c>
      <c r="B6531" s="6" t="s">
        <v>175</v>
      </c>
      <c r="C6531" s="6" t="s">
        <v>445</v>
      </c>
      <c r="D6531" s="6" t="s">
        <v>176</v>
      </c>
      <c r="E6531" s="11">
        <v>33.399604797363281</v>
      </c>
      <c r="F6531" s="11">
        <v>5.8627982139587402</v>
      </c>
    </row>
    <row r="6532" spans="1:6" hidden="1" x14ac:dyDescent="0.3">
      <c r="A6532" s="6">
        <v>47</v>
      </c>
      <c r="B6532" s="6" t="s">
        <v>175</v>
      </c>
      <c r="C6532" s="6" t="s">
        <v>446</v>
      </c>
      <c r="D6532" s="6" t="s">
        <v>176</v>
      </c>
      <c r="E6532" s="11">
        <v>6.3149089813232422</v>
      </c>
      <c r="F6532" s="11">
        <v>5.8627982139587402</v>
      </c>
    </row>
    <row r="6533" spans="1:6" hidden="1" x14ac:dyDescent="0.3">
      <c r="A6533" s="6">
        <v>47</v>
      </c>
      <c r="B6533" s="6" t="s">
        <v>175</v>
      </c>
      <c r="C6533" s="6" t="s">
        <v>447</v>
      </c>
      <c r="D6533" s="6" t="s">
        <v>176</v>
      </c>
      <c r="E6533" s="11">
        <v>9.6740570068359375</v>
      </c>
      <c r="F6533" s="11">
        <v>5.8627982139587402</v>
      </c>
    </row>
    <row r="6534" spans="1:6" hidden="1" x14ac:dyDescent="0.3">
      <c r="A6534" s="6">
        <v>47</v>
      </c>
      <c r="B6534" s="6" t="s">
        <v>175</v>
      </c>
      <c r="C6534" s="6" t="s">
        <v>448</v>
      </c>
      <c r="D6534" s="6" t="s">
        <v>176</v>
      </c>
      <c r="E6534" s="11">
        <v>5.9558782577514648</v>
      </c>
      <c r="F6534" s="11">
        <v>5.8627982139587402</v>
      </c>
    </row>
    <row r="6535" spans="1:6" hidden="1" x14ac:dyDescent="0.3">
      <c r="A6535" s="6">
        <v>47</v>
      </c>
      <c r="B6535" s="6" t="s">
        <v>175</v>
      </c>
      <c r="C6535" s="6" t="s">
        <v>449</v>
      </c>
      <c r="D6535" s="6" t="s">
        <v>176</v>
      </c>
      <c r="E6535" s="11">
        <v>5.6404428482055664</v>
      </c>
      <c r="F6535" s="11">
        <v>5.8627982139587402</v>
      </c>
    </row>
    <row r="6536" spans="1:6" hidden="1" x14ac:dyDescent="0.3">
      <c r="A6536" s="6">
        <v>47</v>
      </c>
      <c r="B6536" s="6" t="s">
        <v>175</v>
      </c>
      <c r="C6536" s="6" t="s">
        <v>450</v>
      </c>
      <c r="D6536" s="6" t="s">
        <v>176</v>
      </c>
      <c r="E6536" s="11">
        <v>22.496458053588867</v>
      </c>
      <c r="F6536" s="11">
        <v>5.8627982139587402</v>
      </c>
    </row>
    <row r="6537" spans="1:6" hidden="1" x14ac:dyDescent="0.3">
      <c r="A6537" s="6">
        <v>47</v>
      </c>
      <c r="B6537" s="6" t="s">
        <v>175</v>
      </c>
      <c r="C6537" s="6" t="s">
        <v>451</v>
      </c>
      <c r="D6537" s="6" t="s">
        <v>176</v>
      </c>
      <c r="E6537" s="11">
        <v>4.3870248794555664</v>
      </c>
      <c r="F6537" s="11">
        <v>5.8627982139587402</v>
      </c>
    </row>
    <row r="6538" spans="1:6" hidden="1" x14ac:dyDescent="0.3">
      <c r="A6538" s="6">
        <v>47</v>
      </c>
      <c r="B6538" s="6" t="s">
        <v>175</v>
      </c>
      <c r="C6538" s="6" t="s">
        <v>452</v>
      </c>
      <c r="D6538" s="6" t="s">
        <v>176</v>
      </c>
      <c r="E6538" s="11">
        <v>4.7353191375732422</v>
      </c>
      <c r="F6538" s="11">
        <v>5.8627982139587402</v>
      </c>
    </row>
    <row r="6539" spans="1:6" hidden="1" x14ac:dyDescent="0.3">
      <c r="A6539" s="6">
        <v>47</v>
      </c>
      <c r="B6539" s="6" t="s">
        <v>175</v>
      </c>
      <c r="C6539" s="6" t="s">
        <v>453</v>
      </c>
      <c r="D6539" s="6" t="s">
        <v>176</v>
      </c>
      <c r="E6539" s="11">
        <v>6.0981245040893555</v>
      </c>
      <c r="F6539" s="11">
        <v>5.8627982139587402</v>
      </c>
    </row>
    <row r="6540" spans="1:6" hidden="1" x14ac:dyDescent="0.3">
      <c r="A6540" s="6">
        <v>47</v>
      </c>
      <c r="B6540" s="6" t="s">
        <v>175</v>
      </c>
      <c r="C6540" s="6" t="s">
        <v>454</v>
      </c>
      <c r="D6540" s="6" t="s">
        <v>176</v>
      </c>
      <c r="E6540" s="11">
        <v>4.8045310974121094</v>
      </c>
      <c r="F6540" s="11">
        <v>5.8627982139587402</v>
      </c>
    </row>
    <row r="6541" spans="1:6" hidden="1" x14ac:dyDescent="0.3">
      <c r="A6541" s="6">
        <v>47</v>
      </c>
      <c r="B6541" s="6" t="s">
        <v>175</v>
      </c>
      <c r="C6541" s="6" t="s">
        <v>455</v>
      </c>
      <c r="D6541" s="6" t="s">
        <v>176</v>
      </c>
      <c r="E6541" s="11">
        <v>5.1029725074768066</v>
      </c>
      <c r="F6541" s="11">
        <v>5.8627982139587402</v>
      </c>
    </row>
    <row r="6542" spans="1:6" hidden="1" x14ac:dyDescent="0.3">
      <c r="A6542" s="6">
        <v>47</v>
      </c>
      <c r="B6542" s="6" t="s">
        <v>175</v>
      </c>
      <c r="C6542" s="6" t="s">
        <v>456</v>
      </c>
      <c r="D6542" s="6" t="s">
        <v>176</v>
      </c>
      <c r="E6542" s="11">
        <v>4.4516563415527344</v>
      </c>
      <c r="F6542" s="11">
        <v>5.8627982139587402</v>
      </c>
    </row>
    <row r="6543" spans="1:6" hidden="1" x14ac:dyDescent="0.3">
      <c r="A6543" s="6">
        <v>47</v>
      </c>
      <c r="B6543" s="6" t="s">
        <v>175</v>
      </c>
      <c r="C6543" s="6" t="s">
        <v>457</v>
      </c>
      <c r="D6543" s="6" t="s">
        <v>176</v>
      </c>
      <c r="E6543" s="11">
        <v>50.138023376464844</v>
      </c>
      <c r="F6543" s="11">
        <v>5.8627982139587402</v>
      </c>
    </row>
    <row r="6544" spans="1:6" hidden="1" x14ac:dyDescent="0.3">
      <c r="A6544" s="6">
        <v>47</v>
      </c>
      <c r="B6544" s="6" t="s">
        <v>175</v>
      </c>
      <c r="C6544" s="6" t="s">
        <v>458</v>
      </c>
      <c r="D6544" s="6" t="s">
        <v>176</v>
      </c>
      <c r="E6544" s="11">
        <v>7.2553696632385254</v>
      </c>
      <c r="F6544" s="11">
        <v>5.8627982139587402</v>
      </c>
    </row>
    <row r="6545" spans="1:6" hidden="1" x14ac:dyDescent="0.3">
      <c r="A6545" s="6">
        <v>47</v>
      </c>
      <c r="B6545" s="6" t="s">
        <v>175</v>
      </c>
      <c r="C6545" s="6" t="s">
        <v>459</v>
      </c>
      <c r="D6545" s="6" t="s">
        <v>176</v>
      </c>
      <c r="E6545" s="11">
        <v>12.083170890808105</v>
      </c>
      <c r="F6545" s="11">
        <v>5.8627982139587402</v>
      </c>
    </row>
    <row r="6546" spans="1:6" hidden="1" x14ac:dyDescent="0.3">
      <c r="A6546" s="6">
        <v>47</v>
      </c>
      <c r="B6546" s="6" t="s">
        <v>175</v>
      </c>
      <c r="C6546" s="6" t="s">
        <v>460</v>
      </c>
      <c r="D6546" s="6" t="s">
        <v>176</v>
      </c>
      <c r="E6546" s="11">
        <v>5.8880705833435059</v>
      </c>
      <c r="F6546" s="11">
        <v>5.8627982139587402</v>
      </c>
    </row>
    <row r="6547" spans="1:6" hidden="1" x14ac:dyDescent="0.3">
      <c r="A6547" s="6">
        <v>47</v>
      </c>
      <c r="B6547" s="6" t="s">
        <v>175</v>
      </c>
      <c r="C6547" s="6" t="s">
        <v>461</v>
      </c>
      <c r="D6547" s="6" t="s">
        <v>176</v>
      </c>
      <c r="E6547" s="11">
        <v>4.4665117263793945</v>
      </c>
      <c r="F6547" s="11">
        <v>5.8627982139587402</v>
      </c>
    </row>
    <row r="6548" spans="1:6" hidden="1" x14ac:dyDescent="0.3">
      <c r="A6548" s="6">
        <v>47</v>
      </c>
      <c r="B6548" s="6" t="s">
        <v>175</v>
      </c>
      <c r="C6548" s="6" t="s">
        <v>462</v>
      </c>
      <c r="D6548" s="6" t="s">
        <v>176</v>
      </c>
      <c r="E6548" s="11">
        <v>4.3722958564758301</v>
      </c>
      <c r="F6548" s="11">
        <v>5.8627982139587402</v>
      </c>
    </row>
    <row r="6549" spans="1:6" hidden="1" x14ac:dyDescent="0.3">
      <c r="A6549" s="6">
        <v>47</v>
      </c>
      <c r="B6549" s="6" t="s">
        <v>175</v>
      </c>
      <c r="C6549" s="6" t="s">
        <v>463</v>
      </c>
      <c r="D6549" s="6" t="s">
        <v>176</v>
      </c>
      <c r="E6549" s="11">
        <v>4.8264179229736328</v>
      </c>
      <c r="F6549" s="11">
        <v>5.8627982139587402</v>
      </c>
    </row>
    <row r="6550" spans="1:6" hidden="1" x14ac:dyDescent="0.3">
      <c r="A6550" s="6">
        <v>47</v>
      </c>
      <c r="B6550" s="6" t="s">
        <v>175</v>
      </c>
      <c r="C6550" s="6" t="s">
        <v>464</v>
      </c>
      <c r="D6550" s="6" t="s">
        <v>176</v>
      </c>
      <c r="E6550" s="11">
        <v>5.5054020881652832</v>
      </c>
      <c r="F6550" s="11">
        <v>5.8627982139587402</v>
      </c>
    </row>
    <row r="6551" spans="1:6" hidden="1" x14ac:dyDescent="0.3">
      <c r="A6551" s="6">
        <v>47</v>
      </c>
      <c r="B6551" s="6" t="s">
        <v>175</v>
      </c>
      <c r="C6551" s="6" t="s">
        <v>465</v>
      </c>
      <c r="D6551" s="6" t="s">
        <v>176</v>
      </c>
      <c r="E6551" s="11">
        <v>6.1861405372619629</v>
      </c>
      <c r="F6551" s="11">
        <v>5.8627982139587402</v>
      </c>
    </row>
    <row r="6552" spans="1:6" hidden="1" x14ac:dyDescent="0.3">
      <c r="A6552" s="6">
        <v>47</v>
      </c>
      <c r="B6552" s="6" t="s">
        <v>175</v>
      </c>
      <c r="C6552" s="6" t="s">
        <v>466</v>
      </c>
      <c r="D6552" s="6" t="s">
        <v>176</v>
      </c>
      <c r="E6552" s="11">
        <v>5.0370159149169922</v>
      </c>
      <c r="F6552" s="11">
        <v>5.8627982139587402</v>
      </c>
    </row>
    <row r="6553" spans="1:6" hidden="1" x14ac:dyDescent="0.3">
      <c r="A6553" s="6">
        <v>47</v>
      </c>
      <c r="B6553" s="6" t="s">
        <v>175</v>
      </c>
      <c r="C6553" s="6" t="s">
        <v>467</v>
      </c>
      <c r="D6553" s="6" t="s">
        <v>176</v>
      </c>
      <c r="E6553" s="11">
        <v>4.546393871307373</v>
      </c>
      <c r="F6553" s="11">
        <v>5.8627982139587402</v>
      </c>
    </row>
    <row r="6554" spans="1:6" hidden="1" x14ac:dyDescent="0.3">
      <c r="A6554" s="6">
        <v>47</v>
      </c>
      <c r="B6554" s="6" t="s">
        <v>175</v>
      </c>
      <c r="C6554" s="6" t="s">
        <v>468</v>
      </c>
      <c r="D6554" s="6" t="s">
        <v>176</v>
      </c>
      <c r="E6554" s="11">
        <v>5.4649333953857422</v>
      </c>
      <c r="F6554" s="11">
        <v>5.8627982139587402</v>
      </c>
    </row>
    <row r="6555" spans="1:6" hidden="1" x14ac:dyDescent="0.3">
      <c r="A6555" s="6">
        <v>47</v>
      </c>
      <c r="B6555" s="6" t="s">
        <v>175</v>
      </c>
      <c r="C6555" s="6" t="s">
        <v>469</v>
      </c>
      <c r="D6555" s="6" t="s">
        <v>176</v>
      </c>
      <c r="E6555" s="11">
        <v>5.3389163017272949</v>
      </c>
      <c r="F6555" s="11">
        <v>5.8627982139587402</v>
      </c>
    </row>
    <row r="6556" spans="1:6" hidden="1" x14ac:dyDescent="0.3">
      <c r="A6556" s="6">
        <v>47</v>
      </c>
      <c r="B6556" s="6" t="s">
        <v>175</v>
      </c>
      <c r="C6556" s="6" t="s">
        <v>470</v>
      </c>
      <c r="D6556" s="6" t="s">
        <v>176</v>
      </c>
      <c r="E6556" s="11">
        <v>5.9854869842529297</v>
      </c>
      <c r="F6556" s="11">
        <v>5.8627982139587402</v>
      </c>
    </row>
    <row r="6557" spans="1:6" hidden="1" x14ac:dyDescent="0.3">
      <c r="A6557" s="6">
        <v>47</v>
      </c>
      <c r="B6557" s="6" t="s">
        <v>175</v>
      </c>
      <c r="C6557" s="6" t="s">
        <v>471</v>
      </c>
      <c r="D6557" s="6" t="s">
        <v>176</v>
      </c>
      <c r="E6557" s="11">
        <v>9.1039543151855469</v>
      </c>
      <c r="F6557" s="11">
        <v>5.8627982139587402</v>
      </c>
    </row>
    <row r="6558" spans="1:6" hidden="1" x14ac:dyDescent="0.3">
      <c r="A6558" s="6">
        <v>47</v>
      </c>
      <c r="B6558" s="6" t="s">
        <v>175</v>
      </c>
      <c r="C6558" s="6" t="s">
        <v>472</v>
      </c>
      <c r="D6558" s="6" t="s">
        <v>176</v>
      </c>
      <c r="E6558" s="11">
        <v>6.6254706382751465</v>
      </c>
      <c r="F6558" s="11">
        <v>5.8627982139587402</v>
      </c>
    </row>
    <row r="6559" spans="1:6" hidden="1" x14ac:dyDescent="0.3">
      <c r="A6559" s="6">
        <v>47</v>
      </c>
      <c r="B6559" s="6" t="s">
        <v>175</v>
      </c>
      <c r="C6559" s="6" t="s">
        <v>473</v>
      </c>
      <c r="D6559" s="6" t="s">
        <v>176</v>
      </c>
      <c r="E6559" s="11">
        <v>5.6392965316772461</v>
      </c>
      <c r="F6559" s="11">
        <v>5.8627982139587402</v>
      </c>
    </row>
    <row r="6560" spans="1:6" hidden="1" x14ac:dyDescent="0.3">
      <c r="A6560" s="6">
        <v>47</v>
      </c>
      <c r="B6560" s="6" t="s">
        <v>175</v>
      </c>
      <c r="C6560" s="6" t="s">
        <v>474</v>
      </c>
      <c r="D6560" s="6" t="s">
        <v>176</v>
      </c>
      <c r="E6560" s="11">
        <v>5.1729965209960938</v>
      </c>
      <c r="F6560" s="11">
        <v>5.8627982139587402</v>
      </c>
    </row>
    <row r="6561" spans="1:6" hidden="1" x14ac:dyDescent="0.3">
      <c r="A6561" s="6">
        <v>47</v>
      </c>
      <c r="B6561" s="6" t="s">
        <v>175</v>
      </c>
      <c r="C6561" s="6" t="s">
        <v>475</v>
      </c>
      <c r="D6561" s="6" t="s">
        <v>176</v>
      </c>
      <c r="E6561" s="11">
        <v>7.4441332817077637</v>
      </c>
      <c r="F6561" s="11">
        <v>5.8627982139587402</v>
      </c>
    </row>
    <row r="6562" spans="1:6" hidden="1" x14ac:dyDescent="0.3">
      <c r="A6562" s="6">
        <v>47</v>
      </c>
      <c r="B6562" s="6" t="s">
        <v>175</v>
      </c>
      <c r="C6562" s="6" t="s">
        <v>476</v>
      </c>
      <c r="D6562" s="6" t="s">
        <v>176</v>
      </c>
      <c r="E6562" s="11">
        <v>5.3567690849304199</v>
      </c>
      <c r="F6562" s="11">
        <v>5.8627982139587402</v>
      </c>
    </row>
    <row r="6563" spans="1:6" hidden="1" x14ac:dyDescent="0.3">
      <c r="A6563" s="6">
        <v>47</v>
      </c>
      <c r="B6563" s="6" t="s">
        <v>175</v>
      </c>
      <c r="C6563" s="6" t="s">
        <v>477</v>
      </c>
      <c r="D6563" s="6" t="s">
        <v>176</v>
      </c>
      <c r="E6563" s="11">
        <v>6.0196309089660645</v>
      </c>
      <c r="F6563" s="11">
        <v>5.8627982139587402</v>
      </c>
    </row>
    <row r="6564" spans="1:6" hidden="1" x14ac:dyDescent="0.3">
      <c r="A6564" s="6">
        <v>47</v>
      </c>
      <c r="B6564" s="6" t="s">
        <v>175</v>
      </c>
      <c r="C6564" s="6" t="s">
        <v>478</v>
      </c>
      <c r="D6564" s="6" t="s">
        <v>176</v>
      </c>
      <c r="E6564" s="11">
        <v>5.9502062797546387</v>
      </c>
      <c r="F6564" s="11">
        <v>5.8627982139587402</v>
      </c>
    </row>
    <row r="6565" spans="1:6" hidden="1" x14ac:dyDescent="0.3">
      <c r="A6565" s="6">
        <v>47</v>
      </c>
      <c r="B6565" s="6" t="s">
        <v>175</v>
      </c>
      <c r="C6565" s="6" t="s">
        <v>479</v>
      </c>
      <c r="D6565" s="6" t="s">
        <v>176</v>
      </c>
      <c r="E6565" s="11">
        <v>5.3762426376342773</v>
      </c>
      <c r="F6565" s="11">
        <v>5.8627982139587402</v>
      </c>
    </row>
    <row r="6566" spans="1:6" hidden="1" x14ac:dyDescent="0.3">
      <c r="A6566" s="6">
        <v>47</v>
      </c>
      <c r="B6566" s="6" t="s">
        <v>175</v>
      </c>
      <c r="C6566" s="6" t="s">
        <v>480</v>
      </c>
      <c r="D6566" s="6" t="s">
        <v>176</v>
      </c>
      <c r="E6566" s="11">
        <v>21.14930534362793</v>
      </c>
      <c r="F6566" s="11">
        <v>5.8627982139587402</v>
      </c>
    </row>
    <row r="6567" spans="1:6" hidden="1" x14ac:dyDescent="0.3">
      <c r="A6567" s="6">
        <v>47</v>
      </c>
      <c r="B6567" s="6" t="s">
        <v>175</v>
      </c>
      <c r="C6567" s="6" t="s">
        <v>481</v>
      </c>
      <c r="D6567" s="6" t="s">
        <v>176</v>
      </c>
      <c r="E6567" s="11">
        <v>5.864870548248291</v>
      </c>
      <c r="F6567" s="11">
        <v>5.8627982139587402</v>
      </c>
    </row>
    <row r="6568" spans="1:6" hidden="1" x14ac:dyDescent="0.3">
      <c r="A6568" s="6">
        <v>47</v>
      </c>
      <c r="B6568" s="6" t="s">
        <v>175</v>
      </c>
      <c r="C6568" s="6" t="s">
        <v>482</v>
      </c>
      <c r="D6568" s="6" t="s">
        <v>176</v>
      </c>
      <c r="E6568" s="11">
        <v>6.2133817672729492</v>
      </c>
      <c r="F6568" s="11">
        <v>5.8627982139587402</v>
      </c>
    </row>
    <row r="6569" spans="1:6" hidden="1" x14ac:dyDescent="0.3">
      <c r="A6569" s="6">
        <v>47</v>
      </c>
      <c r="B6569" s="6" t="s">
        <v>175</v>
      </c>
      <c r="C6569" s="6" t="s">
        <v>483</v>
      </c>
      <c r="D6569" s="6" t="s">
        <v>176</v>
      </c>
      <c r="E6569" s="11">
        <v>4.9434146881103516</v>
      </c>
      <c r="F6569" s="11">
        <v>5.8627982139587402</v>
      </c>
    </row>
    <row r="6570" spans="1:6" hidden="1" x14ac:dyDescent="0.3">
      <c r="A6570" s="6">
        <v>47</v>
      </c>
      <c r="B6570" s="6" t="s">
        <v>175</v>
      </c>
      <c r="C6570" s="6" t="s">
        <v>484</v>
      </c>
      <c r="D6570" s="6" t="s">
        <v>176</v>
      </c>
      <c r="E6570" s="11">
        <v>6.3112564086914063</v>
      </c>
      <c r="F6570" s="11">
        <v>5.8627982139587402</v>
      </c>
    </row>
    <row r="6571" spans="1:6" hidden="1" x14ac:dyDescent="0.3">
      <c r="A6571" s="6">
        <v>47</v>
      </c>
      <c r="B6571" s="6" t="s">
        <v>175</v>
      </c>
      <c r="C6571" s="6" t="s">
        <v>485</v>
      </c>
      <c r="D6571" s="6" t="s">
        <v>176</v>
      </c>
      <c r="E6571" s="11">
        <v>4.2127413749694824</v>
      </c>
      <c r="F6571" s="11">
        <v>5.8627982139587402</v>
      </c>
    </row>
    <row r="6572" spans="1:6" hidden="1" x14ac:dyDescent="0.3">
      <c r="A6572" s="6">
        <v>47</v>
      </c>
      <c r="B6572" s="6" t="s">
        <v>175</v>
      </c>
      <c r="C6572" s="6" t="s">
        <v>486</v>
      </c>
      <c r="D6572" s="6" t="s">
        <v>176</v>
      </c>
      <c r="E6572" s="11">
        <v>5.2531251907348633</v>
      </c>
      <c r="F6572" s="11">
        <v>5.8627982139587402</v>
      </c>
    </row>
    <row r="6573" spans="1:6" hidden="1" x14ac:dyDescent="0.3">
      <c r="A6573" s="6">
        <v>47</v>
      </c>
      <c r="B6573" s="6" t="s">
        <v>175</v>
      </c>
      <c r="C6573" s="6" t="s">
        <v>487</v>
      </c>
      <c r="D6573" s="6" t="s">
        <v>176</v>
      </c>
      <c r="E6573" s="11">
        <v>4.4090738296508789</v>
      </c>
      <c r="F6573" s="11">
        <v>5.8627982139587402</v>
      </c>
    </row>
    <row r="6574" spans="1:6" hidden="1" x14ac:dyDescent="0.3">
      <c r="A6574" s="6">
        <v>47</v>
      </c>
      <c r="B6574" s="6" t="s">
        <v>175</v>
      </c>
      <c r="C6574" s="6" t="s">
        <v>488</v>
      </c>
      <c r="D6574" s="6" t="s">
        <v>176</v>
      </c>
      <c r="E6574" s="11">
        <v>4.9462060928344727</v>
      </c>
      <c r="F6574" s="11">
        <v>5.8627982139587402</v>
      </c>
    </row>
    <row r="6575" spans="1:6" hidden="1" x14ac:dyDescent="0.3">
      <c r="A6575" s="6">
        <v>47</v>
      </c>
      <c r="B6575" s="6" t="s">
        <v>175</v>
      </c>
      <c r="C6575" s="6" t="s">
        <v>489</v>
      </c>
      <c r="D6575" s="6" t="s">
        <v>176</v>
      </c>
      <c r="E6575" s="11">
        <v>6.1541647911071777</v>
      </c>
      <c r="F6575" s="11">
        <v>5.8627982139587402</v>
      </c>
    </row>
    <row r="6576" spans="1:6" hidden="1" x14ac:dyDescent="0.3">
      <c r="A6576" s="6">
        <v>47</v>
      </c>
      <c r="B6576" s="6" t="s">
        <v>175</v>
      </c>
      <c r="C6576" s="6" t="s">
        <v>490</v>
      </c>
      <c r="D6576" s="6" t="s">
        <v>176</v>
      </c>
      <c r="E6576" s="11">
        <v>6.4674286842346191</v>
      </c>
      <c r="F6576" s="11">
        <v>5.8627982139587402</v>
      </c>
    </row>
    <row r="6577" spans="1:6" hidden="1" x14ac:dyDescent="0.3">
      <c r="A6577" s="6">
        <v>47</v>
      </c>
      <c r="B6577" s="6" t="s">
        <v>175</v>
      </c>
      <c r="C6577" s="6" t="s">
        <v>491</v>
      </c>
      <c r="D6577" s="6" t="s">
        <v>176</v>
      </c>
      <c r="E6577" s="11">
        <v>4.7809295654296875</v>
      </c>
      <c r="F6577" s="11">
        <v>5.8627982139587402</v>
      </c>
    </row>
    <row r="6578" spans="1:6" hidden="1" x14ac:dyDescent="0.3">
      <c r="A6578" s="6">
        <v>47</v>
      </c>
      <c r="B6578" s="6" t="s">
        <v>175</v>
      </c>
      <c r="C6578" s="6" t="s">
        <v>492</v>
      </c>
      <c r="D6578" s="6" t="s">
        <v>176</v>
      </c>
      <c r="E6578" s="11">
        <v>4.9051313400268555</v>
      </c>
      <c r="F6578" s="11">
        <v>5.8627982139587402</v>
      </c>
    </row>
    <row r="6579" spans="1:6" hidden="1" x14ac:dyDescent="0.3">
      <c r="A6579" s="6">
        <v>47</v>
      </c>
      <c r="B6579" s="6" t="s">
        <v>175</v>
      </c>
      <c r="C6579" s="6" t="s">
        <v>493</v>
      </c>
      <c r="D6579" s="6" t="s">
        <v>176</v>
      </c>
      <c r="E6579" s="11">
        <v>5.8143754005432129</v>
      </c>
      <c r="F6579" s="11">
        <v>5.8627982139587402</v>
      </c>
    </row>
    <row r="6580" spans="1:6" hidden="1" x14ac:dyDescent="0.3">
      <c r="A6580" s="6">
        <v>47</v>
      </c>
      <c r="B6580" s="6" t="s">
        <v>175</v>
      </c>
      <c r="C6580" s="6" t="s">
        <v>494</v>
      </c>
      <c r="D6580" s="6" t="s">
        <v>176</v>
      </c>
      <c r="E6580" s="11">
        <v>6.0109586715698242</v>
      </c>
      <c r="F6580" s="11">
        <v>5.8627982139587402</v>
      </c>
    </row>
    <row r="6581" spans="1:6" hidden="1" x14ac:dyDescent="0.3">
      <c r="A6581" s="6">
        <v>47</v>
      </c>
      <c r="B6581" s="6" t="s">
        <v>175</v>
      </c>
      <c r="C6581" s="6" t="s">
        <v>495</v>
      </c>
      <c r="D6581" s="6" t="s">
        <v>176</v>
      </c>
      <c r="E6581" s="11">
        <v>6.11431884765625</v>
      </c>
      <c r="F6581" s="11">
        <v>5.8627982139587402</v>
      </c>
    </row>
    <row r="6582" spans="1:6" hidden="1" x14ac:dyDescent="0.3">
      <c r="A6582" s="6">
        <v>48</v>
      </c>
      <c r="B6582" s="6" t="s">
        <v>177</v>
      </c>
      <c r="C6582" s="6" t="s">
        <v>356</v>
      </c>
      <c r="D6582" s="6" t="s">
        <v>178</v>
      </c>
      <c r="E6582" s="11">
        <v>7.1703157424926758</v>
      </c>
      <c r="F6582" s="11">
        <v>6.9681844711303711</v>
      </c>
    </row>
    <row r="6583" spans="1:6" hidden="1" x14ac:dyDescent="0.3">
      <c r="A6583" s="6">
        <v>48</v>
      </c>
      <c r="B6583" s="6" t="s">
        <v>177</v>
      </c>
      <c r="C6583" s="6" t="s">
        <v>357</v>
      </c>
      <c r="D6583" s="6" t="s">
        <v>178</v>
      </c>
      <c r="E6583" s="11">
        <v>6.0735960006713867</v>
      </c>
      <c r="F6583" s="11">
        <v>6.9681844711303711</v>
      </c>
    </row>
    <row r="6584" spans="1:6" hidden="1" x14ac:dyDescent="0.3">
      <c r="A6584" s="6">
        <v>48</v>
      </c>
      <c r="B6584" s="6" t="s">
        <v>177</v>
      </c>
      <c r="C6584" s="6" t="s">
        <v>358</v>
      </c>
      <c r="D6584" s="6" t="s">
        <v>178</v>
      </c>
      <c r="E6584" s="11">
        <v>5.9051308631896973</v>
      </c>
      <c r="F6584" s="11">
        <v>6.9681844711303711</v>
      </c>
    </row>
    <row r="6585" spans="1:6" hidden="1" x14ac:dyDescent="0.3">
      <c r="A6585" s="6">
        <v>48</v>
      </c>
      <c r="B6585" s="6" t="s">
        <v>177</v>
      </c>
      <c r="C6585" s="6" t="s">
        <v>359</v>
      </c>
      <c r="D6585" s="6" t="s">
        <v>178</v>
      </c>
      <c r="E6585" s="11">
        <v>8.2565460205078125</v>
      </c>
      <c r="F6585" s="11">
        <v>6.9681844711303711</v>
      </c>
    </row>
    <row r="6586" spans="1:6" hidden="1" x14ac:dyDescent="0.3">
      <c r="A6586" s="6">
        <v>48</v>
      </c>
      <c r="B6586" s="6" t="s">
        <v>177</v>
      </c>
      <c r="C6586" s="6" t="s">
        <v>360</v>
      </c>
      <c r="D6586" s="6" t="s">
        <v>178</v>
      </c>
      <c r="E6586" s="11">
        <v>6.5238800048828125</v>
      </c>
      <c r="F6586" s="11">
        <v>6.9681844711303711</v>
      </c>
    </row>
    <row r="6587" spans="1:6" hidden="1" x14ac:dyDescent="0.3">
      <c r="A6587" s="6">
        <v>48</v>
      </c>
      <c r="B6587" s="6" t="s">
        <v>177</v>
      </c>
      <c r="C6587" s="6" t="s">
        <v>361</v>
      </c>
      <c r="D6587" s="6" t="s">
        <v>178</v>
      </c>
      <c r="E6587" s="11">
        <v>7.5623784065246582</v>
      </c>
      <c r="F6587" s="11">
        <v>6.9681844711303711</v>
      </c>
    </row>
    <row r="6588" spans="1:6" hidden="1" x14ac:dyDescent="0.3">
      <c r="A6588" s="6">
        <v>48</v>
      </c>
      <c r="B6588" s="6" t="s">
        <v>177</v>
      </c>
      <c r="C6588" s="6" t="s">
        <v>362</v>
      </c>
      <c r="D6588" s="6" t="s">
        <v>178</v>
      </c>
      <c r="E6588" s="11">
        <v>5.5013918876647949</v>
      </c>
      <c r="F6588" s="11">
        <v>6.9681844711303711</v>
      </c>
    </row>
    <row r="6589" spans="1:6" hidden="1" x14ac:dyDescent="0.3">
      <c r="A6589" s="6">
        <v>48</v>
      </c>
      <c r="B6589" s="6" t="s">
        <v>177</v>
      </c>
      <c r="C6589" s="6" t="s">
        <v>363</v>
      </c>
      <c r="D6589" s="6" t="s">
        <v>178</v>
      </c>
      <c r="E6589" s="11">
        <v>10.394719123840332</v>
      </c>
      <c r="F6589" s="11">
        <v>6.9681844711303711</v>
      </c>
    </row>
    <row r="6590" spans="1:6" hidden="1" x14ac:dyDescent="0.3">
      <c r="A6590" s="6">
        <v>48</v>
      </c>
      <c r="B6590" s="6" t="s">
        <v>177</v>
      </c>
      <c r="C6590" s="6" t="s">
        <v>364</v>
      </c>
      <c r="D6590" s="6" t="s">
        <v>178</v>
      </c>
      <c r="E6590" s="11">
        <v>15312.962890625</v>
      </c>
      <c r="F6590" s="11">
        <v>6.9681844711303711</v>
      </c>
    </row>
    <row r="6591" spans="1:6" hidden="1" x14ac:dyDescent="0.3">
      <c r="A6591" s="6">
        <v>48</v>
      </c>
      <c r="B6591" s="6" t="s">
        <v>177</v>
      </c>
      <c r="C6591" s="6" t="s">
        <v>365</v>
      </c>
      <c r="D6591" s="6" t="s">
        <v>178</v>
      </c>
      <c r="E6591" s="11">
        <v>6.5427589416503906</v>
      </c>
      <c r="F6591" s="11">
        <v>6.9681844711303711</v>
      </c>
    </row>
    <row r="6592" spans="1:6" hidden="1" x14ac:dyDescent="0.3">
      <c r="A6592" s="6">
        <v>48</v>
      </c>
      <c r="B6592" s="6" t="s">
        <v>177</v>
      </c>
      <c r="C6592" s="6" t="s">
        <v>366</v>
      </c>
      <c r="D6592" s="6" t="s">
        <v>178</v>
      </c>
      <c r="E6592" s="11">
        <v>6.2141976356506348</v>
      </c>
      <c r="F6592" s="11">
        <v>6.9681844711303711</v>
      </c>
    </row>
    <row r="6593" spans="1:6" hidden="1" x14ac:dyDescent="0.3">
      <c r="A6593" s="6">
        <v>48</v>
      </c>
      <c r="B6593" s="6" t="s">
        <v>177</v>
      </c>
      <c r="C6593" s="6" t="s">
        <v>367</v>
      </c>
      <c r="D6593" s="6" t="s">
        <v>178</v>
      </c>
      <c r="E6593" s="11">
        <v>5.9412822723388672</v>
      </c>
      <c r="F6593" s="11">
        <v>6.9681844711303711</v>
      </c>
    </row>
    <row r="6594" spans="1:6" hidden="1" x14ac:dyDescent="0.3">
      <c r="A6594" s="6">
        <v>48</v>
      </c>
      <c r="B6594" s="6" t="s">
        <v>177</v>
      </c>
      <c r="C6594" s="6" t="s">
        <v>368</v>
      </c>
      <c r="D6594" s="6" t="s">
        <v>178</v>
      </c>
      <c r="E6594" s="11">
        <v>8.6149501800537109</v>
      </c>
      <c r="F6594" s="11">
        <v>6.9681844711303711</v>
      </c>
    </row>
    <row r="6595" spans="1:6" hidden="1" x14ac:dyDescent="0.3">
      <c r="A6595" s="6">
        <v>48</v>
      </c>
      <c r="B6595" s="6" t="s">
        <v>177</v>
      </c>
      <c r="C6595" s="6" t="s">
        <v>369</v>
      </c>
      <c r="D6595" s="6" t="s">
        <v>178</v>
      </c>
      <c r="E6595" s="11">
        <v>6.031348705291748</v>
      </c>
      <c r="F6595" s="11">
        <v>6.9681844711303711</v>
      </c>
    </row>
    <row r="6596" spans="1:6" hidden="1" x14ac:dyDescent="0.3">
      <c r="A6596" s="6">
        <v>48</v>
      </c>
      <c r="B6596" s="6" t="s">
        <v>177</v>
      </c>
      <c r="C6596" s="6" t="s">
        <v>370</v>
      </c>
      <c r="D6596" s="6" t="s">
        <v>178</v>
      </c>
      <c r="E6596" s="11">
        <v>5.7577567100524902</v>
      </c>
      <c r="F6596" s="11">
        <v>6.9681844711303711</v>
      </c>
    </row>
    <row r="6597" spans="1:6" hidden="1" x14ac:dyDescent="0.3">
      <c r="A6597" s="6">
        <v>48</v>
      </c>
      <c r="B6597" s="6" t="s">
        <v>177</v>
      </c>
      <c r="C6597" s="6" t="s">
        <v>371</v>
      </c>
      <c r="D6597" s="6" t="s">
        <v>178</v>
      </c>
      <c r="E6597" s="11">
        <v>6.5824289321899414</v>
      </c>
      <c r="F6597" s="11">
        <v>6.9681844711303711</v>
      </c>
    </row>
    <row r="6598" spans="1:6" hidden="1" x14ac:dyDescent="0.3">
      <c r="A6598" s="6">
        <v>48</v>
      </c>
      <c r="B6598" s="6" t="s">
        <v>177</v>
      </c>
      <c r="C6598" s="6" t="s">
        <v>372</v>
      </c>
      <c r="D6598" s="6" t="s">
        <v>178</v>
      </c>
      <c r="E6598" s="11">
        <v>6.6446099281311035</v>
      </c>
      <c r="F6598" s="11">
        <v>6.9681844711303711</v>
      </c>
    </row>
    <row r="6599" spans="1:6" hidden="1" x14ac:dyDescent="0.3">
      <c r="A6599" s="6">
        <v>48</v>
      </c>
      <c r="B6599" s="6" t="s">
        <v>177</v>
      </c>
      <c r="C6599" s="6" t="s">
        <v>373</v>
      </c>
      <c r="D6599" s="6" t="s">
        <v>178</v>
      </c>
      <c r="E6599" s="11">
        <v>6.614046573638916</v>
      </c>
      <c r="F6599" s="11">
        <v>6.9681844711303711</v>
      </c>
    </row>
    <row r="6600" spans="1:6" hidden="1" x14ac:dyDescent="0.3">
      <c r="A6600" s="6">
        <v>48</v>
      </c>
      <c r="B6600" s="6" t="s">
        <v>177</v>
      </c>
      <c r="C6600" s="6" t="s">
        <v>374</v>
      </c>
      <c r="D6600" s="6" t="s">
        <v>178</v>
      </c>
      <c r="E6600" s="11">
        <v>6.6442031860351563</v>
      </c>
      <c r="F6600" s="11">
        <v>6.9681844711303711</v>
      </c>
    </row>
    <row r="6601" spans="1:6" hidden="1" x14ac:dyDescent="0.3">
      <c r="A6601" s="6">
        <v>48</v>
      </c>
      <c r="B6601" s="6" t="s">
        <v>177</v>
      </c>
      <c r="C6601" s="6" t="s">
        <v>375</v>
      </c>
      <c r="D6601" s="6" t="s">
        <v>178</v>
      </c>
      <c r="E6601" s="11">
        <v>7.8120560646057129</v>
      </c>
      <c r="F6601" s="11">
        <v>6.9681844711303711</v>
      </c>
    </row>
    <row r="6602" spans="1:6" hidden="1" x14ac:dyDescent="0.3">
      <c r="A6602" s="6">
        <v>48</v>
      </c>
      <c r="B6602" s="6" t="s">
        <v>177</v>
      </c>
      <c r="C6602" s="6" t="s">
        <v>376</v>
      </c>
      <c r="D6602" s="6" t="s">
        <v>178</v>
      </c>
      <c r="E6602" s="11">
        <v>5.7358860969543457</v>
      </c>
      <c r="F6602" s="11">
        <v>6.9681844711303711</v>
      </c>
    </row>
    <row r="6603" spans="1:6" hidden="1" x14ac:dyDescent="0.3">
      <c r="A6603" s="6">
        <v>48</v>
      </c>
      <c r="B6603" s="6" t="s">
        <v>177</v>
      </c>
      <c r="C6603" s="6" t="s">
        <v>377</v>
      </c>
      <c r="D6603" s="6" t="s">
        <v>178</v>
      </c>
      <c r="E6603" s="11">
        <v>6.6471471786499023</v>
      </c>
      <c r="F6603" s="11">
        <v>6.9681844711303711</v>
      </c>
    </row>
    <row r="6604" spans="1:6" hidden="1" x14ac:dyDescent="0.3">
      <c r="A6604" s="6">
        <v>48</v>
      </c>
      <c r="B6604" s="6" t="s">
        <v>177</v>
      </c>
      <c r="C6604" s="6" t="s">
        <v>378</v>
      </c>
      <c r="D6604" s="6" t="s">
        <v>178</v>
      </c>
      <c r="E6604" s="11">
        <v>6.417686939239502</v>
      </c>
      <c r="F6604" s="11">
        <v>6.9681844711303711</v>
      </c>
    </row>
    <row r="6605" spans="1:6" hidden="1" x14ac:dyDescent="0.3">
      <c r="A6605" s="6">
        <v>48</v>
      </c>
      <c r="B6605" s="6" t="s">
        <v>177</v>
      </c>
      <c r="C6605" s="6" t="s">
        <v>379</v>
      </c>
      <c r="D6605" s="6" t="s">
        <v>178</v>
      </c>
      <c r="E6605" s="11">
        <v>6.3191103935241699</v>
      </c>
      <c r="F6605" s="11">
        <v>6.9681844711303711</v>
      </c>
    </row>
    <row r="6606" spans="1:6" hidden="1" x14ac:dyDescent="0.3">
      <c r="A6606" s="6">
        <v>48</v>
      </c>
      <c r="B6606" s="6" t="s">
        <v>177</v>
      </c>
      <c r="C6606" s="6" t="s">
        <v>380</v>
      </c>
      <c r="D6606" s="6" t="s">
        <v>178</v>
      </c>
      <c r="E6606" s="11">
        <v>5.4633331298828125</v>
      </c>
      <c r="F6606" s="11">
        <v>6.9681844711303711</v>
      </c>
    </row>
    <row r="6607" spans="1:6" hidden="1" x14ac:dyDescent="0.3">
      <c r="A6607" s="6">
        <v>48</v>
      </c>
      <c r="B6607" s="6" t="s">
        <v>177</v>
      </c>
      <c r="C6607" s="6" t="s">
        <v>381</v>
      </c>
      <c r="D6607" s="6" t="s">
        <v>178</v>
      </c>
      <c r="E6607" s="11">
        <v>5.1113357543945313</v>
      </c>
      <c r="F6607" s="11">
        <v>6.9681844711303711</v>
      </c>
    </row>
    <row r="6608" spans="1:6" hidden="1" x14ac:dyDescent="0.3">
      <c r="A6608" s="6">
        <v>48</v>
      </c>
      <c r="B6608" s="6" t="s">
        <v>177</v>
      </c>
      <c r="C6608" s="6" t="s">
        <v>382</v>
      </c>
      <c r="D6608" s="6" t="s">
        <v>178</v>
      </c>
      <c r="E6608" s="11">
        <v>11.105493545532227</v>
      </c>
      <c r="F6608" s="11">
        <v>6.9681844711303711</v>
      </c>
    </row>
    <row r="6609" spans="1:6" hidden="1" x14ac:dyDescent="0.3">
      <c r="A6609" s="6">
        <v>48</v>
      </c>
      <c r="B6609" s="6" t="s">
        <v>177</v>
      </c>
      <c r="C6609" s="6" t="s">
        <v>383</v>
      </c>
      <c r="D6609" s="6" t="s">
        <v>178</v>
      </c>
      <c r="E6609" s="11">
        <v>7.0009312629699707</v>
      </c>
      <c r="F6609" s="11">
        <v>6.9681844711303711</v>
      </c>
    </row>
    <row r="6610" spans="1:6" hidden="1" x14ac:dyDescent="0.3">
      <c r="A6610" s="6">
        <v>48</v>
      </c>
      <c r="B6610" s="6" t="s">
        <v>177</v>
      </c>
      <c r="C6610" s="6" t="s">
        <v>384</v>
      </c>
      <c r="D6610" s="6" t="s">
        <v>178</v>
      </c>
      <c r="E6610" s="11">
        <v>9.1531696319580078</v>
      </c>
      <c r="F6610" s="11">
        <v>6.9681844711303711</v>
      </c>
    </row>
    <row r="6611" spans="1:6" hidden="1" x14ac:dyDescent="0.3">
      <c r="A6611" s="6">
        <v>48</v>
      </c>
      <c r="B6611" s="6" t="s">
        <v>177</v>
      </c>
      <c r="C6611" s="6" t="s">
        <v>385</v>
      </c>
      <c r="D6611" s="6" t="s">
        <v>178</v>
      </c>
      <c r="E6611" s="11">
        <v>6.8480887413024902</v>
      </c>
      <c r="F6611" s="11">
        <v>6.9681844711303711</v>
      </c>
    </row>
    <row r="6612" spans="1:6" hidden="1" x14ac:dyDescent="0.3">
      <c r="A6612" s="6">
        <v>48</v>
      </c>
      <c r="B6612" s="6" t="s">
        <v>177</v>
      </c>
      <c r="C6612" s="6" t="s">
        <v>386</v>
      </c>
      <c r="D6612" s="6" t="s">
        <v>178</v>
      </c>
      <c r="E6612" s="11">
        <v>4.7986831665039063</v>
      </c>
      <c r="F6612" s="11">
        <v>6.9681844711303711</v>
      </c>
    </row>
    <row r="6613" spans="1:6" hidden="1" x14ac:dyDescent="0.3">
      <c r="A6613" s="6">
        <v>48</v>
      </c>
      <c r="B6613" s="6" t="s">
        <v>177</v>
      </c>
      <c r="C6613" s="6" t="s">
        <v>387</v>
      </c>
      <c r="D6613" s="6" t="s">
        <v>178</v>
      </c>
      <c r="E6613" s="11">
        <v>5.5035018920898438</v>
      </c>
      <c r="F6613" s="11">
        <v>6.9681844711303711</v>
      </c>
    </row>
    <row r="6614" spans="1:6" hidden="1" x14ac:dyDescent="0.3">
      <c r="A6614" s="6">
        <v>48</v>
      </c>
      <c r="B6614" s="6" t="s">
        <v>177</v>
      </c>
      <c r="C6614" s="6" t="s">
        <v>388</v>
      </c>
      <c r="D6614" s="6" t="s">
        <v>178</v>
      </c>
      <c r="E6614" s="11">
        <v>5.4395899772644043</v>
      </c>
      <c r="F6614" s="11">
        <v>6.9681844711303711</v>
      </c>
    </row>
    <row r="6615" spans="1:6" hidden="1" x14ac:dyDescent="0.3">
      <c r="A6615" s="6">
        <v>48</v>
      </c>
      <c r="B6615" s="6" t="s">
        <v>177</v>
      </c>
      <c r="C6615" s="6" t="s">
        <v>389</v>
      </c>
      <c r="D6615" s="6" t="s">
        <v>178</v>
      </c>
      <c r="E6615" s="11">
        <v>8.0812196731567383</v>
      </c>
      <c r="F6615" s="11">
        <v>6.9681844711303711</v>
      </c>
    </row>
    <row r="6616" spans="1:6" hidden="1" x14ac:dyDescent="0.3">
      <c r="A6616" s="6">
        <v>48</v>
      </c>
      <c r="B6616" s="6" t="s">
        <v>177</v>
      </c>
      <c r="C6616" s="6" t="s">
        <v>390</v>
      </c>
      <c r="D6616" s="6" t="s">
        <v>178</v>
      </c>
      <c r="E6616" s="11">
        <v>11.477989196777344</v>
      </c>
      <c r="F6616" s="11">
        <v>6.9681844711303711</v>
      </c>
    </row>
    <row r="6617" spans="1:6" hidden="1" x14ac:dyDescent="0.3">
      <c r="A6617" s="6">
        <v>48</v>
      </c>
      <c r="B6617" s="6" t="s">
        <v>177</v>
      </c>
      <c r="C6617" s="6" t="s">
        <v>391</v>
      </c>
      <c r="D6617" s="6" t="s">
        <v>178</v>
      </c>
      <c r="E6617" s="11">
        <v>6.0938811302185059</v>
      </c>
      <c r="F6617" s="11">
        <v>6.9681844711303711</v>
      </c>
    </row>
    <row r="6618" spans="1:6" hidden="1" x14ac:dyDescent="0.3">
      <c r="A6618" s="6">
        <v>48</v>
      </c>
      <c r="B6618" s="6" t="s">
        <v>177</v>
      </c>
      <c r="C6618" s="6" t="s">
        <v>392</v>
      </c>
      <c r="D6618" s="6" t="s">
        <v>178</v>
      </c>
      <c r="E6618" s="11">
        <v>6.3616385459899902</v>
      </c>
      <c r="F6618" s="11">
        <v>6.9681844711303711</v>
      </c>
    </row>
    <row r="6619" spans="1:6" hidden="1" x14ac:dyDescent="0.3">
      <c r="A6619" s="6">
        <v>48</v>
      </c>
      <c r="B6619" s="6" t="s">
        <v>177</v>
      </c>
      <c r="C6619" s="6" t="s">
        <v>393</v>
      </c>
      <c r="D6619" s="6" t="s">
        <v>178</v>
      </c>
      <c r="E6619" s="11">
        <v>9.8333644866943359</v>
      </c>
      <c r="F6619" s="11">
        <v>6.9681844711303711</v>
      </c>
    </row>
    <row r="6620" spans="1:6" hidden="1" x14ac:dyDescent="0.3">
      <c r="A6620" s="6">
        <v>48</v>
      </c>
      <c r="B6620" s="6" t="s">
        <v>177</v>
      </c>
      <c r="C6620" s="6" t="s">
        <v>394</v>
      </c>
      <c r="D6620" s="6" t="s">
        <v>178</v>
      </c>
      <c r="E6620" s="11">
        <v>9.0066308975219727</v>
      </c>
      <c r="F6620" s="11">
        <v>6.9681844711303711</v>
      </c>
    </row>
    <row r="6621" spans="1:6" hidden="1" x14ac:dyDescent="0.3">
      <c r="A6621" s="6">
        <v>48</v>
      </c>
      <c r="B6621" s="6" t="s">
        <v>177</v>
      </c>
      <c r="C6621" s="6" t="s">
        <v>395</v>
      </c>
      <c r="D6621" s="6" t="s">
        <v>178</v>
      </c>
      <c r="E6621" s="11">
        <v>5.6734147071838379</v>
      </c>
      <c r="F6621" s="11">
        <v>6.9681844711303711</v>
      </c>
    </row>
    <row r="6622" spans="1:6" hidden="1" x14ac:dyDescent="0.3">
      <c r="A6622" s="6">
        <v>48</v>
      </c>
      <c r="B6622" s="6" t="s">
        <v>177</v>
      </c>
      <c r="C6622" s="6" t="s">
        <v>396</v>
      </c>
      <c r="D6622" s="6" t="s">
        <v>178</v>
      </c>
      <c r="E6622" s="11">
        <v>4.704282283782959</v>
      </c>
      <c r="F6622" s="11">
        <v>6.9681844711303711</v>
      </c>
    </row>
    <row r="6623" spans="1:6" hidden="1" x14ac:dyDescent="0.3">
      <c r="A6623" s="6">
        <v>48</v>
      </c>
      <c r="B6623" s="6" t="s">
        <v>177</v>
      </c>
      <c r="C6623" s="6" t="s">
        <v>397</v>
      </c>
      <c r="D6623" s="6" t="s">
        <v>178</v>
      </c>
      <c r="E6623" s="11">
        <v>4.7980532646179199</v>
      </c>
      <c r="F6623" s="11">
        <v>6.9681844711303711</v>
      </c>
    </row>
    <row r="6624" spans="1:6" hidden="1" x14ac:dyDescent="0.3">
      <c r="A6624" s="6">
        <v>48</v>
      </c>
      <c r="B6624" s="6" t="s">
        <v>177</v>
      </c>
      <c r="C6624" s="6" t="s">
        <v>398</v>
      </c>
      <c r="D6624" s="6" t="s">
        <v>178</v>
      </c>
      <c r="E6624" s="11"/>
      <c r="F6624" s="11">
        <v>6.9681844711303711</v>
      </c>
    </row>
    <row r="6625" spans="1:6" hidden="1" x14ac:dyDescent="0.3">
      <c r="A6625" s="6">
        <v>48</v>
      </c>
      <c r="B6625" s="6" t="s">
        <v>177</v>
      </c>
      <c r="C6625" s="6" t="s">
        <v>399</v>
      </c>
      <c r="D6625" s="6" t="s">
        <v>178</v>
      </c>
      <c r="E6625" s="11">
        <v>77.202308654785156</v>
      </c>
      <c r="F6625" s="11">
        <v>6.9681844711303711</v>
      </c>
    </row>
    <row r="6626" spans="1:6" hidden="1" x14ac:dyDescent="0.3">
      <c r="A6626" s="6">
        <v>48</v>
      </c>
      <c r="B6626" s="6" t="s">
        <v>177</v>
      </c>
      <c r="C6626" s="6" t="s">
        <v>400</v>
      </c>
      <c r="D6626" s="6" t="s">
        <v>178</v>
      </c>
      <c r="E6626" s="11">
        <v>8.9747867584228516</v>
      </c>
      <c r="F6626" s="11">
        <v>6.9681844711303711</v>
      </c>
    </row>
    <row r="6627" spans="1:6" hidden="1" x14ac:dyDescent="0.3">
      <c r="A6627" s="6">
        <v>48</v>
      </c>
      <c r="B6627" s="6" t="s">
        <v>177</v>
      </c>
      <c r="C6627" s="6" t="s">
        <v>401</v>
      </c>
      <c r="D6627" s="6" t="s">
        <v>178</v>
      </c>
      <c r="E6627" s="11">
        <v>7.7147917747497559</v>
      </c>
      <c r="F6627" s="11">
        <v>6.9681844711303711</v>
      </c>
    </row>
    <row r="6628" spans="1:6" hidden="1" x14ac:dyDescent="0.3">
      <c r="A6628" s="6">
        <v>48</v>
      </c>
      <c r="B6628" s="6" t="s">
        <v>177</v>
      </c>
      <c r="C6628" s="6" t="s">
        <v>402</v>
      </c>
      <c r="D6628" s="6" t="s">
        <v>178</v>
      </c>
      <c r="E6628" s="11">
        <v>9.5686702728271484</v>
      </c>
      <c r="F6628" s="11">
        <v>6.9681844711303711</v>
      </c>
    </row>
    <row r="6629" spans="1:6" hidden="1" x14ac:dyDescent="0.3">
      <c r="A6629" s="6">
        <v>48</v>
      </c>
      <c r="B6629" s="6" t="s">
        <v>177</v>
      </c>
      <c r="C6629" s="6" t="s">
        <v>403</v>
      </c>
      <c r="D6629" s="6" t="s">
        <v>178</v>
      </c>
      <c r="E6629" s="11">
        <v>8.3694467544555664</v>
      </c>
      <c r="F6629" s="11">
        <v>6.9681844711303711</v>
      </c>
    </row>
    <row r="6630" spans="1:6" hidden="1" x14ac:dyDescent="0.3">
      <c r="A6630" s="6">
        <v>48</v>
      </c>
      <c r="B6630" s="6" t="s">
        <v>177</v>
      </c>
      <c r="C6630" s="6" t="s">
        <v>404</v>
      </c>
      <c r="D6630" s="6" t="s">
        <v>178</v>
      </c>
      <c r="E6630" s="11">
        <v>7.2049636840820313</v>
      </c>
      <c r="F6630" s="11">
        <v>6.9681844711303711</v>
      </c>
    </row>
    <row r="6631" spans="1:6" hidden="1" x14ac:dyDescent="0.3">
      <c r="A6631" s="6">
        <v>48</v>
      </c>
      <c r="B6631" s="6" t="s">
        <v>177</v>
      </c>
      <c r="C6631" s="6" t="s">
        <v>405</v>
      </c>
      <c r="D6631" s="6" t="s">
        <v>178</v>
      </c>
      <c r="E6631" s="11">
        <v>8.0705375671386719</v>
      </c>
      <c r="F6631" s="11">
        <v>6.9681844711303711</v>
      </c>
    </row>
    <row r="6632" spans="1:6" hidden="1" x14ac:dyDescent="0.3">
      <c r="A6632" s="6">
        <v>48</v>
      </c>
      <c r="B6632" s="6" t="s">
        <v>177</v>
      </c>
      <c r="C6632" s="6" t="s">
        <v>406</v>
      </c>
      <c r="D6632" s="6" t="s">
        <v>178</v>
      </c>
      <c r="E6632" s="11">
        <v>9.9761466979980469</v>
      </c>
      <c r="F6632" s="11">
        <v>6.9681844711303711</v>
      </c>
    </row>
    <row r="6633" spans="1:6" hidden="1" x14ac:dyDescent="0.3">
      <c r="A6633" s="6">
        <v>48</v>
      </c>
      <c r="B6633" s="6" t="s">
        <v>177</v>
      </c>
      <c r="C6633" s="6" t="s">
        <v>407</v>
      </c>
      <c r="D6633" s="6" t="s">
        <v>178</v>
      </c>
      <c r="E6633" s="11">
        <v>5.3491024971008301</v>
      </c>
      <c r="F6633" s="11">
        <v>6.9681844711303711</v>
      </c>
    </row>
    <row r="6634" spans="1:6" hidden="1" x14ac:dyDescent="0.3">
      <c r="A6634" s="6">
        <v>48</v>
      </c>
      <c r="B6634" s="6" t="s">
        <v>177</v>
      </c>
      <c r="C6634" s="6" t="s">
        <v>408</v>
      </c>
      <c r="D6634" s="6" t="s">
        <v>178</v>
      </c>
      <c r="E6634" s="11">
        <v>6.2430210113525391</v>
      </c>
      <c r="F6634" s="11">
        <v>6.9681844711303711</v>
      </c>
    </row>
    <row r="6635" spans="1:6" hidden="1" x14ac:dyDescent="0.3">
      <c r="A6635" s="6">
        <v>48</v>
      </c>
      <c r="B6635" s="6" t="s">
        <v>177</v>
      </c>
      <c r="C6635" s="6" t="s">
        <v>409</v>
      </c>
      <c r="D6635" s="6" t="s">
        <v>178</v>
      </c>
      <c r="E6635" s="11">
        <v>11.177831649780273</v>
      </c>
      <c r="F6635" s="11">
        <v>6.9681844711303711</v>
      </c>
    </row>
    <row r="6636" spans="1:6" hidden="1" x14ac:dyDescent="0.3">
      <c r="A6636" s="6">
        <v>48</v>
      </c>
      <c r="B6636" s="6" t="s">
        <v>177</v>
      </c>
      <c r="C6636" s="6" t="s">
        <v>410</v>
      </c>
      <c r="D6636" s="6" t="s">
        <v>178</v>
      </c>
      <c r="E6636" s="11">
        <v>7.4579577445983887</v>
      </c>
      <c r="F6636" s="11">
        <v>6.9681844711303711</v>
      </c>
    </row>
    <row r="6637" spans="1:6" hidden="1" x14ac:dyDescent="0.3">
      <c r="A6637" s="6">
        <v>48</v>
      </c>
      <c r="B6637" s="6" t="s">
        <v>177</v>
      </c>
      <c r="C6637" s="6" t="s">
        <v>411</v>
      </c>
      <c r="D6637" s="6" t="s">
        <v>178</v>
      </c>
      <c r="E6637" s="11">
        <v>9.2053050994873047</v>
      </c>
      <c r="F6637" s="11">
        <v>6.9681844711303711</v>
      </c>
    </row>
    <row r="6638" spans="1:6" hidden="1" x14ac:dyDescent="0.3">
      <c r="A6638" s="6">
        <v>48</v>
      </c>
      <c r="B6638" s="6" t="s">
        <v>177</v>
      </c>
      <c r="C6638" s="6" t="s">
        <v>412</v>
      </c>
      <c r="D6638" s="6" t="s">
        <v>178</v>
      </c>
      <c r="E6638" s="11">
        <v>6.1767377853393555</v>
      </c>
      <c r="F6638" s="11">
        <v>6.9681844711303711</v>
      </c>
    </row>
    <row r="6639" spans="1:6" hidden="1" x14ac:dyDescent="0.3">
      <c r="A6639" s="6">
        <v>48</v>
      </c>
      <c r="B6639" s="6" t="s">
        <v>177</v>
      </c>
      <c r="C6639" s="6" t="s">
        <v>413</v>
      </c>
      <c r="D6639" s="6" t="s">
        <v>178</v>
      </c>
      <c r="E6639" s="11">
        <v>6.5701556205749512</v>
      </c>
      <c r="F6639" s="11">
        <v>6.9681844711303711</v>
      </c>
    </row>
    <row r="6640" spans="1:6" hidden="1" x14ac:dyDescent="0.3">
      <c r="A6640" s="6">
        <v>48</v>
      </c>
      <c r="B6640" s="6" t="s">
        <v>177</v>
      </c>
      <c r="C6640" s="6" t="s">
        <v>414</v>
      </c>
      <c r="D6640" s="6" t="s">
        <v>178</v>
      </c>
      <c r="E6640" s="11">
        <v>5.1478404998779297</v>
      </c>
      <c r="F6640" s="11">
        <v>6.9681844711303711</v>
      </c>
    </row>
    <row r="6641" spans="1:6" hidden="1" x14ac:dyDescent="0.3">
      <c r="A6641" s="6">
        <v>48</v>
      </c>
      <c r="B6641" s="6" t="s">
        <v>177</v>
      </c>
      <c r="C6641" s="6" t="s">
        <v>415</v>
      </c>
      <c r="D6641" s="6" t="s">
        <v>178</v>
      </c>
      <c r="E6641" s="11">
        <v>20.817617416381836</v>
      </c>
      <c r="F6641" s="11">
        <v>6.9681844711303711</v>
      </c>
    </row>
    <row r="6642" spans="1:6" hidden="1" x14ac:dyDescent="0.3">
      <c r="A6642" s="6">
        <v>48</v>
      </c>
      <c r="B6642" s="6" t="s">
        <v>177</v>
      </c>
      <c r="C6642" s="6" t="s">
        <v>416</v>
      </c>
      <c r="D6642" s="6" t="s">
        <v>178</v>
      </c>
      <c r="E6642" s="11">
        <v>6.8045964241027832</v>
      </c>
      <c r="F6642" s="11">
        <v>6.9681844711303711</v>
      </c>
    </row>
    <row r="6643" spans="1:6" hidden="1" x14ac:dyDescent="0.3">
      <c r="A6643" s="6">
        <v>48</v>
      </c>
      <c r="B6643" s="6" t="s">
        <v>177</v>
      </c>
      <c r="C6643" s="6" t="s">
        <v>417</v>
      </c>
      <c r="D6643" s="6" t="s">
        <v>178</v>
      </c>
      <c r="E6643" s="11">
        <v>6.5478301048278809</v>
      </c>
      <c r="F6643" s="11">
        <v>6.9681844711303711</v>
      </c>
    </row>
    <row r="6644" spans="1:6" hidden="1" x14ac:dyDescent="0.3">
      <c r="A6644" s="6">
        <v>48</v>
      </c>
      <c r="B6644" s="6" t="s">
        <v>177</v>
      </c>
      <c r="C6644" s="6" t="s">
        <v>418</v>
      </c>
      <c r="D6644" s="6" t="s">
        <v>178</v>
      </c>
      <c r="E6644" s="11">
        <v>6.2571158409118652</v>
      </c>
      <c r="F6644" s="11">
        <v>6.9681844711303711</v>
      </c>
    </row>
    <row r="6645" spans="1:6" hidden="1" x14ac:dyDescent="0.3">
      <c r="A6645" s="6">
        <v>48</v>
      </c>
      <c r="B6645" s="6" t="s">
        <v>177</v>
      </c>
      <c r="C6645" s="6" t="s">
        <v>419</v>
      </c>
      <c r="D6645" s="6" t="s">
        <v>178</v>
      </c>
      <c r="E6645" s="11">
        <v>5.2969255447387695</v>
      </c>
      <c r="F6645" s="11">
        <v>6.9681844711303711</v>
      </c>
    </row>
    <row r="6646" spans="1:6" hidden="1" x14ac:dyDescent="0.3">
      <c r="A6646" s="6">
        <v>48</v>
      </c>
      <c r="B6646" s="6" t="s">
        <v>177</v>
      </c>
      <c r="C6646" s="6" t="s">
        <v>420</v>
      </c>
      <c r="D6646" s="6" t="s">
        <v>178</v>
      </c>
      <c r="E6646" s="11">
        <v>5.6421208381652832</v>
      </c>
      <c r="F6646" s="11">
        <v>6.9681844711303711</v>
      </c>
    </row>
    <row r="6647" spans="1:6" hidden="1" x14ac:dyDescent="0.3">
      <c r="A6647" s="6">
        <v>48</v>
      </c>
      <c r="B6647" s="6" t="s">
        <v>177</v>
      </c>
      <c r="C6647" s="6" t="s">
        <v>421</v>
      </c>
      <c r="D6647" s="6" t="s">
        <v>178</v>
      </c>
      <c r="E6647" s="11">
        <v>6.5050344467163086</v>
      </c>
      <c r="F6647" s="11">
        <v>6.9681844711303711</v>
      </c>
    </row>
    <row r="6648" spans="1:6" hidden="1" x14ac:dyDescent="0.3">
      <c r="A6648" s="6">
        <v>48</v>
      </c>
      <c r="B6648" s="6" t="s">
        <v>177</v>
      </c>
      <c r="C6648" s="6" t="s">
        <v>422</v>
      </c>
      <c r="D6648" s="6" t="s">
        <v>178</v>
      </c>
      <c r="E6648" s="11">
        <v>8.7980632781982422</v>
      </c>
      <c r="F6648" s="11">
        <v>6.9681844711303711</v>
      </c>
    </row>
    <row r="6649" spans="1:6" hidden="1" x14ac:dyDescent="0.3">
      <c r="A6649" s="6">
        <v>48</v>
      </c>
      <c r="B6649" s="6" t="s">
        <v>177</v>
      </c>
      <c r="C6649" s="6" t="s">
        <v>423</v>
      </c>
      <c r="D6649" s="6" t="s">
        <v>178</v>
      </c>
      <c r="E6649" s="11">
        <v>6.1984167098999023</v>
      </c>
      <c r="F6649" s="11">
        <v>6.9681844711303711</v>
      </c>
    </row>
    <row r="6650" spans="1:6" hidden="1" x14ac:dyDescent="0.3">
      <c r="A6650" s="6">
        <v>48</v>
      </c>
      <c r="B6650" s="6" t="s">
        <v>177</v>
      </c>
      <c r="C6650" s="6" t="s">
        <v>424</v>
      </c>
      <c r="D6650" s="6" t="s">
        <v>178</v>
      </c>
      <c r="E6650" s="11">
        <v>5.6218433380126953</v>
      </c>
      <c r="F6650" s="11">
        <v>6.9681844711303711</v>
      </c>
    </row>
    <row r="6651" spans="1:6" hidden="1" x14ac:dyDescent="0.3">
      <c r="A6651" s="6">
        <v>48</v>
      </c>
      <c r="B6651" s="6" t="s">
        <v>177</v>
      </c>
      <c r="C6651" s="6" t="s">
        <v>425</v>
      </c>
      <c r="D6651" s="6" t="s">
        <v>178</v>
      </c>
      <c r="E6651" s="11">
        <v>6.0022149085998535</v>
      </c>
      <c r="F6651" s="11">
        <v>6.9681844711303711</v>
      </c>
    </row>
    <row r="6652" spans="1:6" hidden="1" x14ac:dyDescent="0.3">
      <c r="A6652" s="6">
        <v>48</v>
      </c>
      <c r="B6652" s="6" t="s">
        <v>177</v>
      </c>
      <c r="C6652" s="6" t="s">
        <v>426</v>
      </c>
      <c r="D6652" s="6" t="s">
        <v>178</v>
      </c>
      <c r="E6652" s="11">
        <v>5.148705005645752</v>
      </c>
      <c r="F6652" s="11">
        <v>6.9681844711303711</v>
      </c>
    </row>
    <row r="6653" spans="1:6" hidden="1" x14ac:dyDescent="0.3">
      <c r="A6653" s="6">
        <v>48</v>
      </c>
      <c r="B6653" s="6" t="s">
        <v>177</v>
      </c>
      <c r="C6653" s="6" t="s">
        <v>427</v>
      </c>
      <c r="D6653" s="6" t="s">
        <v>178</v>
      </c>
      <c r="E6653" s="11">
        <v>70.121330261230469</v>
      </c>
      <c r="F6653" s="11">
        <v>6.9681844711303711</v>
      </c>
    </row>
    <row r="6654" spans="1:6" hidden="1" x14ac:dyDescent="0.3">
      <c r="A6654" s="6">
        <v>48</v>
      </c>
      <c r="B6654" s="6" t="s">
        <v>177</v>
      </c>
      <c r="C6654" s="6" t="s">
        <v>428</v>
      </c>
      <c r="D6654" s="6" t="s">
        <v>178</v>
      </c>
      <c r="E6654" s="11">
        <v>7.4526400566101074</v>
      </c>
      <c r="F6654" s="11">
        <v>6.9681844711303711</v>
      </c>
    </row>
    <row r="6655" spans="1:6" hidden="1" x14ac:dyDescent="0.3">
      <c r="A6655" s="6">
        <v>48</v>
      </c>
      <c r="B6655" s="6" t="s">
        <v>177</v>
      </c>
      <c r="C6655" s="6" t="s">
        <v>429</v>
      </c>
      <c r="D6655" s="6" t="s">
        <v>178</v>
      </c>
      <c r="E6655" s="11">
        <v>6.8936576843261719</v>
      </c>
      <c r="F6655" s="11">
        <v>6.9681844711303711</v>
      </c>
    </row>
    <row r="6656" spans="1:6" hidden="1" x14ac:dyDescent="0.3">
      <c r="A6656" s="6">
        <v>48</v>
      </c>
      <c r="B6656" s="6" t="s">
        <v>177</v>
      </c>
      <c r="C6656" s="6" t="s">
        <v>430</v>
      </c>
      <c r="D6656" s="6" t="s">
        <v>178</v>
      </c>
      <c r="E6656" s="11">
        <v>5.129636287689209</v>
      </c>
      <c r="F6656" s="11">
        <v>6.9681844711303711</v>
      </c>
    </row>
    <row r="6657" spans="1:6" hidden="1" x14ac:dyDescent="0.3">
      <c r="A6657" s="6">
        <v>48</v>
      </c>
      <c r="B6657" s="6" t="s">
        <v>177</v>
      </c>
      <c r="C6657" s="6" t="s">
        <v>431</v>
      </c>
      <c r="D6657" s="6" t="s">
        <v>178</v>
      </c>
      <c r="E6657" s="11">
        <v>8.1402130126953125</v>
      </c>
      <c r="F6657" s="11">
        <v>6.9681844711303711</v>
      </c>
    </row>
    <row r="6658" spans="1:6" hidden="1" x14ac:dyDescent="0.3">
      <c r="A6658" s="6">
        <v>48</v>
      </c>
      <c r="B6658" s="6" t="s">
        <v>177</v>
      </c>
      <c r="C6658" s="6" t="s">
        <v>432</v>
      </c>
      <c r="D6658" s="6" t="s">
        <v>178</v>
      </c>
      <c r="E6658" s="11">
        <v>6.6269221305847168</v>
      </c>
      <c r="F6658" s="11">
        <v>6.9681844711303711</v>
      </c>
    </row>
    <row r="6659" spans="1:6" hidden="1" x14ac:dyDescent="0.3">
      <c r="A6659" s="6">
        <v>48</v>
      </c>
      <c r="B6659" s="6" t="s">
        <v>177</v>
      </c>
      <c r="C6659" s="6" t="s">
        <v>433</v>
      </c>
      <c r="D6659" s="6" t="s">
        <v>178</v>
      </c>
      <c r="E6659" s="11">
        <v>5.515925407409668</v>
      </c>
      <c r="F6659" s="11">
        <v>6.9681844711303711</v>
      </c>
    </row>
    <row r="6660" spans="1:6" hidden="1" x14ac:dyDescent="0.3">
      <c r="A6660" s="6">
        <v>48</v>
      </c>
      <c r="B6660" s="6" t="s">
        <v>177</v>
      </c>
      <c r="C6660" s="6" t="s">
        <v>434</v>
      </c>
      <c r="D6660" s="6" t="s">
        <v>178</v>
      </c>
      <c r="E6660" s="11">
        <v>5.2048821449279785</v>
      </c>
      <c r="F6660" s="11">
        <v>6.9681844711303711</v>
      </c>
    </row>
    <row r="6661" spans="1:6" hidden="1" x14ac:dyDescent="0.3">
      <c r="A6661" s="6">
        <v>48</v>
      </c>
      <c r="B6661" s="6" t="s">
        <v>177</v>
      </c>
      <c r="C6661" s="6" t="s">
        <v>435</v>
      </c>
      <c r="D6661" s="6" t="s">
        <v>178</v>
      </c>
      <c r="E6661" s="11">
        <v>7.3688631057739258</v>
      </c>
      <c r="F6661" s="11">
        <v>6.9681844711303711</v>
      </c>
    </row>
    <row r="6662" spans="1:6" hidden="1" x14ac:dyDescent="0.3">
      <c r="A6662" s="6">
        <v>48</v>
      </c>
      <c r="B6662" s="6" t="s">
        <v>177</v>
      </c>
      <c r="C6662" s="6" t="s">
        <v>436</v>
      </c>
      <c r="D6662" s="6" t="s">
        <v>178</v>
      </c>
      <c r="E6662" s="11">
        <v>8.3791875839233398</v>
      </c>
      <c r="F6662" s="11">
        <v>6.9681844711303711</v>
      </c>
    </row>
    <row r="6663" spans="1:6" hidden="1" x14ac:dyDescent="0.3">
      <c r="A6663" s="6">
        <v>48</v>
      </c>
      <c r="B6663" s="6" t="s">
        <v>177</v>
      </c>
      <c r="C6663" s="6" t="s">
        <v>437</v>
      </c>
      <c r="D6663" s="6" t="s">
        <v>178</v>
      </c>
      <c r="E6663" s="11">
        <v>6.4658107757568359</v>
      </c>
      <c r="F6663" s="11">
        <v>6.9681844711303711</v>
      </c>
    </row>
    <row r="6664" spans="1:6" hidden="1" x14ac:dyDescent="0.3">
      <c r="A6664" s="6">
        <v>48</v>
      </c>
      <c r="B6664" s="6" t="s">
        <v>177</v>
      </c>
      <c r="C6664" s="6" t="s">
        <v>438</v>
      </c>
      <c r="D6664" s="6" t="s">
        <v>178</v>
      </c>
      <c r="E6664" s="11">
        <v>4.6061606407165527</v>
      </c>
      <c r="F6664" s="11">
        <v>6.9681844711303711</v>
      </c>
    </row>
    <row r="6665" spans="1:6" hidden="1" x14ac:dyDescent="0.3">
      <c r="A6665" s="6">
        <v>48</v>
      </c>
      <c r="B6665" s="6" t="s">
        <v>177</v>
      </c>
      <c r="C6665" s="6" t="s">
        <v>439</v>
      </c>
      <c r="D6665" s="6" t="s">
        <v>178</v>
      </c>
      <c r="E6665" s="11">
        <v>6.062924861907959</v>
      </c>
      <c r="F6665" s="11">
        <v>6.9681844711303711</v>
      </c>
    </row>
    <row r="6666" spans="1:6" hidden="1" x14ac:dyDescent="0.3">
      <c r="A6666" s="6">
        <v>48</v>
      </c>
      <c r="B6666" s="6" t="s">
        <v>177</v>
      </c>
      <c r="C6666" s="6" t="s">
        <v>440</v>
      </c>
      <c r="D6666" s="6" t="s">
        <v>178</v>
      </c>
      <c r="E6666" s="11">
        <v>9.1580600738525391</v>
      </c>
      <c r="F6666" s="11">
        <v>6.9681844711303711</v>
      </c>
    </row>
    <row r="6667" spans="1:6" hidden="1" x14ac:dyDescent="0.3">
      <c r="A6667" s="6">
        <v>48</v>
      </c>
      <c r="B6667" s="6" t="s">
        <v>177</v>
      </c>
      <c r="C6667" s="6" t="s">
        <v>441</v>
      </c>
      <c r="D6667" s="6" t="s">
        <v>178</v>
      </c>
      <c r="E6667" s="11">
        <v>4.474952220916748</v>
      </c>
      <c r="F6667" s="11">
        <v>6.9681844711303711</v>
      </c>
    </row>
    <row r="6668" spans="1:6" hidden="1" x14ac:dyDescent="0.3">
      <c r="A6668" s="6">
        <v>48</v>
      </c>
      <c r="B6668" s="6" t="s">
        <v>177</v>
      </c>
      <c r="C6668" s="6" t="s">
        <v>442</v>
      </c>
      <c r="D6668" s="6" t="s">
        <v>178</v>
      </c>
      <c r="E6668" s="11">
        <v>186.75682067871094</v>
      </c>
      <c r="F6668" s="11">
        <v>6.9681844711303711</v>
      </c>
    </row>
    <row r="6669" spans="1:6" hidden="1" x14ac:dyDescent="0.3">
      <c r="A6669" s="6">
        <v>48</v>
      </c>
      <c r="B6669" s="6" t="s">
        <v>177</v>
      </c>
      <c r="C6669" s="6" t="s">
        <v>443</v>
      </c>
      <c r="D6669" s="6" t="s">
        <v>178</v>
      </c>
      <c r="E6669" s="11">
        <v>9.1142215728759766</v>
      </c>
      <c r="F6669" s="11">
        <v>6.9681844711303711</v>
      </c>
    </row>
    <row r="6670" spans="1:6" hidden="1" x14ac:dyDescent="0.3">
      <c r="A6670" s="6">
        <v>48</v>
      </c>
      <c r="B6670" s="6" t="s">
        <v>177</v>
      </c>
      <c r="C6670" s="6" t="s">
        <v>444</v>
      </c>
      <c r="D6670" s="6" t="s">
        <v>178</v>
      </c>
      <c r="E6670" s="11">
        <v>5.5407781600952148</v>
      </c>
      <c r="F6670" s="11">
        <v>6.9681844711303711</v>
      </c>
    </row>
    <row r="6671" spans="1:6" hidden="1" x14ac:dyDescent="0.3">
      <c r="A6671" s="6">
        <v>48</v>
      </c>
      <c r="B6671" s="6" t="s">
        <v>177</v>
      </c>
      <c r="C6671" s="6" t="s">
        <v>445</v>
      </c>
      <c r="D6671" s="6" t="s">
        <v>178</v>
      </c>
      <c r="E6671" s="11">
        <v>8.1165761947631836</v>
      </c>
      <c r="F6671" s="11">
        <v>6.9681844711303711</v>
      </c>
    </row>
    <row r="6672" spans="1:6" hidden="1" x14ac:dyDescent="0.3">
      <c r="A6672" s="6">
        <v>48</v>
      </c>
      <c r="B6672" s="6" t="s">
        <v>177</v>
      </c>
      <c r="C6672" s="6" t="s">
        <v>446</v>
      </c>
      <c r="D6672" s="6" t="s">
        <v>178</v>
      </c>
      <c r="E6672" s="11">
        <v>6.2330689430236816</v>
      </c>
      <c r="F6672" s="11">
        <v>6.9681844711303711</v>
      </c>
    </row>
    <row r="6673" spans="1:6" hidden="1" x14ac:dyDescent="0.3">
      <c r="A6673" s="6">
        <v>48</v>
      </c>
      <c r="B6673" s="6" t="s">
        <v>177</v>
      </c>
      <c r="C6673" s="6" t="s">
        <v>447</v>
      </c>
      <c r="D6673" s="6" t="s">
        <v>178</v>
      </c>
      <c r="E6673" s="11">
        <v>8.1226015090942383</v>
      </c>
      <c r="F6673" s="11">
        <v>6.9681844711303711</v>
      </c>
    </row>
    <row r="6674" spans="1:6" hidden="1" x14ac:dyDescent="0.3">
      <c r="A6674" s="6">
        <v>48</v>
      </c>
      <c r="B6674" s="6" t="s">
        <v>177</v>
      </c>
      <c r="C6674" s="6" t="s">
        <v>448</v>
      </c>
      <c r="D6674" s="6" t="s">
        <v>178</v>
      </c>
      <c r="E6674" s="11">
        <v>7.238032341003418</v>
      </c>
      <c r="F6674" s="11">
        <v>6.9681844711303711</v>
      </c>
    </row>
    <row r="6675" spans="1:6" hidden="1" x14ac:dyDescent="0.3">
      <c r="A6675" s="6">
        <v>48</v>
      </c>
      <c r="B6675" s="6" t="s">
        <v>177</v>
      </c>
      <c r="C6675" s="6" t="s">
        <v>449</v>
      </c>
      <c r="D6675" s="6" t="s">
        <v>178</v>
      </c>
      <c r="E6675" s="11">
        <v>6.1115398406982422</v>
      </c>
      <c r="F6675" s="11">
        <v>6.9681844711303711</v>
      </c>
    </row>
    <row r="6676" spans="1:6" hidden="1" x14ac:dyDescent="0.3">
      <c r="A6676" s="6">
        <v>48</v>
      </c>
      <c r="B6676" s="6" t="s">
        <v>177</v>
      </c>
      <c r="C6676" s="6" t="s">
        <v>450</v>
      </c>
      <c r="D6676" s="6" t="s">
        <v>178</v>
      </c>
      <c r="E6676" s="11">
        <v>7.1159486770629883</v>
      </c>
      <c r="F6676" s="11">
        <v>6.9681844711303711</v>
      </c>
    </row>
    <row r="6677" spans="1:6" hidden="1" x14ac:dyDescent="0.3">
      <c r="A6677" s="6">
        <v>48</v>
      </c>
      <c r="B6677" s="6" t="s">
        <v>177</v>
      </c>
      <c r="C6677" s="6" t="s">
        <v>451</v>
      </c>
      <c r="D6677" s="6" t="s">
        <v>178</v>
      </c>
      <c r="E6677" s="11">
        <v>7.0131044387817383</v>
      </c>
      <c r="F6677" s="11">
        <v>6.9681844711303711</v>
      </c>
    </row>
    <row r="6678" spans="1:6" hidden="1" x14ac:dyDescent="0.3">
      <c r="A6678" s="6">
        <v>48</v>
      </c>
      <c r="B6678" s="6" t="s">
        <v>177</v>
      </c>
      <c r="C6678" s="6" t="s">
        <v>452</v>
      </c>
      <c r="D6678" s="6" t="s">
        <v>178</v>
      </c>
      <c r="E6678" s="11">
        <v>6.4845995903015137</v>
      </c>
      <c r="F6678" s="11">
        <v>6.9681844711303711</v>
      </c>
    </row>
    <row r="6679" spans="1:6" hidden="1" x14ac:dyDescent="0.3">
      <c r="A6679" s="6">
        <v>48</v>
      </c>
      <c r="B6679" s="6" t="s">
        <v>177</v>
      </c>
      <c r="C6679" s="6" t="s">
        <v>453</v>
      </c>
      <c r="D6679" s="6" t="s">
        <v>178</v>
      </c>
      <c r="E6679" s="11">
        <v>21.524999618530273</v>
      </c>
      <c r="F6679" s="11">
        <v>6.9681844711303711</v>
      </c>
    </row>
    <row r="6680" spans="1:6" hidden="1" x14ac:dyDescent="0.3">
      <c r="A6680" s="6">
        <v>48</v>
      </c>
      <c r="B6680" s="6" t="s">
        <v>177</v>
      </c>
      <c r="C6680" s="6" t="s">
        <v>454</v>
      </c>
      <c r="D6680" s="6" t="s">
        <v>178</v>
      </c>
      <c r="E6680" s="11">
        <v>8.3161935806274414</v>
      </c>
      <c r="F6680" s="11">
        <v>6.9681844711303711</v>
      </c>
    </row>
    <row r="6681" spans="1:6" hidden="1" x14ac:dyDescent="0.3">
      <c r="A6681" s="6">
        <v>48</v>
      </c>
      <c r="B6681" s="6" t="s">
        <v>177</v>
      </c>
      <c r="C6681" s="6" t="s">
        <v>455</v>
      </c>
      <c r="D6681" s="6" t="s">
        <v>178</v>
      </c>
      <c r="E6681" s="11">
        <v>5.8267359733581543</v>
      </c>
      <c r="F6681" s="11">
        <v>6.9681844711303711</v>
      </c>
    </row>
    <row r="6682" spans="1:6" hidden="1" x14ac:dyDescent="0.3">
      <c r="A6682" s="6">
        <v>48</v>
      </c>
      <c r="B6682" s="6" t="s">
        <v>177</v>
      </c>
      <c r="C6682" s="6" t="s">
        <v>456</v>
      </c>
      <c r="D6682" s="6" t="s">
        <v>178</v>
      </c>
      <c r="E6682" s="11">
        <v>4.8848037719726563</v>
      </c>
      <c r="F6682" s="11">
        <v>6.9681844711303711</v>
      </c>
    </row>
    <row r="6683" spans="1:6" hidden="1" x14ac:dyDescent="0.3">
      <c r="A6683" s="6">
        <v>48</v>
      </c>
      <c r="B6683" s="6" t="s">
        <v>177</v>
      </c>
      <c r="C6683" s="6" t="s">
        <v>457</v>
      </c>
      <c r="D6683" s="6" t="s">
        <v>178</v>
      </c>
      <c r="E6683" s="11">
        <v>8.7977333068847656</v>
      </c>
      <c r="F6683" s="11">
        <v>6.9681844711303711</v>
      </c>
    </row>
    <row r="6684" spans="1:6" hidden="1" x14ac:dyDescent="0.3">
      <c r="A6684" s="6">
        <v>48</v>
      </c>
      <c r="B6684" s="6" t="s">
        <v>177</v>
      </c>
      <c r="C6684" s="6" t="s">
        <v>458</v>
      </c>
      <c r="D6684" s="6" t="s">
        <v>178</v>
      </c>
      <c r="E6684" s="11">
        <v>9.1625156402587891</v>
      </c>
      <c r="F6684" s="11">
        <v>6.9681844711303711</v>
      </c>
    </row>
    <row r="6685" spans="1:6" hidden="1" x14ac:dyDescent="0.3">
      <c r="A6685" s="6">
        <v>48</v>
      </c>
      <c r="B6685" s="6" t="s">
        <v>177</v>
      </c>
      <c r="C6685" s="6" t="s">
        <v>459</v>
      </c>
      <c r="D6685" s="6" t="s">
        <v>178</v>
      </c>
      <c r="E6685" s="11">
        <v>8.6209354400634766</v>
      </c>
      <c r="F6685" s="11">
        <v>6.9681844711303711</v>
      </c>
    </row>
    <row r="6686" spans="1:6" hidden="1" x14ac:dyDescent="0.3">
      <c r="A6686" s="6">
        <v>48</v>
      </c>
      <c r="B6686" s="6" t="s">
        <v>177</v>
      </c>
      <c r="C6686" s="6" t="s">
        <v>460</v>
      </c>
      <c r="D6686" s="6" t="s">
        <v>178</v>
      </c>
      <c r="E6686" s="11">
        <v>11.582980155944824</v>
      </c>
      <c r="F6686" s="11">
        <v>6.9681844711303711</v>
      </c>
    </row>
    <row r="6687" spans="1:6" hidden="1" x14ac:dyDescent="0.3">
      <c r="A6687" s="6">
        <v>48</v>
      </c>
      <c r="B6687" s="6" t="s">
        <v>177</v>
      </c>
      <c r="C6687" s="6" t="s">
        <v>461</v>
      </c>
      <c r="D6687" s="6" t="s">
        <v>178</v>
      </c>
      <c r="E6687" s="11">
        <v>8.5701866149902344</v>
      </c>
      <c r="F6687" s="11">
        <v>6.9681844711303711</v>
      </c>
    </row>
    <row r="6688" spans="1:6" hidden="1" x14ac:dyDescent="0.3">
      <c r="A6688" s="6">
        <v>48</v>
      </c>
      <c r="B6688" s="6" t="s">
        <v>177</v>
      </c>
      <c r="C6688" s="6" t="s">
        <v>462</v>
      </c>
      <c r="D6688" s="6" t="s">
        <v>178</v>
      </c>
      <c r="E6688" s="11">
        <v>6.1401767730712891</v>
      </c>
      <c r="F6688" s="11">
        <v>6.9681844711303711</v>
      </c>
    </row>
    <row r="6689" spans="1:6" hidden="1" x14ac:dyDescent="0.3">
      <c r="A6689" s="6">
        <v>48</v>
      </c>
      <c r="B6689" s="6" t="s">
        <v>177</v>
      </c>
      <c r="C6689" s="6" t="s">
        <v>463</v>
      </c>
      <c r="D6689" s="6" t="s">
        <v>178</v>
      </c>
      <c r="E6689" s="11">
        <v>5.5889930725097656</v>
      </c>
      <c r="F6689" s="11">
        <v>6.9681844711303711</v>
      </c>
    </row>
    <row r="6690" spans="1:6" hidden="1" x14ac:dyDescent="0.3">
      <c r="A6690" s="6">
        <v>48</v>
      </c>
      <c r="B6690" s="6" t="s">
        <v>177</v>
      </c>
      <c r="C6690" s="6" t="s">
        <v>464</v>
      </c>
      <c r="D6690" s="6" t="s">
        <v>178</v>
      </c>
      <c r="E6690" s="11">
        <v>5.5374770164489746</v>
      </c>
      <c r="F6690" s="11">
        <v>6.9681844711303711</v>
      </c>
    </row>
    <row r="6691" spans="1:6" hidden="1" x14ac:dyDescent="0.3">
      <c r="A6691" s="6">
        <v>48</v>
      </c>
      <c r="B6691" s="6" t="s">
        <v>177</v>
      </c>
      <c r="C6691" s="6" t="s">
        <v>465</v>
      </c>
      <c r="D6691" s="6" t="s">
        <v>178</v>
      </c>
      <c r="E6691" s="11">
        <v>6.9321365356445313</v>
      </c>
      <c r="F6691" s="11">
        <v>6.9681844711303711</v>
      </c>
    </row>
    <row r="6692" spans="1:6" hidden="1" x14ac:dyDescent="0.3">
      <c r="A6692" s="6">
        <v>48</v>
      </c>
      <c r="B6692" s="6" t="s">
        <v>177</v>
      </c>
      <c r="C6692" s="6" t="s">
        <v>466</v>
      </c>
      <c r="D6692" s="6" t="s">
        <v>178</v>
      </c>
      <c r="E6692" s="11">
        <v>7.0991573333740234</v>
      </c>
      <c r="F6692" s="11">
        <v>6.9681844711303711</v>
      </c>
    </row>
    <row r="6693" spans="1:6" hidden="1" x14ac:dyDescent="0.3">
      <c r="A6693" s="6">
        <v>48</v>
      </c>
      <c r="B6693" s="6" t="s">
        <v>177</v>
      </c>
      <c r="C6693" s="6" t="s">
        <v>467</v>
      </c>
      <c r="D6693" s="6" t="s">
        <v>178</v>
      </c>
      <c r="E6693" s="11">
        <v>5.093195915222168</v>
      </c>
      <c r="F6693" s="11">
        <v>6.9681844711303711</v>
      </c>
    </row>
    <row r="6694" spans="1:6" hidden="1" x14ac:dyDescent="0.3">
      <c r="A6694" s="6">
        <v>48</v>
      </c>
      <c r="B6694" s="6" t="s">
        <v>177</v>
      </c>
      <c r="C6694" s="6" t="s">
        <v>468</v>
      </c>
      <c r="D6694" s="6" t="s">
        <v>178</v>
      </c>
      <c r="E6694" s="11">
        <v>7.805117130279541</v>
      </c>
      <c r="F6694" s="11">
        <v>6.9681844711303711</v>
      </c>
    </row>
    <row r="6695" spans="1:6" hidden="1" x14ac:dyDescent="0.3">
      <c r="A6695" s="6">
        <v>48</v>
      </c>
      <c r="B6695" s="6" t="s">
        <v>177</v>
      </c>
      <c r="C6695" s="6" t="s">
        <v>469</v>
      </c>
      <c r="D6695" s="6" t="s">
        <v>178</v>
      </c>
      <c r="E6695" s="11">
        <v>5.6697149276733398</v>
      </c>
      <c r="F6695" s="11">
        <v>6.9681844711303711</v>
      </c>
    </row>
    <row r="6696" spans="1:6" hidden="1" x14ac:dyDescent="0.3">
      <c r="A6696" s="6">
        <v>48</v>
      </c>
      <c r="B6696" s="6" t="s">
        <v>177</v>
      </c>
      <c r="C6696" s="6" t="s">
        <v>470</v>
      </c>
      <c r="D6696" s="6" t="s">
        <v>178</v>
      </c>
      <c r="E6696" s="11">
        <v>7.6946630477905273</v>
      </c>
      <c r="F6696" s="11">
        <v>6.9681844711303711</v>
      </c>
    </row>
    <row r="6697" spans="1:6" hidden="1" x14ac:dyDescent="0.3">
      <c r="A6697" s="6">
        <v>48</v>
      </c>
      <c r="B6697" s="6" t="s">
        <v>177</v>
      </c>
      <c r="C6697" s="6" t="s">
        <v>471</v>
      </c>
      <c r="D6697" s="6" t="s">
        <v>178</v>
      </c>
      <c r="E6697" s="11">
        <v>9.2407016754150391</v>
      </c>
      <c r="F6697" s="11">
        <v>6.9681844711303711</v>
      </c>
    </row>
    <row r="6698" spans="1:6" hidden="1" x14ac:dyDescent="0.3">
      <c r="A6698" s="6">
        <v>48</v>
      </c>
      <c r="B6698" s="6" t="s">
        <v>177</v>
      </c>
      <c r="C6698" s="6" t="s">
        <v>472</v>
      </c>
      <c r="D6698" s="6" t="s">
        <v>178</v>
      </c>
      <c r="E6698" s="11">
        <v>53.798534393310547</v>
      </c>
      <c r="F6698" s="11">
        <v>6.9681844711303711</v>
      </c>
    </row>
    <row r="6699" spans="1:6" hidden="1" x14ac:dyDescent="0.3">
      <c r="A6699" s="6">
        <v>48</v>
      </c>
      <c r="B6699" s="6" t="s">
        <v>177</v>
      </c>
      <c r="C6699" s="6" t="s">
        <v>473</v>
      </c>
      <c r="D6699" s="6" t="s">
        <v>178</v>
      </c>
      <c r="E6699" s="11">
        <v>6.265805721282959</v>
      </c>
      <c r="F6699" s="11">
        <v>6.9681844711303711</v>
      </c>
    </row>
    <row r="6700" spans="1:6" hidden="1" x14ac:dyDescent="0.3">
      <c r="A6700" s="6">
        <v>48</v>
      </c>
      <c r="B6700" s="6" t="s">
        <v>177</v>
      </c>
      <c r="C6700" s="6" t="s">
        <v>474</v>
      </c>
      <c r="D6700" s="6" t="s">
        <v>178</v>
      </c>
      <c r="E6700" s="11">
        <v>4.7027759552001953</v>
      </c>
      <c r="F6700" s="11">
        <v>6.9681844711303711</v>
      </c>
    </row>
    <row r="6701" spans="1:6" hidden="1" x14ac:dyDescent="0.3">
      <c r="A6701" s="6">
        <v>48</v>
      </c>
      <c r="B6701" s="6" t="s">
        <v>177</v>
      </c>
      <c r="C6701" s="6" t="s">
        <v>475</v>
      </c>
      <c r="D6701" s="6" t="s">
        <v>178</v>
      </c>
      <c r="E6701" s="11">
        <v>8.4286136627197266</v>
      </c>
      <c r="F6701" s="11">
        <v>6.9681844711303711</v>
      </c>
    </row>
    <row r="6702" spans="1:6" hidden="1" x14ac:dyDescent="0.3">
      <c r="A6702" s="6">
        <v>48</v>
      </c>
      <c r="B6702" s="6" t="s">
        <v>177</v>
      </c>
      <c r="C6702" s="6" t="s">
        <v>476</v>
      </c>
      <c r="D6702" s="6" t="s">
        <v>178</v>
      </c>
      <c r="E6702" s="11">
        <v>5.3427424430847168</v>
      </c>
      <c r="F6702" s="11">
        <v>6.9681844711303711</v>
      </c>
    </row>
    <row r="6703" spans="1:6" hidden="1" x14ac:dyDescent="0.3">
      <c r="A6703" s="6">
        <v>48</v>
      </c>
      <c r="B6703" s="6" t="s">
        <v>177</v>
      </c>
      <c r="C6703" s="6" t="s">
        <v>477</v>
      </c>
      <c r="D6703" s="6" t="s">
        <v>178</v>
      </c>
      <c r="E6703" s="11">
        <v>6.2958278656005859</v>
      </c>
      <c r="F6703" s="11">
        <v>6.9681844711303711</v>
      </c>
    </row>
    <row r="6704" spans="1:6" hidden="1" x14ac:dyDescent="0.3">
      <c r="A6704" s="6">
        <v>48</v>
      </c>
      <c r="B6704" s="6" t="s">
        <v>177</v>
      </c>
      <c r="C6704" s="6" t="s">
        <v>478</v>
      </c>
      <c r="D6704" s="6" t="s">
        <v>178</v>
      </c>
      <c r="E6704" s="11">
        <v>7.2380695343017578</v>
      </c>
      <c r="F6704" s="11">
        <v>6.9681844711303711</v>
      </c>
    </row>
    <row r="6705" spans="1:6" hidden="1" x14ac:dyDescent="0.3">
      <c r="A6705" s="6">
        <v>48</v>
      </c>
      <c r="B6705" s="6" t="s">
        <v>177</v>
      </c>
      <c r="C6705" s="6" t="s">
        <v>479</v>
      </c>
      <c r="D6705" s="6" t="s">
        <v>178</v>
      </c>
      <c r="E6705" s="11">
        <v>6.323575496673584</v>
      </c>
      <c r="F6705" s="11">
        <v>6.9681844711303711</v>
      </c>
    </row>
    <row r="6706" spans="1:6" hidden="1" x14ac:dyDescent="0.3">
      <c r="A6706" s="6">
        <v>48</v>
      </c>
      <c r="B6706" s="6" t="s">
        <v>177</v>
      </c>
      <c r="C6706" s="6" t="s">
        <v>480</v>
      </c>
      <c r="D6706" s="6" t="s">
        <v>178</v>
      </c>
      <c r="E6706" s="11">
        <v>6.7457075119018555</v>
      </c>
      <c r="F6706" s="11">
        <v>6.9681844711303711</v>
      </c>
    </row>
    <row r="6707" spans="1:6" hidden="1" x14ac:dyDescent="0.3">
      <c r="A6707" s="6">
        <v>48</v>
      </c>
      <c r="B6707" s="6" t="s">
        <v>177</v>
      </c>
      <c r="C6707" s="6" t="s">
        <v>481</v>
      </c>
      <c r="D6707" s="6" t="s">
        <v>178</v>
      </c>
      <c r="E6707" s="11">
        <v>7.8056678771972656</v>
      </c>
      <c r="F6707" s="11">
        <v>6.9681844711303711</v>
      </c>
    </row>
    <row r="6708" spans="1:6" hidden="1" x14ac:dyDescent="0.3">
      <c r="A6708" s="6">
        <v>48</v>
      </c>
      <c r="B6708" s="6" t="s">
        <v>177</v>
      </c>
      <c r="C6708" s="6" t="s">
        <v>482</v>
      </c>
      <c r="D6708" s="6" t="s">
        <v>178</v>
      </c>
      <c r="E6708" s="11">
        <v>9.2937583923339844</v>
      </c>
      <c r="F6708" s="11">
        <v>6.9681844711303711</v>
      </c>
    </row>
    <row r="6709" spans="1:6" hidden="1" x14ac:dyDescent="0.3">
      <c r="A6709" s="6">
        <v>48</v>
      </c>
      <c r="B6709" s="6" t="s">
        <v>177</v>
      </c>
      <c r="C6709" s="6" t="s">
        <v>483</v>
      </c>
      <c r="D6709" s="6" t="s">
        <v>178</v>
      </c>
      <c r="E6709" s="11">
        <v>8.613804817199707</v>
      </c>
      <c r="F6709" s="11">
        <v>6.9681844711303711</v>
      </c>
    </row>
    <row r="6710" spans="1:6" hidden="1" x14ac:dyDescent="0.3">
      <c r="A6710" s="6">
        <v>48</v>
      </c>
      <c r="B6710" s="6" t="s">
        <v>177</v>
      </c>
      <c r="C6710" s="6" t="s">
        <v>484</v>
      </c>
      <c r="D6710" s="6" t="s">
        <v>178</v>
      </c>
      <c r="E6710" s="11">
        <v>7.0422811508178711</v>
      </c>
      <c r="F6710" s="11">
        <v>6.9681844711303711</v>
      </c>
    </row>
    <row r="6711" spans="1:6" hidden="1" x14ac:dyDescent="0.3">
      <c r="A6711" s="6">
        <v>48</v>
      </c>
      <c r="B6711" s="6" t="s">
        <v>177</v>
      </c>
      <c r="C6711" s="6" t="s">
        <v>485</v>
      </c>
      <c r="D6711" s="6" t="s">
        <v>178</v>
      </c>
      <c r="E6711" s="11">
        <v>5.2288098335266113</v>
      </c>
      <c r="F6711" s="11">
        <v>6.9681844711303711</v>
      </c>
    </row>
    <row r="6712" spans="1:6" hidden="1" x14ac:dyDescent="0.3">
      <c r="A6712" s="6">
        <v>48</v>
      </c>
      <c r="B6712" s="6" t="s">
        <v>177</v>
      </c>
      <c r="C6712" s="6" t="s">
        <v>486</v>
      </c>
      <c r="D6712" s="6" t="s">
        <v>178</v>
      </c>
      <c r="E6712" s="11">
        <v>5.398064136505127</v>
      </c>
      <c r="F6712" s="11">
        <v>6.9681844711303711</v>
      </c>
    </row>
    <row r="6713" spans="1:6" hidden="1" x14ac:dyDescent="0.3">
      <c r="A6713" s="6">
        <v>48</v>
      </c>
      <c r="B6713" s="6" t="s">
        <v>177</v>
      </c>
      <c r="C6713" s="6" t="s">
        <v>487</v>
      </c>
      <c r="D6713" s="6" t="s">
        <v>178</v>
      </c>
      <c r="E6713" s="11">
        <v>4.8031759262084961</v>
      </c>
      <c r="F6713" s="11">
        <v>6.9681844711303711</v>
      </c>
    </row>
    <row r="6714" spans="1:6" hidden="1" x14ac:dyDescent="0.3">
      <c r="A6714" s="6">
        <v>48</v>
      </c>
      <c r="B6714" s="6" t="s">
        <v>177</v>
      </c>
      <c r="C6714" s="6" t="s">
        <v>488</v>
      </c>
      <c r="D6714" s="6" t="s">
        <v>178</v>
      </c>
      <c r="E6714" s="11">
        <v>5.1318745613098145</v>
      </c>
      <c r="F6714" s="11">
        <v>6.9681844711303711</v>
      </c>
    </row>
    <row r="6715" spans="1:6" hidden="1" x14ac:dyDescent="0.3">
      <c r="A6715" s="6">
        <v>48</v>
      </c>
      <c r="B6715" s="6" t="s">
        <v>177</v>
      </c>
      <c r="C6715" s="6" t="s">
        <v>489</v>
      </c>
      <c r="D6715" s="6" t="s">
        <v>178</v>
      </c>
      <c r="E6715" s="11">
        <v>7.4606871604919434</v>
      </c>
      <c r="F6715" s="11">
        <v>6.9681844711303711</v>
      </c>
    </row>
    <row r="6716" spans="1:6" hidden="1" x14ac:dyDescent="0.3">
      <c r="A6716" s="6">
        <v>48</v>
      </c>
      <c r="B6716" s="6" t="s">
        <v>177</v>
      </c>
      <c r="C6716" s="6" t="s">
        <v>490</v>
      </c>
      <c r="D6716" s="6" t="s">
        <v>178</v>
      </c>
      <c r="E6716" s="11">
        <v>8.8909387588500977</v>
      </c>
      <c r="F6716" s="11">
        <v>6.9681844711303711</v>
      </c>
    </row>
    <row r="6717" spans="1:6" hidden="1" x14ac:dyDescent="0.3">
      <c r="A6717" s="6">
        <v>48</v>
      </c>
      <c r="B6717" s="6" t="s">
        <v>177</v>
      </c>
      <c r="C6717" s="6" t="s">
        <v>491</v>
      </c>
      <c r="D6717" s="6" t="s">
        <v>178</v>
      </c>
      <c r="E6717" s="11">
        <v>10.977235794067383</v>
      </c>
      <c r="F6717" s="11">
        <v>6.9681844711303711</v>
      </c>
    </row>
    <row r="6718" spans="1:6" hidden="1" x14ac:dyDescent="0.3">
      <c r="A6718" s="6">
        <v>48</v>
      </c>
      <c r="B6718" s="6" t="s">
        <v>177</v>
      </c>
      <c r="C6718" s="6" t="s">
        <v>492</v>
      </c>
      <c r="D6718" s="6" t="s">
        <v>178</v>
      </c>
      <c r="E6718" s="11">
        <v>5.9426655769348145</v>
      </c>
      <c r="F6718" s="11">
        <v>6.9681844711303711</v>
      </c>
    </row>
    <row r="6719" spans="1:6" hidden="1" x14ac:dyDescent="0.3">
      <c r="A6719" s="6">
        <v>48</v>
      </c>
      <c r="B6719" s="6" t="s">
        <v>177</v>
      </c>
      <c r="C6719" s="6" t="s">
        <v>493</v>
      </c>
      <c r="D6719" s="6" t="s">
        <v>178</v>
      </c>
      <c r="E6719" s="11">
        <v>7.0571012496948242</v>
      </c>
      <c r="F6719" s="11">
        <v>6.9681844711303711</v>
      </c>
    </row>
    <row r="6720" spans="1:6" hidden="1" x14ac:dyDescent="0.3">
      <c r="A6720" s="6">
        <v>48</v>
      </c>
      <c r="B6720" s="6" t="s">
        <v>177</v>
      </c>
      <c r="C6720" s="6" t="s">
        <v>494</v>
      </c>
      <c r="D6720" s="6" t="s">
        <v>178</v>
      </c>
      <c r="E6720" s="11">
        <v>6.1904592514038086</v>
      </c>
      <c r="F6720" s="11">
        <v>6.9681844711303711</v>
      </c>
    </row>
    <row r="6721" spans="1:6" hidden="1" x14ac:dyDescent="0.3">
      <c r="A6721" s="6">
        <v>48</v>
      </c>
      <c r="B6721" s="6" t="s">
        <v>177</v>
      </c>
      <c r="C6721" s="6" t="s">
        <v>495</v>
      </c>
      <c r="D6721" s="6" t="s">
        <v>178</v>
      </c>
      <c r="E6721" s="11">
        <v>7.4135336875915527</v>
      </c>
      <c r="F6721" s="11">
        <v>6.9681844711303711</v>
      </c>
    </row>
    <row r="6722" spans="1:6" hidden="1" x14ac:dyDescent="0.3">
      <c r="A6722" s="6">
        <v>49</v>
      </c>
      <c r="B6722" s="6" t="s">
        <v>179</v>
      </c>
      <c r="C6722" s="6" t="s">
        <v>356</v>
      </c>
      <c r="D6722" s="6" t="s">
        <v>180</v>
      </c>
      <c r="E6722" s="11">
        <v>13.973788261413574</v>
      </c>
      <c r="F6722" s="11">
        <v>8.0456209182739258</v>
      </c>
    </row>
    <row r="6723" spans="1:6" hidden="1" x14ac:dyDescent="0.3">
      <c r="A6723" s="6">
        <v>49</v>
      </c>
      <c r="B6723" s="6" t="s">
        <v>179</v>
      </c>
      <c r="C6723" s="6" t="s">
        <v>357</v>
      </c>
      <c r="D6723" s="6" t="s">
        <v>180</v>
      </c>
      <c r="E6723" s="11">
        <v>8.0460548400878906</v>
      </c>
      <c r="F6723" s="11">
        <v>8.0456209182739258</v>
      </c>
    </row>
    <row r="6724" spans="1:6" hidden="1" x14ac:dyDescent="0.3">
      <c r="A6724" s="6">
        <v>49</v>
      </c>
      <c r="B6724" s="6" t="s">
        <v>179</v>
      </c>
      <c r="C6724" s="6" t="s">
        <v>358</v>
      </c>
      <c r="D6724" s="6" t="s">
        <v>180</v>
      </c>
      <c r="E6724" s="11">
        <v>7.363135814666748</v>
      </c>
      <c r="F6724" s="11">
        <v>8.0456209182739258</v>
      </c>
    </row>
    <row r="6725" spans="1:6" hidden="1" x14ac:dyDescent="0.3">
      <c r="A6725" s="6">
        <v>49</v>
      </c>
      <c r="B6725" s="6" t="s">
        <v>179</v>
      </c>
      <c r="C6725" s="6" t="s">
        <v>359</v>
      </c>
      <c r="D6725" s="6" t="s">
        <v>180</v>
      </c>
      <c r="E6725" s="11">
        <v>9.7475433349609375</v>
      </c>
      <c r="F6725" s="11">
        <v>8.0456209182739258</v>
      </c>
    </row>
    <row r="6726" spans="1:6" hidden="1" x14ac:dyDescent="0.3">
      <c r="A6726" s="6">
        <v>49</v>
      </c>
      <c r="B6726" s="6" t="s">
        <v>179</v>
      </c>
      <c r="C6726" s="6" t="s">
        <v>360</v>
      </c>
      <c r="D6726" s="6" t="s">
        <v>180</v>
      </c>
      <c r="E6726" s="11">
        <v>7.622042179107666</v>
      </c>
      <c r="F6726" s="11">
        <v>8.0456209182739258</v>
      </c>
    </row>
    <row r="6727" spans="1:6" hidden="1" x14ac:dyDescent="0.3">
      <c r="A6727" s="6">
        <v>49</v>
      </c>
      <c r="B6727" s="6" t="s">
        <v>179</v>
      </c>
      <c r="C6727" s="6" t="s">
        <v>361</v>
      </c>
      <c r="D6727" s="6" t="s">
        <v>180</v>
      </c>
      <c r="E6727" s="11">
        <v>11.15692138671875</v>
      </c>
      <c r="F6727" s="11">
        <v>8.0456209182739258</v>
      </c>
    </row>
    <row r="6728" spans="1:6" hidden="1" x14ac:dyDescent="0.3">
      <c r="A6728" s="6">
        <v>49</v>
      </c>
      <c r="B6728" s="6" t="s">
        <v>179</v>
      </c>
      <c r="C6728" s="6" t="s">
        <v>362</v>
      </c>
      <c r="D6728" s="6" t="s">
        <v>180</v>
      </c>
      <c r="E6728" s="11">
        <v>5.6137204170227051</v>
      </c>
      <c r="F6728" s="11">
        <v>8.0456209182739258</v>
      </c>
    </row>
    <row r="6729" spans="1:6" hidden="1" x14ac:dyDescent="0.3">
      <c r="A6729" s="6">
        <v>49</v>
      </c>
      <c r="B6729" s="6" t="s">
        <v>179</v>
      </c>
      <c r="C6729" s="6" t="s">
        <v>363</v>
      </c>
      <c r="D6729" s="6" t="s">
        <v>180</v>
      </c>
      <c r="E6729" s="11">
        <v>22.619106292724609</v>
      </c>
      <c r="F6729" s="11">
        <v>8.0456209182739258</v>
      </c>
    </row>
    <row r="6730" spans="1:6" hidden="1" x14ac:dyDescent="0.3">
      <c r="A6730" s="6">
        <v>49</v>
      </c>
      <c r="B6730" s="6" t="s">
        <v>179</v>
      </c>
      <c r="C6730" s="6" t="s">
        <v>364</v>
      </c>
      <c r="D6730" s="6" t="s">
        <v>180</v>
      </c>
      <c r="E6730" s="11">
        <v>42169.6796875</v>
      </c>
      <c r="F6730" s="11">
        <v>8.0456209182739258</v>
      </c>
    </row>
    <row r="6731" spans="1:6" hidden="1" x14ac:dyDescent="0.3">
      <c r="A6731" s="6">
        <v>49</v>
      </c>
      <c r="B6731" s="6" t="s">
        <v>179</v>
      </c>
      <c r="C6731" s="6" t="s">
        <v>365</v>
      </c>
      <c r="D6731" s="6" t="s">
        <v>180</v>
      </c>
      <c r="E6731" s="11">
        <v>8.4500036239624023</v>
      </c>
      <c r="F6731" s="11">
        <v>8.0456209182739258</v>
      </c>
    </row>
    <row r="6732" spans="1:6" hidden="1" x14ac:dyDescent="0.3">
      <c r="A6732" s="6">
        <v>49</v>
      </c>
      <c r="B6732" s="6" t="s">
        <v>179</v>
      </c>
      <c r="C6732" s="6" t="s">
        <v>366</v>
      </c>
      <c r="D6732" s="6" t="s">
        <v>180</v>
      </c>
      <c r="E6732" s="11">
        <v>6.2060790061950684</v>
      </c>
      <c r="F6732" s="11">
        <v>8.0456209182739258</v>
      </c>
    </row>
    <row r="6733" spans="1:6" hidden="1" x14ac:dyDescent="0.3">
      <c r="A6733" s="6">
        <v>49</v>
      </c>
      <c r="B6733" s="6" t="s">
        <v>179</v>
      </c>
      <c r="C6733" s="6" t="s">
        <v>367</v>
      </c>
      <c r="D6733" s="6" t="s">
        <v>180</v>
      </c>
      <c r="E6733" s="11">
        <v>9.25396728515625</v>
      </c>
      <c r="F6733" s="11">
        <v>8.0456209182739258</v>
      </c>
    </row>
    <row r="6734" spans="1:6" hidden="1" x14ac:dyDescent="0.3">
      <c r="A6734" s="6">
        <v>49</v>
      </c>
      <c r="B6734" s="6" t="s">
        <v>179</v>
      </c>
      <c r="C6734" s="6" t="s">
        <v>368</v>
      </c>
      <c r="D6734" s="6" t="s">
        <v>180</v>
      </c>
      <c r="E6734" s="11">
        <v>8.2940483093261719</v>
      </c>
      <c r="F6734" s="11">
        <v>8.0456209182739258</v>
      </c>
    </row>
    <row r="6735" spans="1:6" hidden="1" x14ac:dyDescent="0.3">
      <c r="A6735" s="6">
        <v>49</v>
      </c>
      <c r="B6735" s="6" t="s">
        <v>179</v>
      </c>
      <c r="C6735" s="6" t="s">
        <v>369</v>
      </c>
      <c r="D6735" s="6" t="s">
        <v>180</v>
      </c>
      <c r="E6735" s="11">
        <v>5.6417865753173828</v>
      </c>
      <c r="F6735" s="11">
        <v>8.0456209182739258</v>
      </c>
    </row>
    <row r="6736" spans="1:6" hidden="1" x14ac:dyDescent="0.3">
      <c r="A6736" s="6">
        <v>49</v>
      </c>
      <c r="B6736" s="6" t="s">
        <v>179</v>
      </c>
      <c r="C6736" s="6" t="s">
        <v>370</v>
      </c>
      <c r="D6736" s="6" t="s">
        <v>180</v>
      </c>
      <c r="E6736" s="11">
        <v>5.912022590637207</v>
      </c>
      <c r="F6736" s="11">
        <v>8.0456209182739258</v>
      </c>
    </row>
    <row r="6737" spans="1:6" hidden="1" x14ac:dyDescent="0.3">
      <c r="A6737" s="6">
        <v>49</v>
      </c>
      <c r="B6737" s="6" t="s">
        <v>179</v>
      </c>
      <c r="C6737" s="6" t="s">
        <v>371</v>
      </c>
      <c r="D6737" s="6" t="s">
        <v>180</v>
      </c>
      <c r="E6737" s="11">
        <v>6.5650362968444824</v>
      </c>
      <c r="F6737" s="11">
        <v>8.0456209182739258</v>
      </c>
    </row>
    <row r="6738" spans="1:6" hidden="1" x14ac:dyDescent="0.3">
      <c r="A6738" s="6">
        <v>49</v>
      </c>
      <c r="B6738" s="6" t="s">
        <v>179</v>
      </c>
      <c r="C6738" s="6" t="s">
        <v>372</v>
      </c>
      <c r="D6738" s="6" t="s">
        <v>180</v>
      </c>
      <c r="E6738" s="11">
        <v>10.445444107055664</v>
      </c>
      <c r="F6738" s="11">
        <v>8.0456209182739258</v>
      </c>
    </row>
    <row r="6739" spans="1:6" hidden="1" x14ac:dyDescent="0.3">
      <c r="A6739" s="6">
        <v>49</v>
      </c>
      <c r="B6739" s="6" t="s">
        <v>179</v>
      </c>
      <c r="C6739" s="6" t="s">
        <v>373</v>
      </c>
      <c r="D6739" s="6" t="s">
        <v>180</v>
      </c>
      <c r="E6739" s="11">
        <v>7.0423665046691895</v>
      </c>
      <c r="F6739" s="11">
        <v>8.0456209182739258</v>
      </c>
    </row>
    <row r="6740" spans="1:6" hidden="1" x14ac:dyDescent="0.3">
      <c r="A6740" s="6">
        <v>49</v>
      </c>
      <c r="B6740" s="6" t="s">
        <v>179</v>
      </c>
      <c r="C6740" s="6" t="s">
        <v>374</v>
      </c>
      <c r="D6740" s="6" t="s">
        <v>180</v>
      </c>
      <c r="E6740" s="11">
        <v>10.173222541809082</v>
      </c>
      <c r="F6740" s="11">
        <v>8.0456209182739258</v>
      </c>
    </row>
    <row r="6741" spans="1:6" hidden="1" x14ac:dyDescent="0.3">
      <c r="A6741" s="6">
        <v>49</v>
      </c>
      <c r="B6741" s="6" t="s">
        <v>179</v>
      </c>
      <c r="C6741" s="6" t="s">
        <v>375</v>
      </c>
      <c r="D6741" s="6" t="s">
        <v>180</v>
      </c>
      <c r="E6741" s="11">
        <v>11.591141700744629</v>
      </c>
      <c r="F6741" s="11">
        <v>8.0456209182739258</v>
      </c>
    </row>
    <row r="6742" spans="1:6" hidden="1" x14ac:dyDescent="0.3">
      <c r="A6742" s="6">
        <v>49</v>
      </c>
      <c r="B6742" s="6" t="s">
        <v>179</v>
      </c>
      <c r="C6742" s="6" t="s">
        <v>376</v>
      </c>
      <c r="D6742" s="6" t="s">
        <v>180</v>
      </c>
      <c r="E6742" s="11">
        <v>12.870443344116211</v>
      </c>
      <c r="F6742" s="11">
        <v>8.0456209182739258</v>
      </c>
    </row>
    <row r="6743" spans="1:6" hidden="1" x14ac:dyDescent="0.3">
      <c r="A6743" s="6">
        <v>49</v>
      </c>
      <c r="B6743" s="6" t="s">
        <v>179</v>
      </c>
      <c r="C6743" s="6" t="s">
        <v>377</v>
      </c>
      <c r="D6743" s="6" t="s">
        <v>180</v>
      </c>
      <c r="E6743" s="11">
        <v>6.7798585891723633</v>
      </c>
      <c r="F6743" s="11">
        <v>8.0456209182739258</v>
      </c>
    </row>
    <row r="6744" spans="1:6" hidden="1" x14ac:dyDescent="0.3">
      <c r="A6744" s="6">
        <v>49</v>
      </c>
      <c r="B6744" s="6" t="s">
        <v>179</v>
      </c>
      <c r="C6744" s="6" t="s">
        <v>378</v>
      </c>
      <c r="D6744" s="6" t="s">
        <v>180</v>
      </c>
      <c r="E6744" s="11">
        <v>7.0659470558166504</v>
      </c>
      <c r="F6744" s="11">
        <v>8.0456209182739258</v>
      </c>
    </row>
    <row r="6745" spans="1:6" hidden="1" x14ac:dyDescent="0.3">
      <c r="A6745" s="6">
        <v>49</v>
      </c>
      <c r="B6745" s="6" t="s">
        <v>179</v>
      </c>
      <c r="C6745" s="6" t="s">
        <v>379</v>
      </c>
      <c r="D6745" s="6" t="s">
        <v>180</v>
      </c>
      <c r="E6745" s="11">
        <v>8.3743801116943359</v>
      </c>
      <c r="F6745" s="11">
        <v>8.0456209182739258</v>
      </c>
    </row>
    <row r="6746" spans="1:6" hidden="1" x14ac:dyDescent="0.3">
      <c r="A6746" s="6">
        <v>49</v>
      </c>
      <c r="B6746" s="6" t="s">
        <v>179</v>
      </c>
      <c r="C6746" s="6" t="s">
        <v>380</v>
      </c>
      <c r="D6746" s="6" t="s">
        <v>180</v>
      </c>
      <c r="E6746" s="11">
        <v>8.0012054443359375</v>
      </c>
      <c r="F6746" s="11">
        <v>8.0456209182739258</v>
      </c>
    </row>
    <row r="6747" spans="1:6" hidden="1" x14ac:dyDescent="0.3">
      <c r="A6747" s="6">
        <v>49</v>
      </c>
      <c r="B6747" s="6" t="s">
        <v>179</v>
      </c>
      <c r="C6747" s="6" t="s">
        <v>381</v>
      </c>
      <c r="D6747" s="6" t="s">
        <v>180</v>
      </c>
      <c r="E6747" s="11">
        <v>6.7698755264282227</v>
      </c>
      <c r="F6747" s="11">
        <v>8.0456209182739258</v>
      </c>
    </row>
    <row r="6748" spans="1:6" hidden="1" x14ac:dyDescent="0.3">
      <c r="A6748" s="6">
        <v>49</v>
      </c>
      <c r="B6748" s="6" t="s">
        <v>179</v>
      </c>
      <c r="C6748" s="6" t="s">
        <v>382</v>
      </c>
      <c r="D6748" s="6" t="s">
        <v>180</v>
      </c>
      <c r="E6748" s="11">
        <v>23.663326263427734</v>
      </c>
      <c r="F6748" s="11">
        <v>8.0456209182739258</v>
      </c>
    </row>
    <row r="6749" spans="1:6" hidden="1" x14ac:dyDescent="0.3">
      <c r="A6749" s="6">
        <v>49</v>
      </c>
      <c r="B6749" s="6" t="s">
        <v>179</v>
      </c>
      <c r="C6749" s="6" t="s">
        <v>383</v>
      </c>
      <c r="D6749" s="6" t="s">
        <v>180</v>
      </c>
      <c r="E6749" s="11">
        <v>7.6028828620910645</v>
      </c>
      <c r="F6749" s="11">
        <v>8.0456209182739258</v>
      </c>
    </row>
    <row r="6750" spans="1:6" hidden="1" x14ac:dyDescent="0.3">
      <c r="A6750" s="6">
        <v>49</v>
      </c>
      <c r="B6750" s="6" t="s">
        <v>179</v>
      </c>
      <c r="C6750" s="6" t="s">
        <v>384</v>
      </c>
      <c r="D6750" s="6" t="s">
        <v>180</v>
      </c>
      <c r="E6750" s="11">
        <v>8.0192193984985352</v>
      </c>
      <c r="F6750" s="11">
        <v>8.0456209182739258</v>
      </c>
    </row>
    <row r="6751" spans="1:6" hidden="1" x14ac:dyDescent="0.3">
      <c r="A6751" s="6">
        <v>49</v>
      </c>
      <c r="B6751" s="6" t="s">
        <v>179</v>
      </c>
      <c r="C6751" s="6" t="s">
        <v>385</v>
      </c>
      <c r="D6751" s="6" t="s">
        <v>180</v>
      </c>
      <c r="E6751" s="11">
        <v>16.789707183837891</v>
      </c>
      <c r="F6751" s="11">
        <v>8.0456209182739258</v>
      </c>
    </row>
    <row r="6752" spans="1:6" hidden="1" x14ac:dyDescent="0.3">
      <c r="A6752" s="6">
        <v>49</v>
      </c>
      <c r="B6752" s="6" t="s">
        <v>179</v>
      </c>
      <c r="C6752" s="6" t="s">
        <v>386</v>
      </c>
      <c r="D6752" s="6" t="s">
        <v>180</v>
      </c>
      <c r="E6752" s="11">
        <v>5.2407526969909668</v>
      </c>
      <c r="F6752" s="11">
        <v>8.0456209182739258</v>
      </c>
    </row>
    <row r="6753" spans="1:6" hidden="1" x14ac:dyDescent="0.3">
      <c r="A6753" s="6">
        <v>49</v>
      </c>
      <c r="B6753" s="6" t="s">
        <v>179</v>
      </c>
      <c r="C6753" s="6" t="s">
        <v>387</v>
      </c>
      <c r="D6753" s="6" t="s">
        <v>180</v>
      </c>
      <c r="E6753" s="11">
        <v>6.0612263679504395</v>
      </c>
      <c r="F6753" s="11">
        <v>8.0456209182739258</v>
      </c>
    </row>
    <row r="6754" spans="1:6" hidden="1" x14ac:dyDescent="0.3">
      <c r="A6754" s="6">
        <v>49</v>
      </c>
      <c r="B6754" s="6" t="s">
        <v>179</v>
      </c>
      <c r="C6754" s="6" t="s">
        <v>388</v>
      </c>
      <c r="D6754" s="6" t="s">
        <v>180</v>
      </c>
      <c r="E6754" s="11">
        <v>7.2948994636535645</v>
      </c>
      <c r="F6754" s="11">
        <v>8.0456209182739258</v>
      </c>
    </row>
    <row r="6755" spans="1:6" hidden="1" x14ac:dyDescent="0.3">
      <c r="A6755" s="6">
        <v>49</v>
      </c>
      <c r="B6755" s="6" t="s">
        <v>179</v>
      </c>
      <c r="C6755" s="6" t="s">
        <v>389</v>
      </c>
      <c r="D6755" s="6" t="s">
        <v>180</v>
      </c>
      <c r="E6755" s="11">
        <v>7.7440237998962402</v>
      </c>
      <c r="F6755" s="11">
        <v>8.0456209182739258</v>
      </c>
    </row>
    <row r="6756" spans="1:6" hidden="1" x14ac:dyDescent="0.3">
      <c r="A6756" s="6">
        <v>49</v>
      </c>
      <c r="B6756" s="6" t="s">
        <v>179</v>
      </c>
      <c r="C6756" s="6" t="s">
        <v>390</v>
      </c>
      <c r="D6756" s="6" t="s">
        <v>180</v>
      </c>
      <c r="E6756" s="11">
        <v>40.666339874267578</v>
      </c>
      <c r="F6756" s="11">
        <v>8.0456209182739258</v>
      </c>
    </row>
    <row r="6757" spans="1:6" hidden="1" x14ac:dyDescent="0.3">
      <c r="A6757" s="6">
        <v>49</v>
      </c>
      <c r="B6757" s="6" t="s">
        <v>179</v>
      </c>
      <c r="C6757" s="6" t="s">
        <v>391</v>
      </c>
      <c r="D6757" s="6" t="s">
        <v>180</v>
      </c>
      <c r="E6757" s="11">
        <v>8.3612766265869141</v>
      </c>
      <c r="F6757" s="11">
        <v>8.0456209182739258</v>
      </c>
    </row>
    <row r="6758" spans="1:6" hidden="1" x14ac:dyDescent="0.3">
      <c r="A6758" s="6">
        <v>49</v>
      </c>
      <c r="B6758" s="6" t="s">
        <v>179</v>
      </c>
      <c r="C6758" s="6" t="s">
        <v>392</v>
      </c>
      <c r="D6758" s="6" t="s">
        <v>180</v>
      </c>
      <c r="E6758" s="11">
        <v>9.7228717803955078</v>
      </c>
      <c r="F6758" s="11">
        <v>8.0456209182739258</v>
      </c>
    </row>
    <row r="6759" spans="1:6" hidden="1" x14ac:dyDescent="0.3">
      <c r="A6759" s="6">
        <v>49</v>
      </c>
      <c r="B6759" s="6" t="s">
        <v>179</v>
      </c>
      <c r="C6759" s="6" t="s">
        <v>393</v>
      </c>
      <c r="D6759" s="6" t="s">
        <v>180</v>
      </c>
      <c r="E6759" s="11">
        <v>30.420526504516602</v>
      </c>
      <c r="F6759" s="11">
        <v>8.0456209182739258</v>
      </c>
    </row>
    <row r="6760" spans="1:6" hidden="1" x14ac:dyDescent="0.3">
      <c r="A6760" s="6">
        <v>49</v>
      </c>
      <c r="B6760" s="6" t="s">
        <v>179</v>
      </c>
      <c r="C6760" s="6" t="s">
        <v>394</v>
      </c>
      <c r="D6760" s="6" t="s">
        <v>180</v>
      </c>
      <c r="E6760" s="11">
        <v>9.6835746765136719</v>
      </c>
      <c r="F6760" s="11">
        <v>8.0456209182739258</v>
      </c>
    </row>
    <row r="6761" spans="1:6" hidden="1" x14ac:dyDescent="0.3">
      <c r="A6761" s="6">
        <v>49</v>
      </c>
      <c r="B6761" s="6" t="s">
        <v>179</v>
      </c>
      <c r="C6761" s="6" t="s">
        <v>395</v>
      </c>
      <c r="D6761" s="6" t="s">
        <v>180</v>
      </c>
      <c r="E6761" s="11">
        <v>7.6442880630493164</v>
      </c>
      <c r="F6761" s="11">
        <v>8.0456209182739258</v>
      </c>
    </row>
    <row r="6762" spans="1:6" hidden="1" x14ac:dyDescent="0.3">
      <c r="A6762" s="6">
        <v>49</v>
      </c>
      <c r="B6762" s="6" t="s">
        <v>179</v>
      </c>
      <c r="C6762" s="6" t="s">
        <v>396</v>
      </c>
      <c r="D6762" s="6" t="s">
        <v>180</v>
      </c>
      <c r="E6762" s="11">
        <v>5.8152413368225098</v>
      </c>
      <c r="F6762" s="11">
        <v>8.0456209182739258</v>
      </c>
    </row>
    <row r="6763" spans="1:6" hidden="1" x14ac:dyDescent="0.3">
      <c r="A6763" s="6">
        <v>49</v>
      </c>
      <c r="B6763" s="6" t="s">
        <v>179</v>
      </c>
      <c r="C6763" s="6" t="s">
        <v>397</v>
      </c>
      <c r="D6763" s="6" t="s">
        <v>180</v>
      </c>
      <c r="E6763" s="11">
        <v>8.2433395385742188</v>
      </c>
      <c r="F6763" s="11">
        <v>8.0456209182739258</v>
      </c>
    </row>
    <row r="6764" spans="1:6" hidden="1" x14ac:dyDescent="0.3">
      <c r="A6764" s="6">
        <v>49</v>
      </c>
      <c r="B6764" s="6" t="s">
        <v>179</v>
      </c>
      <c r="C6764" s="6" t="s">
        <v>398</v>
      </c>
      <c r="D6764" s="6" t="s">
        <v>180</v>
      </c>
      <c r="E6764" s="11">
        <v>986641.6875</v>
      </c>
      <c r="F6764" s="11">
        <v>8.0456209182739258</v>
      </c>
    </row>
    <row r="6765" spans="1:6" hidden="1" x14ac:dyDescent="0.3">
      <c r="A6765" s="6">
        <v>49</v>
      </c>
      <c r="B6765" s="6" t="s">
        <v>179</v>
      </c>
      <c r="C6765" s="6" t="s">
        <v>399</v>
      </c>
      <c r="D6765" s="6" t="s">
        <v>180</v>
      </c>
      <c r="E6765" s="11">
        <v>229.22561645507813</v>
      </c>
      <c r="F6765" s="11">
        <v>8.0456209182739258</v>
      </c>
    </row>
    <row r="6766" spans="1:6" hidden="1" x14ac:dyDescent="0.3">
      <c r="A6766" s="6">
        <v>49</v>
      </c>
      <c r="B6766" s="6" t="s">
        <v>179</v>
      </c>
      <c r="C6766" s="6" t="s">
        <v>400</v>
      </c>
      <c r="D6766" s="6" t="s">
        <v>180</v>
      </c>
      <c r="E6766" s="11">
        <v>12.584811210632324</v>
      </c>
      <c r="F6766" s="11">
        <v>8.0456209182739258</v>
      </c>
    </row>
    <row r="6767" spans="1:6" hidden="1" x14ac:dyDescent="0.3">
      <c r="A6767" s="6">
        <v>49</v>
      </c>
      <c r="B6767" s="6" t="s">
        <v>179</v>
      </c>
      <c r="C6767" s="6" t="s">
        <v>401</v>
      </c>
      <c r="D6767" s="6" t="s">
        <v>180</v>
      </c>
      <c r="E6767" s="11">
        <v>9.2529754638671875</v>
      </c>
      <c r="F6767" s="11">
        <v>8.0456209182739258</v>
      </c>
    </row>
    <row r="6768" spans="1:6" hidden="1" x14ac:dyDescent="0.3">
      <c r="A6768" s="6">
        <v>49</v>
      </c>
      <c r="B6768" s="6" t="s">
        <v>179</v>
      </c>
      <c r="C6768" s="6" t="s">
        <v>402</v>
      </c>
      <c r="D6768" s="6" t="s">
        <v>180</v>
      </c>
      <c r="E6768" s="11">
        <v>45.992294311523438</v>
      </c>
      <c r="F6768" s="11">
        <v>8.0456209182739258</v>
      </c>
    </row>
    <row r="6769" spans="1:6" hidden="1" x14ac:dyDescent="0.3">
      <c r="A6769" s="6">
        <v>49</v>
      </c>
      <c r="B6769" s="6" t="s">
        <v>179</v>
      </c>
      <c r="C6769" s="6" t="s">
        <v>403</v>
      </c>
      <c r="D6769" s="6" t="s">
        <v>180</v>
      </c>
      <c r="E6769" s="11">
        <v>9.3335399627685547</v>
      </c>
      <c r="F6769" s="11">
        <v>8.0456209182739258</v>
      </c>
    </row>
    <row r="6770" spans="1:6" hidden="1" x14ac:dyDescent="0.3">
      <c r="A6770" s="6">
        <v>49</v>
      </c>
      <c r="B6770" s="6" t="s">
        <v>179</v>
      </c>
      <c r="C6770" s="6" t="s">
        <v>404</v>
      </c>
      <c r="D6770" s="6" t="s">
        <v>180</v>
      </c>
      <c r="E6770" s="11">
        <v>9.8210535049438477</v>
      </c>
      <c r="F6770" s="11">
        <v>8.0456209182739258</v>
      </c>
    </row>
    <row r="6771" spans="1:6" hidden="1" x14ac:dyDescent="0.3">
      <c r="A6771" s="6">
        <v>49</v>
      </c>
      <c r="B6771" s="6" t="s">
        <v>179</v>
      </c>
      <c r="C6771" s="6" t="s">
        <v>405</v>
      </c>
      <c r="D6771" s="6" t="s">
        <v>180</v>
      </c>
      <c r="E6771" s="11">
        <v>6.6726722717285156</v>
      </c>
      <c r="F6771" s="11">
        <v>8.0456209182739258</v>
      </c>
    </row>
    <row r="6772" spans="1:6" hidden="1" x14ac:dyDescent="0.3">
      <c r="A6772" s="6">
        <v>49</v>
      </c>
      <c r="B6772" s="6" t="s">
        <v>179</v>
      </c>
      <c r="C6772" s="6" t="s">
        <v>406</v>
      </c>
      <c r="D6772" s="6" t="s">
        <v>180</v>
      </c>
      <c r="E6772" s="11">
        <v>17.657215118408203</v>
      </c>
      <c r="F6772" s="11">
        <v>8.0456209182739258</v>
      </c>
    </row>
    <row r="6773" spans="1:6" hidden="1" x14ac:dyDescent="0.3">
      <c r="A6773" s="6">
        <v>49</v>
      </c>
      <c r="B6773" s="6" t="s">
        <v>179</v>
      </c>
      <c r="C6773" s="6" t="s">
        <v>407</v>
      </c>
      <c r="D6773" s="6" t="s">
        <v>180</v>
      </c>
      <c r="E6773" s="11">
        <v>13.733669281005859</v>
      </c>
      <c r="F6773" s="11">
        <v>8.0456209182739258</v>
      </c>
    </row>
    <row r="6774" spans="1:6" hidden="1" x14ac:dyDescent="0.3">
      <c r="A6774" s="6">
        <v>49</v>
      </c>
      <c r="B6774" s="6" t="s">
        <v>179</v>
      </c>
      <c r="C6774" s="6" t="s">
        <v>408</v>
      </c>
      <c r="D6774" s="6" t="s">
        <v>180</v>
      </c>
      <c r="E6774" s="11">
        <v>21.97514533996582</v>
      </c>
      <c r="F6774" s="11">
        <v>8.0456209182739258</v>
      </c>
    </row>
    <row r="6775" spans="1:6" hidden="1" x14ac:dyDescent="0.3">
      <c r="A6775" s="6">
        <v>49</v>
      </c>
      <c r="B6775" s="6" t="s">
        <v>179</v>
      </c>
      <c r="C6775" s="6" t="s">
        <v>409</v>
      </c>
      <c r="D6775" s="6" t="s">
        <v>180</v>
      </c>
      <c r="E6775" s="11">
        <v>18.383724212646484</v>
      </c>
      <c r="F6775" s="11">
        <v>8.0456209182739258</v>
      </c>
    </row>
    <row r="6776" spans="1:6" hidden="1" x14ac:dyDescent="0.3">
      <c r="A6776" s="6">
        <v>49</v>
      </c>
      <c r="B6776" s="6" t="s">
        <v>179</v>
      </c>
      <c r="C6776" s="6" t="s">
        <v>410</v>
      </c>
      <c r="D6776" s="6" t="s">
        <v>180</v>
      </c>
      <c r="E6776" s="11">
        <v>12.220502853393555</v>
      </c>
      <c r="F6776" s="11">
        <v>8.0456209182739258</v>
      </c>
    </row>
    <row r="6777" spans="1:6" hidden="1" x14ac:dyDescent="0.3">
      <c r="A6777" s="6">
        <v>49</v>
      </c>
      <c r="B6777" s="6" t="s">
        <v>179</v>
      </c>
      <c r="C6777" s="6" t="s">
        <v>411</v>
      </c>
      <c r="D6777" s="6" t="s">
        <v>180</v>
      </c>
      <c r="E6777" s="11">
        <v>7.4047350883483887</v>
      </c>
      <c r="F6777" s="11">
        <v>8.0456209182739258</v>
      </c>
    </row>
    <row r="6778" spans="1:6" hidden="1" x14ac:dyDescent="0.3">
      <c r="A6778" s="6">
        <v>49</v>
      </c>
      <c r="B6778" s="6" t="s">
        <v>179</v>
      </c>
      <c r="C6778" s="6" t="s">
        <v>412</v>
      </c>
      <c r="D6778" s="6" t="s">
        <v>180</v>
      </c>
      <c r="E6778" s="11">
        <v>7.0499086380004883</v>
      </c>
      <c r="F6778" s="11">
        <v>8.0456209182739258</v>
      </c>
    </row>
    <row r="6779" spans="1:6" hidden="1" x14ac:dyDescent="0.3">
      <c r="A6779" s="6">
        <v>49</v>
      </c>
      <c r="B6779" s="6" t="s">
        <v>179</v>
      </c>
      <c r="C6779" s="6" t="s">
        <v>413</v>
      </c>
      <c r="D6779" s="6" t="s">
        <v>180</v>
      </c>
      <c r="E6779" s="11">
        <v>7.2508759498596191</v>
      </c>
      <c r="F6779" s="11">
        <v>8.0456209182739258</v>
      </c>
    </row>
    <row r="6780" spans="1:6" hidden="1" x14ac:dyDescent="0.3">
      <c r="A6780" s="6">
        <v>49</v>
      </c>
      <c r="B6780" s="6" t="s">
        <v>179</v>
      </c>
      <c r="C6780" s="6" t="s">
        <v>414</v>
      </c>
      <c r="D6780" s="6" t="s">
        <v>180</v>
      </c>
      <c r="E6780" s="11">
        <v>6.336937427520752</v>
      </c>
      <c r="F6780" s="11">
        <v>8.0456209182739258</v>
      </c>
    </row>
    <row r="6781" spans="1:6" hidden="1" x14ac:dyDescent="0.3">
      <c r="A6781" s="6">
        <v>49</v>
      </c>
      <c r="B6781" s="6" t="s">
        <v>179</v>
      </c>
      <c r="C6781" s="6" t="s">
        <v>415</v>
      </c>
      <c r="D6781" s="6" t="s">
        <v>180</v>
      </c>
      <c r="E6781" s="11">
        <v>26.33930778503418</v>
      </c>
      <c r="F6781" s="11">
        <v>8.0456209182739258</v>
      </c>
    </row>
    <row r="6782" spans="1:6" hidden="1" x14ac:dyDescent="0.3">
      <c r="A6782" s="6">
        <v>49</v>
      </c>
      <c r="B6782" s="6" t="s">
        <v>179</v>
      </c>
      <c r="C6782" s="6" t="s">
        <v>416</v>
      </c>
      <c r="D6782" s="6" t="s">
        <v>180</v>
      </c>
      <c r="E6782" s="11">
        <v>11.601474761962891</v>
      </c>
      <c r="F6782" s="11">
        <v>8.0456209182739258</v>
      </c>
    </row>
    <row r="6783" spans="1:6" hidden="1" x14ac:dyDescent="0.3">
      <c r="A6783" s="6">
        <v>49</v>
      </c>
      <c r="B6783" s="6" t="s">
        <v>179</v>
      </c>
      <c r="C6783" s="6" t="s">
        <v>417</v>
      </c>
      <c r="D6783" s="6" t="s">
        <v>180</v>
      </c>
      <c r="E6783" s="11">
        <v>12.52878475189209</v>
      </c>
      <c r="F6783" s="11">
        <v>8.0456209182739258</v>
      </c>
    </row>
    <row r="6784" spans="1:6" hidden="1" x14ac:dyDescent="0.3">
      <c r="A6784" s="6">
        <v>49</v>
      </c>
      <c r="B6784" s="6" t="s">
        <v>179</v>
      </c>
      <c r="C6784" s="6" t="s">
        <v>418</v>
      </c>
      <c r="D6784" s="6" t="s">
        <v>180</v>
      </c>
      <c r="E6784" s="11">
        <v>7.9104223251342773</v>
      </c>
      <c r="F6784" s="11">
        <v>8.0456209182739258</v>
      </c>
    </row>
    <row r="6785" spans="1:6" hidden="1" x14ac:dyDescent="0.3">
      <c r="A6785" s="6">
        <v>49</v>
      </c>
      <c r="B6785" s="6" t="s">
        <v>179</v>
      </c>
      <c r="C6785" s="6" t="s">
        <v>419</v>
      </c>
      <c r="D6785" s="6" t="s">
        <v>180</v>
      </c>
      <c r="E6785" s="11">
        <v>6.5914111137390137</v>
      </c>
      <c r="F6785" s="11">
        <v>8.0456209182739258</v>
      </c>
    </row>
    <row r="6786" spans="1:6" hidden="1" x14ac:dyDescent="0.3">
      <c r="A6786" s="6">
        <v>49</v>
      </c>
      <c r="B6786" s="6" t="s">
        <v>179</v>
      </c>
      <c r="C6786" s="6" t="s">
        <v>420</v>
      </c>
      <c r="D6786" s="6" t="s">
        <v>180</v>
      </c>
      <c r="E6786" s="11">
        <v>5.4962496757507324</v>
      </c>
      <c r="F6786" s="11">
        <v>8.0456209182739258</v>
      </c>
    </row>
    <row r="6787" spans="1:6" hidden="1" x14ac:dyDescent="0.3">
      <c r="A6787" s="6">
        <v>49</v>
      </c>
      <c r="B6787" s="6" t="s">
        <v>179</v>
      </c>
      <c r="C6787" s="6" t="s">
        <v>421</v>
      </c>
      <c r="D6787" s="6" t="s">
        <v>180</v>
      </c>
      <c r="E6787" s="11">
        <v>6.4282355308532715</v>
      </c>
      <c r="F6787" s="11">
        <v>8.0456209182739258</v>
      </c>
    </row>
    <row r="6788" spans="1:6" hidden="1" x14ac:dyDescent="0.3">
      <c r="A6788" s="6">
        <v>49</v>
      </c>
      <c r="B6788" s="6" t="s">
        <v>179</v>
      </c>
      <c r="C6788" s="6" t="s">
        <v>422</v>
      </c>
      <c r="D6788" s="6" t="s">
        <v>180</v>
      </c>
      <c r="E6788" s="11">
        <v>18.144088745117188</v>
      </c>
      <c r="F6788" s="11">
        <v>8.0456209182739258</v>
      </c>
    </row>
    <row r="6789" spans="1:6" hidden="1" x14ac:dyDescent="0.3">
      <c r="A6789" s="6">
        <v>49</v>
      </c>
      <c r="B6789" s="6" t="s">
        <v>179</v>
      </c>
      <c r="C6789" s="6" t="s">
        <v>423</v>
      </c>
      <c r="D6789" s="6" t="s">
        <v>180</v>
      </c>
      <c r="E6789" s="11">
        <v>8.6721048355102539</v>
      </c>
      <c r="F6789" s="11">
        <v>8.0456209182739258</v>
      </c>
    </row>
    <row r="6790" spans="1:6" hidden="1" x14ac:dyDescent="0.3">
      <c r="A6790" s="6">
        <v>49</v>
      </c>
      <c r="B6790" s="6" t="s">
        <v>179</v>
      </c>
      <c r="C6790" s="6" t="s">
        <v>424</v>
      </c>
      <c r="D6790" s="6" t="s">
        <v>180</v>
      </c>
      <c r="E6790" s="11">
        <v>6.1893706321716309</v>
      </c>
      <c r="F6790" s="11">
        <v>8.0456209182739258</v>
      </c>
    </row>
    <row r="6791" spans="1:6" hidden="1" x14ac:dyDescent="0.3">
      <c r="A6791" s="6">
        <v>49</v>
      </c>
      <c r="B6791" s="6" t="s">
        <v>179</v>
      </c>
      <c r="C6791" s="6" t="s">
        <v>425</v>
      </c>
      <c r="D6791" s="6" t="s">
        <v>180</v>
      </c>
      <c r="E6791" s="11">
        <v>6.1769938468933105</v>
      </c>
      <c r="F6791" s="11">
        <v>8.0456209182739258</v>
      </c>
    </row>
    <row r="6792" spans="1:6" hidden="1" x14ac:dyDescent="0.3">
      <c r="A6792" s="6">
        <v>49</v>
      </c>
      <c r="B6792" s="6" t="s">
        <v>179</v>
      </c>
      <c r="C6792" s="6" t="s">
        <v>426</v>
      </c>
      <c r="D6792" s="6" t="s">
        <v>180</v>
      </c>
      <c r="E6792" s="11">
        <v>7.6003775596618652</v>
      </c>
      <c r="F6792" s="11">
        <v>8.0456209182739258</v>
      </c>
    </row>
    <row r="6793" spans="1:6" hidden="1" x14ac:dyDescent="0.3">
      <c r="A6793" s="6">
        <v>49</v>
      </c>
      <c r="B6793" s="6" t="s">
        <v>179</v>
      </c>
      <c r="C6793" s="6" t="s">
        <v>427</v>
      </c>
      <c r="D6793" s="6" t="s">
        <v>180</v>
      </c>
      <c r="E6793" s="11">
        <v>418.4083251953125</v>
      </c>
      <c r="F6793" s="11">
        <v>8.0456209182739258</v>
      </c>
    </row>
    <row r="6794" spans="1:6" hidden="1" x14ac:dyDescent="0.3">
      <c r="A6794" s="6">
        <v>49</v>
      </c>
      <c r="B6794" s="6" t="s">
        <v>179</v>
      </c>
      <c r="C6794" s="6" t="s">
        <v>428</v>
      </c>
      <c r="D6794" s="6" t="s">
        <v>180</v>
      </c>
      <c r="E6794" s="11">
        <v>11.160845756530762</v>
      </c>
      <c r="F6794" s="11">
        <v>8.0456209182739258</v>
      </c>
    </row>
    <row r="6795" spans="1:6" hidden="1" x14ac:dyDescent="0.3">
      <c r="A6795" s="6">
        <v>49</v>
      </c>
      <c r="B6795" s="6" t="s">
        <v>179</v>
      </c>
      <c r="C6795" s="6" t="s">
        <v>429</v>
      </c>
      <c r="D6795" s="6" t="s">
        <v>180</v>
      </c>
      <c r="E6795" s="11">
        <v>9.4549026489257813</v>
      </c>
      <c r="F6795" s="11">
        <v>8.0456209182739258</v>
      </c>
    </row>
    <row r="6796" spans="1:6" hidden="1" x14ac:dyDescent="0.3">
      <c r="A6796" s="6">
        <v>49</v>
      </c>
      <c r="B6796" s="6" t="s">
        <v>179</v>
      </c>
      <c r="C6796" s="6" t="s">
        <v>430</v>
      </c>
      <c r="D6796" s="6" t="s">
        <v>180</v>
      </c>
      <c r="E6796" s="11">
        <v>7.2195563316345215</v>
      </c>
      <c r="F6796" s="11">
        <v>8.0456209182739258</v>
      </c>
    </row>
    <row r="6797" spans="1:6" hidden="1" x14ac:dyDescent="0.3">
      <c r="A6797" s="6">
        <v>49</v>
      </c>
      <c r="B6797" s="6" t="s">
        <v>179</v>
      </c>
      <c r="C6797" s="6" t="s">
        <v>431</v>
      </c>
      <c r="D6797" s="6" t="s">
        <v>180</v>
      </c>
      <c r="E6797" s="11">
        <v>13.023200988769531</v>
      </c>
      <c r="F6797" s="11">
        <v>8.0456209182739258</v>
      </c>
    </row>
    <row r="6798" spans="1:6" hidden="1" x14ac:dyDescent="0.3">
      <c r="A6798" s="6">
        <v>49</v>
      </c>
      <c r="B6798" s="6" t="s">
        <v>179</v>
      </c>
      <c r="C6798" s="6" t="s">
        <v>432</v>
      </c>
      <c r="D6798" s="6" t="s">
        <v>180</v>
      </c>
      <c r="E6798" s="11">
        <v>11.64041805267334</v>
      </c>
      <c r="F6798" s="11">
        <v>8.0456209182739258</v>
      </c>
    </row>
    <row r="6799" spans="1:6" hidden="1" x14ac:dyDescent="0.3">
      <c r="A6799" s="6">
        <v>49</v>
      </c>
      <c r="B6799" s="6" t="s">
        <v>179</v>
      </c>
      <c r="C6799" s="6" t="s">
        <v>433</v>
      </c>
      <c r="D6799" s="6" t="s">
        <v>180</v>
      </c>
      <c r="E6799" s="11">
        <v>6.9465470314025879</v>
      </c>
      <c r="F6799" s="11">
        <v>8.0456209182739258</v>
      </c>
    </row>
    <row r="6800" spans="1:6" hidden="1" x14ac:dyDescent="0.3">
      <c r="A6800" s="6">
        <v>49</v>
      </c>
      <c r="B6800" s="6" t="s">
        <v>179</v>
      </c>
      <c r="C6800" s="6" t="s">
        <v>434</v>
      </c>
      <c r="D6800" s="6" t="s">
        <v>180</v>
      </c>
      <c r="E6800" s="11">
        <v>6.8318943977355957</v>
      </c>
      <c r="F6800" s="11">
        <v>8.0456209182739258</v>
      </c>
    </row>
    <row r="6801" spans="1:6" hidden="1" x14ac:dyDescent="0.3">
      <c r="A6801" s="6">
        <v>49</v>
      </c>
      <c r="B6801" s="6" t="s">
        <v>179</v>
      </c>
      <c r="C6801" s="6" t="s">
        <v>435</v>
      </c>
      <c r="D6801" s="6" t="s">
        <v>180</v>
      </c>
      <c r="E6801" s="11">
        <v>10.047767639160156</v>
      </c>
      <c r="F6801" s="11">
        <v>8.0456209182739258</v>
      </c>
    </row>
    <row r="6802" spans="1:6" hidden="1" x14ac:dyDescent="0.3">
      <c r="A6802" s="6">
        <v>49</v>
      </c>
      <c r="B6802" s="6" t="s">
        <v>179</v>
      </c>
      <c r="C6802" s="6" t="s">
        <v>436</v>
      </c>
      <c r="D6802" s="6" t="s">
        <v>180</v>
      </c>
      <c r="E6802" s="11">
        <v>11.621706962585449</v>
      </c>
      <c r="F6802" s="11">
        <v>8.0456209182739258</v>
      </c>
    </row>
    <row r="6803" spans="1:6" hidden="1" x14ac:dyDescent="0.3">
      <c r="A6803" s="6">
        <v>49</v>
      </c>
      <c r="B6803" s="6" t="s">
        <v>179</v>
      </c>
      <c r="C6803" s="6" t="s">
        <v>437</v>
      </c>
      <c r="D6803" s="6" t="s">
        <v>180</v>
      </c>
      <c r="E6803" s="11">
        <v>11.04027271270752</v>
      </c>
      <c r="F6803" s="11">
        <v>8.0456209182739258</v>
      </c>
    </row>
    <row r="6804" spans="1:6" hidden="1" x14ac:dyDescent="0.3">
      <c r="A6804" s="6">
        <v>49</v>
      </c>
      <c r="B6804" s="6" t="s">
        <v>179</v>
      </c>
      <c r="C6804" s="6" t="s">
        <v>438</v>
      </c>
      <c r="D6804" s="6" t="s">
        <v>180</v>
      </c>
      <c r="E6804" s="11">
        <v>6.2397675514221191</v>
      </c>
      <c r="F6804" s="11">
        <v>8.0456209182739258</v>
      </c>
    </row>
    <row r="6805" spans="1:6" hidden="1" x14ac:dyDescent="0.3">
      <c r="A6805" s="6">
        <v>49</v>
      </c>
      <c r="B6805" s="6" t="s">
        <v>179</v>
      </c>
      <c r="C6805" s="6" t="s">
        <v>439</v>
      </c>
      <c r="D6805" s="6" t="s">
        <v>180</v>
      </c>
      <c r="E6805" s="11">
        <v>6.6875786781311035</v>
      </c>
      <c r="F6805" s="11">
        <v>8.0456209182739258</v>
      </c>
    </row>
    <row r="6806" spans="1:6" hidden="1" x14ac:dyDescent="0.3">
      <c r="A6806" s="6">
        <v>49</v>
      </c>
      <c r="B6806" s="6" t="s">
        <v>179</v>
      </c>
      <c r="C6806" s="6" t="s">
        <v>440</v>
      </c>
      <c r="D6806" s="6" t="s">
        <v>180</v>
      </c>
      <c r="E6806" s="11">
        <v>8.2626190185546875</v>
      </c>
      <c r="F6806" s="11">
        <v>8.0456209182739258</v>
      </c>
    </row>
    <row r="6807" spans="1:6" hidden="1" x14ac:dyDescent="0.3">
      <c r="A6807" s="6">
        <v>49</v>
      </c>
      <c r="B6807" s="6" t="s">
        <v>179</v>
      </c>
      <c r="C6807" s="6" t="s">
        <v>441</v>
      </c>
      <c r="D6807" s="6" t="s">
        <v>180</v>
      </c>
      <c r="E6807" s="11">
        <v>3.9020512104034424</v>
      </c>
      <c r="F6807" s="11">
        <v>8.0456209182739258</v>
      </c>
    </row>
    <row r="6808" spans="1:6" hidden="1" x14ac:dyDescent="0.3">
      <c r="A6808" s="6">
        <v>49</v>
      </c>
      <c r="B6808" s="6" t="s">
        <v>179</v>
      </c>
      <c r="C6808" s="6" t="s">
        <v>442</v>
      </c>
      <c r="D6808" s="6" t="s">
        <v>180</v>
      </c>
      <c r="E6808" s="11">
        <v>89.858940124511719</v>
      </c>
      <c r="F6808" s="11">
        <v>8.0456209182739258</v>
      </c>
    </row>
    <row r="6809" spans="1:6" hidden="1" x14ac:dyDescent="0.3">
      <c r="A6809" s="6">
        <v>49</v>
      </c>
      <c r="B6809" s="6" t="s">
        <v>179</v>
      </c>
      <c r="C6809" s="6" t="s">
        <v>443</v>
      </c>
      <c r="D6809" s="6" t="s">
        <v>180</v>
      </c>
      <c r="E6809" s="11">
        <v>10.326640129089355</v>
      </c>
      <c r="F6809" s="11">
        <v>8.0456209182739258</v>
      </c>
    </row>
    <row r="6810" spans="1:6" hidden="1" x14ac:dyDescent="0.3">
      <c r="A6810" s="6">
        <v>49</v>
      </c>
      <c r="B6810" s="6" t="s">
        <v>179</v>
      </c>
      <c r="C6810" s="6" t="s">
        <v>444</v>
      </c>
      <c r="D6810" s="6" t="s">
        <v>180</v>
      </c>
      <c r="E6810" s="11">
        <v>5.7994046211242676</v>
      </c>
      <c r="F6810" s="11">
        <v>8.0456209182739258</v>
      </c>
    </row>
    <row r="6811" spans="1:6" hidden="1" x14ac:dyDescent="0.3">
      <c r="A6811" s="6">
        <v>49</v>
      </c>
      <c r="B6811" s="6" t="s">
        <v>179</v>
      </c>
      <c r="C6811" s="6" t="s">
        <v>445</v>
      </c>
      <c r="D6811" s="6" t="s">
        <v>180</v>
      </c>
      <c r="E6811" s="11">
        <v>11.302179336547852</v>
      </c>
      <c r="F6811" s="11">
        <v>8.0456209182739258</v>
      </c>
    </row>
    <row r="6812" spans="1:6" hidden="1" x14ac:dyDescent="0.3">
      <c r="A6812" s="6">
        <v>49</v>
      </c>
      <c r="B6812" s="6" t="s">
        <v>179</v>
      </c>
      <c r="C6812" s="6" t="s">
        <v>446</v>
      </c>
      <c r="D6812" s="6" t="s">
        <v>180</v>
      </c>
      <c r="E6812" s="11">
        <v>17.506959915161133</v>
      </c>
      <c r="F6812" s="11">
        <v>8.0456209182739258</v>
      </c>
    </row>
    <row r="6813" spans="1:6" hidden="1" x14ac:dyDescent="0.3">
      <c r="A6813" s="6">
        <v>49</v>
      </c>
      <c r="B6813" s="6" t="s">
        <v>179</v>
      </c>
      <c r="C6813" s="6" t="s">
        <v>447</v>
      </c>
      <c r="D6813" s="6" t="s">
        <v>180</v>
      </c>
      <c r="E6813" s="11">
        <v>10.365550994873047</v>
      </c>
      <c r="F6813" s="11">
        <v>8.0456209182739258</v>
      </c>
    </row>
    <row r="6814" spans="1:6" hidden="1" x14ac:dyDescent="0.3">
      <c r="A6814" s="6">
        <v>49</v>
      </c>
      <c r="B6814" s="6" t="s">
        <v>179</v>
      </c>
      <c r="C6814" s="6" t="s">
        <v>448</v>
      </c>
      <c r="D6814" s="6" t="s">
        <v>180</v>
      </c>
      <c r="E6814" s="11">
        <v>10.863625526428223</v>
      </c>
      <c r="F6814" s="11">
        <v>8.0456209182739258</v>
      </c>
    </row>
    <row r="6815" spans="1:6" hidden="1" x14ac:dyDescent="0.3">
      <c r="A6815" s="6">
        <v>49</v>
      </c>
      <c r="B6815" s="6" t="s">
        <v>179</v>
      </c>
      <c r="C6815" s="6" t="s">
        <v>449</v>
      </c>
      <c r="D6815" s="6" t="s">
        <v>180</v>
      </c>
      <c r="E6815" s="11">
        <v>7.6155853271484375</v>
      </c>
      <c r="F6815" s="11">
        <v>8.0456209182739258</v>
      </c>
    </row>
    <row r="6816" spans="1:6" hidden="1" x14ac:dyDescent="0.3">
      <c r="A6816" s="6">
        <v>49</v>
      </c>
      <c r="B6816" s="6" t="s">
        <v>179</v>
      </c>
      <c r="C6816" s="6" t="s">
        <v>450</v>
      </c>
      <c r="D6816" s="6" t="s">
        <v>180</v>
      </c>
      <c r="E6816" s="11">
        <v>7.9882588386535645</v>
      </c>
      <c r="F6816" s="11">
        <v>8.0456209182739258</v>
      </c>
    </row>
    <row r="6817" spans="1:6" hidden="1" x14ac:dyDescent="0.3">
      <c r="A6817" s="6">
        <v>49</v>
      </c>
      <c r="B6817" s="6" t="s">
        <v>179</v>
      </c>
      <c r="C6817" s="6" t="s">
        <v>451</v>
      </c>
      <c r="D6817" s="6" t="s">
        <v>180</v>
      </c>
      <c r="E6817" s="11">
        <v>6.2019600868225098</v>
      </c>
      <c r="F6817" s="11">
        <v>8.0456209182739258</v>
      </c>
    </row>
    <row r="6818" spans="1:6" hidden="1" x14ac:dyDescent="0.3">
      <c r="A6818" s="6">
        <v>49</v>
      </c>
      <c r="B6818" s="6" t="s">
        <v>179</v>
      </c>
      <c r="C6818" s="6" t="s">
        <v>452</v>
      </c>
      <c r="D6818" s="6" t="s">
        <v>180</v>
      </c>
      <c r="E6818" s="11">
        <v>7.3411111831665039</v>
      </c>
      <c r="F6818" s="11">
        <v>8.0456209182739258</v>
      </c>
    </row>
    <row r="6819" spans="1:6" hidden="1" x14ac:dyDescent="0.3">
      <c r="A6819" s="6">
        <v>49</v>
      </c>
      <c r="B6819" s="6" t="s">
        <v>179</v>
      </c>
      <c r="C6819" s="6" t="s">
        <v>453</v>
      </c>
      <c r="D6819" s="6" t="s">
        <v>180</v>
      </c>
      <c r="E6819" s="11">
        <v>20.740074157714844</v>
      </c>
      <c r="F6819" s="11">
        <v>8.0456209182739258</v>
      </c>
    </row>
    <row r="6820" spans="1:6" hidden="1" x14ac:dyDescent="0.3">
      <c r="A6820" s="6">
        <v>49</v>
      </c>
      <c r="B6820" s="6" t="s">
        <v>179</v>
      </c>
      <c r="C6820" s="6" t="s">
        <v>454</v>
      </c>
      <c r="D6820" s="6" t="s">
        <v>180</v>
      </c>
      <c r="E6820" s="11">
        <v>11.281410217285156</v>
      </c>
      <c r="F6820" s="11">
        <v>8.0456209182739258</v>
      </c>
    </row>
    <row r="6821" spans="1:6" hidden="1" x14ac:dyDescent="0.3">
      <c r="A6821" s="6">
        <v>49</v>
      </c>
      <c r="B6821" s="6" t="s">
        <v>179</v>
      </c>
      <c r="C6821" s="6" t="s">
        <v>455</v>
      </c>
      <c r="D6821" s="6" t="s">
        <v>180</v>
      </c>
      <c r="E6821" s="11">
        <v>6.32269287109375</v>
      </c>
      <c r="F6821" s="11">
        <v>8.0456209182739258</v>
      </c>
    </row>
    <row r="6822" spans="1:6" hidden="1" x14ac:dyDescent="0.3">
      <c r="A6822" s="6">
        <v>49</v>
      </c>
      <c r="B6822" s="6" t="s">
        <v>179</v>
      </c>
      <c r="C6822" s="6" t="s">
        <v>456</v>
      </c>
      <c r="D6822" s="6" t="s">
        <v>180</v>
      </c>
      <c r="E6822" s="11">
        <v>6.1271023750305176</v>
      </c>
      <c r="F6822" s="11">
        <v>8.0456209182739258</v>
      </c>
    </row>
    <row r="6823" spans="1:6" hidden="1" x14ac:dyDescent="0.3">
      <c r="A6823" s="6">
        <v>49</v>
      </c>
      <c r="B6823" s="6" t="s">
        <v>179</v>
      </c>
      <c r="C6823" s="6" t="s">
        <v>457</v>
      </c>
      <c r="D6823" s="6" t="s">
        <v>180</v>
      </c>
      <c r="E6823" s="11">
        <v>8.6491785049438477</v>
      </c>
      <c r="F6823" s="11">
        <v>8.0456209182739258</v>
      </c>
    </row>
    <row r="6824" spans="1:6" hidden="1" x14ac:dyDescent="0.3">
      <c r="A6824" s="6">
        <v>49</v>
      </c>
      <c r="B6824" s="6" t="s">
        <v>179</v>
      </c>
      <c r="C6824" s="6" t="s">
        <v>458</v>
      </c>
      <c r="D6824" s="6" t="s">
        <v>180</v>
      </c>
      <c r="E6824" s="11">
        <v>41.671558380126953</v>
      </c>
      <c r="F6824" s="11">
        <v>8.0456209182739258</v>
      </c>
    </row>
    <row r="6825" spans="1:6" hidden="1" x14ac:dyDescent="0.3">
      <c r="A6825" s="6">
        <v>49</v>
      </c>
      <c r="B6825" s="6" t="s">
        <v>179</v>
      </c>
      <c r="C6825" s="6" t="s">
        <v>459</v>
      </c>
      <c r="D6825" s="6" t="s">
        <v>180</v>
      </c>
      <c r="E6825" s="11">
        <v>13.083202362060547</v>
      </c>
      <c r="F6825" s="11">
        <v>8.0456209182739258</v>
      </c>
    </row>
    <row r="6826" spans="1:6" hidden="1" x14ac:dyDescent="0.3">
      <c r="A6826" s="6">
        <v>49</v>
      </c>
      <c r="B6826" s="6" t="s">
        <v>179</v>
      </c>
      <c r="C6826" s="6" t="s">
        <v>460</v>
      </c>
      <c r="D6826" s="6" t="s">
        <v>180</v>
      </c>
      <c r="E6826" s="11">
        <v>21.999950408935547</v>
      </c>
      <c r="F6826" s="11">
        <v>8.0456209182739258</v>
      </c>
    </row>
    <row r="6827" spans="1:6" hidden="1" x14ac:dyDescent="0.3">
      <c r="A6827" s="6">
        <v>49</v>
      </c>
      <c r="B6827" s="6" t="s">
        <v>179</v>
      </c>
      <c r="C6827" s="6" t="s">
        <v>461</v>
      </c>
      <c r="D6827" s="6" t="s">
        <v>180</v>
      </c>
      <c r="E6827" s="11">
        <v>7.5993967056274414</v>
      </c>
      <c r="F6827" s="11">
        <v>8.0456209182739258</v>
      </c>
    </row>
    <row r="6828" spans="1:6" hidden="1" x14ac:dyDescent="0.3">
      <c r="A6828" s="6">
        <v>49</v>
      </c>
      <c r="B6828" s="6" t="s">
        <v>179</v>
      </c>
      <c r="C6828" s="6" t="s">
        <v>462</v>
      </c>
      <c r="D6828" s="6" t="s">
        <v>180</v>
      </c>
      <c r="E6828" s="11">
        <v>5.9597597122192383</v>
      </c>
      <c r="F6828" s="11">
        <v>8.0456209182739258</v>
      </c>
    </row>
    <row r="6829" spans="1:6" hidden="1" x14ac:dyDescent="0.3">
      <c r="A6829" s="6">
        <v>49</v>
      </c>
      <c r="B6829" s="6" t="s">
        <v>179</v>
      </c>
      <c r="C6829" s="6" t="s">
        <v>463</v>
      </c>
      <c r="D6829" s="6" t="s">
        <v>180</v>
      </c>
      <c r="E6829" s="11">
        <v>8.8101339340209961</v>
      </c>
      <c r="F6829" s="11">
        <v>8.0456209182739258</v>
      </c>
    </row>
    <row r="6830" spans="1:6" hidden="1" x14ac:dyDescent="0.3">
      <c r="A6830" s="6">
        <v>49</v>
      </c>
      <c r="B6830" s="6" t="s">
        <v>179</v>
      </c>
      <c r="C6830" s="6" t="s">
        <v>464</v>
      </c>
      <c r="D6830" s="6" t="s">
        <v>180</v>
      </c>
      <c r="E6830" s="11">
        <v>5.4754648208618164</v>
      </c>
      <c r="F6830" s="11">
        <v>8.0456209182739258</v>
      </c>
    </row>
    <row r="6831" spans="1:6" hidden="1" x14ac:dyDescent="0.3">
      <c r="A6831" s="6">
        <v>49</v>
      </c>
      <c r="B6831" s="6" t="s">
        <v>179</v>
      </c>
      <c r="C6831" s="6" t="s">
        <v>465</v>
      </c>
      <c r="D6831" s="6" t="s">
        <v>180</v>
      </c>
      <c r="E6831" s="11">
        <v>7.8741970062255859</v>
      </c>
      <c r="F6831" s="11">
        <v>8.0456209182739258</v>
      </c>
    </row>
    <row r="6832" spans="1:6" hidden="1" x14ac:dyDescent="0.3">
      <c r="A6832" s="6">
        <v>49</v>
      </c>
      <c r="B6832" s="6" t="s">
        <v>179</v>
      </c>
      <c r="C6832" s="6" t="s">
        <v>466</v>
      </c>
      <c r="D6832" s="6" t="s">
        <v>180</v>
      </c>
      <c r="E6832" s="11">
        <v>12.90921688079834</v>
      </c>
      <c r="F6832" s="11">
        <v>8.0456209182739258</v>
      </c>
    </row>
    <row r="6833" spans="1:6" hidden="1" x14ac:dyDescent="0.3">
      <c r="A6833" s="6">
        <v>49</v>
      </c>
      <c r="B6833" s="6" t="s">
        <v>179</v>
      </c>
      <c r="C6833" s="6" t="s">
        <v>467</v>
      </c>
      <c r="D6833" s="6" t="s">
        <v>180</v>
      </c>
      <c r="E6833" s="11">
        <v>4.7256202697753906</v>
      </c>
      <c r="F6833" s="11">
        <v>8.0456209182739258</v>
      </c>
    </row>
    <row r="6834" spans="1:6" hidden="1" x14ac:dyDescent="0.3">
      <c r="A6834" s="6">
        <v>49</v>
      </c>
      <c r="B6834" s="6" t="s">
        <v>179</v>
      </c>
      <c r="C6834" s="6" t="s">
        <v>468</v>
      </c>
      <c r="D6834" s="6" t="s">
        <v>180</v>
      </c>
      <c r="E6834" s="11">
        <v>8.0685739517211914</v>
      </c>
      <c r="F6834" s="11">
        <v>8.0456209182739258</v>
      </c>
    </row>
    <row r="6835" spans="1:6" hidden="1" x14ac:dyDescent="0.3">
      <c r="A6835" s="6">
        <v>49</v>
      </c>
      <c r="B6835" s="6" t="s">
        <v>179</v>
      </c>
      <c r="C6835" s="6" t="s">
        <v>469</v>
      </c>
      <c r="D6835" s="6" t="s">
        <v>180</v>
      </c>
      <c r="E6835" s="11">
        <v>154.39926147460938</v>
      </c>
      <c r="F6835" s="11">
        <v>8.0456209182739258</v>
      </c>
    </row>
    <row r="6836" spans="1:6" hidden="1" x14ac:dyDescent="0.3">
      <c r="A6836" s="6">
        <v>49</v>
      </c>
      <c r="B6836" s="6" t="s">
        <v>179</v>
      </c>
      <c r="C6836" s="6" t="s">
        <v>470</v>
      </c>
      <c r="D6836" s="6" t="s">
        <v>180</v>
      </c>
      <c r="E6836" s="11">
        <v>7.7722663879394531</v>
      </c>
      <c r="F6836" s="11">
        <v>8.0456209182739258</v>
      </c>
    </row>
    <row r="6837" spans="1:6" hidden="1" x14ac:dyDescent="0.3">
      <c r="A6837" s="6">
        <v>49</v>
      </c>
      <c r="B6837" s="6" t="s">
        <v>179</v>
      </c>
      <c r="C6837" s="6" t="s">
        <v>471</v>
      </c>
      <c r="D6837" s="6" t="s">
        <v>180</v>
      </c>
      <c r="E6837" s="11">
        <v>4.2758984565734863</v>
      </c>
      <c r="F6837" s="11">
        <v>8.0456209182739258</v>
      </c>
    </row>
    <row r="6838" spans="1:6" hidden="1" x14ac:dyDescent="0.3">
      <c r="A6838" s="6">
        <v>49</v>
      </c>
      <c r="B6838" s="6" t="s">
        <v>179</v>
      </c>
      <c r="C6838" s="6" t="s">
        <v>472</v>
      </c>
      <c r="D6838" s="6" t="s">
        <v>180</v>
      </c>
      <c r="E6838" s="11">
        <v>126.64185333251953</v>
      </c>
      <c r="F6838" s="11">
        <v>8.0456209182739258</v>
      </c>
    </row>
    <row r="6839" spans="1:6" hidden="1" x14ac:dyDescent="0.3">
      <c r="A6839" s="6">
        <v>49</v>
      </c>
      <c r="B6839" s="6" t="s">
        <v>179</v>
      </c>
      <c r="C6839" s="6" t="s">
        <v>473</v>
      </c>
      <c r="D6839" s="6" t="s">
        <v>180</v>
      </c>
      <c r="E6839" s="11">
        <v>9.1334543228149414</v>
      </c>
      <c r="F6839" s="11">
        <v>8.0456209182739258</v>
      </c>
    </row>
    <row r="6840" spans="1:6" hidden="1" x14ac:dyDescent="0.3">
      <c r="A6840" s="6">
        <v>49</v>
      </c>
      <c r="B6840" s="6" t="s">
        <v>179</v>
      </c>
      <c r="C6840" s="6" t="s">
        <v>474</v>
      </c>
      <c r="D6840" s="6" t="s">
        <v>180</v>
      </c>
      <c r="E6840" s="11">
        <v>5.3620977401733398</v>
      </c>
      <c r="F6840" s="11">
        <v>8.0456209182739258</v>
      </c>
    </row>
    <row r="6841" spans="1:6" hidden="1" x14ac:dyDescent="0.3">
      <c r="A6841" s="6">
        <v>49</v>
      </c>
      <c r="B6841" s="6" t="s">
        <v>179</v>
      </c>
      <c r="C6841" s="6" t="s">
        <v>475</v>
      </c>
      <c r="D6841" s="6" t="s">
        <v>180</v>
      </c>
      <c r="E6841" s="11">
        <v>13.291171073913574</v>
      </c>
      <c r="F6841" s="11">
        <v>8.0456209182739258</v>
      </c>
    </row>
    <row r="6842" spans="1:6" hidden="1" x14ac:dyDescent="0.3">
      <c r="A6842" s="6">
        <v>49</v>
      </c>
      <c r="B6842" s="6" t="s">
        <v>179</v>
      </c>
      <c r="C6842" s="6" t="s">
        <v>476</v>
      </c>
      <c r="D6842" s="6" t="s">
        <v>180</v>
      </c>
      <c r="E6842" s="11">
        <v>6.9861326217651367</v>
      </c>
      <c r="F6842" s="11">
        <v>8.0456209182739258</v>
      </c>
    </row>
    <row r="6843" spans="1:6" hidden="1" x14ac:dyDescent="0.3">
      <c r="A6843" s="6">
        <v>49</v>
      </c>
      <c r="B6843" s="6" t="s">
        <v>179</v>
      </c>
      <c r="C6843" s="6" t="s">
        <v>477</v>
      </c>
      <c r="D6843" s="6" t="s">
        <v>180</v>
      </c>
      <c r="E6843" s="11">
        <v>8.5880193710327148</v>
      </c>
      <c r="F6843" s="11">
        <v>8.0456209182739258</v>
      </c>
    </row>
    <row r="6844" spans="1:6" hidden="1" x14ac:dyDescent="0.3">
      <c r="A6844" s="6">
        <v>49</v>
      </c>
      <c r="B6844" s="6" t="s">
        <v>179</v>
      </c>
      <c r="C6844" s="6" t="s">
        <v>478</v>
      </c>
      <c r="D6844" s="6" t="s">
        <v>180</v>
      </c>
      <c r="E6844" s="11">
        <v>28.758777618408203</v>
      </c>
      <c r="F6844" s="11">
        <v>8.0456209182739258</v>
      </c>
    </row>
    <row r="6845" spans="1:6" hidden="1" x14ac:dyDescent="0.3">
      <c r="A6845" s="6">
        <v>49</v>
      </c>
      <c r="B6845" s="6" t="s">
        <v>179</v>
      </c>
      <c r="C6845" s="6" t="s">
        <v>479</v>
      </c>
      <c r="D6845" s="6" t="s">
        <v>180</v>
      </c>
      <c r="E6845" s="11">
        <v>6.8145074844360352</v>
      </c>
      <c r="F6845" s="11">
        <v>8.0456209182739258</v>
      </c>
    </row>
    <row r="6846" spans="1:6" hidden="1" x14ac:dyDescent="0.3">
      <c r="A6846" s="6">
        <v>49</v>
      </c>
      <c r="B6846" s="6" t="s">
        <v>179</v>
      </c>
      <c r="C6846" s="6" t="s">
        <v>480</v>
      </c>
      <c r="D6846" s="6" t="s">
        <v>180</v>
      </c>
      <c r="E6846" s="11">
        <v>16.354949951171875</v>
      </c>
      <c r="F6846" s="11">
        <v>8.0456209182739258</v>
      </c>
    </row>
    <row r="6847" spans="1:6" hidden="1" x14ac:dyDescent="0.3">
      <c r="A6847" s="6">
        <v>49</v>
      </c>
      <c r="B6847" s="6" t="s">
        <v>179</v>
      </c>
      <c r="C6847" s="6" t="s">
        <v>481</v>
      </c>
      <c r="D6847" s="6" t="s">
        <v>180</v>
      </c>
      <c r="E6847" s="11">
        <v>31.656091690063477</v>
      </c>
      <c r="F6847" s="11">
        <v>8.0456209182739258</v>
      </c>
    </row>
    <row r="6848" spans="1:6" hidden="1" x14ac:dyDescent="0.3">
      <c r="A6848" s="6">
        <v>49</v>
      </c>
      <c r="B6848" s="6" t="s">
        <v>179</v>
      </c>
      <c r="C6848" s="6" t="s">
        <v>482</v>
      </c>
      <c r="D6848" s="6" t="s">
        <v>180</v>
      </c>
      <c r="E6848" s="11">
        <v>19.263832092285156</v>
      </c>
      <c r="F6848" s="11">
        <v>8.0456209182739258</v>
      </c>
    </row>
    <row r="6849" spans="1:6" hidden="1" x14ac:dyDescent="0.3">
      <c r="A6849" s="6">
        <v>49</v>
      </c>
      <c r="B6849" s="6" t="s">
        <v>179</v>
      </c>
      <c r="C6849" s="6" t="s">
        <v>483</v>
      </c>
      <c r="D6849" s="6" t="s">
        <v>180</v>
      </c>
      <c r="E6849" s="11">
        <v>9.2939825057983398</v>
      </c>
      <c r="F6849" s="11">
        <v>8.0456209182739258</v>
      </c>
    </row>
    <row r="6850" spans="1:6" hidden="1" x14ac:dyDescent="0.3">
      <c r="A6850" s="6">
        <v>49</v>
      </c>
      <c r="B6850" s="6" t="s">
        <v>179</v>
      </c>
      <c r="C6850" s="6" t="s">
        <v>484</v>
      </c>
      <c r="D6850" s="6" t="s">
        <v>180</v>
      </c>
      <c r="E6850" s="11">
        <v>8.037470817565918</v>
      </c>
      <c r="F6850" s="11">
        <v>8.0456209182739258</v>
      </c>
    </row>
    <row r="6851" spans="1:6" hidden="1" x14ac:dyDescent="0.3">
      <c r="A6851" s="6">
        <v>49</v>
      </c>
      <c r="B6851" s="6" t="s">
        <v>179</v>
      </c>
      <c r="C6851" s="6" t="s">
        <v>485</v>
      </c>
      <c r="D6851" s="6" t="s">
        <v>180</v>
      </c>
      <c r="E6851" s="11">
        <v>5.8032379150390625</v>
      </c>
      <c r="F6851" s="11">
        <v>8.0456209182739258</v>
      </c>
    </row>
    <row r="6852" spans="1:6" hidden="1" x14ac:dyDescent="0.3">
      <c r="A6852" s="6">
        <v>49</v>
      </c>
      <c r="B6852" s="6" t="s">
        <v>179</v>
      </c>
      <c r="C6852" s="6" t="s">
        <v>486</v>
      </c>
      <c r="D6852" s="6" t="s">
        <v>180</v>
      </c>
      <c r="E6852" s="11">
        <v>7.7866144180297852</v>
      </c>
      <c r="F6852" s="11">
        <v>8.0456209182739258</v>
      </c>
    </row>
    <row r="6853" spans="1:6" hidden="1" x14ac:dyDescent="0.3">
      <c r="A6853" s="6">
        <v>49</v>
      </c>
      <c r="B6853" s="6" t="s">
        <v>179</v>
      </c>
      <c r="C6853" s="6" t="s">
        <v>487</v>
      </c>
      <c r="D6853" s="6" t="s">
        <v>180</v>
      </c>
      <c r="E6853" s="11">
        <v>5.2853374481201172</v>
      </c>
      <c r="F6853" s="11">
        <v>8.0456209182739258</v>
      </c>
    </row>
    <row r="6854" spans="1:6" hidden="1" x14ac:dyDescent="0.3">
      <c r="A6854" s="6">
        <v>49</v>
      </c>
      <c r="B6854" s="6" t="s">
        <v>179</v>
      </c>
      <c r="C6854" s="6" t="s">
        <v>488</v>
      </c>
      <c r="D6854" s="6" t="s">
        <v>180</v>
      </c>
      <c r="E6854" s="11">
        <v>6.1217446327209473</v>
      </c>
      <c r="F6854" s="11">
        <v>8.0456209182739258</v>
      </c>
    </row>
    <row r="6855" spans="1:6" hidden="1" x14ac:dyDescent="0.3">
      <c r="A6855" s="6">
        <v>49</v>
      </c>
      <c r="B6855" s="6" t="s">
        <v>179</v>
      </c>
      <c r="C6855" s="6" t="s">
        <v>489</v>
      </c>
      <c r="D6855" s="6" t="s">
        <v>180</v>
      </c>
      <c r="E6855" s="11">
        <v>6.6682343482971191</v>
      </c>
      <c r="F6855" s="11">
        <v>8.0456209182739258</v>
      </c>
    </row>
    <row r="6856" spans="1:6" hidden="1" x14ac:dyDescent="0.3">
      <c r="A6856" s="6">
        <v>49</v>
      </c>
      <c r="B6856" s="6" t="s">
        <v>179</v>
      </c>
      <c r="C6856" s="6" t="s">
        <v>490</v>
      </c>
      <c r="D6856" s="6" t="s">
        <v>180</v>
      </c>
      <c r="E6856" s="11">
        <v>7.6153783798217773</v>
      </c>
      <c r="F6856" s="11">
        <v>8.0456209182739258</v>
      </c>
    </row>
    <row r="6857" spans="1:6" hidden="1" x14ac:dyDescent="0.3">
      <c r="A6857" s="6">
        <v>49</v>
      </c>
      <c r="B6857" s="6" t="s">
        <v>179</v>
      </c>
      <c r="C6857" s="6" t="s">
        <v>491</v>
      </c>
      <c r="D6857" s="6" t="s">
        <v>180</v>
      </c>
      <c r="E6857" s="11">
        <v>26.281656265258789</v>
      </c>
      <c r="F6857" s="11">
        <v>8.0456209182739258</v>
      </c>
    </row>
    <row r="6858" spans="1:6" hidden="1" x14ac:dyDescent="0.3">
      <c r="A6858" s="6">
        <v>49</v>
      </c>
      <c r="B6858" s="6" t="s">
        <v>179</v>
      </c>
      <c r="C6858" s="6" t="s">
        <v>492</v>
      </c>
      <c r="D6858" s="6" t="s">
        <v>180</v>
      </c>
      <c r="E6858" s="11">
        <v>5.949073314666748</v>
      </c>
      <c r="F6858" s="11">
        <v>8.0456209182739258</v>
      </c>
    </row>
    <row r="6859" spans="1:6" hidden="1" x14ac:dyDescent="0.3">
      <c r="A6859" s="6">
        <v>49</v>
      </c>
      <c r="B6859" s="6" t="s">
        <v>179</v>
      </c>
      <c r="C6859" s="6" t="s">
        <v>493</v>
      </c>
      <c r="D6859" s="6" t="s">
        <v>180</v>
      </c>
      <c r="E6859" s="11">
        <v>6.8372287750244141</v>
      </c>
      <c r="F6859" s="11">
        <v>8.0456209182739258</v>
      </c>
    </row>
    <row r="6860" spans="1:6" hidden="1" x14ac:dyDescent="0.3">
      <c r="A6860" s="6">
        <v>49</v>
      </c>
      <c r="B6860" s="6" t="s">
        <v>179</v>
      </c>
      <c r="C6860" s="6" t="s">
        <v>494</v>
      </c>
      <c r="D6860" s="6" t="s">
        <v>180</v>
      </c>
      <c r="E6860" s="11">
        <v>6.3654041290283203</v>
      </c>
      <c r="F6860" s="11">
        <v>8.0456209182739258</v>
      </c>
    </row>
    <row r="6861" spans="1:6" hidden="1" x14ac:dyDescent="0.3">
      <c r="A6861" s="6">
        <v>49</v>
      </c>
      <c r="B6861" s="6" t="s">
        <v>179</v>
      </c>
      <c r="C6861" s="6" t="s">
        <v>495</v>
      </c>
      <c r="D6861" s="6" t="s">
        <v>180</v>
      </c>
      <c r="E6861" s="11">
        <v>11.967402458190918</v>
      </c>
      <c r="F6861" s="11">
        <v>8.0456209182739258</v>
      </c>
    </row>
    <row r="6862" spans="1:6" hidden="1" x14ac:dyDescent="0.3">
      <c r="A6862" s="6">
        <v>50</v>
      </c>
      <c r="B6862" s="6" t="s">
        <v>181</v>
      </c>
      <c r="C6862" s="6" t="s">
        <v>356</v>
      </c>
      <c r="D6862" s="6" t="s">
        <v>182</v>
      </c>
      <c r="E6862" s="11">
        <v>9.245387077331543</v>
      </c>
      <c r="F6862" s="11">
        <v>10.062677383422852</v>
      </c>
    </row>
    <row r="6863" spans="1:6" hidden="1" x14ac:dyDescent="0.3">
      <c r="A6863" s="6">
        <v>50</v>
      </c>
      <c r="B6863" s="6" t="s">
        <v>181</v>
      </c>
      <c r="C6863" s="6" t="s">
        <v>357</v>
      </c>
      <c r="D6863" s="6" t="s">
        <v>182</v>
      </c>
      <c r="E6863" s="11">
        <v>8.1239681243896484</v>
      </c>
      <c r="F6863" s="11">
        <v>10.062677383422852</v>
      </c>
    </row>
    <row r="6864" spans="1:6" hidden="1" x14ac:dyDescent="0.3">
      <c r="A6864" s="6">
        <v>50</v>
      </c>
      <c r="B6864" s="6" t="s">
        <v>181</v>
      </c>
      <c r="C6864" s="6" t="s">
        <v>358</v>
      </c>
      <c r="D6864" s="6" t="s">
        <v>182</v>
      </c>
      <c r="E6864" s="11">
        <v>7.7736778259277344</v>
      </c>
      <c r="F6864" s="11">
        <v>10.062677383422852</v>
      </c>
    </row>
    <row r="6865" spans="1:6" hidden="1" x14ac:dyDescent="0.3">
      <c r="A6865" s="6">
        <v>50</v>
      </c>
      <c r="B6865" s="6" t="s">
        <v>181</v>
      </c>
      <c r="C6865" s="6" t="s">
        <v>359</v>
      </c>
      <c r="D6865" s="6" t="s">
        <v>182</v>
      </c>
      <c r="E6865" s="11">
        <v>8.5605545043945313</v>
      </c>
      <c r="F6865" s="11">
        <v>10.062677383422852</v>
      </c>
    </row>
    <row r="6866" spans="1:6" hidden="1" x14ac:dyDescent="0.3">
      <c r="A6866" s="6">
        <v>50</v>
      </c>
      <c r="B6866" s="6" t="s">
        <v>181</v>
      </c>
      <c r="C6866" s="6" t="s">
        <v>360</v>
      </c>
      <c r="D6866" s="6" t="s">
        <v>182</v>
      </c>
      <c r="E6866" s="11">
        <v>9.0846147537231445</v>
      </c>
      <c r="F6866" s="11">
        <v>10.062677383422852</v>
      </c>
    </row>
    <row r="6867" spans="1:6" hidden="1" x14ac:dyDescent="0.3">
      <c r="A6867" s="6">
        <v>50</v>
      </c>
      <c r="B6867" s="6" t="s">
        <v>181</v>
      </c>
      <c r="C6867" s="6" t="s">
        <v>361</v>
      </c>
      <c r="D6867" s="6" t="s">
        <v>182</v>
      </c>
      <c r="E6867" s="11">
        <v>15.545439720153809</v>
      </c>
      <c r="F6867" s="11">
        <v>10.062677383422852</v>
      </c>
    </row>
    <row r="6868" spans="1:6" hidden="1" x14ac:dyDescent="0.3">
      <c r="A6868" s="6">
        <v>50</v>
      </c>
      <c r="B6868" s="6" t="s">
        <v>181</v>
      </c>
      <c r="C6868" s="6" t="s">
        <v>362</v>
      </c>
      <c r="D6868" s="6" t="s">
        <v>182</v>
      </c>
      <c r="E6868" s="11">
        <v>5.8298711776733398</v>
      </c>
      <c r="F6868" s="11">
        <v>10.062677383422852</v>
      </c>
    </row>
    <row r="6869" spans="1:6" hidden="1" x14ac:dyDescent="0.3">
      <c r="A6869" s="6">
        <v>50</v>
      </c>
      <c r="B6869" s="6" t="s">
        <v>181</v>
      </c>
      <c r="C6869" s="6" t="s">
        <v>363</v>
      </c>
      <c r="D6869" s="6" t="s">
        <v>182</v>
      </c>
      <c r="E6869" s="11">
        <v>19.407381057739258</v>
      </c>
      <c r="F6869" s="11">
        <v>10.062677383422852</v>
      </c>
    </row>
    <row r="6870" spans="1:6" hidden="1" x14ac:dyDescent="0.3">
      <c r="A6870" s="6">
        <v>50</v>
      </c>
      <c r="B6870" s="6" t="s">
        <v>181</v>
      </c>
      <c r="C6870" s="6" t="s">
        <v>364</v>
      </c>
      <c r="D6870" s="6" t="s">
        <v>182</v>
      </c>
      <c r="E6870" s="11">
        <v>47881.6796875</v>
      </c>
      <c r="F6870" s="11">
        <v>10.062677383422852</v>
      </c>
    </row>
    <row r="6871" spans="1:6" hidden="1" x14ac:dyDescent="0.3">
      <c r="A6871" s="6">
        <v>50</v>
      </c>
      <c r="B6871" s="6" t="s">
        <v>181</v>
      </c>
      <c r="C6871" s="6" t="s">
        <v>365</v>
      </c>
      <c r="D6871" s="6" t="s">
        <v>182</v>
      </c>
      <c r="E6871" s="11">
        <v>7.9666142463684082</v>
      </c>
      <c r="F6871" s="11">
        <v>10.062677383422852</v>
      </c>
    </row>
    <row r="6872" spans="1:6" hidden="1" x14ac:dyDescent="0.3">
      <c r="A6872" s="6">
        <v>50</v>
      </c>
      <c r="B6872" s="6" t="s">
        <v>181</v>
      </c>
      <c r="C6872" s="6" t="s">
        <v>366</v>
      </c>
      <c r="D6872" s="6" t="s">
        <v>182</v>
      </c>
      <c r="E6872" s="11">
        <v>6.2067556381225586</v>
      </c>
      <c r="F6872" s="11">
        <v>10.062677383422852</v>
      </c>
    </row>
    <row r="6873" spans="1:6" hidden="1" x14ac:dyDescent="0.3">
      <c r="A6873" s="6">
        <v>50</v>
      </c>
      <c r="B6873" s="6" t="s">
        <v>181</v>
      </c>
      <c r="C6873" s="6" t="s">
        <v>367</v>
      </c>
      <c r="D6873" s="6" t="s">
        <v>182</v>
      </c>
      <c r="E6873" s="11">
        <v>13.939016342163086</v>
      </c>
      <c r="F6873" s="11">
        <v>10.062677383422852</v>
      </c>
    </row>
    <row r="6874" spans="1:6" hidden="1" x14ac:dyDescent="0.3">
      <c r="A6874" s="6">
        <v>50</v>
      </c>
      <c r="B6874" s="6" t="s">
        <v>181</v>
      </c>
      <c r="C6874" s="6" t="s">
        <v>368</v>
      </c>
      <c r="D6874" s="6" t="s">
        <v>182</v>
      </c>
      <c r="E6874" s="11">
        <v>10.833626747131348</v>
      </c>
      <c r="F6874" s="11">
        <v>10.062677383422852</v>
      </c>
    </row>
    <row r="6875" spans="1:6" hidden="1" x14ac:dyDescent="0.3">
      <c r="A6875" s="6">
        <v>50</v>
      </c>
      <c r="B6875" s="6" t="s">
        <v>181</v>
      </c>
      <c r="C6875" s="6" t="s">
        <v>369</v>
      </c>
      <c r="D6875" s="6" t="s">
        <v>182</v>
      </c>
      <c r="E6875" s="11">
        <v>6.1008410453796387</v>
      </c>
      <c r="F6875" s="11">
        <v>10.062677383422852</v>
      </c>
    </row>
    <row r="6876" spans="1:6" hidden="1" x14ac:dyDescent="0.3">
      <c r="A6876" s="6">
        <v>50</v>
      </c>
      <c r="B6876" s="6" t="s">
        <v>181</v>
      </c>
      <c r="C6876" s="6" t="s">
        <v>370</v>
      </c>
      <c r="D6876" s="6" t="s">
        <v>182</v>
      </c>
      <c r="E6876" s="11">
        <v>6.3966407775878906</v>
      </c>
      <c r="F6876" s="11">
        <v>10.062677383422852</v>
      </c>
    </row>
    <row r="6877" spans="1:6" hidden="1" x14ac:dyDescent="0.3">
      <c r="A6877" s="6">
        <v>50</v>
      </c>
      <c r="B6877" s="6" t="s">
        <v>181</v>
      </c>
      <c r="C6877" s="6" t="s">
        <v>371</v>
      </c>
      <c r="D6877" s="6" t="s">
        <v>182</v>
      </c>
      <c r="E6877" s="11">
        <v>6.8025035858154297</v>
      </c>
      <c r="F6877" s="11">
        <v>10.062677383422852</v>
      </c>
    </row>
    <row r="6878" spans="1:6" hidden="1" x14ac:dyDescent="0.3">
      <c r="A6878" s="6">
        <v>50</v>
      </c>
      <c r="B6878" s="6" t="s">
        <v>181</v>
      </c>
      <c r="C6878" s="6" t="s">
        <v>372</v>
      </c>
      <c r="D6878" s="6" t="s">
        <v>182</v>
      </c>
      <c r="E6878" s="11">
        <v>5.7072663307189941</v>
      </c>
      <c r="F6878" s="11">
        <v>10.062677383422852</v>
      </c>
    </row>
    <row r="6879" spans="1:6" hidden="1" x14ac:dyDescent="0.3">
      <c r="A6879" s="6">
        <v>50</v>
      </c>
      <c r="B6879" s="6" t="s">
        <v>181</v>
      </c>
      <c r="C6879" s="6" t="s">
        <v>373</v>
      </c>
      <c r="D6879" s="6" t="s">
        <v>182</v>
      </c>
      <c r="E6879" s="11">
        <v>6.0028915405273438</v>
      </c>
      <c r="F6879" s="11">
        <v>10.062677383422852</v>
      </c>
    </row>
    <row r="6880" spans="1:6" hidden="1" x14ac:dyDescent="0.3">
      <c r="A6880" s="6">
        <v>50</v>
      </c>
      <c r="B6880" s="6" t="s">
        <v>181</v>
      </c>
      <c r="C6880" s="6" t="s">
        <v>374</v>
      </c>
      <c r="D6880" s="6" t="s">
        <v>182</v>
      </c>
      <c r="E6880" s="11">
        <v>14.40186882019043</v>
      </c>
      <c r="F6880" s="11">
        <v>10.062677383422852</v>
      </c>
    </row>
    <row r="6881" spans="1:6" hidden="1" x14ac:dyDescent="0.3">
      <c r="A6881" s="6">
        <v>50</v>
      </c>
      <c r="B6881" s="6" t="s">
        <v>181</v>
      </c>
      <c r="C6881" s="6" t="s">
        <v>375</v>
      </c>
      <c r="D6881" s="6" t="s">
        <v>182</v>
      </c>
      <c r="E6881" s="11">
        <v>10.511860847473145</v>
      </c>
      <c r="F6881" s="11">
        <v>10.062677383422852</v>
      </c>
    </row>
    <row r="6882" spans="1:6" hidden="1" x14ac:dyDescent="0.3">
      <c r="A6882" s="6">
        <v>50</v>
      </c>
      <c r="B6882" s="6" t="s">
        <v>181</v>
      </c>
      <c r="C6882" s="6" t="s">
        <v>376</v>
      </c>
      <c r="D6882" s="6" t="s">
        <v>182</v>
      </c>
      <c r="E6882" s="11">
        <v>8.7434625625610352</v>
      </c>
      <c r="F6882" s="11">
        <v>10.062677383422852</v>
      </c>
    </row>
    <row r="6883" spans="1:6" hidden="1" x14ac:dyDescent="0.3">
      <c r="A6883" s="6">
        <v>50</v>
      </c>
      <c r="B6883" s="6" t="s">
        <v>181</v>
      </c>
      <c r="C6883" s="6" t="s">
        <v>377</v>
      </c>
      <c r="D6883" s="6" t="s">
        <v>182</v>
      </c>
      <c r="E6883" s="11">
        <v>9.8874330520629883</v>
      </c>
      <c r="F6883" s="11">
        <v>10.062677383422852</v>
      </c>
    </row>
    <row r="6884" spans="1:6" hidden="1" x14ac:dyDescent="0.3">
      <c r="A6884" s="6">
        <v>50</v>
      </c>
      <c r="B6884" s="6" t="s">
        <v>181</v>
      </c>
      <c r="C6884" s="6" t="s">
        <v>378</v>
      </c>
      <c r="D6884" s="6" t="s">
        <v>182</v>
      </c>
      <c r="E6884" s="11">
        <v>7.9744892120361328</v>
      </c>
      <c r="F6884" s="11">
        <v>10.062677383422852</v>
      </c>
    </row>
    <row r="6885" spans="1:6" hidden="1" x14ac:dyDescent="0.3">
      <c r="A6885" s="6">
        <v>50</v>
      </c>
      <c r="B6885" s="6" t="s">
        <v>181</v>
      </c>
      <c r="C6885" s="6" t="s">
        <v>379</v>
      </c>
      <c r="D6885" s="6" t="s">
        <v>182</v>
      </c>
      <c r="E6885" s="11">
        <v>8.6315460205078125</v>
      </c>
      <c r="F6885" s="11">
        <v>10.062677383422852</v>
      </c>
    </row>
    <row r="6886" spans="1:6" hidden="1" x14ac:dyDescent="0.3">
      <c r="A6886" s="6">
        <v>50</v>
      </c>
      <c r="B6886" s="6" t="s">
        <v>181</v>
      </c>
      <c r="C6886" s="6" t="s">
        <v>380</v>
      </c>
      <c r="D6886" s="6" t="s">
        <v>182</v>
      </c>
      <c r="E6886" s="11">
        <v>7.7906994819641113</v>
      </c>
      <c r="F6886" s="11">
        <v>10.062677383422852</v>
      </c>
    </row>
    <row r="6887" spans="1:6" hidden="1" x14ac:dyDescent="0.3">
      <c r="A6887" s="6">
        <v>50</v>
      </c>
      <c r="B6887" s="6" t="s">
        <v>181</v>
      </c>
      <c r="C6887" s="6" t="s">
        <v>381</v>
      </c>
      <c r="D6887" s="6" t="s">
        <v>182</v>
      </c>
      <c r="E6887" s="11">
        <v>6.4418163299560547</v>
      </c>
      <c r="F6887" s="11">
        <v>10.062677383422852</v>
      </c>
    </row>
    <row r="6888" spans="1:6" hidden="1" x14ac:dyDescent="0.3">
      <c r="A6888" s="6">
        <v>50</v>
      </c>
      <c r="B6888" s="6" t="s">
        <v>181</v>
      </c>
      <c r="C6888" s="6" t="s">
        <v>382</v>
      </c>
      <c r="D6888" s="6" t="s">
        <v>182</v>
      </c>
      <c r="E6888" s="11">
        <v>17.948783874511719</v>
      </c>
      <c r="F6888" s="11">
        <v>10.062677383422852</v>
      </c>
    </row>
    <row r="6889" spans="1:6" hidden="1" x14ac:dyDescent="0.3">
      <c r="A6889" s="6">
        <v>50</v>
      </c>
      <c r="B6889" s="6" t="s">
        <v>181</v>
      </c>
      <c r="C6889" s="6" t="s">
        <v>383</v>
      </c>
      <c r="D6889" s="6" t="s">
        <v>182</v>
      </c>
      <c r="E6889" s="11">
        <v>10.852667808532715</v>
      </c>
      <c r="F6889" s="11">
        <v>10.062677383422852</v>
      </c>
    </row>
    <row r="6890" spans="1:6" hidden="1" x14ac:dyDescent="0.3">
      <c r="A6890" s="6">
        <v>50</v>
      </c>
      <c r="B6890" s="6" t="s">
        <v>181</v>
      </c>
      <c r="C6890" s="6" t="s">
        <v>384</v>
      </c>
      <c r="D6890" s="6" t="s">
        <v>182</v>
      </c>
      <c r="E6890" s="11">
        <v>12.41755199432373</v>
      </c>
      <c r="F6890" s="11">
        <v>10.062677383422852</v>
      </c>
    </row>
    <row r="6891" spans="1:6" hidden="1" x14ac:dyDescent="0.3">
      <c r="A6891" s="6">
        <v>50</v>
      </c>
      <c r="B6891" s="6" t="s">
        <v>181</v>
      </c>
      <c r="C6891" s="6" t="s">
        <v>385</v>
      </c>
      <c r="D6891" s="6" t="s">
        <v>182</v>
      </c>
      <c r="E6891" s="11">
        <v>15.810660362243652</v>
      </c>
      <c r="F6891" s="11">
        <v>10.062677383422852</v>
      </c>
    </row>
    <row r="6892" spans="1:6" hidden="1" x14ac:dyDescent="0.3">
      <c r="A6892" s="6">
        <v>50</v>
      </c>
      <c r="B6892" s="6" t="s">
        <v>181</v>
      </c>
      <c r="C6892" s="6" t="s">
        <v>386</v>
      </c>
      <c r="D6892" s="6" t="s">
        <v>182</v>
      </c>
      <c r="E6892" s="11">
        <v>5.2884163856506348</v>
      </c>
      <c r="F6892" s="11">
        <v>10.062677383422852</v>
      </c>
    </row>
    <row r="6893" spans="1:6" hidden="1" x14ac:dyDescent="0.3">
      <c r="A6893" s="6">
        <v>50</v>
      </c>
      <c r="B6893" s="6" t="s">
        <v>181</v>
      </c>
      <c r="C6893" s="6" t="s">
        <v>387</v>
      </c>
      <c r="D6893" s="6" t="s">
        <v>182</v>
      </c>
      <c r="E6893" s="11">
        <v>6.3421049118041992</v>
      </c>
      <c r="F6893" s="11">
        <v>10.062677383422852</v>
      </c>
    </row>
    <row r="6894" spans="1:6" hidden="1" x14ac:dyDescent="0.3">
      <c r="A6894" s="6">
        <v>50</v>
      </c>
      <c r="B6894" s="6" t="s">
        <v>181</v>
      </c>
      <c r="C6894" s="6" t="s">
        <v>388</v>
      </c>
      <c r="D6894" s="6" t="s">
        <v>182</v>
      </c>
      <c r="E6894" s="11">
        <v>8.5957956314086914</v>
      </c>
      <c r="F6894" s="11">
        <v>10.062677383422852</v>
      </c>
    </row>
    <row r="6895" spans="1:6" hidden="1" x14ac:dyDescent="0.3">
      <c r="A6895" s="6">
        <v>50</v>
      </c>
      <c r="B6895" s="6" t="s">
        <v>181</v>
      </c>
      <c r="C6895" s="6" t="s">
        <v>389</v>
      </c>
      <c r="D6895" s="6" t="s">
        <v>182</v>
      </c>
      <c r="E6895" s="11">
        <v>11.313491821289063</v>
      </c>
      <c r="F6895" s="11">
        <v>10.062677383422852</v>
      </c>
    </row>
    <row r="6896" spans="1:6" hidden="1" x14ac:dyDescent="0.3">
      <c r="A6896" s="6">
        <v>50</v>
      </c>
      <c r="B6896" s="6" t="s">
        <v>181</v>
      </c>
      <c r="C6896" s="6" t="s">
        <v>390</v>
      </c>
      <c r="D6896" s="6" t="s">
        <v>182</v>
      </c>
      <c r="E6896" s="11">
        <v>42.496688842773438</v>
      </c>
      <c r="F6896" s="11">
        <v>10.062677383422852</v>
      </c>
    </row>
    <row r="6897" spans="1:6" hidden="1" x14ac:dyDescent="0.3">
      <c r="A6897" s="6">
        <v>50</v>
      </c>
      <c r="B6897" s="6" t="s">
        <v>181</v>
      </c>
      <c r="C6897" s="6" t="s">
        <v>391</v>
      </c>
      <c r="D6897" s="6" t="s">
        <v>182</v>
      </c>
      <c r="E6897" s="11">
        <v>7.8666172027587891</v>
      </c>
      <c r="F6897" s="11">
        <v>10.062677383422852</v>
      </c>
    </row>
    <row r="6898" spans="1:6" hidden="1" x14ac:dyDescent="0.3">
      <c r="A6898" s="6">
        <v>50</v>
      </c>
      <c r="B6898" s="6" t="s">
        <v>181</v>
      </c>
      <c r="C6898" s="6" t="s">
        <v>392</v>
      </c>
      <c r="D6898" s="6" t="s">
        <v>182</v>
      </c>
      <c r="E6898" s="11">
        <v>9.3967351913452148</v>
      </c>
      <c r="F6898" s="11">
        <v>10.062677383422852</v>
      </c>
    </row>
    <row r="6899" spans="1:6" hidden="1" x14ac:dyDescent="0.3">
      <c r="A6899" s="6">
        <v>50</v>
      </c>
      <c r="B6899" s="6" t="s">
        <v>181</v>
      </c>
      <c r="C6899" s="6" t="s">
        <v>393</v>
      </c>
      <c r="D6899" s="6" t="s">
        <v>182</v>
      </c>
      <c r="E6899" s="11">
        <v>20.333440780639648</v>
      </c>
      <c r="F6899" s="11">
        <v>10.062677383422852</v>
      </c>
    </row>
    <row r="6900" spans="1:6" hidden="1" x14ac:dyDescent="0.3">
      <c r="A6900" s="6">
        <v>50</v>
      </c>
      <c r="B6900" s="6" t="s">
        <v>181</v>
      </c>
      <c r="C6900" s="6" t="s">
        <v>394</v>
      </c>
      <c r="D6900" s="6" t="s">
        <v>182</v>
      </c>
      <c r="E6900" s="11">
        <v>11.931309700012207</v>
      </c>
      <c r="F6900" s="11">
        <v>10.062677383422852</v>
      </c>
    </row>
    <row r="6901" spans="1:6" hidden="1" x14ac:dyDescent="0.3">
      <c r="A6901" s="6">
        <v>50</v>
      </c>
      <c r="B6901" s="6" t="s">
        <v>181</v>
      </c>
      <c r="C6901" s="6" t="s">
        <v>395</v>
      </c>
      <c r="D6901" s="6" t="s">
        <v>182</v>
      </c>
      <c r="E6901" s="11">
        <v>7.3903589248657227</v>
      </c>
      <c r="F6901" s="11">
        <v>10.062677383422852</v>
      </c>
    </row>
    <row r="6902" spans="1:6" hidden="1" x14ac:dyDescent="0.3">
      <c r="A6902" s="6">
        <v>50</v>
      </c>
      <c r="B6902" s="6" t="s">
        <v>181</v>
      </c>
      <c r="C6902" s="6" t="s">
        <v>396</v>
      </c>
      <c r="D6902" s="6" t="s">
        <v>182</v>
      </c>
      <c r="E6902" s="11">
        <v>5.6032547950744629</v>
      </c>
      <c r="F6902" s="11">
        <v>10.062677383422852</v>
      </c>
    </row>
    <row r="6903" spans="1:6" hidden="1" x14ac:dyDescent="0.3">
      <c r="A6903" s="6">
        <v>50</v>
      </c>
      <c r="B6903" s="6" t="s">
        <v>181</v>
      </c>
      <c r="C6903" s="6" t="s">
        <v>397</v>
      </c>
      <c r="D6903" s="6" t="s">
        <v>182</v>
      </c>
      <c r="E6903" s="11">
        <v>6.8248276710510254</v>
      </c>
      <c r="F6903" s="11">
        <v>10.062677383422852</v>
      </c>
    </row>
    <row r="6904" spans="1:6" hidden="1" x14ac:dyDescent="0.3">
      <c r="A6904" s="6">
        <v>50</v>
      </c>
      <c r="B6904" s="6" t="s">
        <v>181</v>
      </c>
      <c r="C6904" s="6" t="s">
        <v>398</v>
      </c>
      <c r="D6904" s="6" t="s">
        <v>182</v>
      </c>
      <c r="E6904" s="11">
        <v>5389441.5</v>
      </c>
      <c r="F6904" s="11">
        <v>10.062677383422852</v>
      </c>
    </row>
    <row r="6905" spans="1:6" hidden="1" x14ac:dyDescent="0.3">
      <c r="A6905" s="6">
        <v>50</v>
      </c>
      <c r="B6905" s="6" t="s">
        <v>181</v>
      </c>
      <c r="C6905" s="6" t="s">
        <v>399</v>
      </c>
      <c r="D6905" s="6" t="s">
        <v>182</v>
      </c>
      <c r="E6905" s="11">
        <v>212.27760314941406</v>
      </c>
      <c r="F6905" s="11">
        <v>10.062677383422852</v>
      </c>
    </row>
    <row r="6906" spans="1:6" hidden="1" x14ac:dyDescent="0.3">
      <c r="A6906" s="6">
        <v>50</v>
      </c>
      <c r="B6906" s="6" t="s">
        <v>181</v>
      </c>
      <c r="C6906" s="6" t="s">
        <v>400</v>
      </c>
      <c r="D6906" s="6" t="s">
        <v>182</v>
      </c>
      <c r="E6906" s="11">
        <v>11.976260185241699</v>
      </c>
      <c r="F6906" s="11">
        <v>10.062677383422852</v>
      </c>
    </row>
    <row r="6907" spans="1:6" hidden="1" x14ac:dyDescent="0.3">
      <c r="A6907" s="6">
        <v>50</v>
      </c>
      <c r="B6907" s="6" t="s">
        <v>181</v>
      </c>
      <c r="C6907" s="6" t="s">
        <v>401</v>
      </c>
      <c r="D6907" s="6" t="s">
        <v>182</v>
      </c>
      <c r="E6907" s="11">
        <v>9.1854877471923828</v>
      </c>
      <c r="F6907" s="11">
        <v>10.062677383422852</v>
      </c>
    </row>
    <row r="6908" spans="1:6" hidden="1" x14ac:dyDescent="0.3">
      <c r="A6908" s="6">
        <v>50</v>
      </c>
      <c r="B6908" s="6" t="s">
        <v>181</v>
      </c>
      <c r="C6908" s="6" t="s">
        <v>402</v>
      </c>
      <c r="D6908" s="6" t="s">
        <v>182</v>
      </c>
      <c r="E6908" s="11">
        <v>26.899608612060547</v>
      </c>
      <c r="F6908" s="11">
        <v>10.062677383422852</v>
      </c>
    </row>
    <row r="6909" spans="1:6" hidden="1" x14ac:dyDescent="0.3">
      <c r="A6909" s="6">
        <v>50</v>
      </c>
      <c r="B6909" s="6" t="s">
        <v>181</v>
      </c>
      <c r="C6909" s="6" t="s">
        <v>403</v>
      </c>
      <c r="D6909" s="6" t="s">
        <v>182</v>
      </c>
      <c r="E6909" s="11">
        <v>16.326288223266602</v>
      </c>
      <c r="F6909" s="11">
        <v>10.062677383422852</v>
      </c>
    </row>
    <row r="6910" spans="1:6" hidden="1" x14ac:dyDescent="0.3">
      <c r="A6910" s="6">
        <v>50</v>
      </c>
      <c r="B6910" s="6" t="s">
        <v>181</v>
      </c>
      <c r="C6910" s="6" t="s">
        <v>404</v>
      </c>
      <c r="D6910" s="6" t="s">
        <v>182</v>
      </c>
      <c r="E6910" s="11">
        <v>15.12147331237793</v>
      </c>
      <c r="F6910" s="11">
        <v>10.062677383422852</v>
      </c>
    </row>
    <row r="6911" spans="1:6" hidden="1" x14ac:dyDescent="0.3">
      <c r="A6911" s="6">
        <v>50</v>
      </c>
      <c r="B6911" s="6" t="s">
        <v>181</v>
      </c>
      <c r="C6911" s="6" t="s">
        <v>405</v>
      </c>
      <c r="D6911" s="6" t="s">
        <v>182</v>
      </c>
      <c r="E6911" s="11">
        <v>7.4147334098815918</v>
      </c>
      <c r="F6911" s="11">
        <v>10.062677383422852</v>
      </c>
    </row>
    <row r="6912" spans="1:6" hidden="1" x14ac:dyDescent="0.3">
      <c r="A6912" s="6">
        <v>50</v>
      </c>
      <c r="B6912" s="6" t="s">
        <v>181</v>
      </c>
      <c r="C6912" s="6" t="s">
        <v>406</v>
      </c>
      <c r="D6912" s="6" t="s">
        <v>182</v>
      </c>
      <c r="E6912" s="11">
        <v>14.846981048583984</v>
      </c>
      <c r="F6912" s="11">
        <v>10.062677383422852</v>
      </c>
    </row>
    <row r="6913" spans="1:6" hidden="1" x14ac:dyDescent="0.3">
      <c r="A6913" s="6">
        <v>50</v>
      </c>
      <c r="B6913" s="6" t="s">
        <v>181</v>
      </c>
      <c r="C6913" s="6" t="s">
        <v>407</v>
      </c>
      <c r="D6913" s="6" t="s">
        <v>182</v>
      </c>
      <c r="E6913" s="11">
        <v>16.929092407226563</v>
      </c>
      <c r="F6913" s="11">
        <v>10.062677383422852</v>
      </c>
    </row>
    <row r="6914" spans="1:6" hidden="1" x14ac:dyDescent="0.3">
      <c r="A6914" s="6">
        <v>50</v>
      </c>
      <c r="B6914" s="6" t="s">
        <v>181</v>
      </c>
      <c r="C6914" s="6" t="s">
        <v>408</v>
      </c>
      <c r="D6914" s="6" t="s">
        <v>182</v>
      </c>
      <c r="E6914" s="11">
        <v>13.235535621643066</v>
      </c>
      <c r="F6914" s="11">
        <v>10.062677383422852</v>
      </c>
    </row>
    <row r="6915" spans="1:6" hidden="1" x14ac:dyDescent="0.3">
      <c r="A6915" s="6">
        <v>50</v>
      </c>
      <c r="B6915" s="6" t="s">
        <v>181</v>
      </c>
      <c r="C6915" s="6" t="s">
        <v>409</v>
      </c>
      <c r="D6915" s="6" t="s">
        <v>182</v>
      </c>
      <c r="E6915" s="11">
        <v>17.061656951904297</v>
      </c>
      <c r="F6915" s="11">
        <v>10.062677383422852</v>
      </c>
    </row>
    <row r="6916" spans="1:6" hidden="1" x14ac:dyDescent="0.3">
      <c r="A6916" s="6">
        <v>50</v>
      </c>
      <c r="B6916" s="6" t="s">
        <v>181</v>
      </c>
      <c r="C6916" s="6" t="s">
        <v>410</v>
      </c>
      <c r="D6916" s="6" t="s">
        <v>182</v>
      </c>
      <c r="E6916" s="11">
        <v>9.4267139434814453</v>
      </c>
      <c r="F6916" s="11">
        <v>10.062677383422852</v>
      </c>
    </row>
    <row r="6917" spans="1:6" hidden="1" x14ac:dyDescent="0.3">
      <c r="A6917" s="6">
        <v>50</v>
      </c>
      <c r="B6917" s="6" t="s">
        <v>181</v>
      </c>
      <c r="C6917" s="6" t="s">
        <v>411</v>
      </c>
      <c r="D6917" s="6" t="s">
        <v>182</v>
      </c>
      <c r="E6917" s="11">
        <v>7.2171239852905273</v>
      </c>
      <c r="F6917" s="11">
        <v>10.062677383422852</v>
      </c>
    </row>
    <row r="6918" spans="1:6" hidden="1" x14ac:dyDescent="0.3">
      <c r="A6918" s="6">
        <v>50</v>
      </c>
      <c r="B6918" s="6" t="s">
        <v>181</v>
      </c>
      <c r="C6918" s="6" t="s">
        <v>412</v>
      </c>
      <c r="D6918" s="6" t="s">
        <v>182</v>
      </c>
      <c r="E6918" s="11">
        <v>10.248592376708984</v>
      </c>
      <c r="F6918" s="11">
        <v>10.062677383422852</v>
      </c>
    </row>
    <row r="6919" spans="1:6" hidden="1" x14ac:dyDescent="0.3">
      <c r="A6919" s="6">
        <v>50</v>
      </c>
      <c r="B6919" s="6" t="s">
        <v>181</v>
      </c>
      <c r="C6919" s="6" t="s">
        <v>413</v>
      </c>
      <c r="D6919" s="6" t="s">
        <v>182</v>
      </c>
      <c r="E6919" s="11">
        <v>7.9434170722961426</v>
      </c>
      <c r="F6919" s="11">
        <v>10.062677383422852</v>
      </c>
    </row>
    <row r="6920" spans="1:6" hidden="1" x14ac:dyDescent="0.3">
      <c r="A6920" s="6">
        <v>50</v>
      </c>
      <c r="B6920" s="6" t="s">
        <v>181</v>
      </c>
      <c r="C6920" s="6" t="s">
        <v>414</v>
      </c>
      <c r="D6920" s="6" t="s">
        <v>182</v>
      </c>
      <c r="E6920" s="11">
        <v>6.7120709419250488</v>
      </c>
      <c r="F6920" s="11">
        <v>10.062677383422852</v>
      </c>
    </row>
    <row r="6921" spans="1:6" hidden="1" x14ac:dyDescent="0.3">
      <c r="A6921" s="6">
        <v>50</v>
      </c>
      <c r="B6921" s="6" t="s">
        <v>181</v>
      </c>
      <c r="C6921" s="6" t="s">
        <v>415</v>
      </c>
      <c r="D6921" s="6" t="s">
        <v>182</v>
      </c>
      <c r="E6921" s="11">
        <v>32.983993530273438</v>
      </c>
      <c r="F6921" s="11">
        <v>10.062677383422852</v>
      </c>
    </row>
    <row r="6922" spans="1:6" hidden="1" x14ac:dyDescent="0.3">
      <c r="A6922" s="6">
        <v>50</v>
      </c>
      <c r="B6922" s="6" t="s">
        <v>181</v>
      </c>
      <c r="C6922" s="6" t="s">
        <v>416</v>
      </c>
      <c r="D6922" s="6" t="s">
        <v>182</v>
      </c>
      <c r="E6922" s="11">
        <v>8.3968381881713867</v>
      </c>
      <c r="F6922" s="11">
        <v>10.062677383422852</v>
      </c>
    </row>
    <row r="6923" spans="1:6" hidden="1" x14ac:dyDescent="0.3">
      <c r="A6923" s="6">
        <v>50</v>
      </c>
      <c r="B6923" s="6" t="s">
        <v>181</v>
      </c>
      <c r="C6923" s="6" t="s">
        <v>417</v>
      </c>
      <c r="D6923" s="6" t="s">
        <v>182</v>
      </c>
      <c r="E6923" s="11">
        <v>8.4590969085693359</v>
      </c>
      <c r="F6923" s="11">
        <v>10.062677383422852</v>
      </c>
    </row>
    <row r="6924" spans="1:6" hidden="1" x14ac:dyDescent="0.3">
      <c r="A6924" s="6">
        <v>50</v>
      </c>
      <c r="B6924" s="6" t="s">
        <v>181</v>
      </c>
      <c r="C6924" s="6" t="s">
        <v>418</v>
      </c>
      <c r="D6924" s="6" t="s">
        <v>182</v>
      </c>
      <c r="E6924" s="11">
        <v>8.7965202331542969</v>
      </c>
      <c r="F6924" s="11">
        <v>10.062677383422852</v>
      </c>
    </row>
    <row r="6925" spans="1:6" hidden="1" x14ac:dyDescent="0.3">
      <c r="A6925" s="6">
        <v>50</v>
      </c>
      <c r="B6925" s="6" t="s">
        <v>181</v>
      </c>
      <c r="C6925" s="6" t="s">
        <v>419</v>
      </c>
      <c r="D6925" s="6" t="s">
        <v>182</v>
      </c>
      <c r="E6925" s="11">
        <v>7.2542400360107422</v>
      </c>
      <c r="F6925" s="11">
        <v>10.062677383422852</v>
      </c>
    </row>
    <row r="6926" spans="1:6" hidden="1" x14ac:dyDescent="0.3">
      <c r="A6926" s="6">
        <v>50</v>
      </c>
      <c r="B6926" s="6" t="s">
        <v>181</v>
      </c>
      <c r="C6926" s="6" t="s">
        <v>420</v>
      </c>
      <c r="D6926" s="6" t="s">
        <v>182</v>
      </c>
      <c r="E6926" s="11">
        <v>6.1740202903747559</v>
      </c>
      <c r="F6926" s="11">
        <v>10.062677383422852</v>
      </c>
    </row>
    <row r="6927" spans="1:6" hidden="1" x14ac:dyDescent="0.3">
      <c r="A6927" s="6">
        <v>50</v>
      </c>
      <c r="B6927" s="6" t="s">
        <v>181</v>
      </c>
      <c r="C6927" s="6" t="s">
        <v>421</v>
      </c>
      <c r="D6927" s="6" t="s">
        <v>182</v>
      </c>
      <c r="E6927" s="11">
        <v>20.526571273803711</v>
      </c>
      <c r="F6927" s="11">
        <v>10.062677383422852</v>
      </c>
    </row>
    <row r="6928" spans="1:6" hidden="1" x14ac:dyDescent="0.3">
      <c r="A6928" s="6">
        <v>50</v>
      </c>
      <c r="B6928" s="6" t="s">
        <v>181</v>
      </c>
      <c r="C6928" s="6" t="s">
        <v>422</v>
      </c>
      <c r="D6928" s="6" t="s">
        <v>182</v>
      </c>
      <c r="E6928" s="11">
        <v>16.859153747558594</v>
      </c>
      <c r="F6928" s="11">
        <v>10.062677383422852</v>
      </c>
    </row>
    <row r="6929" spans="1:6" hidden="1" x14ac:dyDescent="0.3">
      <c r="A6929" s="6">
        <v>50</v>
      </c>
      <c r="B6929" s="6" t="s">
        <v>181</v>
      </c>
      <c r="C6929" s="6" t="s">
        <v>423</v>
      </c>
      <c r="D6929" s="6" t="s">
        <v>182</v>
      </c>
      <c r="E6929" s="11">
        <v>26.986471176147461</v>
      </c>
      <c r="F6929" s="11">
        <v>10.062677383422852</v>
      </c>
    </row>
    <row r="6930" spans="1:6" hidden="1" x14ac:dyDescent="0.3">
      <c r="A6930" s="6">
        <v>50</v>
      </c>
      <c r="B6930" s="6" t="s">
        <v>181</v>
      </c>
      <c r="C6930" s="6" t="s">
        <v>424</v>
      </c>
      <c r="D6930" s="6" t="s">
        <v>182</v>
      </c>
      <c r="E6930" s="11">
        <v>6.196225643157959</v>
      </c>
      <c r="F6930" s="11">
        <v>10.062677383422852</v>
      </c>
    </row>
    <row r="6931" spans="1:6" hidden="1" x14ac:dyDescent="0.3">
      <c r="A6931" s="6">
        <v>50</v>
      </c>
      <c r="B6931" s="6" t="s">
        <v>181</v>
      </c>
      <c r="C6931" s="6" t="s">
        <v>425</v>
      </c>
      <c r="D6931" s="6" t="s">
        <v>182</v>
      </c>
      <c r="E6931" s="11">
        <v>6.3100204467773438</v>
      </c>
      <c r="F6931" s="11">
        <v>10.062677383422852</v>
      </c>
    </row>
    <row r="6932" spans="1:6" hidden="1" x14ac:dyDescent="0.3">
      <c r="A6932" s="6">
        <v>50</v>
      </c>
      <c r="B6932" s="6" t="s">
        <v>181</v>
      </c>
      <c r="C6932" s="6" t="s">
        <v>426</v>
      </c>
      <c r="D6932" s="6" t="s">
        <v>182</v>
      </c>
      <c r="E6932" s="11">
        <v>13.080204963684082</v>
      </c>
      <c r="F6932" s="11">
        <v>10.062677383422852</v>
      </c>
    </row>
    <row r="6933" spans="1:6" hidden="1" x14ac:dyDescent="0.3">
      <c r="A6933" s="6">
        <v>50</v>
      </c>
      <c r="B6933" s="6" t="s">
        <v>181</v>
      </c>
      <c r="C6933" s="6" t="s">
        <v>427</v>
      </c>
      <c r="D6933" s="6" t="s">
        <v>182</v>
      </c>
      <c r="E6933" s="11">
        <v>127.89234924316406</v>
      </c>
      <c r="F6933" s="11">
        <v>10.062677383422852</v>
      </c>
    </row>
    <row r="6934" spans="1:6" hidden="1" x14ac:dyDescent="0.3">
      <c r="A6934" s="6">
        <v>50</v>
      </c>
      <c r="B6934" s="6" t="s">
        <v>181</v>
      </c>
      <c r="C6934" s="6" t="s">
        <v>428</v>
      </c>
      <c r="D6934" s="6" t="s">
        <v>182</v>
      </c>
      <c r="E6934" s="11">
        <v>6.0553779602050781</v>
      </c>
      <c r="F6934" s="11">
        <v>10.062677383422852</v>
      </c>
    </row>
    <row r="6935" spans="1:6" hidden="1" x14ac:dyDescent="0.3">
      <c r="A6935" s="6">
        <v>50</v>
      </c>
      <c r="B6935" s="6" t="s">
        <v>181</v>
      </c>
      <c r="C6935" s="6" t="s">
        <v>429</v>
      </c>
      <c r="D6935" s="6" t="s">
        <v>182</v>
      </c>
      <c r="E6935" s="11">
        <v>9.2206830978393555</v>
      </c>
      <c r="F6935" s="11">
        <v>10.062677383422852</v>
      </c>
    </row>
    <row r="6936" spans="1:6" hidden="1" x14ac:dyDescent="0.3">
      <c r="A6936" s="6">
        <v>50</v>
      </c>
      <c r="B6936" s="6" t="s">
        <v>181</v>
      </c>
      <c r="C6936" s="6" t="s">
        <v>430</v>
      </c>
      <c r="D6936" s="6" t="s">
        <v>182</v>
      </c>
      <c r="E6936" s="11">
        <v>11.214688301086426</v>
      </c>
      <c r="F6936" s="11">
        <v>10.062677383422852</v>
      </c>
    </row>
    <row r="6937" spans="1:6" hidden="1" x14ac:dyDescent="0.3">
      <c r="A6937" s="6">
        <v>50</v>
      </c>
      <c r="B6937" s="6" t="s">
        <v>181</v>
      </c>
      <c r="C6937" s="6" t="s">
        <v>431</v>
      </c>
      <c r="D6937" s="6" t="s">
        <v>182</v>
      </c>
      <c r="E6937" s="11">
        <v>11.200783729553223</v>
      </c>
      <c r="F6937" s="11">
        <v>10.062677383422852</v>
      </c>
    </row>
    <row r="6938" spans="1:6" hidden="1" x14ac:dyDescent="0.3">
      <c r="A6938" s="6">
        <v>50</v>
      </c>
      <c r="B6938" s="6" t="s">
        <v>181</v>
      </c>
      <c r="C6938" s="6" t="s">
        <v>432</v>
      </c>
      <c r="D6938" s="6" t="s">
        <v>182</v>
      </c>
      <c r="E6938" s="11">
        <v>10.267363548278809</v>
      </c>
      <c r="F6938" s="11">
        <v>10.062677383422852</v>
      </c>
    </row>
    <row r="6939" spans="1:6" hidden="1" x14ac:dyDescent="0.3">
      <c r="A6939" s="6">
        <v>50</v>
      </c>
      <c r="B6939" s="6" t="s">
        <v>181</v>
      </c>
      <c r="C6939" s="6" t="s">
        <v>433</v>
      </c>
      <c r="D6939" s="6" t="s">
        <v>182</v>
      </c>
      <c r="E6939" s="11">
        <v>6.6699604988098145</v>
      </c>
      <c r="F6939" s="11">
        <v>10.062677383422852</v>
      </c>
    </row>
    <row r="6940" spans="1:6" hidden="1" x14ac:dyDescent="0.3">
      <c r="A6940" s="6">
        <v>50</v>
      </c>
      <c r="B6940" s="6" t="s">
        <v>181</v>
      </c>
      <c r="C6940" s="6" t="s">
        <v>434</v>
      </c>
      <c r="D6940" s="6" t="s">
        <v>182</v>
      </c>
      <c r="E6940" s="11">
        <v>6.9481191635131836</v>
      </c>
      <c r="F6940" s="11">
        <v>10.062677383422852</v>
      </c>
    </row>
    <row r="6941" spans="1:6" hidden="1" x14ac:dyDescent="0.3">
      <c r="A6941" s="6">
        <v>50</v>
      </c>
      <c r="B6941" s="6" t="s">
        <v>181</v>
      </c>
      <c r="C6941" s="6" t="s">
        <v>435</v>
      </c>
      <c r="D6941" s="6" t="s">
        <v>182</v>
      </c>
      <c r="E6941" s="11">
        <v>9.7518987655639648</v>
      </c>
      <c r="F6941" s="11">
        <v>10.062677383422852</v>
      </c>
    </row>
    <row r="6942" spans="1:6" hidden="1" x14ac:dyDescent="0.3">
      <c r="A6942" s="6">
        <v>50</v>
      </c>
      <c r="B6942" s="6" t="s">
        <v>181</v>
      </c>
      <c r="C6942" s="6" t="s">
        <v>436</v>
      </c>
      <c r="D6942" s="6" t="s">
        <v>182</v>
      </c>
      <c r="E6942" s="11">
        <v>13.369552612304688</v>
      </c>
      <c r="F6942" s="11">
        <v>10.062677383422852</v>
      </c>
    </row>
    <row r="6943" spans="1:6" hidden="1" x14ac:dyDescent="0.3">
      <c r="A6943" s="6">
        <v>50</v>
      </c>
      <c r="B6943" s="6" t="s">
        <v>181</v>
      </c>
      <c r="C6943" s="6" t="s">
        <v>437</v>
      </c>
      <c r="D6943" s="6" t="s">
        <v>182</v>
      </c>
      <c r="E6943" s="11">
        <v>13.252236366271973</v>
      </c>
      <c r="F6943" s="11">
        <v>10.062677383422852</v>
      </c>
    </row>
    <row r="6944" spans="1:6" hidden="1" x14ac:dyDescent="0.3">
      <c r="A6944" s="6">
        <v>50</v>
      </c>
      <c r="B6944" s="6" t="s">
        <v>181</v>
      </c>
      <c r="C6944" s="6" t="s">
        <v>438</v>
      </c>
      <c r="D6944" s="6" t="s">
        <v>182</v>
      </c>
      <c r="E6944" s="11">
        <v>8.7503643035888672</v>
      </c>
      <c r="F6944" s="11">
        <v>10.062677383422852</v>
      </c>
    </row>
    <row r="6945" spans="1:6" hidden="1" x14ac:dyDescent="0.3">
      <c r="A6945" s="6">
        <v>50</v>
      </c>
      <c r="B6945" s="6" t="s">
        <v>181</v>
      </c>
      <c r="C6945" s="6" t="s">
        <v>439</v>
      </c>
      <c r="D6945" s="6" t="s">
        <v>182</v>
      </c>
      <c r="E6945" s="11">
        <v>13.136706352233887</v>
      </c>
      <c r="F6945" s="11">
        <v>10.062677383422852</v>
      </c>
    </row>
    <row r="6946" spans="1:6" hidden="1" x14ac:dyDescent="0.3">
      <c r="A6946" s="6">
        <v>50</v>
      </c>
      <c r="B6946" s="6" t="s">
        <v>181</v>
      </c>
      <c r="C6946" s="6" t="s">
        <v>440</v>
      </c>
      <c r="D6946" s="6" t="s">
        <v>182</v>
      </c>
      <c r="E6946" s="11">
        <v>10.862768173217773</v>
      </c>
      <c r="F6946" s="11">
        <v>10.062677383422852</v>
      </c>
    </row>
    <row r="6947" spans="1:6" hidden="1" x14ac:dyDescent="0.3">
      <c r="A6947" s="6">
        <v>50</v>
      </c>
      <c r="B6947" s="6" t="s">
        <v>181</v>
      </c>
      <c r="C6947" s="6" t="s">
        <v>441</v>
      </c>
      <c r="D6947" s="6" t="s">
        <v>182</v>
      </c>
      <c r="E6947" s="11">
        <v>5.0885863304138184</v>
      </c>
      <c r="F6947" s="11">
        <v>10.062677383422852</v>
      </c>
    </row>
    <row r="6948" spans="1:6" hidden="1" x14ac:dyDescent="0.3">
      <c r="A6948" s="6">
        <v>50</v>
      </c>
      <c r="B6948" s="6" t="s">
        <v>181</v>
      </c>
      <c r="C6948" s="6" t="s">
        <v>442</v>
      </c>
      <c r="D6948" s="6" t="s">
        <v>182</v>
      </c>
      <c r="E6948" s="11">
        <v>747.92279052734375</v>
      </c>
      <c r="F6948" s="11">
        <v>10.062677383422852</v>
      </c>
    </row>
    <row r="6949" spans="1:6" hidden="1" x14ac:dyDescent="0.3">
      <c r="A6949" s="6">
        <v>50</v>
      </c>
      <c r="B6949" s="6" t="s">
        <v>181</v>
      </c>
      <c r="C6949" s="6" t="s">
        <v>443</v>
      </c>
      <c r="D6949" s="6" t="s">
        <v>182</v>
      </c>
      <c r="E6949" s="11">
        <v>11.113470077514648</v>
      </c>
      <c r="F6949" s="11">
        <v>10.062677383422852</v>
      </c>
    </row>
    <row r="6950" spans="1:6" hidden="1" x14ac:dyDescent="0.3">
      <c r="A6950" s="6">
        <v>50</v>
      </c>
      <c r="B6950" s="6" t="s">
        <v>181</v>
      </c>
      <c r="C6950" s="6" t="s">
        <v>444</v>
      </c>
      <c r="D6950" s="6" t="s">
        <v>182</v>
      </c>
      <c r="E6950" s="11">
        <v>10.27143669128418</v>
      </c>
      <c r="F6950" s="11">
        <v>10.062677383422852</v>
      </c>
    </row>
    <row r="6951" spans="1:6" hidden="1" x14ac:dyDescent="0.3">
      <c r="A6951" s="6">
        <v>50</v>
      </c>
      <c r="B6951" s="6" t="s">
        <v>181</v>
      </c>
      <c r="C6951" s="6" t="s">
        <v>445</v>
      </c>
      <c r="D6951" s="6" t="s">
        <v>182</v>
      </c>
      <c r="E6951" s="11">
        <v>17.626337051391602</v>
      </c>
      <c r="F6951" s="11">
        <v>10.062677383422852</v>
      </c>
    </row>
    <row r="6952" spans="1:6" hidden="1" x14ac:dyDescent="0.3">
      <c r="A6952" s="6">
        <v>50</v>
      </c>
      <c r="B6952" s="6" t="s">
        <v>181</v>
      </c>
      <c r="C6952" s="6" t="s">
        <v>446</v>
      </c>
      <c r="D6952" s="6" t="s">
        <v>182</v>
      </c>
      <c r="E6952" s="11">
        <v>8.9634380340576172</v>
      </c>
      <c r="F6952" s="11">
        <v>10.062677383422852</v>
      </c>
    </row>
    <row r="6953" spans="1:6" hidden="1" x14ac:dyDescent="0.3">
      <c r="A6953" s="6">
        <v>50</v>
      </c>
      <c r="B6953" s="6" t="s">
        <v>181</v>
      </c>
      <c r="C6953" s="6" t="s">
        <v>447</v>
      </c>
      <c r="D6953" s="6" t="s">
        <v>182</v>
      </c>
      <c r="E6953" s="11">
        <v>14.283743858337402</v>
      </c>
      <c r="F6953" s="11">
        <v>10.062677383422852</v>
      </c>
    </row>
    <row r="6954" spans="1:6" hidden="1" x14ac:dyDescent="0.3">
      <c r="A6954" s="6">
        <v>50</v>
      </c>
      <c r="B6954" s="6" t="s">
        <v>181</v>
      </c>
      <c r="C6954" s="6" t="s">
        <v>448</v>
      </c>
      <c r="D6954" s="6" t="s">
        <v>182</v>
      </c>
      <c r="E6954" s="11">
        <v>11.271147727966309</v>
      </c>
      <c r="F6954" s="11">
        <v>10.062677383422852</v>
      </c>
    </row>
    <row r="6955" spans="1:6" hidden="1" x14ac:dyDescent="0.3">
      <c r="A6955" s="6">
        <v>50</v>
      </c>
      <c r="B6955" s="6" t="s">
        <v>181</v>
      </c>
      <c r="C6955" s="6" t="s">
        <v>449</v>
      </c>
      <c r="D6955" s="6" t="s">
        <v>182</v>
      </c>
      <c r="E6955" s="11">
        <v>7.9198212623596191</v>
      </c>
      <c r="F6955" s="11">
        <v>10.062677383422852</v>
      </c>
    </row>
    <row r="6956" spans="1:6" hidden="1" x14ac:dyDescent="0.3">
      <c r="A6956" s="6">
        <v>50</v>
      </c>
      <c r="B6956" s="6" t="s">
        <v>181</v>
      </c>
      <c r="C6956" s="6" t="s">
        <v>450</v>
      </c>
      <c r="D6956" s="6" t="s">
        <v>182</v>
      </c>
      <c r="E6956" s="11">
        <v>8.2869691848754883</v>
      </c>
      <c r="F6956" s="11">
        <v>10.062677383422852</v>
      </c>
    </row>
    <row r="6957" spans="1:6" hidden="1" x14ac:dyDescent="0.3">
      <c r="A6957" s="6">
        <v>50</v>
      </c>
      <c r="B6957" s="6" t="s">
        <v>181</v>
      </c>
      <c r="C6957" s="6" t="s">
        <v>451</v>
      </c>
      <c r="D6957" s="6" t="s">
        <v>182</v>
      </c>
      <c r="E6957" s="11">
        <v>6.6567516326904297</v>
      </c>
      <c r="F6957" s="11">
        <v>10.062677383422852</v>
      </c>
    </row>
    <row r="6958" spans="1:6" hidden="1" x14ac:dyDescent="0.3">
      <c r="A6958" s="6">
        <v>50</v>
      </c>
      <c r="B6958" s="6" t="s">
        <v>181</v>
      </c>
      <c r="C6958" s="6" t="s">
        <v>452</v>
      </c>
      <c r="D6958" s="6" t="s">
        <v>182</v>
      </c>
      <c r="E6958" s="11">
        <v>6.5355391502380371</v>
      </c>
      <c r="F6958" s="11">
        <v>10.062677383422852</v>
      </c>
    </row>
    <row r="6959" spans="1:6" hidden="1" x14ac:dyDescent="0.3">
      <c r="A6959" s="6">
        <v>50</v>
      </c>
      <c r="B6959" s="6" t="s">
        <v>181</v>
      </c>
      <c r="C6959" s="6" t="s">
        <v>453</v>
      </c>
      <c r="D6959" s="6" t="s">
        <v>182</v>
      </c>
      <c r="E6959" s="11">
        <v>26.769577026367188</v>
      </c>
      <c r="F6959" s="11">
        <v>10.062677383422852</v>
      </c>
    </row>
    <row r="6960" spans="1:6" hidden="1" x14ac:dyDescent="0.3">
      <c r="A6960" s="6">
        <v>50</v>
      </c>
      <c r="B6960" s="6" t="s">
        <v>181</v>
      </c>
      <c r="C6960" s="6" t="s">
        <v>454</v>
      </c>
      <c r="D6960" s="6" t="s">
        <v>182</v>
      </c>
      <c r="E6960" s="11">
        <v>11.159296989440918</v>
      </c>
      <c r="F6960" s="11">
        <v>10.062677383422852</v>
      </c>
    </row>
    <row r="6961" spans="1:6" hidden="1" x14ac:dyDescent="0.3">
      <c r="A6961" s="6">
        <v>50</v>
      </c>
      <c r="B6961" s="6" t="s">
        <v>181</v>
      </c>
      <c r="C6961" s="6" t="s">
        <v>455</v>
      </c>
      <c r="D6961" s="6" t="s">
        <v>182</v>
      </c>
      <c r="E6961" s="11">
        <v>7.2507448196411133</v>
      </c>
      <c r="F6961" s="11">
        <v>10.062677383422852</v>
      </c>
    </row>
    <row r="6962" spans="1:6" hidden="1" x14ac:dyDescent="0.3">
      <c r="A6962" s="6">
        <v>50</v>
      </c>
      <c r="B6962" s="6" t="s">
        <v>181</v>
      </c>
      <c r="C6962" s="6" t="s">
        <v>456</v>
      </c>
      <c r="D6962" s="6" t="s">
        <v>182</v>
      </c>
      <c r="E6962" s="11">
        <v>6.4649991989135742</v>
      </c>
      <c r="F6962" s="11">
        <v>10.062677383422852</v>
      </c>
    </row>
    <row r="6963" spans="1:6" hidden="1" x14ac:dyDescent="0.3">
      <c r="A6963" s="6">
        <v>50</v>
      </c>
      <c r="B6963" s="6" t="s">
        <v>181</v>
      </c>
      <c r="C6963" s="6" t="s">
        <v>457</v>
      </c>
      <c r="D6963" s="6" t="s">
        <v>182</v>
      </c>
      <c r="E6963" s="11">
        <v>26.522134780883789</v>
      </c>
      <c r="F6963" s="11">
        <v>10.062677383422852</v>
      </c>
    </row>
    <row r="6964" spans="1:6" hidden="1" x14ac:dyDescent="0.3">
      <c r="A6964" s="6">
        <v>50</v>
      </c>
      <c r="B6964" s="6" t="s">
        <v>181</v>
      </c>
      <c r="C6964" s="6" t="s">
        <v>458</v>
      </c>
      <c r="D6964" s="6" t="s">
        <v>182</v>
      </c>
      <c r="E6964" s="11">
        <v>24.450725555419922</v>
      </c>
      <c r="F6964" s="11">
        <v>10.062677383422852</v>
      </c>
    </row>
    <row r="6965" spans="1:6" hidden="1" x14ac:dyDescent="0.3">
      <c r="A6965" s="6">
        <v>50</v>
      </c>
      <c r="B6965" s="6" t="s">
        <v>181</v>
      </c>
      <c r="C6965" s="6" t="s">
        <v>459</v>
      </c>
      <c r="D6965" s="6" t="s">
        <v>182</v>
      </c>
      <c r="E6965" s="11">
        <v>13.662962913513184</v>
      </c>
      <c r="F6965" s="11">
        <v>10.062677383422852</v>
      </c>
    </row>
    <row r="6966" spans="1:6" hidden="1" x14ac:dyDescent="0.3">
      <c r="A6966" s="6">
        <v>50</v>
      </c>
      <c r="B6966" s="6" t="s">
        <v>181</v>
      </c>
      <c r="C6966" s="6" t="s">
        <v>460</v>
      </c>
      <c r="D6966" s="6" t="s">
        <v>182</v>
      </c>
      <c r="E6966" s="11">
        <v>20.611972808837891</v>
      </c>
      <c r="F6966" s="11">
        <v>10.062677383422852</v>
      </c>
    </row>
    <row r="6967" spans="1:6" hidden="1" x14ac:dyDescent="0.3">
      <c r="A6967" s="6">
        <v>50</v>
      </c>
      <c r="B6967" s="6" t="s">
        <v>181</v>
      </c>
      <c r="C6967" s="6" t="s">
        <v>461</v>
      </c>
      <c r="D6967" s="6" t="s">
        <v>182</v>
      </c>
      <c r="E6967" s="11">
        <v>8.4160900115966797</v>
      </c>
      <c r="F6967" s="11">
        <v>10.062677383422852</v>
      </c>
    </row>
    <row r="6968" spans="1:6" hidden="1" x14ac:dyDescent="0.3">
      <c r="A6968" s="6">
        <v>50</v>
      </c>
      <c r="B6968" s="6" t="s">
        <v>181</v>
      </c>
      <c r="C6968" s="6" t="s">
        <v>462</v>
      </c>
      <c r="D6968" s="6" t="s">
        <v>182</v>
      </c>
      <c r="E6968" s="11">
        <v>7.7540850639343262</v>
      </c>
      <c r="F6968" s="11">
        <v>10.062677383422852</v>
      </c>
    </row>
    <row r="6969" spans="1:6" hidden="1" x14ac:dyDescent="0.3">
      <c r="A6969" s="6">
        <v>50</v>
      </c>
      <c r="B6969" s="6" t="s">
        <v>181</v>
      </c>
      <c r="C6969" s="6" t="s">
        <v>463</v>
      </c>
      <c r="D6969" s="6" t="s">
        <v>182</v>
      </c>
      <c r="E6969" s="11">
        <v>6.980738639831543</v>
      </c>
      <c r="F6969" s="11">
        <v>10.062677383422852</v>
      </c>
    </row>
    <row r="6970" spans="1:6" hidden="1" x14ac:dyDescent="0.3">
      <c r="A6970" s="6">
        <v>50</v>
      </c>
      <c r="B6970" s="6" t="s">
        <v>181</v>
      </c>
      <c r="C6970" s="6" t="s">
        <v>464</v>
      </c>
      <c r="D6970" s="6" t="s">
        <v>182</v>
      </c>
      <c r="E6970" s="11">
        <v>9.5491962432861328</v>
      </c>
      <c r="F6970" s="11">
        <v>10.062677383422852</v>
      </c>
    </row>
    <row r="6971" spans="1:6" hidden="1" x14ac:dyDescent="0.3">
      <c r="A6971" s="6">
        <v>50</v>
      </c>
      <c r="B6971" s="6" t="s">
        <v>181</v>
      </c>
      <c r="C6971" s="6" t="s">
        <v>465</v>
      </c>
      <c r="D6971" s="6" t="s">
        <v>182</v>
      </c>
      <c r="E6971" s="11">
        <v>7.5276894569396973</v>
      </c>
      <c r="F6971" s="11">
        <v>10.062677383422852</v>
      </c>
    </row>
    <row r="6972" spans="1:6" hidden="1" x14ac:dyDescent="0.3">
      <c r="A6972" s="6">
        <v>50</v>
      </c>
      <c r="B6972" s="6" t="s">
        <v>181</v>
      </c>
      <c r="C6972" s="6" t="s">
        <v>466</v>
      </c>
      <c r="D6972" s="6" t="s">
        <v>182</v>
      </c>
      <c r="E6972" s="11">
        <v>12.461414337158203</v>
      </c>
      <c r="F6972" s="11">
        <v>10.062677383422852</v>
      </c>
    </row>
    <row r="6973" spans="1:6" hidden="1" x14ac:dyDescent="0.3">
      <c r="A6973" s="6">
        <v>50</v>
      </c>
      <c r="B6973" s="6" t="s">
        <v>181</v>
      </c>
      <c r="C6973" s="6" t="s">
        <v>467</v>
      </c>
      <c r="D6973" s="6" t="s">
        <v>182</v>
      </c>
      <c r="E6973" s="11">
        <v>8.7021484375</v>
      </c>
      <c r="F6973" s="11">
        <v>10.062677383422852</v>
      </c>
    </row>
    <row r="6974" spans="1:6" hidden="1" x14ac:dyDescent="0.3">
      <c r="A6974" s="6">
        <v>50</v>
      </c>
      <c r="B6974" s="6" t="s">
        <v>181</v>
      </c>
      <c r="C6974" s="6" t="s">
        <v>468</v>
      </c>
      <c r="D6974" s="6" t="s">
        <v>182</v>
      </c>
      <c r="E6974" s="11">
        <v>8.1724882125854492</v>
      </c>
      <c r="F6974" s="11">
        <v>10.062677383422852</v>
      </c>
    </row>
    <row r="6975" spans="1:6" hidden="1" x14ac:dyDescent="0.3">
      <c r="A6975" s="6">
        <v>50</v>
      </c>
      <c r="B6975" s="6" t="s">
        <v>181</v>
      </c>
      <c r="C6975" s="6" t="s">
        <v>469</v>
      </c>
      <c r="D6975" s="6" t="s">
        <v>182</v>
      </c>
      <c r="E6975" s="11">
        <v>46.787433624267578</v>
      </c>
      <c r="F6975" s="11">
        <v>10.062677383422852</v>
      </c>
    </row>
    <row r="6976" spans="1:6" hidden="1" x14ac:dyDescent="0.3">
      <c r="A6976" s="6">
        <v>50</v>
      </c>
      <c r="B6976" s="6" t="s">
        <v>181</v>
      </c>
      <c r="C6976" s="6" t="s">
        <v>470</v>
      </c>
      <c r="D6976" s="6" t="s">
        <v>182</v>
      </c>
      <c r="E6976" s="11">
        <v>10.088382720947266</v>
      </c>
      <c r="F6976" s="11">
        <v>10.062677383422852</v>
      </c>
    </row>
    <row r="6977" spans="1:6" hidden="1" x14ac:dyDescent="0.3">
      <c r="A6977" s="6">
        <v>50</v>
      </c>
      <c r="B6977" s="6" t="s">
        <v>181</v>
      </c>
      <c r="C6977" s="6" t="s">
        <v>471</v>
      </c>
      <c r="D6977" s="6" t="s">
        <v>182</v>
      </c>
      <c r="E6977" s="11">
        <v>8.7842826843261719</v>
      </c>
      <c r="F6977" s="11">
        <v>10.062677383422852</v>
      </c>
    </row>
    <row r="6978" spans="1:6" hidden="1" x14ac:dyDescent="0.3">
      <c r="A6978" s="6">
        <v>50</v>
      </c>
      <c r="B6978" s="6" t="s">
        <v>181</v>
      </c>
      <c r="C6978" s="6" t="s">
        <v>472</v>
      </c>
      <c r="D6978" s="6" t="s">
        <v>182</v>
      </c>
      <c r="E6978" s="11">
        <v>155.83106994628906</v>
      </c>
      <c r="F6978" s="11">
        <v>10.062677383422852</v>
      </c>
    </row>
    <row r="6979" spans="1:6" hidden="1" x14ac:dyDescent="0.3">
      <c r="A6979" s="6">
        <v>50</v>
      </c>
      <c r="B6979" s="6" t="s">
        <v>181</v>
      </c>
      <c r="C6979" s="6" t="s">
        <v>473</v>
      </c>
      <c r="D6979" s="6" t="s">
        <v>182</v>
      </c>
      <c r="E6979" s="11">
        <v>9.0562686920166016</v>
      </c>
      <c r="F6979" s="11">
        <v>10.062677383422852</v>
      </c>
    </row>
    <row r="6980" spans="1:6" hidden="1" x14ac:dyDescent="0.3">
      <c r="A6980" s="6">
        <v>50</v>
      </c>
      <c r="B6980" s="6" t="s">
        <v>181</v>
      </c>
      <c r="C6980" s="6" t="s">
        <v>474</v>
      </c>
      <c r="D6980" s="6" t="s">
        <v>182</v>
      </c>
      <c r="E6980" s="11">
        <v>5.3437089920043945</v>
      </c>
      <c r="F6980" s="11">
        <v>10.062677383422852</v>
      </c>
    </row>
    <row r="6981" spans="1:6" hidden="1" x14ac:dyDescent="0.3">
      <c r="A6981" s="6">
        <v>50</v>
      </c>
      <c r="B6981" s="6" t="s">
        <v>181</v>
      </c>
      <c r="C6981" s="6" t="s">
        <v>475</v>
      </c>
      <c r="D6981" s="6" t="s">
        <v>182</v>
      </c>
      <c r="E6981" s="11">
        <v>13.005111694335938</v>
      </c>
      <c r="F6981" s="11">
        <v>10.062677383422852</v>
      </c>
    </row>
    <row r="6982" spans="1:6" hidden="1" x14ac:dyDescent="0.3">
      <c r="A6982" s="6">
        <v>50</v>
      </c>
      <c r="B6982" s="6" t="s">
        <v>181</v>
      </c>
      <c r="C6982" s="6" t="s">
        <v>476</v>
      </c>
      <c r="D6982" s="6" t="s">
        <v>182</v>
      </c>
      <c r="E6982" s="11">
        <v>9.4956750869750977</v>
      </c>
      <c r="F6982" s="11">
        <v>10.062677383422852</v>
      </c>
    </row>
    <row r="6983" spans="1:6" hidden="1" x14ac:dyDescent="0.3">
      <c r="A6983" s="6">
        <v>50</v>
      </c>
      <c r="B6983" s="6" t="s">
        <v>181</v>
      </c>
      <c r="C6983" s="6" t="s">
        <v>477</v>
      </c>
      <c r="D6983" s="6" t="s">
        <v>182</v>
      </c>
      <c r="E6983" s="11">
        <v>6.1962847709655762</v>
      </c>
      <c r="F6983" s="11">
        <v>10.062677383422852</v>
      </c>
    </row>
    <row r="6984" spans="1:6" hidden="1" x14ac:dyDescent="0.3">
      <c r="A6984" s="6">
        <v>50</v>
      </c>
      <c r="B6984" s="6" t="s">
        <v>181</v>
      </c>
      <c r="C6984" s="6" t="s">
        <v>478</v>
      </c>
      <c r="D6984" s="6" t="s">
        <v>182</v>
      </c>
      <c r="E6984" s="11">
        <v>14.330390930175781</v>
      </c>
      <c r="F6984" s="11">
        <v>10.062677383422852</v>
      </c>
    </row>
    <row r="6985" spans="1:6" hidden="1" x14ac:dyDescent="0.3">
      <c r="A6985" s="6">
        <v>50</v>
      </c>
      <c r="B6985" s="6" t="s">
        <v>181</v>
      </c>
      <c r="C6985" s="6" t="s">
        <v>479</v>
      </c>
      <c r="D6985" s="6" t="s">
        <v>182</v>
      </c>
      <c r="E6985" s="11">
        <v>7.0059428215026855</v>
      </c>
      <c r="F6985" s="11">
        <v>10.062677383422852</v>
      </c>
    </row>
    <row r="6986" spans="1:6" hidden="1" x14ac:dyDescent="0.3">
      <c r="A6986" s="6">
        <v>50</v>
      </c>
      <c r="B6986" s="6" t="s">
        <v>181</v>
      </c>
      <c r="C6986" s="6" t="s">
        <v>480</v>
      </c>
      <c r="D6986" s="6" t="s">
        <v>182</v>
      </c>
      <c r="E6986" s="11">
        <v>11.334776878356934</v>
      </c>
      <c r="F6986" s="11">
        <v>10.062677383422852</v>
      </c>
    </row>
    <row r="6987" spans="1:6" hidden="1" x14ac:dyDescent="0.3">
      <c r="A6987" s="6">
        <v>50</v>
      </c>
      <c r="B6987" s="6" t="s">
        <v>181</v>
      </c>
      <c r="C6987" s="6" t="s">
        <v>481</v>
      </c>
      <c r="D6987" s="6" t="s">
        <v>182</v>
      </c>
      <c r="E6987" s="11">
        <v>18.182794570922852</v>
      </c>
      <c r="F6987" s="11">
        <v>10.062677383422852</v>
      </c>
    </row>
    <row r="6988" spans="1:6" hidden="1" x14ac:dyDescent="0.3">
      <c r="A6988" s="6">
        <v>50</v>
      </c>
      <c r="B6988" s="6" t="s">
        <v>181</v>
      </c>
      <c r="C6988" s="6" t="s">
        <v>482</v>
      </c>
      <c r="D6988" s="6" t="s">
        <v>182</v>
      </c>
      <c r="E6988" s="11">
        <v>44.901584625244141</v>
      </c>
      <c r="F6988" s="11">
        <v>10.062677383422852</v>
      </c>
    </row>
    <row r="6989" spans="1:6" hidden="1" x14ac:dyDescent="0.3">
      <c r="A6989" s="6">
        <v>50</v>
      </c>
      <c r="B6989" s="6" t="s">
        <v>181</v>
      </c>
      <c r="C6989" s="6" t="s">
        <v>483</v>
      </c>
      <c r="D6989" s="6" t="s">
        <v>182</v>
      </c>
      <c r="E6989" s="11">
        <v>10.228314399719238</v>
      </c>
      <c r="F6989" s="11">
        <v>10.062677383422852</v>
      </c>
    </row>
    <row r="6990" spans="1:6" hidden="1" x14ac:dyDescent="0.3">
      <c r="A6990" s="6">
        <v>50</v>
      </c>
      <c r="B6990" s="6" t="s">
        <v>181</v>
      </c>
      <c r="C6990" s="6" t="s">
        <v>484</v>
      </c>
      <c r="D6990" s="6" t="s">
        <v>182</v>
      </c>
      <c r="E6990" s="11">
        <v>23.339998245239258</v>
      </c>
      <c r="F6990" s="11">
        <v>10.062677383422852</v>
      </c>
    </row>
    <row r="6991" spans="1:6" hidden="1" x14ac:dyDescent="0.3">
      <c r="A6991" s="6">
        <v>50</v>
      </c>
      <c r="B6991" s="6" t="s">
        <v>181</v>
      </c>
      <c r="C6991" s="6" t="s">
        <v>485</v>
      </c>
      <c r="D6991" s="6" t="s">
        <v>182</v>
      </c>
      <c r="E6991" s="11">
        <v>8.3706426620483398</v>
      </c>
      <c r="F6991" s="11">
        <v>10.062677383422852</v>
      </c>
    </row>
    <row r="6992" spans="1:6" hidden="1" x14ac:dyDescent="0.3">
      <c r="A6992" s="6">
        <v>50</v>
      </c>
      <c r="B6992" s="6" t="s">
        <v>181</v>
      </c>
      <c r="C6992" s="6" t="s">
        <v>486</v>
      </c>
      <c r="D6992" s="6" t="s">
        <v>182</v>
      </c>
      <c r="E6992" s="11">
        <v>7.4195361137390137</v>
      </c>
      <c r="F6992" s="11">
        <v>10.062677383422852</v>
      </c>
    </row>
    <row r="6993" spans="1:6" hidden="1" x14ac:dyDescent="0.3">
      <c r="A6993" s="6">
        <v>50</v>
      </c>
      <c r="B6993" s="6" t="s">
        <v>181</v>
      </c>
      <c r="C6993" s="6" t="s">
        <v>487</v>
      </c>
      <c r="D6993" s="6" t="s">
        <v>182</v>
      </c>
      <c r="E6993" s="11">
        <v>5.7557039260864258</v>
      </c>
      <c r="F6993" s="11">
        <v>10.062677383422852</v>
      </c>
    </row>
    <row r="6994" spans="1:6" hidden="1" x14ac:dyDescent="0.3">
      <c r="A6994" s="6">
        <v>50</v>
      </c>
      <c r="B6994" s="6" t="s">
        <v>181</v>
      </c>
      <c r="C6994" s="6" t="s">
        <v>488</v>
      </c>
      <c r="D6994" s="6" t="s">
        <v>182</v>
      </c>
      <c r="E6994" s="11">
        <v>5.9072480201721191</v>
      </c>
      <c r="F6994" s="11">
        <v>10.062677383422852</v>
      </c>
    </row>
    <row r="6995" spans="1:6" hidden="1" x14ac:dyDescent="0.3">
      <c r="A6995" s="6">
        <v>50</v>
      </c>
      <c r="B6995" s="6" t="s">
        <v>181</v>
      </c>
      <c r="C6995" s="6" t="s">
        <v>489</v>
      </c>
      <c r="D6995" s="6" t="s">
        <v>182</v>
      </c>
      <c r="E6995" s="11">
        <v>7.2032146453857422</v>
      </c>
      <c r="F6995" s="11">
        <v>10.062677383422852</v>
      </c>
    </row>
    <row r="6996" spans="1:6" hidden="1" x14ac:dyDescent="0.3">
      <c r="A6996" s="6">
        <v>50</v>
      </c>
      <c r="B6996" s="6" t="s">
        <v>181</v>
      </c>
      <c r="C6996" s="6" t="s">
        <v>490</v>
      </c>
      <c r="D6996" s="6" t="s">
        <v>182</v>
      </c>
      <c r="E6996" s="11">
        <v>23.599933624267578</v>
      </c>
      <c r="F6996" s="11">
        <v>10.062677383422852</v>
      </c>
    </row>
    <row r="6997" spans="1:6" hidden="1" x14ac:dyDescent="0.3">
      <c r="A6997" s="6">
        <v>50</v>
      </c>
      <c r="B6997" s="6" t="s">
        <v>181</v>
      </c>
      <c r="C6997" s="6" t="s">
        <v>491</v>
      </c>
      <c r="D6997" s="6" t="s">
        <v>182</v>
      </c>
      <c r="E6997" s="11">
        <v>40.414409637451172</v>
      </c>
      <c r="F6997" s="11">
        <v>10.062677383422852</v>
      </c>
    </row>
    <row r="6998" spans="1:6" hidden="1" x14ac:dyDescent="0.3">
      <c r="A6998" s="6">
        <v>50</v>
      </c>
      <c r="B6998" s="6" t="s">
        <v>181</v>
      </c>
      <c r="C6998" s="6" t="s">
        <v>492</v>
      </c>
      <c r="D6998" s="6" t="s">
        <v>182</v>
      </c>
      <c r="E6998" s="11">
        <v>6.6171455383300781</v>
      </c>
      <c r="F6998" s="11">
        <v>10.062677383422852</v>
      </c>
    </row>
    <row r="6999" spans="1:6" hidden="1" x14ac:dyDescent="0.3">
      <c r="A6999" s="6">
        <v>50</v>
      </c>
      <c r="B6999" s="6" t="s">
        <v>181</v>
      </c>
      <c r="C6999" s="6" t="s">
        <v>493</v>
      </c>
      <c r="D6999" s="6" t="s">
        <v>182</v>
      </c>
      <c r="E6999" s="11">
        <v>7.7726340293884277</v>
      </c>
      <c r="F6999" s="11">
        <v>10.062677383422852</v>
      </c>
    </row>
    <row r="7000" spans="1:6" hidden="1" x14ac:dyDescent="0.3">
      <c r="A7000" s="6">
        <v>50</v>
      </c>
      <c r="B7000" s="6" t="s">
        <v>181</v>
      </c>
      <c r="C7000" s="6" t="s">
        <v>494</v>
      </c>
      <c r="D7000" s="6" t="s">
        <v>182</v>
      </c>
      <c r="E7000" s="11">
        <v>6.1703581809997559</v>
      </c>
      <c r="F7000" s="11">
        <v>10.062677383422852</v>
      </c>
    </row>
    <row r="7001" spans="1:6" hidden="1" x14ac:dyDescent="0.3">
      <c r="A7001" s="6">
        <v>50</v>
      </c>
      <c r="B7001" s="6" t="s">
        <v>181</v>
      </c>
      <c r="C7001" s="6" t="s">
        <v>495</v>
      </c>
      <c r="D7001" s="6" t="s">
        <v>182</v>
      </c>
      <c r="E7001" s="11">
        <v>11.822483062744141</v>
      </c>
      <c r="F7001" s="11">
        <v>10.062677383422852</v>
      </c>
    </row>
    <row r="7002" spans="1:6" hidden="1" x14ac:dyDescent="0.3">
      <c r="A7002" s="6">
        <v>51</v>
      </c>
      <c r="B7002" s="6" t="s">
        <v>183</v>
      </c>
      <c r="C7002" s="6" t="s">
        <v>356</v>
      </c>
      <c r="D7002" s="6" t="s">
        <v>184</v>
      </c>
      <c r="E7002" s="11">
        <v>3.8213462829589844</v>
      </c>
      <c r="F7002" s="11">
        <v>4.100527286529541</v>
      </c>
    </row>
    <row r="7003" spans="1:6" hidden="1" x14ac:dyDescent="0.3">
      <c r="A7003" s="6">
        <v>51</v>
      </c>
      <c r="B7003" s="6" t="s">
        <v>183</v>
      </c>
      <c r="C7003" s="6" t="s">
        <v>357</v>
      </c>
      <c r="D7003" s="6" t="s">
        <v>184</v>
      </c>
      <c r="E7003" s="11">
        <v>3.8045668601989746</v>
      </c>
      <c r="F7003" s="11">
        <v>4.100527286529541</v>
      </c>
    </row>
    <row r="7004" spans="1:6" hidden="1" x14ac:dyDescent="0.3">
      <c r="A7004" s="6">
        <v>51</v>
      </c>
      <c r="B7004" s="6" t="s">
        <v>183</v>
      </c>
      <c r="C7004" s="6" t="s">
        <v>358</v>
      </c>
      <c r="D7004" s="6" t="s">
        <v>184</v>
      </c>
      <c r="E7004" s="11">
        <v>4.0824699401855469</v>
      </c>
      <c r="F7004" s="11">
        <v>4.100527286529541</v>
      </c>
    </row>
    <row r="7005" spans="1:6" hidden="1" x14ac:dyDescent="0.3">
      <c r="A7005" s="6">
        <v>51</v>
      </c>
      <c r="B7005" s="6" t="s">
        <v>183</v>
      </c>
      <c r="C7005" s="6" t="s">
        <v>359</v>
      </c>
      <c r="D7005" s="6" t="s">
        <v>184</v>
      </c>
      <c r="E7005" s="11">
        <v>3.6128253936767578</v>
      </c>
      <c r="F7005" s="11">
        <v>4.100527286529541</v>
      </c>
    </row>
    <row r="7006" spans="1:6" hidden="1" x14ac:dyDescent="0.3">
      <c r="A7006" s="6">
        <v>51</v>
      </c>
      <c r="B7006" s="6" t="s">
        <v>183</v>
      </c>
      <c r="C7006" s="6" t="s">
        <v>360</v>
      </c>
      <c r="D7006" s="6" t="s">
        <v>184</v>
      </c>
      <c r="E7006" s="11">
        <v>4.1623497009277344</v>
      </c>
      <c r="F7006" s="11">
        <v>4.100527286529541</v>
      </c>
    </row>
    <row r="7007" spans="1:6" hidden="1" x14ac:dyDescent="0.3">
      <c r="A7007" s="6">
        <v>51</v>
      </c>
      <c r="B7007" s="6" t="s">
        <v>183</v>
      </c>
      <c r="C7007" s="6" t="s">
        <v>361</v>
      </c>
      <c r="D7007" s="6" t="s">
        <v>184</v>
      </c>
      <c r="E7007" s="11">
        <v>5.0132942199707031</v>
      </c>
      <c r="F7007" s="11">
        <v>4.100527286529541</v>
      </c>
    </row>
    <row r="7008" spans="1:6" hidden="1" x14ac:dyDescent="0.3">
      <c r="A7008" s="6">
        <v>51</v>
      </c>
      <c r="B7008" s="6" t="s">
        <v>183</v>
      </c>
      <c r="C7008" s="6" t="s">
        <v>362</v>
      </c>
      <c r="D7008" s="6" t="s">
        <v>184</v>
      </c>
      <c r="E7008" s="11">
        <v>3.2623963356018066</v>
      </c>
      <c r="F7008" s="11">
        <v>4.100527286529541</v>
      </c>
    </row>
    <row r="7009" spans="1:6" hidden="1" x14ac:dyDescent="0.3">
      <c r="A7009" s="6">
        <v>51</v>
      </c>
      <c r="B7009" s="6" t="s">
        <v>183</v>
      </c>
      <c r="C7009" s="6" t="s">
        <v>363</v>
      </c>
      <c r="D7009" s="6" t="s">
        <v>184</v>
      </c>
      <c r="E7009" s="11">
        <v>4.5216131210327148</v>
      </c>
      <c r="F7009" s="11">
        <v>4.100527286529541</v>
      </c>
    </row>
    <row r="7010" spans="1:6" hidden="1" x14ac:dyDescent="0.3">
      <c r="A7010" s="6">
        <v>51</v>
      </c>
      <c r="B7010" s="6" t="s">
        <v>183</v>
      </c>
      <c r="C7010" s="6" t="s">
        <v>364</v>
      </c>
      <c r="D7010" s="6" t="s">
        <v>184</v>
      </c>
      <c r="E7010" s="11">
        <v>3.7138879299163818</v>
      </c>
      <c r="F7010" s="11">
        <v>4.100527286529541</v>
      </c>
    </row>
    <row r="7011" spans="1:6" hidden="1" x14ac:dyDescent="0.3">
      <c r="A7011" s="6">
        <v>51</v>
      </c>
      <c r="B7011" s="6" t="s">
        <v>183</v>
      </c>
      <c r="C7011" s="6" t="s">
        <v>365</v>
      </c>
      <c r="D7011" s="6" t="s">
        <v>184</v>
      </c>
      <c r="E7011" s="11">
        <v>3.3524794578552246</v>
      </c>
      <c r="F7011" s="11">
        <v>4.100527286529541</v>
      </c>
    </row>
    <row r="7012" spans="1:6" hidden="1" x14ac:dyDescent="0.3">
      <c r="A7012" s="6">
        <v>51</v>
      </c>
      <c r="B7012" s="6" t="s">
        <v>183</v>
      </c>
      <c r="C7012" s="6" t="s">
        <v>366</v>
      </c>
      <c r="D7012" s="6" t="s">
        <v>184</v>
      </c>
      <c r="E7012" s="11">
        <v>3.7141473293304443</v>
      </c>
      <c r="F7012" s="11">
        <v>4.100527286529541</v>
      </c>
    </row>
    <row r="7013" spans="1:6" hidden="1" x14ac:dyDescent="0.3">
      <c r="A7013" s="6">
        <v>51</v>
      </c>
      <c r="B7013" s="6" t="s">
        <v>183</v>
      </c>
      <c r="C7013" s="6" t="s">
        <v>367</v>
      </c>
      <c r="D7013" s="6" t="s">
        <v>184</v>
      </c>
      <c r="E7013" s="11">
        <v>3.8602895736694336</v>
      </c>
      <c r="F7013" s="11">
        <v>4.100527286529541</v>
      </c>
    </row>
    <row r="7014" spans="1:6" hidden="1" x14ac:dyDescent="0.3">
      <c r="A7014" s="6">
        <v>51</v>
      </c>
      <c r="B7014" s="6" t="s">
        <v>183</v>
      </c>
      <c r="C7014" s="6" t="s">
        <v>368</v>
      </c>
      <c r="D7014" s="6" t="s">
        <v>184</v>
      </c>
      <c r="E7014" s="11">
        <v>3.7732288837432861</v>
      </c>
      <c r="F7014" s="11">
        <v>4.100527286529541</v>
      </c>
    </row>
    <row r="7015" spans="1:6" hidden="1" x14ac:dyDescent="0.3">
      <c r="A7015" s="6">
        <v>51</v>
      </c>
      <c r="B7015" s="6" t="s">
        <v>183</v>
      </c>
      <c r="C7015" s="6" t="s">
        <v>369</v>
      </c>
      <c r="D7015" s="6" t="s">
        <v>184</v>
      </c>
      <c r="E7015" s="11">
        <v>4.0868792533874512</v>
      </c>
      <c r="F7015" s="11">
        <v>4.100527286529541</v>
      </c>
    </row>
    <row r="7016" spans="1:6" hidden="1" x14ac:dyDescent="0.3">
      <c r="A7016" s="6">
        <v>51</v>
      </c>
      <c r="B7016" s="6" t="s">
        <v>183</v>
      </c>
      <c r="C7016" s="6" t="s">
        <v>370</v>
      </c>
      <c r="D7016" s="6" t="s">
        <v>184</v>
      </c>
      <c r="E7016" s="11">
        <v>3.9074282646179199</v>
      </c>
      <c r="F7016" s="11">
        <v>4.100527286529541</v>
      </c>
    </row>
    <row r="7017" spans="1:6" hidden="1" x14ac:dyDescent="0.3">
      <c r="A7017" s="6">
        <v>51</v>
      </c>
      <c r="B7017" s="6" t="s">
        <v>183</v>
      </c>
      <c r="C7017" s="6" t="s">
        <v>371</v>
      </c>
      <c r="D7017" s="6" t="s">
        <v>184</v>
      </c>
      <c r="E7017" s="11">
        <v>4.2737703323364258</v>
      </c>
      <c r="F7017" s="11">
        <v>4.100527286529541</v>
      </c>
    </row>
    <row r="7018" spans="1:6" hidden="1" x14ac:dyDescent="0.3">
      <c r="A7018" s="6">
        <v>51</v>
      </c>
      <c r="B7018" s="6" t="s">
        <v>183</v>
      </c>
      <c r="C7018" s="6" t="s">
        <v>372</v>
      </c>
      <c r="D7018" s="6" t="s">
        <v>184</v>
      </c>
      <c r="E7018" s="11">
        <v>2.7622518539428711</v>
      </c>
      <c r="F7018" s="11">
        <v>4.100527286529541</v>
      </c>
    </row>
    <row r="7019" spans="1:6" hidden="1" x14ac:dyDescent="0.3">
      <c r="A7019" s="6">
        <v>51</v>
      </c>
      <c r="B7019" s="6" t="s">
        <v>183</v>
      </c>
      <c r="C7019" s="6" t="s">
        <v>373</v>
      </c>
      <c r="D7019" s="6" t="s">
        <v>184</v>
      </c>
      <c r="E7019" s="11">
        <v>3.2317650318145752</v>
      </c>
      <c r="F7019" s="11">
        <v>4.100527286529541</v>
      </c>
    </row>
    <row r="7020" spans="1:6" hidden="1" x14ac:dyDescent="0.3">
      <c r="A7020" s="6">
        <v>51</v>
      </c>
      <c r="B7020" s="6" t="s">
        <v>183</v>
      </c>
      <c r="C7020" s="6" t="s">
        <v>374</v>
      </c>
      <c r="D7020" s="6" t="s">
        <v>184</v>
      </c>
      <c r="E7020" s="11">
        <v>3.9531388282775879</v>
      </c>
      <c r="F7020" s="11">
        <v>4.100527286529541</v>
      </c>
    </row>
    <row r="7021" spans="1:6" hidden="1" x14ac:dyDescent="0.3">
      <c r="A7021" s="6">
        <v>51</v>
      </c>
      <c r="B7021" s="6" t="s">
        <v>183</v>
      </c>
      <c r="C7021" s="6" t="s">
        <v>375</v>
      </c>
      <c r="D7021" s="6" t="s">
        <v>184</v>
      </c>
      <c r="E7021" s="11">
        <v>4.4160151481628418</v>
      </c>
      <c r="F7021" s="11">
        <v>4.100527286529541</v>
      </c>
    </row>
    <row r="7022" spans="1:6" hidden="1" x14ac:dyDescent="0.3">
      <c r="A7022" s="6">
        <v>51</v>
      </c>
      <c r="B7022" s="6" t="s">
        <v>183</v>
      </c>
      <c r="C7022" s="6" t="s">
        <v>376</v>
      </c>
      <c r="D7022" s="6" t="s">
        <v>184</v>
      </c>
      <c r="E7022" s="11">
        <v>4.1757440567016602</v>
      </c>
      <c r="F7022" s="11">
        <v>4.100527286529541</v>
      </c>
    </row>
    <row r="7023" spans="1:6" hidden="1" x14ac:dyDescent="0.3">
      <c r="A7023" s="6">
        <v>51</v>
      </c>
      <c r="B7023" s="6" t="s">
        <v>183</v>
      </c>
      <c r="C7023" s="6" t="s">
        <v>377</v>
      </c>
      <c r="D7023" s="6" t="s">
        <v>184</v>
      </c>
      <c r="E7023" s="11">
        <v>3.7941899299621582</v>
      </c>
      <c r="F7023" s="11">
        <v>4.100527286529541</v>
      </c>
    </row>
    <row r="7024" spans="1:6" hidden="1" x14ac:dyDescent="0.3">
      <c r="A7024" s="6">
        <v>51</v>
      </c>
      <c r="B7024" s="6" t="s">
        <v>183</v>
      </c>
      <c r="C7024" s="6" t="s">
        <v>378</v>
      </c>
      <c r="D7024" s="6" t="s">
        <v>184</v>
      </c>
      <c r="E7024" s="11">
        <v>3.6468222141265869</v>
      </c>
      <c r="F7024" s="11">
        <v>4.100527286529541</v>
      </c>
    </row>
    <row r="7025" spans="1:6" hidden="1" x14ac:dyDescent="0.3">
      <c r="A7025" s="6">
        <v>51</v>
      </c>
      <c r="B7025" s="6" t="s">
        <v>183</v>
      </c>
      <c r="C7025" s="6" t="s">
        <v>379</v>
      </c>
      <c r="D7025" s="6" t="s">
        <v>184</v>
      </c>
      <c r="E7025" s="11">
        <v>3.5342724323272705</v>
      </c>
      <c r="F7025" s="11">
        <v>4.100527286529541</v>
      </c>
    </row>
    <row r="7026" spans="1:6" hidden="1" x14ac:dyDescent="0.3">
      <c r="A7026" s="6">
        <v>51</v>
      </c>
      <c r="B7026" s="6" t="s">
        <v>183</v>
      </c>
      <c r="C7026" s="6" t="s">
        <v>380</v>
      </c>
      <c r="D7026" s="6" t="s">
        <v>184</v>
      </c>
      <c r="E7026" s="11">
        <v>3.7553958892822266</v>
      </c>
      <c r="F7026" s="11">
        <v>4.100527286529541</v>
      </c>
    </row>
    <row r="7027" spans="1:6" hidden="1" x14ac:dyDescent="0.3">
      <c r="A7027" s="6">
        <v>51</v>
      </c>
      <c r="B7027" s="6" t="s">
        <v>183</v>
      </c>
      <c r="C7027" s="6" t="s">
        <v>381</v>
      </c>
      <c r="D7027" s="6" t="s">
        <v>184</v>
      </c>
      <c r="E7027" s="11">
        <v>2.8825979232788086</v>
      </c>
      <c r="F7027" s="11">
        <v>4.100527286529541</v>
      </c>
    </row>
    <row r="7028" spans="1:6" hidden="1" x14ac:dyDescent="0.3">
      <c r="A7028" s="6">
        <v>51</v>
      </c>
      <c r="B7028" s="6" t="s">
        <v>183</v>
      </c>
      <c r="C7028" s="6" t="s">
        <v>382</v>
      </c>
      <c r="D7028" s="6" t="s">
        <v>184</v>
      </c>
      <c r="E7028" s="11">
        <v>3.2795569896697998</v>
      </c>
      <c r="F7028" s="11">
        <v>4.100527286529541</v>
      </c>
    </row>
    <row r="7029" spans="1:6" hidden="1" x14ac:dyDescent="0.3">
      <c r="A7029" s="6">
        <v>51</v>
      </c>
      <c r="B7029" s="6" t="s">
        <v>183</v>
      </c>
      <c r="C7029" s="6" t="s">
        <v>383</v>
      </c>
      <c r="D7029" s="6" t="s">
        <v>184</v>
      </c>
      <c r="E7029" s="11">
        <v>4.346196174621582</v>
      </c>
      <c r="F7029" s="11">
        <v>4.100527286529541</v>
      </c>
    </row>
    <row r="7030" spans="1:6" hidden="1" x14ac:dyDescent="0.3">
      <c r="A7030" s="6">
        <v>51</v>
      </c>
      <c r="B7030" s="6" t="s">
        <v>183</v>
      </c>
      <c r="C7030" s="6" t="s">
        <v>384</v>
      </c>
      <c r="D7030" s="6" t="s">
        <v>184</v>
      </c>
      <c r="E7030" s="11">
        <v>4.3682880401611328</v>
      </c>
      <c r="F7030" s="11">
        <v>4.100527286529541</v>
      </c>
    </row>
    <row r="7031" spans="1:6" hidden="1" x14ac:dyDescent="0.3">
      <c r="A7031" s="6">
        <v>51</v>
      </c>
      <c r="B7031" s="6" t="s">
        <v>183</v>
      </c>
      <c r="C7031" s="6" t="s">
        <v>385</v>
      </c>
      <c r="D7031" s="6" t="s">
        <v>184</v>
      </c>
      <c r="E7031" s="11">
        <v>4.362149715423584</v>
      </c>
      <c r="F7031" s="11">
        <v>4.100527286529541</v>
      </c>
    </row>
    <row r="7032" spans="1:6" hidden="1" x14ac:dyDescent="0.3">
      <c r="A7032" s="6">
        <v>51</v>
      </c>
      <c r="B7032" s="6" t="s">
        <v>183</v>
      </c>
      <c r="C7032" s="6" t="s">
        <v>386</v>
      </c>
      <c r="D7032" s="6" t="s">
        <v>184</v>
      </c>
      <c r="E7032" s="11">
        <v>3.6392321586608887</v>
      </c>
      <c r="F7032" s="11">
        <v>4.100527286529541</v>
      </c>
    </row>
    <row r="7033" spans="1:6" hidden="1" x14ac:dyDescent="0.3">
      <c r="A7033" s="6">
        <v>51</v>
      </c>
      <c r="B7033" s="6" t="s">
        <v>183</v>
      </c>
      <c r="C7033" s="6" t="s">
        <v>387</v>
      </c>
      <c r="D7033" s="6" t="s">
        <v>184</v>
      </c>
      <c r="E7033" s="11">
        <v>3.283231258392334</v>
      </c>
      <c r="F7033" s="11">
        <v>4.100527286529541</v>
      </c>
    </row>
    <row r="7034" spans="1:6" hidden="1" x14ac:dyDescent="0.3">
      <c r="A7034" s="6">
        <v>51</v>
      </c>
      <c r="B7034" s="6" t="s">
        <v>183</v>
      </c>
      <c r="C7034" s="6" t="s">
        <v>388</v>
      </c>
      <c r="D7034" s="6" t="s">
        <v>184</v>
      </c>
      <c r="E7034" s="11">
        <v>2.8545734882354736</v>
      </c>
      <c r="F7034" s="11">
        <v>4.100527286529541</v>
      </c>
    </row>
    <row r="7035" spans="1:6" hidden="1" x14ac:dyDescent="0.3">
      <c r="A7035" s="6">
        <v>51</v>
      </c>
      <c r="B7035" s="6" t="s">
        <v>183</v>
      </c>
      <c r="C7035" s="6" t="s">
        <v>389</v>
      </c>
      <c r="D7035" s="6" t="s">
        <v>184</v>
      </c>
      <c r="E7035" s="11">
        <v>4.1038265228271484</v>
      </c>
      <c r="F7035" s="11">
        <v>4.100527286529541</v>
      </c>
    </row>
    <row r="7036" spans="1:6" hidden="1" x14ac:dyDescent="0.3">
      <c r="A7036" s="6">
        <v>51</v>
      </c>
      <c r="B7036" s="6" t="s">
        <v>183</v>
      </c>
      <c r="C7036" s="6" t="s">
        <v>390</v>
      </c>
      <c r="D7036" s="6" t="s">
        <v>184</v>
      </c>
      <c r="E7036" s="11">
        <v>3.9072127342224121</v>
      </c>
      <c r="F7036" s="11">
        <v>4.100527286529541</v>
      </c>
    </row>
    <row r="7037" spans="1:6" hidden="1" x14ac:dyDescent="0.3">
      <c r="A7037" s="6">
        <v>51</v>
      </c>
      <c r="B7037" s="6" t="s">
        <v>183</v>
      </c>
      <c r="C7037" s="6" t="s">
        <v>391</v>
      </c>
      <c r="D7037" s="6" t="s">
        <v>184</v>
      </c>
      <c r="E7037" s="11">
        <v>3.4932241439819336</v>
      </c>
      <c r="F7037" s="11">
        <v>4.100527286529541</v>
      </c>
    </row>
    <row r="7038" spans="1:6" hidden="1" x14ac:dyDescent="0.3">
      <c r="A7038" s="6">
        <v>51</v>
      </c>
      <c r="B7038" s="6" t="s">
        <v>183</v>
      </c>
      <c r="C7038" s="6" t="s">
        <v>392</v>
      </c>
      <c r="D7038" s="6" t="s">
        <v>184</v>
      </c>
      <c r="E7038" s="11">
        <v>3.4870777130126953</v>
      </c>
      <c r="F7038" s="11">
        <v>4.100527286529541</v>
      </c>
    </row>
    <row r="7039" spans="1:6" hidden="1" x14ac:dyDescent="0.3">
      <c r="A7039" s="6">
        <v>51</v>
      </c>
      <c r="B7039" s="6" t="s">
        <v>183</v>
      </c>
      <c r="C7039" s="6" t="s">
        <v>393</v>
      </c>
      <c r="D7039" s="6" t="s">
        <v>184</v>
      </c>
      <c r="E7039" s="11">
        <v>5.0390744209289551</v>
      </c>
      <c r="F7039" s="11">
        <v>4.100527286529541</v>
      </c>
    </row>
    <row r="7040" spans="1:6" hidden="1" x14ac:dyDescent="0.3">
      <c r="A7040" s="6">
        <v>51</v>
      </c>
      <c r="B7040" s="6" t="s">
        <v>183</v>
      </c>
      <c r="C7040" s="6" t="s">
        <v>394</v>
      </c>
      <c r="D7040" s="6" t="s">
        <v>184</v>
      </c>
      <c r="E7040" s="11">
        <v>4.2434711456298828</v>
      </c>
      <c r="F7040" s="11">
        <v>4.100527286529541</v>
      </c>
    </row>
    <row r="7041" spans="1:6" hidden="1" x14ac:dyDescent="0.3">
      <c r="A7041" s="6">
        <v>51</v>
      </c>
      <c r="B7041" s="6" t="s">
        <v>183</v>
      </c>
      <c r="C7041" s="6" t="s">
        <v>395</v>
      </c>
      <c r="D7041" s="6" t="s">
        <v>184</v>
      </c>
      <c r="E7041" s="11">
        <v>3.5983357429504395</v>
      </c>
      <c r="F7041" s="11">
        <v>4.100527286529541</v>
      </c>
    </row>
    <row r="7042" spans="1:6" hidden="1" x14ac:dyDescent="0.3">
      <c r="A7042" s="6">
        <v>51</v>
      </c>
      <c r="B7042" s="6" t="s">
        <v>183</v>
      </c>
      <c r="C7042" s="6" t="s">
        <v>396</v>
      </c>
      <c r="D7042" s="6" t="s">
        <v>184</v>
      </c>
      <c r="E7042" s="11">
        <v>3.2354657649993896</v>
      </c>
      <c r="F7042" s="11">
        <v>4.100527286529541</v>
      </c>
    </row>
    <row r="7043" spans="1:6" hidden="1" x14ac:dyDescent="0.3">
      <c r="A7043" s="6">
        <v>51</v>
      </c>
      <c r="B7043" s="6" t="s">
        <v>183</v>
      </c>
      <c r="C7043" s="6" t="s">
        <v>397</v>
      </c>
      <c r="D7043" s="6" t="s">
        <v>184</v>
      </c>
      <c r="E7043" s="11">
        <v>2.9917707443237305</v>
      </c>
      <c r="F7043" s="11">
        <v>4.100527286529541</v>
      </c>
    </row>
    <row r="7044" spans="1:6" hidden="1" x14ac:dyDescent="0.3">
      <c r="A7044" s="6">
        <v>51</v>
      </c>
      <c r="B7044" s="6" t="s">
        <v>183</v>
      </c>
      <c r="C7044" s="6" t="s">
        <v>398</v>
      </c>
      <c r="D7044" s="6" t="s">
        <v>184</v>
      </c>
      <c r="E7044" s="11">
        <v>3.0368306636810303</v>
      </c>
      <c r="F7044" s="11">
        <v>4.100527286529541</v>
      </c>
    </row>
    <row r="7045" spans="1:6" hidden="1" x14ac:dyDescent="0.3">
      <c r="A7045" s="6">
        <v>51</v>
      </c>
      <c r="B7045" s="6" t="s">
        <v>183</v>
      </c>
      <c r="C7045" s="6" t="s">
        <v>399</v>
      </c>
      <c r="D7045" s="6" t="s">
        <v>184</v>
      </c>
      <c r="E7045" s="11">
        <v>3.3631789684295654</v>
      </c>
      <c r="F7045" s="11">
        <v>4.100527286529541</v>
      </c>
    </row>
    <row r="7046" spans="1:6" hidden="1" x14ac:dyDescent="0.3">
      <c r="A7046" s="6">
        <v>51</v>
      </c>
      <c r="B7046" s="6" t="s">
        <v>183</v>
      </c>
      <c r="C7046" s="6" t="s">
        <v>400</v>
      </c>
      <c r="D7046" s="6" t="s">
        <v>184</v>
      </c>
      <c r="E7046" s="11">
        <v>3.3884158134460449</v>
      </c>
      <c r="F7046" s="11">
        <v>4.100527286529541</v>
      </c>
    </row>
    <row r="7047" spans="1:6" hidden="1" x14ac:dyDescent="0.3">
      <c r="A7047" s="6">
        <v>51</v>
      </c>
      <c r="B7047" s="6" t="s">
        <v>183</v>
      </c>
      <c r="C7047" s="6" t="s">
        <v>401</v>
      </c>
      <c r="D7047" s="6" t="s">
        <v>184</v>
      </c>
      <c r="E7047" s="11">
        <v>4.3290910720825195</v>
      </c>
      <c r="F7047" s="11">
        <v>4.100527286529541</v>
      </c>
    </row>
    <row r="7048" spans="1:6" hidden="1" x14ac:dyDescent="0.3">
      <c r="A7048" s="6">
        <v>51</v>
      </c>
      <c r="B7048" s="6" t="s">
        <v>183</v>
      </c>
      <c r="C7048" s="6" t="s">
        <v>402</v>
      </c>
      <c r="D7048" s="6" t="s">
        <v>184</v>
      </c>
      <c r="E7048" s="11">
        <v>3.8724296092987061</v>
      </c>
      <c r="F7048" s="11">
        <v>4.100527286529541</v>
      </c>
    </row>
    <row r="7049" spans="1:6" hidden="1" x14ac:dyDescent="0.3">
      <c r="A7049" s="6">
        <v>51</v>
      </c>
      <c r="B7049" s="6" t="s">
        <v>183</v>
      </c>
      <c r="C7049" s="6" t="s">
        <v>403</v>
      </c>
      <c r="D7049" s="6" t="s">
        <v>184</v>
      </c>
      <c r="E7049" s="11">
        <v>3.7958810329437256</v>
      </c>
      <c r="F7049" s="11">
        <v>4.100527286529541</v>
      </c>
    </row>
    <row r="7050" spans="1:6" hidden="1" x14ac:dyDescent="0.3">
      <c r="A7050" s="6">
        <v>51</v>
      </c>
      <c r="B7050" s="6" t="s">
        <v>183</v>
      </c>
      <c r="C7050" s="6" t="s">
        <v>404</v>
      </c>
      <c r="D7050" s="6" t="s">
        <v>184</v>
      </c>
      <c r="E7050" s="11">
        <v>3.2833437919616699</v>
      </c>
      <c r="F7050" s="11">
        <v>4.100527286529541</v>
      </c>
    </row>
    <row r="7051" spans="1:6" hidden="1" x14ac:dyDescent="0.3">
      <c r="A7051" s="6">
        <v>51</v>
      </c>
      <c r="B7051" s="6" t="s">
        <v>183</v>
      </c>
      <c r="C7051" s="6" t="s">
        <v>405</v>
      </c>
      <c r="D7051" s="6" t="s">
        <v>184</v>
      </c>
      <c r="E7051" s="11">
        <v>3.2682902812957764</v>
      </c>
      <c r="F7051" s="11">
        <v>4.100527286529541</v>
      </c>
    </row>
    <row r="7052" spans="1:6" hidden="1" x14ac:dyDescent="0.3">
      <c r="A7052" s="6">
        <v>51</v>
      </c>
      <c r="B7052" s="6" t="s">
        <v>183</v>
      </c>
      <c r="C7052" s="6" t="s">
        <v>406</v>
      </c>
      <c r="D7052" s="6" t="s">
        <v>184</v>
      </c>
      <c r="E7052" s="11">
        <v>4.9146971702575684</v>
      </c>
      <c r="F7052" s="11">
        <v>4.100527286529541</v>
      </c>
    </row>
    <row r="7053" spans="1:6" hidden="1" x14ac:dyDescent="0.3">
      <c r="A7053" s="6">
        <v>51</v>
      </c>
      <c r="B7053" s="6" t="s">
        <v>183</v>
      </c>
      <c r="C7053" s="6" t="s">
        <v>407</v>
      </c>
      <c r="D7053" s="6" t="s">
        <v>184</v>
      </c>
      <c r="E7053" s="11">
        <v>3.1412985324859619</v>
      </c>
      <c r="F7053" s="11">
        <v>4.100527286529541</v>
      </c>
    </row>
    <row r="7054" spans="1:6" hidden="1" x14ac:dyDescent="0.3">
      <c r="A7054" s="6">
        <v>51</v>
      </c>
      <c r="B7054" s="6" t="s">
        <v>183</v>
      </c>
      <c r="C7054" s="6" t="s">
        <v>408</v>
      </c>
      <c r="D7054" s="6" t="s">
        <v>184</v>
      </c>
      <c r="E7054" s="11">
        <v>4.7124538421630859</v>
      </c>
      <c r="F7054" s="11">
        <v>4.100527286529541</v>
      </c>
    </row>
    <row r="7055" spans="1:6" hidden="1" x14ac:dyDescent="0.3">
      <c r="A7055" s="6">
        <v>51</v>
      </c>
      <c r="B7055" s="6" t="s">
        <v>183</v>
      </c>
      <c r="C7055" s="6" t="s">
        <v>409</v>
      </c>
      <c r="D7055" s="6" t="s">
        <v>184</v>
      </c>
      <c r="E7055" s="11">
        <v>4.5637917518615723</v>
      </c>
      <c r="F7055" s="11">
        <v>4.100527286529541</v>
      </c>
    </row>
    <row r="7056" spans="1:6" hidden="1" x14ac:dyDescent="0.3">
      <c r="A7056" s="6">
        <v>51</v>
      </c>
      <c r="B7056" s="6" t="s">
        <v>183</v>
      </c>
      <c r="C7056" s="6" t="s">
        <v>410</v>
      </c>
      <c r="D7056" s="6" t="s">
        <v>184</v>
      </c>
      <c r="E7056" s="11">
        <v>3.5814948081970215</v>
      </c>
      <c r="F7056" s="11">
        <v>4.100527286529541</v>
      </c>
    </row>
    <row r="7057" spans="1:6" hidden="1" x14ac:dyDescent="0.3">
      <c r="A7057" s="6">
        <v>51</v>
      </c>
      <c r="B7057" s="6" t="s">
        <v>183</v>
      </c>
      <c r="C7057" s="6" t="s">
        <v>411</v>
      </c>
      <c r="D7057" s="6" t="s">
        <v>184</v>
      </c>
      <c r="E7057" s="11">
        <v>5.9322953224182129</v>
      </c>
      <c r="F7057" s="11">
        <v>4.100527286529541</v>
      </c>
    </row>
    <row r="7058" spans="1:6" hidden="1" x14ac:dyDescent="0.3">
      <c r="A7058" s="6">
        <v>51</v>
      </c>
      <c r="B7058" s="6" t="s">
        <v>183</v>
      </c>
      <c r="C7058" s="6" t="s">
        <v>412</v>
      </c>
      <c r="D7058" s="6" t="s">
        <v>184</v>
      </c>
      <c r="E7058" s="11">
        <v>3.9149367809295654</v>
      </c>
      <c r="F7058" s="11">
        <v>4.100527286529541</v>
      </c>
    </row>
    <row r="7059" spans="1:6" hidden="1" x14ac:dyDescent="0.3">
      <c r="A7059" s="6">
        <v>51</v>
      </c>
      <c r="B7059" s="6" t="s">
        <v>183</v>
      </c>
      <c r="C7059" s="6" t="s">
        <v>413</v>
      </c>
      <c r="D7059" s="6" t="s">
        <v>184</v>
      </c>
      <c r="E7059" s="11">
        <v>4.4282736778259277</v>
      </c>
      <c r="F7059" s="11">
        <v>4.100527286529541</v>
      </c>
    </row>
    <row r="7060" spans="1:6" hidden="1" x14ac:dyDescent="0.3">
      <c r="A7060" s="6">
        <v>51</v>
      </c>
      <c r="B7060" s="6" t="s">
        <v>183</v>
      </c>
      <c r="C7060" s="6" t="s">
        <v>414</v>
      </c>
      <c r="D7060" s="6" t="s">
        <v>184</v>
      </c>
      <c r="E7060" s="11">
        <v>2.8280243873596191</v>
      </c>
      <c r="F7060" s="11">
        <v>4.100527286529541</v>
      </c>
    </row>
    <row r="7061" spans="1:6" hidden="1" x14ac:dyDescent="0.3">
      <c r="A7061" s="6">
        <v>51</v>
      </c>
      <c r="B7061" s="6" t="s">
        <v>183</v>
      </c>
      <c r="C7061" s="6" t="s">
        <v>415</v>
      </c>
      <c r="D7061" s="6" t="s">
        <v>184</v>
      </c>
      <c r="E7061" s="11">
        <v>3.9914677143096924</v>
      </c>
      <c r="F7061" s="11">
        <v>4.100527286529541</v>
      </c>
    </row>
    <row r="7062" spans="1:6" hidden="1" x14ac:dyDescent="0.3">
      <c r="A7062" s="6">
        <v>51</v>
      </c>
      <c r="B7062" s="6" t="s">
        <v>183</v>
      </c>
      <c r="C7062" s="6" t="s">
        <v>416</v>
      </c>
      <c r="D7062" s="6" t="s">
        <v>184</v>
      </c>
      <c r="E7062" s="11">
        <v>2.8791015148162842</v>
      </c>
      <c r="F7062" s="11">
        <v>4.100527286529541</v>
      </c>
    </row>
    <row r="7063" spans="1:6" hidden="1" x14ac:dyDescent="0.3">
      <c r="A7063" s="6">
        <v>51</v>
      </c>
      <c r="B7063" s="6" t="s">
        <v>183</v>
      </c>
      <c r="C7063" s="6" t="s">
        <v>417</v>
      </c>
      <c r="D7063" s="6" t="s">
        <v>184</v>
      </c>
      <c r="E7063" s="11">
        <v>4.7619013786315918</v>
      </c>
      <c r="F7063" s="11">
        <v>4.100527286529541</v>
      </c>
    </row>
    <row r="7064" spans="1:6" hidden="1" x14ac:dyDescent="0.3">
      <c r="A7064" s="6">
        <v>51</v>
      </c>
      <c r="B7064" s="6" t="s">
        <v>183</v>
      </c>
      <c r="C7064" s="6" t="s">
        <v>418</v>
      </c>
      <c r="D7064" s="6" t="s">
        <v>184</v>
      </c>
      <c r="E7064" s="11">
        <v>3.6346480846405029</v>
      </c>
      <c r="F7064" s="11">
        <v>4.100527286529541</v>
      </c>
    </row>
    <row r="7065" spans="1:6" hidden="1" x14ac:dyDescent="0.3">
      <c r="A7065" s="6">
        <v>51</v>
      </c>
      <c r="B7065" s="6" t="s">
        <v>183</v>
      </c>
      <c r="C7065" s="6" t="s">
        <v>419</v>
      </c>
      <c r="D7065" s="6" t="s">
        <v>184</v>
      </c>
      <c r="E7065" s="11">
        <v>3.5386002063751221</v>
      </c>
      <c r="F7065" s="11">
        <v>4.100527286529541</v>
      </c>
    </row>
    <row r="7066" spans="1:6" hidden="1" x14ac:dyDescent="0.3">
      <c r="A7066" s="6">
        <v>51</v>
      </c>
      <c r="B7066" s="6" t="s">
        <v>183</v>
      </c>
      <c r="C7066" s="6" t="s">
        <v>420</v>
      </c>
      <c r="D7066" s="6" t="s">
        <v>184</v>
      </c>
      <c r="E7066" s="11">
        <v>5.4012680053710938</v>
      </c>
      <c r="F7066" s="11">
        <v>4.100527286529541</v>
      </c>
    </row>
    <row r="7067" spans="1:6" hidden="1" x14ac:dyDescent="0.3">
      <c r="A7067" s="6">
        <v>51</v>
      </c>
      <c r="B7067" s="6" t="s">
        <v>183</v>
      </c>
      <c r="C7067" s="6" t="s">
        <v>421</v>
      </c>
      <c r="D7067" s="6" t="s">
        <v>184</v>
      </c>
      <c r="E7067" s="11">
        <v>3.2590086460113525</v>
      </c>
      <c r="F7067" s="11">
        <v>4.100527286529541</v>
      </c>
    </row>
    <row r="7068" spans="1:6" hidden="1" x14ac:dyDescent="0.3">
      <c r="A7068" s="6">
        <v>51</v>
      </c>
      <c r="B7068" s="6" t="s">
        <v>183</v>
      </c>
      <c r="C7068" s="6" t="s">
        <v>422</v>
      </c>
      <c r="D7068" s="6" t="s">
        <v>184</v>
      </c>
      <c r="E7068" s="11">
        <v>3.6936304569244385</v>
      </c>
      <c r="F7068" s="11">
        <v>4.100527286529541</v>
      </c>
    </row>
    <row r="7069" spans="1:6" hidden="1" x14ac:dyDescent="0.3">
      <c r="A7069" s="6">
        <v>51</v>
      </c>
      <c r="B7069" s="6" t="s">
        <v>183</v>
      </c>
      <c r="C7069" s="6" t="s">
        <v>423</v>
      </c>
      <c r="D7069" s="6" t="s">
        <v>184</v>
      </c>
      <c r="E7069" s="11">
        <v>3.2626457214355469</v>
      </c>
      <c r="F7069" s="11">
        <v>4.100527286529541</v>
      </c>
    </row>
    <row r="7070" spans="1:6" hidden="1" x14ac:dyDescent="0.3">
      <c r="A7070" s="6">
        <v>51</v>
      </c>
      <c r="B7070" s="6" t="s">
        <v>183</v>
      </c>
      <c r="C7070" s="6" t="s">
        <v>424</v>
      </c>
      <c r="D7070" s="6" t="s">
        <v>184</v>
      </c>
      <c r="E7070" s="11">
        <v>3.8932163715362549</v>
      </c>
      <c r="F7070" s="11">
        <v>4.100527286529541</v>
      </c>
    </row>
    <row r="7071" spans="1:6" hidden="1" x14ac:dyDescent="0.3">
      <c r="A7071" s="6">
        <v>51</v>
      </c>
      <c r="B7071" s="6" t="s">
        <v>183</v>
      </c>
      <c r="C7071" s="6" t="s">
        <v>425</v>
      </c>
      <c r="D7071" s="6" t="s">
        <v>184</v>
      </c>
      <c r="E7071" s="11">
        <v>4.2646565437316895</v>
      </c>
      <c r="F7071" s="11">
        <v>4.100527286529541</v>
      </c>
    </row>
    <row r="7072" spans="1:6" hidden="1" x14ac:dyDescent="0.3">
      <c r="A7072" s="6">
        <v>51</v>
      </c>
      <c r="B7072" s="6" t="s">
        <v>183</v>
      </c>
      <c r="C7072" s="6" t="s">
        <v>426</v>
      </c>
      <c r="D7072" s="6" t="s">
        <v>184</v>
      </c>
      <c r="E7072" s="11">
        <v>3.8244946002960205</v>
      </c>
      <c r="F7072" s="11">
        <v>4.100527286529541</v>
      </c>
    </row>
    <row r="7073" spans="1:6" hidden="1" x14ac:dyDescent="0.3">
      <c r="A7073" s="6">
        <v>51</v>
      </c>
      <c r="B7073" s="6" t="s">
        <v>183</v>
      </c>
      <c r="C7073" s="6" t="s">
        <v>427</v>
      </c>
      <c r="D7073" s="6" t="s">
        <v>184</v>
      </c>
      <c r="E7073" s="11">
        <v>4.2891378402709961</v>
      </c>
      <c r="F7073" s="11">
        <v>4.100527286529541</v>
      </c>
    </row>
    <row r="7074" spans="1:6" hidden="1" x14ac:dyDescent="0.3">
      <c r="A7074" s="6">
        <v>51</v>
      </c>
      <c r="B7074" s="6" t="s">
        <v>183</v>
      </c>
      <c r="C7074" s="6" t="s">
        <v>428</v>
      </c>
      <c r="D7074" s="6" t="s">
        <v>184</v>
      </c>
      <c r="E7074" s="11">
        <v>3.8247678279876709</v>
      </c>
      <c r="F7074" s="11">
        <v>4.100527286529541</v>
      </c>
    </row>
    <row r="7075" spans="1:6" hidden="1" x14ac:dyDescent="0.3">
      <c r="A7075" s="6">
        <v>51</v>
      </c>
      <c r="B7075" s="6" t="s">
        <v>183</v>
      </c>
      <c r="C7075" s="6" t="s">
        <v>429</v>
      </c>
      <c r="D7075" s="6" t="s">
        <v>184</v>
      </c>
      <c r="E7075" s="11">
        <v>3.9367508888244629</v>
      </c>
      <c r="F7075" s="11">
        <v>4.100527286529541</v>
      </c>
    </row>
    <row r="7076" spans="1:6" hidden="1" x14ac:dyDescent="0.3">
      <c r="A7076" s="6">
        <v>51</v>
      </c>
      <c r="B7076" s="6" t="s">
        <v>183</v>
      </c>
      <c r="C7076" s="6" t="s">
        <v>430</v>
      </c>
      <c r="D7076" s="6" t="s">
        <v>184</v>
      </c>
      <c r="E7076" s="11">
        <v>4.0462737083435059</v>
      </c>
      <c r="F7076" s="11">
        <v>4.100527286529541</v>
      </c>
    </row>
    <row r="7077" spans="1:6" hidden="1" x14ac:dyDescent="0.3">
      <c r="A7077" s="6">
        <v>51</v>
      </c>
      <c r="B7077" s="6" t="s">
        <v>183</v>
      </c>
      <c r="C7077" s="6" t="s">
        <v>431</v>
      </c>
      <c r="D7077" s="6" t="s">
        <v>184</v>
      </c>
      <c r="E7077" s="11">
        <v>4.7698884010314941</v>
      </c>
      <c r="F7077" s="11">
        <v>4.100527286529541</v>
      </c>
    </row>
    <row r="7078" spans="1:6" hidden="1" x14ac:dyDescent="0.3">
      <c r="A7078" s="6">
        <v>51</v>
      </c>
      <c r="B7078" s="6" t="s">
        <v>183</v>
      </c>
      <c r="C7078" s="6" t="s">
        <v>432</v>
      </c>
      <c r="D7078" s="6" t="s">
        <v>184</v>
      </c>
      <c r="E7078" s="11">
        <v>3.9637253284454346</v>
      </c>
      <c r="F7078" s="11">
        <v>4.100527286529541</v>
      </c>
    </row>
    <row r="7079" spans="1:6" hidden="1" x14ac:dyDescent="0.3">
      <c r="A7079" s="6">
        <v>51</v>
      </c>
      <c r="B7079" s="6" t="s">
        <v>183</v>
      </c>
      <c r="C7079" s="6" t="s">
        <v>433</v>
      </c>
      <c r="D7079" s="6" t="s">
        <v>184</v>
      </c>
      <c r="E7079" s="11">
        <v>3.4519379138946533</v>
      </c>
      <c r="F7079" s="11">
        <v>4.100527286529541</v>
      </c>
    </row>
    <row r="7080" spans="1:6" hidden="1" x14ac:dyDescent="0.3">
      <c r="A7080" s="6">
        <v>51</v>
      </c>
      <c r="B7080" s="6" t="s">
        <v>183</v>
      </c>
      <c r="C7080" s="6" t="s">
        <v>434</v>
      </c>
      <c r="D7080" s="6" t="s">
        <v>184</v>
      </c>
      <c r="E7080" s="11">
        <v>3.7280013561248779</v>
      </c>
      <c r="F7080" s="11">
        <v>4.100527286529541</v>
      </c>
    </row>
    <row r="7081" spans="1:6" hidden="1" x14ac:dyDescent="0.3">
      <c r="A7081" s="6">
        <v>51</v>
      </c>
      <c r="B7081" s="6" t="s">
        <v>183</v>
      </c>
      <c r="C7081" s="6" t="s">
        <v>435</v>
      </c>
      <c r="D7081" s="6" t="s">
        <v>184</v>
      </c>
      <c r="E7081" s="11">
        <v>3.576113224029541</v>
      </c>
      <c r="F7081" s="11">
        <v>4.100527286529541</v>
      </c>
    </row>
    <row r="7082" spans="1:6" hidden="1" x14ac:dyDescent="0.3">
      <c r="A7082" s="6">
        <v>51</v>
      </c>
      <c r="B7082" s="6" t="s">
        <v>183</v>
      </c>
      <c r="C7082" s="6" t="s">
        <v>436</v>
      </c>
      <c r="D7082" s="6" t="s">
        <v>184</v>
      </c>
      <c r="E7082" s="11">
        <v>4.3700680732727051</v>
      </c>
      <c r="F7082" s="11">
        <v>4.100527286529541</v>
      </c>
    </row>
    <row r="7083" spans="1:6" hidden="1" x14ac:dyDescent="0.3">
      <c r="A7083" s="6">
        <v>51</v>
      </c>
      <c r="B7083" s="6" t="s">
        <v>183</v>
      </c>
      <c r="C7083" s="6" t="s">
        <v>437</v>
      </c>
      <c r="D7083" s="6" t="s">
        <v>184</v>
      </c>
      <c r="E7083" s="11">
        <v>4.860079288482666</v>
      </c>
      <c r="F7083" s="11">
        <v>4.100527286529541</v>
      </c>
    </row>
    <row r="7084" spans="1:6" hidden="1" x14ac:dyDescent="0.3">
      <c r="A7084" s="6">
        <v>51</v>
      </c>
      <c r="B7084" s="6" t="s">
        <v>183</v>
      </c>
      <c r="C7084" s="6" t="s">
        <v>438</v>
      </c>
      <c r="D7084" s="6" t="s">
        <v>184</v>
      </c>
      <c r="E7084" s="11">
        <v>5.6870517730712891</v>
      </c>
      <c r="F7084" s="11">
        <v>4.100527286529541</v>
      </c>
    </row>
    <row r="7085" spans="1:6" hidden="1" x14ac:dyDescent="0.3">
      <c r="A7085" s="6">
        <v>51</v>
      </c>
      <c r="B7085" s="6" t="s">
        <v>183</v>
      </c>
      <c r="C7085" s="6" t="s">
        <v>439</v>
      </c>
      <c r="D7085" s="6" t="s">
        <v>184</v>
      </c>
      <c r="E7085" s="11">
        <v>3.9033434391021729</v>
      </c>
      <c r="F7085" s="11">
        <v>4.100527286529541</v>
      </c>
    </row>
    <row r="7086" spans="1:6" hidden="1" x14ac:dyDescent="0.3">
      <c r="A7086" s="6">
        <v>51</v>
      </c>
      <c r="B7086" s="6" t="s">
        <v>183</v>
      </c>
      <c r="C7086" s="6" t="s">
        <v>440</v>
      </c>
      <c r="D7086" s="6" t="s">
        <v>184</v>
      </c>
      <c r="E7086" s="11">
        <v>3.6904594898223877</v>
      </c>
      <c r="F7086" s="11">
        <v>4.100527286529541</v>
      </c>
    </row>
    <row r="7087" spans="1:6" hidden="1" x14ac:dyDescent="0.3">
      <c r="A7087" s="6">
        <v>51</v>
      </c>
      <c r="B7087" s="6" t="s">
        <v>183</v>
      </c>
      <c r="C7087" s="6" t="s">
        <v>441</v>
      </c>
      <c r="D7087" s="6" t="s">
        <v>184</v>
      </c>
      <c r="E7087" s="11">
        <v>3.2229788303375244</v>
      </c>
      <c r="F7087" s="11">
        <v>4.100527286529541</v>
      </c>
    </row>
    <row r="7088" spans="1:6" hidden="1" x14ac:dyDescent="0.3">
      <c r="A7088" s="6">
        <v>51</v>
      </c>
      <c r="B7088" s="6" t="s">
        <v>183</v>
      </c>
      <c r="C7088" s="6" t="s">
        <v>442</v>
      </c>
      <c r="D7088" s="6" t="s">
        <v>184</v>
      </c>
      <c r="E7088" s="11">
        <v>3.4333631992340088</v>
      </c>
      <c r="F7088" s="11">
        <v>4.100527286529541</v>
      </c>
    </row>
    <row r="7089" spans="1:6" hidden="1" x14ac:dyDescent="0.3">
      <c r="A7089" s="6">
        <v>51</v>
      </c>
      <c r="B7089" s="6" t="s">
        <v>183</v>
      </c>
      <c r="C7089" s="6" t="s">
        <v>443</v>
      </c>
      <c r="D7089" s="6" t="s">
        <v>184</v>
      </c>
      <c r="E7089" s="11">
        <v>3.1395950317382813</v>
      </c>
      <c r="F7089" s="11">
        <v>4.100527286529541</v>
      </c>
    </row>
    <row r="7090" spans="1:6" hidden="1" x14ac:dyDescent="0.3">
      <c r="A7090" s="6">
        <v>51</v>
      </c>
      <c r="B7090" s="6" t="s">
        <v>183</v>
      </c>
      <c r="C7090" s="6" t="s">
        <v>444</v>
      </c>
      <c r="D7090" s="6" t="s">
        <v>184</v>
      </c>
      <c r="E7090" s="11">
        <v>3.2318449020385742</v>
      </c>
      <c r="F7090" s="11">
        <v>4.100527286529541</v>
      </c>
    </row>
    <row r="7091" spans="1:6" hidden="1" x14ac:dyDescent="0.3">
      <c r="A7091" s="6">
        <v>51</v>
      </c>
      <c r="B7091" s="6" t="s">
        <v>183</v>
      </c>
      <c r="C7091" s="6" t="s">
        <v>445</v>
      </c>
      <c r="D7091" s="6" t="s">
        <v>184</v>
      </c>
      <c r="E7091" s="11">
        <v>5.0579876899719238</v>
      </c>
      <c r="F7091" s="11">
        <v>4.100527286529541</v>
      </c>
    </row>
    <row r="7092" spans="1:6" hidden="1" x14ac:dyDescent="0.3">
      <c r="A7092" s="6">
        <v>51</v>
      </c>
      <c r="B7092" s="6" t="s">
        <v>183</v>
      </c>
      <c r="C7092" s="6" t="s">
        <v>446</v>
      </c>
      <c r="D7092" s="6" t="s">
        <v>184</v>
      </c>
      <c r="E7092" s="11">
        <v>4.1506600379943848</v>
      </c>
      <c r="F7092" s="11">
        <v>4.100527286529541</v>
      </c>
    </row>
    <row r="7093" spans="1:6" hidden="1" x14ac:dyDescent="0.3">
      <c r="A7093" s="6">
        <v>51</v>
      </c>
      <c r="B7093" s="6" t="s">
        <v>183</v>
      </c>
      <c r="C7093" s="6" t="s">
        <v>447</v>
      </c>
      <c r="D7093" s="6" t="s">
        <v>184</v>
      </c>
      <c r="E7093" s="11">
        <v>4.050541877746582</v>
      </c>
      <c r="F7093" s="11">
        <v>4.100527286529541</v>
      </c>
    </row>
    <row r="7094" spans="1:6" hidden="1" x14ac:dyDescent="0.3">
      <c r="A7094" s="6">
        <v>51</v>
      </c>
      <c r="B7094" s="6" t="s">
        <v>183</v>
      </c>
      <c r="C7094" s="6" t="s">
        <v>448</v>
      </c>
      <c r="D7094" s="6" t="s">
        <v>184</v>
      </c>
      <c r="E7094" s="11">
        <v>3.5931136608123779</v>
      </c>
      <c r="F7094" s="11">
        <v>4.100527286529541</v>
      </c>
    </row>
    <row r="7095" spans="1:6" hidden="1" x14ac:dyDescent="0.3">
      <c r="A7095" s="6">
        <v>51</v>
      </c>
      <c r="B7095" s="6" t="s">
        <v>183</v>
      </c>
      <c r="C7095" s="6" t="s">
        <v>449</v>
      </c>
      <c r="D7095" s="6" t="s">
        <v>184</v>
      </c>
      <c r="E7095" s="11">
        <v>3.7955160140991211</v>
      </c>
      <c r="F7095" s="11">
        <v>4.100527286529541</v>
      </c>
    </row>
    <row r="7096" spans="1:6" hidden="1" x14ac:dyDescent="0.3">
      <c r="A7096" s="6">
        <v>51</v>
      </c>
      <c r="B7096" s="6" t="s">
        <v>183</v>
      </c>
      <c r="C7096" s="6" t="s">
        <v>450</v>
      </c>
      <c r="D7096" s="6" t="s">
        <v>184</v>
      </c>
      <c r="E7096" s="11">
        <v>3.9898293018341064</v>
      </c>
      <c r="F7096" s="11">
        <v>4.100527286529541</v>
      </c>
    </row>
    <row r="7097" spans="1:6" hidden="1" x14ac:dyDescent="0.3">
      <c r="A7097" s="6">
        <v>51</v>
      </c>
      <c r="B7097" s="6" t="s">
        <v>183</v>
      </c>
      <c r="C7097" s="6" t="s">
        <v>451</v>
      </c>
      <c r="D7097" s="6" t="s">
        <v>184</v>
      </c>
      <c r="E7097" s="11">
        <v>4.7633213996887207</v>
      </c>
      <c r="F7097" s="11">
        <v>4.100527286529541</v>
      </c>
    </row>
    <row r="7098" spans="1:6" hidden="1" x14ac:dyDescent="0.3">
      <c r="A7098" s="6">
        <v>51</v>
      </c>
      <c r="B7098" s="6" t="s">
        <v>183</v>
      </c>
      <c r="C7098" s="6" t="s">
        <v>452</v>
      </c>
      <c r="D7098" s="6" t="s">
        <v>184</v>
      </c>
      <c r="E7098" s="11">
        <v>3.3420233726501465</v>
      </c>
      <c r="F7098" s="11">
        <v>4.100527286529541</v>
      </c>
    </row>
    <row r="7099" spans="1:6" hidden="1" x14ac:dyDescent="0.3">
      <c r="A7099" s="6">
        <v>51</v>
      </c>
      <c r="B7099" s="6" t="s">
        <v>183</v>
      </c>
      <c r="C7099" s="6" t="s">
        <v>453</v>
      </c>
      <c r="D7099" s="6" t="s">
        <v>184</v>
      </c>
      <c r="E7099" s="11">
        <v>3.9168879985809326</v>
      </c>
      <c r="F7099" s="11">
        <v>4.100527286529541</v>
      </c>
    </row>
    <row r="7100" spans="1:6" hidden="1" x14ac:dyDescent="0.3">
      <c r="A7100" s="6">
        <v>51</v>
      </c>
      <c r="B7100" s="6" t="s">
        <v>183</v>
      </c>
      <c r="C7100" s="6" t="s">
        <v>454</v>
      </c>
      <c r="D7100" s="6" t="s">
        <v>184</v>
      </c>
      <c r="E7100" s="11">
        <v>3.6790659427642822</v>
      </c>
      <c r="F7100" s="11">
        <v>4.100527286529541</v>
      </c>
    </row>
    <row r="7101" spans="1:6" hidden="1" x14ac:dyDescent="0.3">
      <c r="A7101" s="6">
        <v>51</v>
      </c>
      <c r="B7101" s="6" t="s">
        <v>183</v>
      </c>
      <c r="C7101" s="6" t="s">
        <v>455</v>
      </c>
      <c r="D7101" s="6" t="s">
        <v>184</v>
      </c>
      <c r="E7101" s="11">
        <v>4.575009822845459</v>
      </c>
      <c r="F7101" s="11">
        <v>4.100527286529541</v>
      </c>
    </row>
    <row r="7102" spans="1:6" hidden="1" x14ac:dyDescent="0.3">
      <c r="A7102" s="6">
        <v>51</v>
      </c>
      <c r="B7102" s="6" t="s">
        <v>183</v>
      </c>
      <c r="C7102" s="6" t="s">
        <v>456</v>
      </c>
      <c r="D7102" s="6" t="s">
        <v>184</v>
      </c>
      <c r="E7102" s="11">
        <v>5.6831479072570801</v>
      </c>
      <c r="F7102" s="11">
        <v>4.100527286529541</v>
      </c>
    </row>
    <row r="7103" spans="1:6" hidden="1" x14ac:dyDescent="0.3">
      <c r="A7103" s="6">
        <v>51</v>
      </c>
      <c r="B7103" s="6" t="s">
        <v>183</v>
      </c>
      <c r="C7103" s="6" t="s">
        <v>457</v>
      </c>
      <c r="D7103" s="6" t="s">
        <v>184</v>
      </c>
      <c r="E7103" s="11">
        <v>4.1549301147460938</v>
      </c>
      <c r="F7103" s="11">
        <v>4.100527286529541</v>
      </c>
    </row>
    <row r="7104" spans="1:6" hidden="1" x14ac:dyDescent="0.3">
      <c r="A7104" s="6">
        <v>51</v>
      </c>
      <c r="B7104" s="6" t="s">
        <v>183</v>
      </c>
      <c r="C7104" s="6" t="s">
        <v>458</v>
      </c>
      <c r="D7104" s="6" t="s">
        <v>184</v>
      </c>
      <c r="E7104" s="11">
        <v>4.761284351348877</v>
      </c>
      <c r="F7104" s="11">
        <v>4.100527286529541</v>
      </c>
    </row>
    <row r="7105" spans="1:6" hidden="1" x14ac:dyDescent="0.3">
      <c r="A7105" s="6">
        <v>51</v>
      </c>
      <c r="B7105" s="6" t="s">
        <v>183</v>
      </c>
      <c r="C7105" s="6" t="s">
        <v>459</v>
      </c>
      <c r="D7105" s="6" t="s">
        <v>184</v>
      </c>
      <c r="E7105" s="11">
        <v>5.3835034370422363</v>
      </c>
      <c r="F7105" s="11">
        <v>4.100527286529541</v>
      </c>
    </row>
    <row r="7106" spans="1:6" hidden="1" x14ac:dyDescent="0.3">
      <c r="A7106" s="6">
        <v>51</v>
      </c>
      <c r="B7106" s="6" t="s">
        <v>183</v>
      </c>
      <c r="C7106" s="6" t="s">
        <v>460</v>
      </c>
      <c r="D7106" s="6" t="s">
        <v>184</v>
      </c>
      <c r="E7106" s="11">
        <v>3.4811403751373291</v>
      </c>
      <c r="F7106" s="11">
        <v>4.100527286529541</v>
      </c>
    </row>
    <row r="7107" spans="1:6" hidden="1" x14ac:dyDescent="0.3">
      <c r="A7107" s="6">
        <v>51</v>
      </c>
      <c r="B7107" s="6" t="s">
        <v>183</v>
      </c>
      <c r="C7107" s="6" t="s">
        <v>461</v>
      </c>
      <c r="D7107" s="6" t="s">
        <v>184</v>
      </c>
      <c r="E7107" s="11">
        <v>3.5461568832397461</v>
      </c>
      <c r="F7107" s="11">
        <v>4.100527286529541</v>
      </c>
    </row>
    <row r="7108" spans="1:6" hidden="1" x14ac:dyDescent="0.3">
      <c r="A7108" s="6">
        <v>51</v>
      </c>
      <c r="B7108" s="6" t="s">
        <v>183</v>
      </c>
      <c r="C7108" s="6" t="s">
        <v>462</v>
      </c>
      <c r="D7108" s="6" t="s">
        <v>184</v>
      </c>
      <c r="E7108" s="11">
        <v>3.1588842868804932</v>
      </c>
      <c r="F7108" s="11">
        <v>4.100527286529541</v>
      </c>
    </row>
    <row r="7109" spans="1:6" hidden="1" x14ac:dyDescent="0.3">
      <c r="A7109" s="6">
        <v>51</v>
      </c>
      <c r="B7109" s="6" t="s">
        <v>183</v>
      </c>
      <c r="C7109" s="6" t="s">
        <v>463</v>
      </c>
      <c r="D7109" s="6" t="s">
        <v>184</v>
      </c>
      <c r="E7109" s="11">
        <v>3.0246217250823975</v>
      </c>
      <c r="F7109" s="11">
        <v>4.100527286529541</v>
      </c>
    </row>
    <row r="7110" spans="1:6" hidden="1" x14ac:dyDescent="0.3">
      <c r="A7110" s="6">
        <v>51</v>
      </c>
      <c r="B7110" s="6" t="s">
        <v>183</v>
      </c>
      <c r="C7110" s="6" t="s">
        <v>464</v>
      </c>
      <c r="D7110" s="6" t="s">
        <v>184</v>
      </c>
      <c r="E7110" s="11">
        <v>3.6989948749542236</v>
      </c>
      <c r="F7110" s="11">
        <v>4.100527286529541</v>
      </c>
    </row>
    <row r="7111" spans="1:6" hidden="1" x14ac:dyDescent="0.3">
      <c r="A7111" s="6">
        <v>51</v>
      </c>
      <c r="B7111" s="6" t="s">
        <v>183</v>
      </c>
      <c r="C7111" s="6" t="s">
        <v>465</v>
      </c>
      <c r="D7111" s="6" t="s">
        <v>184</v>
      </c>
      <c r="E7111" s="11">
        <v>3.4635007381439209</v>
      </c>
      <c r="F7111" s="11">
        <v>4.100527286529541</v>
      </c>
    </row>
    <row r="7112" spans="1:6" hidden="1" x14ac:dyDescent="0.3">
      <c r="A7112" s="6">
        <v>51</v>
      </c>
      <c r="B7112" s="6" t="s">
        <v>183</v>
      </c>
      <c r="C7112" s="6" t="s">
        <v>466</v>
      </c>
      <c r="D7112" s="6" t="s">
        <v>184</v>
      </c>
      <c r="E7112" s="11">
        <v>3.6219832897186279</v>
      </c>
      <c r="F7112" s="11">
        <v>4.100527286529541</v>
      </c>
    </row>
    <row r="7113" spans="1:6" hidden="1" x14ac:dyDescent="0.3">
      <c r="A7113" s="6">
        <v>51</v>
      </c>
      <c r="B7113" s="6" t="s">
        <v>183</v>
      </c>
      <c r="C7113" s="6" t="s">
        <v>467</v>
      </c>
      <c r="D7113" s="6" t="s">
        <v>184</v>
      </c>
      <c r="E7113" s="11">
        <v>3.9718599319458008</v>
      </c>
      <c r="F7113" s="11">
        <v>4.100527286529541</v>
      </c>
    </row>
    <row r="7114" spans="1:6" hidden="1" x14ac:dyDescent="0.3">
      <c r="A7114" s="6">
        <v>51</v>
      </c>
      <c r="B7114" s="6" t="s">
        <v>183</v>
      </c>
      <c r="C7114" s="6" t="s">
        <v>468</v>
      </c>
      <c r="D7114" s="6" t="s">
        <v>184</v>
      </c>
      <c r="E7114" s="11">
        <v>3.7451772689819336</v>
      </c>
      <c r="F7114" s="11">
        <v>4.100527286529541</v>
      </c>
    </row>
    <row r="7115" spans="1:6" hidden="1" x14ac:dyDescent="0.3">
      <c r="A7115" s="6">
        <v>51</v>
      </c>
      <c r="B7115" s="6" t="s">
        <v>183</v>
      </c>
      <c r="C7115" s="6" t="s">
        <v>469</v>
      </c>
      <c r="D7115" s="6" t="s">
        <v>184</v>
      </c>
      <c r="E7115" s="11">
        <v>3.4999210834503174</v>
      </c>
      <c r="F7115" s="11">
        <v>4.100527286529541</v>
      </c>
    </row>
    <row r="7116" spans="1:6" hidden="1" x14ac:dyDescent="0.3">
      <c r="A7116" s="6">
        <v>51</v>
      </c>
      <c r="B7116" s="6" t="s">
        <v>183</v>
      </c>
      <c r="C7116" s="6" t="s">
        <v>470</v>
      </c>
      <c r="D7116" s="6" t="s">
        <v>184</v>
      </c>
      <c r="E7116" s="11">
        <v>4.3505229949951172</v>
      </c>
      <c r="F7116" s="11">
        <v>4.100527286529541</v>
      </c>
    </row>
    <row r="7117" spans="1:6" hidden="1" x14ac:dyDescent="0.3">
      <c r="A7117" s="6">
        <v>51</v>
      </c>
      <c r="B7117" s="6" t="s">
        <v>183</v>
      </c>
      <c r="C7117" s="6" t="s">
        <v>471</v>
      </c>
      <c r="D7117" s="6" t="s">
        <v>184</v>
      </c>
      <c r="E7117" s="11">
        <v>3.3725578784942627</v>
      </c>
      <c r="F7117" s="11">
        <v>4.100527286529541</v>
      </c>
    </row>
    <row r="7118" spans="1:6" hidden="1" x14ac:dyDescent="0.3">
      <c r="A7118" s="6">
        <v>51</v>
      </c>
      <c r="B7118" s="6" t="s">
        <v>183</v>
      </c>
      <c r="C7118" s="6" t="s">
        <v>472</v>
      </c>
      <c r="D7118" s="6" t="s">
        <v>184</v>
      </c>
      <c r="E7118" s="11">
        <v>3.603954553604126</v>
      </c>
      <c r="F7118" s="11">
        <v>4.100527286529541</v>
      </c>
    </row>
    <row r="7119" spans="1:6" hidden="1" x14ac:dyDescent="0.3">
      <c r="A7119" s="6">
        <v>51</v>
      </c>
      <c r="B7119" s="6" t="s">
        <v>183</v>
      </c>
      <c r="C7119" s="6" t="s">
        <v>473</v>
      </c>
      <c r="D7119" s="6" t="s">
        <v>184</v>
      </c>
      <c r="E7119" s="11">
        <v>3.6556539535522461</v>
      </c>
      <c r="F7119" s="11">
        <v>4.100527286529541</v>
      </c>
    </row>
    <row r="7120" spans="1:6" hidden="1" x14ac:dyDescent="0.3">
      <c r="A7120" s="6">
        <v>51</v>
      </c>
      <c r="B7120" s="6" t="s">
        <v>183</v>
      </c>
      <c r="C7120" s="6" t="s">
        <v>474</v>
      </c>
      <c r="D7120" s="6" t="s">
        <v>184</v>
      </c>
      <c r="E7120" s="11">
        <v>3.3540401458740234</v>
      </c>
      <c r="F7120" s="11">
        <v>4.100527286529541</v>
      </c>
    </row>
    <row r="7121" spans="1:6" hidden="1" x14ac:dyDescent="0.3">
      <c r="A7121" s="6">
        <v>51</v>
      </c>
      <c r="B7121" s="6" t="s">
        <v>183</v>
      </c>
      <c r="C7121" s="6" t="s">
        <v>475</v>
      </c>
      <c r="D7121" s="6" t="s">
        <v>184</v>
      </c>
      <c r="E7121" s="11">
        <v>3.6334867477416992</v>
      </c>
      <c r="F7121" s="11">
        <v>4.100527286529541</v>
      </c>
    </row>
    <row r="7122" spans="1:6" hidden="1" x14ac:dyDescent="0.3">
      <c r="A7122" s="6">
        <v>51</v>
      </c>
      <c r="B7122" s="6" t="s">
        <v>183</v>
      </c>
      <c r="C7122" s="6" t="s">
        <v>476</v>
      </c>
      <c r="D7122" s="6" t="s">
        <v>184</v>
      </c>
      <c r="E7122" s="11">
        <v>3.7919464111328125</v>
      </c>
      <c r="F7122" s="11">
        <v>4.100527286529541</v>
      </c>
    </row>
    <row r="7123" spans="1:6" hidden="1" x14ac:dyDescent="0.3">
      <c r="A7123" s="6">
        <v>51</v>
      </c>
      <c r="B7123" s="6" t="s">
        <v>183</v>
      </c>
      <c r="C7123" s="6" t="s">
        <v>477</v>
      </c>
      <c r="D7123" s="6" t="s">
        <v>184</v>
      </c>
      <c r="E7123" s="11">
        <v>3.9924757480621338</v>
      </c>
      <c r="F7123" s="11">
        <v>4.100527286529541</v>
      </c>
    </row>
    <row r="7124" spans="1:6" hidden="1" x14ac:dyDescent="0.3">
      <c r="A7124" s="6">
        <v>51</v>
      </c>
      <c r="B7124" s="6" t="s">
        <v>183</v>
      </c>
      <c r="C7124" s="6" t="s">
        <v>478</v>
      </c>
      <c r="D7124" s="6" t="s">
        <v>184</v>
      </c>
      <c r="E7124" s="11">
        <v>3.425379753112793</v>
      </c>
      <c r="F7124" s="11">
        <v>4.100527286529541</v>
      </c>
    </row>
    <row r="7125" spans="1:6" hidden="1" x14ac:dyDescent="0.3">
      <c r="A7125" s="6">
        <v>51</v>
      </c>
      <c r="B7125" s="6" t="s">
        <v>183</v>
      </c>
      <c r="C7125" s="6" t="s">
        <v>479</v>
      </c>
      <c r="D7125" s="6" t="s">
        <v>184</v>
      </c>
      <c r="E7125" s="11">
        <v>3.7552003860473633</v>
      </c>
      <c r="F7125" s="11">
        <v>4.100527286529541</v>
      </c>
    </row>
    <row r="7126" spans="1:6" hidden="1" x14ac:dyDescent="0.3">
      <c r="A7126" s="6">
        <v>51</v>
      </c>
      <c r="B7126" s="6" t="s">
        <v>183</v>
      </c>
      <c r="C7126" s="6" t="s">
        <v>480</v>
      </c>
      <c r="D7126" s="6" t="s">
        <v>184</v>
      </c>
      <c r="E7126" s="11">
        <v>3.6726982593536377</v>
      </c>
      <c r="F7126" s="11">
        <v>4.100527286529541</v>
      </c>
    </row>
    <row r="7127" spans="1:6" hidden="1" x14ac:dyDescent="0.3">
      <c r="A7127" s="6">
        <v>51</v>
      </c>
      <c r="B7127" s="6" t="s">
        <v>183</v>
      </c>
      <c r="C7127" s="6" t="s">
        <v>481</v>
      </c>
      <c r="D7127" s="6" t="s">
        <v>184</v>
      </c>
      <c r="E7127" s="11">
        <v>3.8788394927978516</v>
      </c>
      <c r="F7127" s="11">
        <v>4.100527286529541</v>
      </c>
    </row>
    <row r="7128" spans="1:6" hidden="1" x14ac:dyDescent="0.3">
      <c r="A7128" s="6">
        <v>51</v>
      </c>
      <c r="B7128" s="6" t="s">
        <v>183</v>
      </c>
      <c r="C7128" s="6" t="s">
        <v>482</v>
      </c>
      <c r="D7128" s="6" t="s">
        <v>184</v>
      </c>
      <c r="E7128" s="11">
        <v>4.049614429473877</v>
      </c>
      <c r="F7128" s="11">
        <v>4.100527286529541</v>
      </c>
    </row>
    <row r="7129" spans="1:6" hidden="1" x14ac:dyDescent="0.3">
      <c r="A7129" s="6">
        <v>51</v>
      </c>
      <c r="B7129" s="6" t="s">
        <v>183</v>
      </c>
      <c r="C7129" s="6" t="s">
        <v>483</v>
      </c>
      <c r="D7129" s="6" t="s">
        <v>184</v>
      </c>
      <c r="E7129" s="11">
        <v>3.0932803153991699</v>
      </c>
      <c r="F7129" s="11">
        <v>4.100527286529541</v>
      </c>
    </row>
    <row r="7130" spans="1:6" hidden="1" x14ac:dyDescent="0.3">
      <c r="A7130" s="6">
        <v>51</v>
      </c>
      <c r="B7130" s="6" t="s">
        <v>183</v>
      </c>
      <c r="C7130" s="6" t="s">
        <v>484</v>
      </c>
      <c r="D7130" s="6" t="s">
        <v>184</v>
      </c>
      <c r="E7130" s="11">
        <v>4.2776741981506348</v>
      </c>
      <c r="F7130" s="11">
        <v>4.100527286529541</v>
      </c>
    </row>
    <row r="7131" spans="1:6" hidden="1" x14ac:dyDescent="0.3">
      <c r="A7131" s="6">
        <v>51</v>
      </c>
      <c r="B7131" s="6" t="s">
        <v>183</v>
      </c>
      <c r="C7131" s="6" t="s">
        <v>485</v>
      </c>
      <c r="D7131" s="6" t="s">
        <v>184</v>
      </c>
      <c r="E7131" s="11">
        <v>5.8624100685119629</v>
      </c>
      <c r="F7131" s="11">
        <v>4.100527286529541</v>
      </c>
    </row>
    <row r="7132" spans="1:6" hidden="1" x14ac:dyDescent="0.3">
      <c r="A7132" s="6">
        <v>51</v>
      </c>
      <c r="B7132" s="6" t="s">
        <v>183</v>
      </c>
      <c r="C7132" s="6" t="s">
        <v>486</v>
      </c>
      <c r="D7132" s="6" t="s">
        <v>184</v>
      </c>
      <c r="E7132" s="11">
        <v>3.4444937705993652</v>
      </c>
      <c r="F7132" s="11">
        <v>4.100527286529541</v>
      </c>
    </row>
    <row r="7133" spans="1:6" hidden="1" x14ac:dyDescent="0.3">
      <c r="A7133" s="6">
        <v>51</v>
      </c>
      <c r="B7133" s="6" t="s">
        <v>183</v>
      </c>
      <c r="C7133" s="6" t="s">
        <v>487</v>
      </c>
      <c r="D7133" s="6" t="s">
        <v>184</v>
      </c>
      <c r="E7133" s="11">
        <v>3.2817525863647461</v>
      </c>
      <c r="F7133" s="11">
        <v>4.100527286529541</v>
      </c>
    </row>
    <row r="7134" spans="1:6" hidden="1" x14ac:dyDescent="0.3">
      <c r="A7134" s="6">
        <v>51</v>
      </c>
      <c r="B7134" s="6" t="s">
        <v>183</v>
      </c>
      <c r="C7134" s="6" t="s">
        <v>488</v>
      </c>
      <c r="D7134" s="6" t="s">
        <v>184</v>
      </c>
      <c r="E7134" s="11">
        <v>3.1883647441864014</v>
      </c>
      <c r="F7134" s="11">
        <v>4.100527286529541</v>
      </c>
    </row>
    <row r="7135" spans="1:6" hidden="1" x14ac:dyDescent="0.3">
      <c r="A7135" s="6">
        <v>51</v>
      </c>
      <c r="B7135" s="6" t="s">
        <v>183</v>
      </c>
      <c r="C7135" s="6" t="s">
        <v>489</v>
      </c>
      <c r="D7135" s="6" t="s">
        <v>184</v>
      </c>
      <c r="E7135" s="11">
        <v>4.7066769599914551</v>
      </c>
      <c r="F7135" s="11">
        <v>4.100527286529541</v>
      </c>
    </row>
    <row r="7136" spans="1:6" hidden="1" x14ac:dyDescent="0.3">
      <c r="A7136" s="6">
        <v>51</v>
      </c>
      <c r="B7136" s="6" t="s">
        <v>183</v>
      </c>
      <c r="C7136" s="6" t="s">
        <v>490</v>
      </c>
      <c r="D7136" s="6" t="s">
        <v>184</v>
      </c>
      <c r="E7136" s="11">
        <v>4.1310772895812988</v>
      </c>
      <c r="F7136" s="11">
        <v>4.100527286529541</v>
      </c>
    </row>
    <row r="7137" spans="1:6" hidden="1" x14ac:dyDescent="0.3">
      <c r="A7137" s="6">
        <v>51</v>
      </c>
      <c r="B7137" s="6" t="s">
        <v>183</v>
      </c>
      <c r="C7137" s="6" t="s">
        <v>491</v>
      </c>
      <c r="D7137" s="6" t="s">
        <v>184</v>
      </c>
      <c r="E7137" s="11">
        <v>3.9719445705413818</v>
      </c>
      <c r="F7137" s="11">
        <v>4.100527286529541</v>
      </c>
    </row>
    <row r="7138" spans="1:6" hidden="1" x14ac:dyDescent="0.3">
      <c r="A7138" s="6">
        <v>51</v>
      </c>
      <c r="B7138" s="6" t="s">
        <v>183</v>
      </c>
      <c r="C7138" s="6" t="s">
        <v>492</v>
      </c>
      <c r="D7138" s="6" t="s">
        <v>184</v>
      </c>
      <c r="E7138" s="11">
        <v>3.3970646858215332</v>
      </c>
      <c r="F7138" s="11">
        <v>4.100527286529541</v>
      </c>
    </row>
    <row r="7139" spans="1:6" hidden="1" x14ac:dyDescent="0.3">
      <c r="A7139" s="6">
        <v>51</v>
      </c>
      <c r="B7139" s="6" t="s">
        <v>183</v>
      </c>
      <c r="C7139" s="6" t="s">
        <v>493</v>
      </c>
      <c r="D7139" s="6" t="s">
        <v>184</v>
      </c>
      <c r="E7139" s="11">
        <v>4.0955843925476074</v>
      </c>
      <c r="F7139" s="11">
        <v>4.100527286529541</v>
      </c>
    </row>
    <row r="7140" spans="1:6" hidden="1" x14ac:dyDescent="0.3">
      <c r="A7140" s="6">
        <v>51</v>
      </c>
      <c r="B7140" s="6" t="s">
        <v>183</v>
      </c>
      <c r="C7140" s="6" t="s">
        <v>494</v>
      </c>
      <c r="D7140" s="6" t="s">
        <v>184</v>
      </c>
      <c r="E7140" s="11">
        <v>3.6002082824707031</v>
      </c>
      <c r="F7140" s="11">
        <v>4.100527286529541</v>
      </c>
    </row>
    <row r="7141" spans="1:6" hidden="1" x14ac:dyDescent="0.3">
      <c r="A7141" s="6">
        <v>51</v>
      </c>
      <c r="B7141" s="6" t="s">
        <v>183</v>
      </c>
      <c r="C7141" s="6" t="s">
        <v>495</v>
      </c>
      <c r="D7141" s="6" t="s">
        <v>184</v>
      </c>
      <c r="E7141" s="11">
        <v>3.8128650188446045</v>
      </c>
      <c r="F7141" s="11">
        <v>4.100527286529541</v>
      </c>
    </row>
    <row r="7142" spans="1:6" hidden="1" x14ac:dyDescent="0.3">
      <c r="A7142" s="6">
        <v>52</v>
      </c>
      <c r="B7142" s="6" t="s">
        <v>185</v>
      </c>
      <c r="C7142" s="6" t="s">
        <v>356</v>
      </c>
      <c r="D7142" s="6" t="s">
        <v>186</v>
      </c>
      <c r="E7142" s="11">
        <v>3.7701160907745361</v>
      </c>
      <c r="F7142" s="11">
        <v>3.8044278621673584</v>
      </c>
    </row>
    <row r="7143" spans="1:6" hidden="1" x14ac:dyDescent="0.3">
      <c r="A7143" s="6">
        <v>52</v>
      </c>
      <c r="B7143" s="6" t="s">
        <v>185</v>
      </c>
      <c r="C7143" s="6" t="s">
        <v>357</v>
      </c>
      <c r="D7143" s="6" t="s">
        <v>186</v>
      </c>
      <c r="E7143" s="11">
        <v>2.6898274421691895</v>
      </c>
      <c r="F7143" s="11">
        <v>3.8044278621673584</v>
      </c>
    </row>
    <row r="7144" spans="1:6" hidden="1" x14ac:dyDescent="0.3">
      <c r="A7144" s="6">
        <v>52</v>
      </c>
      <c r="B7144" s="6" t="s">
        <v>185</v>
      </c>
      <c r="C7144" s="6" t="s">
        <v>358</v>
      </c>
      <c r="D7144" s="6" t="s">
        <v>186</v>
      </c>
      <c r="E7144" s="11">
        <v>4.0229887962341309</v>
      </c>
      <c r="F7144" s="11">
        <v>3.8044278621673584</v>
      </c>
    </row>
    <row r="7145" spans="1:6" hidden="1" x14ac:dyDescent="0.3">
      <c r="A7145" s="6">
        <v>52</v>
      </c>
      <c r="B7145" s="6" t="s">
        <v>185</v>
      </c>
      <c r="C7145" s="6" t="s">
        <v>359</v>
      </c>
      <c r="D7145" s="6" t="s">
        <v>186</v>
      </c>
      <c r="E7145" s="11">
        <v>4.0982460975646973</v>
      </c>
      <c r="F7145" s="11">
        <v>3.8044278621673584</v>
      </c>
    </row>
    <row r="7146" spans="1:6" hidden="1" x14ac:dyDescent="0.3">
      <c r="A7146" s="6">
        <v>52</v>
      </c>
      <c r="B7146" s="6" t="s">
        <v>185</v>
      </c>
      <c r="C7146" s="6" t="s">
        <v>360</v>
      </c>
      <c r="D7146" s="6" t="s">
        <v>186</v>
      </c>
      <c r="E7146" s="11">
        <v>3.2006158828735352</v>
      </c>
      <c r="F7146" s="11">
        <v>3.8044278621673584</v>
      </c>
    </row>
    <row r="7147" spans="1:6" hidden="1" x14ac:dyDescent="0.3">
      <c r="A7147" s="6">
        <v>52</v>
      </c>
      <c r="B7147" s="6" t="s">
        <v>185</v>
      </c>
      <c r="C7147" s="6" t="s">
        <v>361</v>
      </c>
      <c r="D7147" s="6" t="s">
        <v>186</v>
      </c>
      <c r="E7147" s="11">
        <v>6.2831721305847168</v>
      </c>
      <c r="F7147" s="11">
        <v>3.8044278621673584</v>
      </c>
    </row>
    <row r="7148" spans="1:6" hidden="1" x14ac:dyDescent="0.3">
      <c r="A7148" s="6">
        <v>52</v>
      </c>
      <c r="B7148" s="6" t="s">
        <v>185</v>
      </c>
      <c r="C7148" s="6" t="s">
        <v>362</v>
      </c>
      <c r="D7148" s="6" t="s">
        <v>186</v>
      </c>
      <c r="E7148" s="11">
        <v>3.4545426368713379</v>
      </c>
      <c r="F7148" s="11">
        <v>3.8044278621673584</v>
      </c>
    </row>
    <row r="7149" spans="1:6" hidden="1" x14ac:dyDescent="0.3">
      <c r="A7149" s="6">
        <v>52</v>
      </c>
      <c r="B7149" s="6" t="s">
        <v>185</v>
      </c>
      <c r="C7149" s="6" t="s">
        <v>363</v>
      </c>
      <c r="D7149" s="6" t="s">
        <v>186</v>
      </c>
      <c r="E7149" s="11">
        <v>6.1582865715026855</v>
      </c>
      <c r="F7149" s="11">
        <v>3.8044278621673584</v>
      </c>
    </row>
    <row r="7150" spans="1:6" hidden="1" x14ac:dyDescent="0.3">
      <c r="A7150" s="6">
        <v>52</v>
      </c>
      <c r="B7150" s="6" t="s">
        <v>185</v>
      </c>
      <c r="C7150" s="6" t="s">
        <v>364</v>
      </c>
      <c r="D7150" s="6" t="s">
        <v>186</v>
      </c>
      <c r="E7150" s="11">
        <v>3.071321964263916</v>
      </c>
      <c r="F7150" s="11">
        <v>3.8044278621673584</v>
      </c>
    </row>
    <row r="7151" spans="1:6" hidden="1" x14ac:dyDescent="0.3">
      <c r="A7151" s="6">
        <v>52</v>
      </c>
      <c r="B7151" s="6" t="s">
        <v>185</v>
      </c>
      <c r="C7151" s="6" t="s">
        <v>365</v>
      </c>
      <c r="D7151" s="6" t="s">
        <v>186</v>
      </c>
      <c r="E7151" s="11">
        <v>3.0840804576873779</v>
      </c>
      <c r="F7151" s="11">
        <v>3.8044278621673584</v>
      </c>
    </row>
    <row r="7152" spans="1:6" hidden="1" x14ac:dyDescent="0.3">
      <c r="A7152" s="6">
        <v>52</v>
      </c>
      <c r="B7152" s="6" t="s">
        <v>185</v>
      </c>
      <c r="C7152" s="6" t="s">
        <v>366</v>
      </c>
      <c r="D7152" s="6" t="s">
        <v>186</v>
      </c>
      <c r="E7152" s="11">
        <v>3.3727080821990967</v>
      </c>
      <c r="F7152" s="11">
        <v>3.8044278621673584</v>
      </c>
    </row>
    <row r="7153" spans="1:6" hidden="1" x14ac:dyDescent="0.3">
      <c r="A7153" s="6">
        <v>52</v>
      </c>
      <c r="B7153" s="6" t="s">
        <v>185</v>
      </c>
      <c r="C7153" s="6" t="s">
        <v>367</v>
      </c>
      <c r="D7153" s="6" t="s">
        <v>186</v>
      </c>
      <c r="E7153" s="11">
        <v>3.3418099880218506</v>
      </c>
      <c r="F7153" s="11">
        <v>3.8044278621673584</v>
      </c>
    </row>
    <row r="7154" spans="1:6" hidden="1" x14ac:dyDescent="0.3">
      <c r="A7154" s="6">
        <v>52</v>
      </c>
      <c r="B7154" s="6" t="s">
        <v>185</v>
      </c>
      <c r="C7154" s="6" t="s">
        <v>368</v>
      </c>
      <c r="D7154" s="6" t="s">
        <v>186</v>
      </c>
      <c r="E7154" s="11">
        <v>2.6652920246124268</v>
      </c>
      <c r="F7154" s="11">
        <v>3.8044278621673584</v>
      </c>
    </row>
    <row r="7155" spans="1:6" hidden="1" x14ac:dyDescent="0.3">
      <c r="A7155" s="6">
        <v>52</v>
      </c>
      <c r="B7155" s="6" t="s">
        <v>185</v>
      </c>
      <c r="C7155" s="6" t="s">
        <v>369</v>
      </c>
      <c r="D7155" s="6" t="s">
        <v>186</v>
      </c>
      <c r="E7155" s="11">
        <v>3.0544455051422119</v>
      </c>
      <c r="F7155" s="11">
        <v>3.8044278621673584</v>
      </c>
    </row>
    <row r="7156" spans="1:6" hidden="1" x14ac:dyDescent="0.3">
      <c r="A7156" s="6">
        <v>52</v>
      </c>
      <c r="B7156" s="6" t="s">
        <v>185</v>
      </c>
      <c r="C7156" s="6" t="s">
        <v>370</v>
      </c>
      <c r="D7156" s="6" t="s">
        <v>186</v>
      </c>
      <c r="E7156" s="11">
        <v>3.9969844818115234</v>
      </c>
      <c r="F7156" s="11">
        <v>3.8044278621673584</v>
      </c>
    </row>
    <row r="7157" spans="1:6" hidden="1" x14ac:dyDescent="0.3">
      <c r="A7157" s="6">
        <v>52</v>
      </c>
      <c r="B7157" s="6" t="s">
        <v>185</v>
      </c>
      <c r="C7157" s="6" t="s">
        <v>371</v>
      </c>
      <c r="D7157" s="6" t="s">
        <v>186</v>
      </c>
      <c r="E7157" s="11">
        <v>3.5298762321472168</v>
      </c>
      <c r="F7157" s="11">
        <v>3.8044278621673584</v>
      </c>
    </row>
    <row r="7158" spans="1:6" hidden="1" x14ac:dyDescent="0.3">
      <c r="A7158" s="6">
        <v>52</v>
      </c>
      <c r="B7158" s="6" t="s">
        <v>185</v>
      </c>
      <c r="C7158" s="6" t="s">
        <v>372</v>
      </c>
      <c r="D7158" s="6" t="s">
        <v>186</v>
      </c>
      <c r="E7158" s="11">
        <v>3.1164782047271729</v>
      </c>
      <c r="F7158" s="11">
        <v>3.8044278621673584</v>
      </c>
    </row>
    <row r="7159" spans="1:6" hidden="1" x14ac:dyDescent="0.3">
      <c r="A7159" s="6">
        <v>52</v>
      </c>
      <c r="B7159" s="6" t="s">
        <v>185</v>
      </c>
      <c r="C7159" s="6" t="s">
        <v>373</v>
      </c>
      <c r="D7159" s="6" t="s">
        <v>186</v>
      </c>
      <c r="E7159" s="11">
        <v>3.1418912410736084</v>
      </c>
      <c r="F7159" s="11">
        <v>3.8044278621673584</v>
      </c>
    </row>
    <row r="7160" spans="1:6" hidden="1" x14ac:dyDescent="0.3">
      <c r="A7160" s="6">
        <v>52</v>
      </c>
      <c r="B7160" s="6" t="s">
        <v>185</v>
      </c>
      <c r="C7160" s="6" t="s">
        <v>374</v>
      </c>
      <c r="D7160" s="6" t="s">
        <v>186</v>
      </c>
      <c r="E7160" s="11">
        <v>4.0190043449401855</v>
      </c>
      <c r="F7160" s="11">
        <v>3.8044278621673584</v>
      </c>
    </row>
    <row r="7161" spans="1:6" hidden="1" x14ac:dyDescent="0.3">
      <c r="A7161" s="6">
        <v>52</v>
      </c>
      <c r="B7161" s="6" t="s">
        <v>185</v>
      </c>
      <c r="C7161" s="6" t="s">
        <v>375</v>
      </c>
      <c r="D7161" s="6" t="s">
        <v>186</v>
      </c>
      <c r="E7161" s="11">
        <v>4.1467509269714355</v>
      </c>
      <c r="F7161" s="11">
        <v>3.8044278621673584</v>
      </c>
    </row>
    <row r="7162" spans="1:6" hidden="1" x14ac:dyDescent="0.3">
      <c r="A7162" s="6">
        <v>52</v>
      </c>
      <c r="B7162" s="6" t="s">
        <v>185</v>
      </c>
      <c r="C7162" s="6" t="s">
        <v>376</v>
      </c>
      <c r="D7162" s="6" t="s">
        <v>186</v>
      </c>
      <c r="E7162" s="11">
        <v>4.1433148384094238</v>
      </c>
      <c r="F7162" s="11">
        <v>3.8044278621673584</v>
      </c>
    </row>
    <row r="7163" spans="1:6" hidden="1" x14ac:dyDescent="0.3">
      <c r="A7163" s="6">
        <v>52</v>
      </c>
      <c r="B7163" s="6" t="s">
        <v>185</v>
      </c>
      <c r="C7163" s="6" t="s">
        <v>377</v>
      </c>
      <c r="D7163" s="6" t="s">
        <v>186</v>
      </c>
      <c r="E7163" s="11">
        <v>3.2649092674255371</v>
      </c>
      <c r="F7163" s="11">
        <v>3.8044278621673584</v>
      </c>
    </row>
    <row r="7164" spans="1:6" hidden="1" x14ac:dyDescent="0.3">
      <c r="A7164" s="6">
        <v>52</v>
      </c>
      <c r="B7164" s="6" t="s">
        <v>185</v>
      </c>
      <c r="C7164" s="6" t="s">
        <v>378</v>
      </c>
      <c r="D7164" s="6" t="s">
        <v>186</v>
      </c>
      <c r="E7164" s="11">
        <v>3.2905445098876953</v>
      </c>
      <c r="F7164" s="11">
        <v>3.8044278621673584</v>
      </c>
    </row>
    <row r="7165" spans="1:6" hidden="1" x14ac:dyDescent="0.3">
      <c r="A7165" s="6">
        <v>52</v>
      </c>
      <c r="B7165" s="6" t="s">
        <v>185</v>
      </c>
      <c r="C7165" s="6" t="s">
        <v>379</v>
      </c>
      <c r="D7165" s="6" t="s">
        <v>186</v>
      </c>
      <c r="E7165" s="11">
        <v>8.2687005996704102</v>
      </c>
      <c r="F7165" s="11">
        <v>3.8044278621673584</v>
      </c>
    </row>
    <row r="7166" spans="1:6" hidden="1" x14ac:dyDescent="0.3">
      <c r="A7166" s="6">
        <v>52</v>
      </c>
      <c r="B7166" s="6" t="s">
        <v>185</v>
      </c>
      <c r="C7166" s="6" t="s">
        <v>380</v>
      </c>
      <c r="D7166" s="6" t="s">
        <v>186</v>
      </c>
      <c r="E7166" s="11">
        <v>3.325681209564209</v>
      </c>
      <c r="F7166" s="11">
        <v>3.8044278621673584</v>
      </c>
    </row>
    <row r="7167" spans="1:6" hidden="1" x14ac:dyDescent="0.3">
      <c r="A7167" s="6">
        <v>52</v>
      </c>
      <c r="B7167" s="6" t="s">
        <v>185</v>
      </c>
      <c r="C7167" s="6" t="s">
        <v>381</v>
      </c>
      <c r="D7167" s="6" t="s">
        <v>186</v>
      </c>
      <c r="E7167" s="11">
        <v>4.3284978866577148</v>
      </c>
      <c r="F7167" s="11">
        <v>3.8044278621673584</v>
      </c>
    </row>
    <row r="7168" spans="1:6" hidden="1" x14ac:dyDescent="0.3">
      <c r="A7168" s="6">
        <v>52</v>
      </c>
      <c r="B7168" s="6" t="s">
        <v>185</v>
      </c>
      <c r="C7168" s="6" t="s">
        <v>382</v>
      </c>
      <c r="D7168" s="6" t="s">
        <v>186</v>
      </c>
      <c r="E7168" s="11">
        <v>4.8833332061767578</v>
      </c>
      <c r="F7168" s="11">
        <v>3.8044278621673584</v>
      </c>
    </row>
    <row r="7169" spans="1:6" hidden="1" x14ac:dyDescent="0.3">
      <c r="A7169" s="6">
        <v>52</v>
      </c>
      <c r="B7169" s="6" t="s">
        <v>185</v>
      </c>
      <c r="C7169" s="6" t="s">
        <v>383</v>
      </c>
      <c r="D7169" s="6" t="s">
        <v>186</v>
      </c>
      <c r="E7169" s="11">
        <v>4.1908612251281738</v>
      </c>
      <c r="F7169" s="11">
        <v>3.8044278621673584</v>
      </c>
    </row>
    <row r="7170" spans="1:6" hidden="1" x14ac:dyDescent="0.3">
      <c r="A7170" s="6">
        <v>52</v>
      </c>
      <c r="B7170" s="6" t="s">
        <v>185</v>
      </c>
      <c r="C7170" s="6" t="s">
        <v>384</v>
      </c>
      <c r="D7170" s="6" t="s">
        <v>186</v>
      </c>
      <c r="E7170" s="11">
        <v>4.9031028747558594</v>
      </c>
      <c r="F7170" s="11">
        <v>3.8044278621673584</v>
      </c>
    </row>
    <row r="7171" spans="1:6" hidden="1" x14ac:dyDescent="0.3">
      <c r="A7171" s="6">
        <v>52</v>
      </c>
      <c r="B7171" s="6" t="s">
        <v>185</v>
      </c>
      <c r="C7171" s="6" t="s">
        <v>385</v>
      </c>
      <c r="D7171" s="6" t="s">
        <v>186</v>
      </c>
      <c r="E7171" s="11">
        <v>3.8145689964294434</v>
      </c>
      <c r="F7171" s="11">
        <v>3.8044278621673584</v>
      </c>
    </row>
    <row r="7172" spans="1:6" hidden="1" x14ac:dyDescent="0.3">
      <c r="A7172" s="6">
        <v>52</v>
      </c>
      <c r="B7172" s="6" t="s">
        <v>185</v>
      </c>
      <c r="C7172" s="6" t="s">
        <v>386</v>
      </c>
      <c r="D7172" s="6" t="s">
        <v>186</v>
      </c>
      <c r="E7172" s="11">
        <v>3.4595415592193604</v>
      </c>
      <c r="F7172" s="11">
        <v>3.8044278621673584</v>
      </c>
    </row>
    <row r="7173" spans="1:6" hidden="1" x14ac:dyDescent="0.3">
      <c r="A7173" s="6">
        <v>52</v>
      </c>
      <c r="B7173" s="6" t="s">
        <v>185</v>
      </c>
      <c r="C7173" s="6" t="s">
        <v>387</v>
      </c>
      <c r="D7173" s="6" t="s">
        <v>186</v>
      </c>
      <c r="E7173" s="11">
        <v>4.8479132652282715</v>
      </c>
      <c r="F7173" s="11">
        <v>3.8044278621673584</v>
      </c>
    </row>
    <row r="7174" spans="1:6" hidden="1" x14ac:dyDescent="0.3">
      <c r="A7174" s="6">
        <v>52</v>
      </c>
      <c r="B7174" s="6" t="s">
        <v>185</v>
      </c>
      <c r="C7174" s="6" t="s">
        <v>388</v>
      </c>
      <c r="D7174" s="6" t="s">
        <v>186</v>
      </c>
      <c r="E7174" s="11">
        <v>3.0039041042327881</v>
      </c>
      <c r="F7174" s="11">
        <v>3.8044278621673584</v>
      </c>
    </row>
    <row r="7175" spans="1:6" hidden="1" x14ac:dyDescent="0.3">
      <c r="A7175" s="6">
        <v>52</v>
      </c>
      <c r="B7175" s="6" t="s">
        <v>185</v>
      </c>
      <c r="C7175" s="6" t="s">
        <v>389</v>
      </c>
      <c r="D7175" s="6" t="s">
        <v>186</v>
      </c>
      <c r="E7175" s="11">
        <v>3.6416721343994141</v>
      </c>
      <c r="F7175" s="11">
        <v>3.8044278621673584</v>
      </c>
    </row>
    <row r="7176" spans="1:6" hidden="1" x14ac:dyDescent="0.3">
      <c r="A7176" s="6">
        <v>52</v>
      </c>
      <c r="B7176" s="6" t="s">
        <v>185</v>
      </c>
      <c r="C7176" s="6" t="s">
        <v>390</v>
      </c>
      <c r="D7176" s="6" t="s">
        <v>186</v>
      </c>
      <c r="E7176" s="11">
        <v>3.7690281867980957</v>
      </c>
      <c r="F7176" s="11">
        <v>3.8044278621673584</v>
      </c>
    </row>
    <row r="7177" spans="1:6" hidden="1" x14ac:dyDescent="0.3">
      <c r="A7177" s="6">
        <v>52</v>
      </c>
      <c r="B7177" s="6" t="s">
        <v>185</v>
      </c>
      <c r="C7177" s="6" t="s">
        <v>391</v>
      </c>
      <c r="D7177" s="6" t="s">
        <v>186</v>
      </c>
      <c r="E7177" s="11">
        <v>2.956737756729126</v>
      </c>
      <c r="F7177" s="11">
        <v>3.8044278621673584</v>
      </c>
    </row>
    <row r="7178" spans="1:6" hidden="1" x14ac:dyDescent="0.3">
      <c r="A7178" s="6">
        <v>52</v>
      </c>
      <c r="B7178" s="6" t="s">
        <v>185</v>
      </c>
      <c r="C7178" s="6" t="s">
        <v>392</v>
      </c>
      <c r="D7178" s="6" t="s">
        <v>186</v>
      </c>
      <c r="E7178" s="11">
        <v>3.6446115970611572</v>
      </c>
      <c r="F7178" s="11">
        <v>3.8044278621673584</v>
      </c>
    </row>
    <row r="7179" spans="1:6" hidden="1" x14ac:dyDescent="0.3">
      <c r="A7179" s="6">
        <v>52</v>
      </c>
      <c r="B7179" s="6" t="s">
        <v>185</v>
      </c>
      <c r="C7179" s="6" t="s">
        <v>393</v>
      </c>
      <c r="D7179" s="6" t="s">
        <v>186</v>
      </c>
      <c r="E7179" s="11">
        <v>5.0028562545776367</v>
      </c>
      <c r="F7179" s="11">
        <v>3.8044278621673584</v>
      </c>
    </row>
    <row r="7180" spans="1:6" hidden="1" x14ac:dyDescent="0.3">
      <c r="A7180" s="6">
        <v>52</v>
      </c>
      <c r="B7180" s="6" t="s">
        <v>185</v>
      </c>
      <c r="C7180" s="6" t="s">
        <v>394</v>
      </c>
      <c r="D7180" s="6" t="s">
        <v>186</v>
      </c>
      <c r="E7180" s="11">
        <v>6.1476221084594727</v>
      </c>
      <c r="F7180" s="11">
        <v>3.8044278621673584</v>
      </c>
    </row>
    <row r="7181" spans="1:6" hidden="1" x14ac:dyDescent="0.3">
      <c r="A7181" s="6">
        <v>52</v>
      </c>
      <c r="B7181" s="6" t="s">
        <v>185</v>
      </c>
      <c r="C7181" s="6" t="s">
        <v>395</v>
      </c>
      <c r="D7181" s="6" t="s">
        <v>186</v>
      </c>
      <c r="E7181" s="11">
        <v>3.9032828807830811</v>
      </c>
      <c r="F7181" s="11">
        <v>3.8044278621673584</v>
      </c>
    </row>
    <row r="7182" spans="1:6" hidden="1" x14ac:dyDescent="0.3">
      <c r="A7182" s="6">
        <v>52</v>
      </c>
      <c r="B7182" s="6" t="s">
        <v>185</v>
      </c>
      <c r="C7182" s="6" t="s">
        <v>396</v>
      </c>
      <c r="D7182" s="6" t="s">
        <v>186</v>
      </c>
      <c r="E7182" s="11">
        <v>2.9341721534729004</v>
      </c>
      <c r="F7182" s="11">
        <v>3.8044278621673584</v>
      </c>
    </row>
    <row r="7183" spans="1:6" hidden="1" x14ac:dyDescent="0.3">
      <c r="A7183" s="6">
        <v>52</v>
      </c>
      <c r="B7183" s="6" t="s">
        <v>185</v>
      </c>
      <c r="C7183" s="6" t="s">
        <v>397</v>
      </c>
      <c r="D7183" s="6" t="s">
        <v>186</v>
      </c>
      <c r="E7183" s="11">
        <v>2.853416919708252</v>
      </c>
      <c r="F7183" s="11">
        <v>3.8044278621673584</v>
      </c>
    </row>
    <row r="7184" spans="1:6" hidden="1" x14ac:dyDescent="0.3">
      <c r="A7184" s="6">
        <v>52</v>
      </c>
      <c r="B7184" s="6" t="s">
        <v>185</v>
      </c>
      <c r="C7184" s="6" t="s">
        <v>398</v>
      </c>
      <c r="D7184" s="6" t="s">
        <v>186</v>
      </c>
      <c r="E7184" s="11">
        <v>4.7084918022155762</v>
      </c>
      <c r="F7184" s="11">
        <v>3.8044278621673584</v>
      </c>
    </row>
    <row r="7185" spans="1:6" hidden="1" x14ac:dyDescent="0.3">
      <c r="A7185" s="6">
        <v>52</v>
      </c>
      <c r="B7185" s="6" t="s">
        <v>185</v>
      </c>
      <c r="C7185" s="6" t="s">
        <v>399</v>
      </c>
      <c r="D7185" s="6" t="s">
        <v>186</v>
      </c>
      <c r="E7185" s="11">
        <v>3.2246725559234619</v>
      </c>
      <c r="F7185" s="11">
        <v>3.8044278621673584</v>
      </c>
    </row>
    <row r="7186" spans="1:6" hidden="1" x14ac:dyDescent="0.3">
      <c r="A7186" s="6">
        <v>52</v>
      </c>
      <c r="B7186" s="6" t="s">
        <v>185</v>
      </c>
      <c r="C7186" s="6" t="s">
        <v>400</v>
      </c>
      <c r="D7186" s="6" t="s">
        <v>186</v>
      </c>
      <c r="E7186" s="11">
        <v>3.517596960067749</v>
      </c>
      <c r="F7186" s="11">
        <v>3.8044278621673584</v>
      </c>
    </row>
    <row r="7187" spans="1:6" hidden="1" x14ac:dyDescent="0.3">
      <c r="A7187" s="6">
        <v>52</v>
      </c>
      <c r="B7187" s="6" t="s">
        <v>185</v>
      </c>
      <c r="C7187" s="6" t="s">
        <v>401</v>
      </c>
      <c r="D7187" s="6" t="s">
        <v>186</v>
      </c>
      <c r="E7187" s="11">
        <v>6.916111946105957</v>
      </c>
      <c r="F7187" s="11">
        <v>3.8044278621673584</v>
      </c>
    </row>
    <row r="7188" spans="1:6" hidden="1" x14ac:dyDescent="0.3">
      <c r="A7188" s="6">
        <v>52</v>
      </c>
      <c r="B7188" s="6" t="s">
        <v>185</v>
      </c>
      <c r="C7188" s="6" t="s">
        <v>402</v>
      </c>
      <c r="D7188" s="6" t="s">
        <v>186</v>
      </c>
      <c r="E7188" s="11">
        <v>3.0369722843170166</v>
      </c>
      <c r="F7188" s="11">
        <v>3.8044278621673584</v>
      </c>
    </row>
    <row r="7189" spans="1:6" hidden="1" x14ac:dyDescent="0.3">
      <c r="A7189" s="6">
        <v>52</v>
      </c>
      <c r="B7189" s="6" t="s">
        <v>185</v>
      </c>
      <c r="C7189" s="6" t="s">
        <v>403</v>
      </c>
      <c r="D7189" s="6" t="s">
        <v>186</v>
      </c>
      <c r="E7189" s="11">
        <v>5.6722569465637207</v>
      </c>
      <c r="F7189" s="11">
        <v>3.8044278621673584</v>
      </c>
    </row>
    <row r="7190" spans="1:6" hidden="1" x14ac:dyDescent="0.3">
      <c r="A7190" s="6">
        <v>52</v>
      </c>
      <c r="B7190" s="6" t="s">
        <v>185</v>
      </c>
      <c r="C7190" s="6" t="s">
        <v>404</v>
      </c>
      <c r="D7190" s="6" t="s">
        <v>186</v>
      </c>
      <c r="E7190" s="11">
        <v>3.0545530319213867</v>
      </c>
      <c r="F7190" s="11">
        <v>3.8044278621673584</v>
      </c>
    </row>
    <row r="7191" spans="1:6" hidden="1" x14ac:dyDescent="0.3">
      <c r="A7191" s="6">
        <v>52</v>
      </c>
      <c r="B7191" s="6" t="s">
        <v>185</v>
      </c>
      <c r="C7191" s="6" t="s">
        <v>405</v>
      </c>
      <c r="D7191" s="6" t="s">
        <v>186</v>
      </c>
      <c r="E7191" s="11">
        <v>2.9923567771911621</v>
      </c>
      <c r="F7191" s="11">
        <v>3.8044278621673584</v>
      </c>
    </row>
    <row r="7192" spans="1:6" hidden="1" x14ac:dyDescent="0.3">
      <c r="A7192" s="6">
        <v>52</v>
      </c>
      <c r="B7192" s="6" t="s">
        <v>185</v>
      </c>
      <c r="C7192" s="6" t="s">
        <v>406</v>
      </c>
      <c r="D7192" s="6" t="s">
        <v>186</v>
      </c>
      <c r="E7192" s="11">
        <v>3.896528959274292</v>
      </c>
      <c r="F7192" s="11">
        <v>3.8044278621673584</v>
      </c>
    </row>
    <row r="7193" spans="1:6" hidden="1" x14ac:dyDescent="0.3">
      <c r="A7193" s="6">
        <v>52</v>
      </c>
      <c r="B7193" s="6" t="s">
        <v>185</v>
      </c>
      <c r="C7193" s="6" t="s">
        <v>407</v>
      </c>
      <c r="D7193" s="6" t="s">
        <v>186</v>
      </c>
      <c r="E7193" s="11">
        <v>3.1915998458862305</v>
      </c>
      <c r="F7193" s="11">
        <v>3.8044278621673584</v>
      </c>
    </row>
    <row r="7194" spans="1:6" hidden="1" x14ac:dyDescent="0.3">
      <c r="A7194" s="6">
        <v>52</v>
      </c>
      <c r="B7194" s="6" t="s">
        <v>185</v>
      </c>
      <c r="C7194" s="6" t="s">
        <v>408</v>
      </c>
      <c r="D7194" s="6" t="s">
        <v>186</v>
      </c>
      <c r="E7194" s="11">
        <v>5.5231103897094727</v>
      </c>
      <c r="F7194" s="11">
        <v>3.8044278621673584</v>
      </c>
    </row>
    <row r="7195" spans="1:6" hidden="1" x14ac:dyDescent="0.3">
      <c r="A7195" s="6">
        <v>52</v>
      </c>
      <c r="B7195" s="6" t="s">
        <v>185</v>
      </c>
      <c r="C7195" s="6" t="s">
        <v>409</v>
      </c>
      <c r="D7195" s="6" t="s">
        <v>186</v>
      </c>
      <c r="E7195" s="11">
        <v>3.9809551239013672</v>
      </c>
      <c r="F7195" s="11">
        <v>3.8044278621673584</v>
      </c>
    </row>
    <row r="7196" spans="1:6" hidden="1" x14ac:dyDescent="0.3">
      <c r="A7196" s="6">
        <v>52</v>
      </c>
      <c r="B7196" s="6" t="s">
        <v>185</v>
      </c>
      <c r="C7196" s="6" t="s">
        <v>410</v>
      </c>
      <c r="D7196" s="6" t="s">
        <v>186</v>
      </c>
      <c r="E7196" s="11">
        <v>3.5550339221954346</v>
      </c>
      <c r="F7196" s="11">
        <v>3.8044278621673584</v>
      </c>
    </row>
    <row r="7197" spans="1:6" hidden="1" x14ac:dyDescent="0.3">
      <c r="A7197" s="6">
        <v>52</v>
      </c>
      <c r="B7197" s="6" t="s">
        <v>185</v>
      </c>
      <c r="C7197" s="6" t="s">
        <v>411</v>
      </c>
      <c r="D7197" s="6" t="s">
        <v>186</v>
      </c>
      <c r="E7197" s="11">
        <v>4.5655760765075684</v>
      </c>
      <c r="F7197" s="11">
        <v>3.8044278621673584</v>
      </c>
    </row>
    <row r="7198" spans="1:6" hidden="1" x14ac:dyDescent="0.3">
      <c r="A7198" s="6">
        <v>52</v>
      </c>
      <c r="B7198" s="6" t="s">
        <v>185</v>
      </c>
      <c r="C7198" s="6" t="s">
        <v>412</v>
      </c>
      <c r="D7198" s="6" t="s">
        <v>186</v>
      </c>
      <c r="E7198" s="11">
        <v>3.7445101737976074</v>
      </c>
      <c r="F7198" s="11">
        <v>3.8044278621673584</v>
      </c>
    </row>
    <row r="7199" spans="1:6" hidden="1" x14ac:dyDescent="0.3">
      <c r="A7199" s="6">
        <v>52</v>
      </c>
      <c r="B7199" s="6" t="s">
        <v>185</v>
      </c>
      <c r="C7199" s="6" t="s">
        <v>413</v>
      </c>
      <c r="D7199" s="6" t="s">
        <v>186</v>
      </c>
      <c r="E7199" s="11">
        <v>3.3343944549560547</v>
      </c>
      <c r="F7199" s="11">
        <v>3.8044278621673584</v>
      </c>
    </row>
    <row r="7200" spans="1:6" hidden="1" x14ac:dyDescent="0.3">
      <c r="A7200" s="6">
        <v>52</v>
      </c>
      <c r="B7200" s="6" t="s">
        <v>185</v>
      </c>
      <c r="C7200" s="6" t="s">
        <v>414</v>
      </c>
      <c r="D7200" s="6" t="s">
        <v>186</v>
      </c>
      <c r="E7200" s="11">
        <v>3.3842649459838867</v>
      </c>
      <c r="F7200" s="11">
        <v>3.8044278621673584</v>
      </c>
    </row>
    <row r="7201" spans="1:6" hidden="1" x14ac:dyDescent="0.3">
      <c r="A7201" s="6">
        <v>52</v>
      </c>
      <c r="B7201" s="6" t="s">
        <v>185</v>
      </c>
      <c r="C7201" s="6" t="s">
        <v>415</v>
      </c>
      <c r="D7201" s="6" t="s">
        <v>186</v>
      </c>
      <c r="E7201" s="11">
        <v>4.4738221168518066</v>
      </c>
      <c r="F7201" s="11">
        <v>3.8044278621673584</v>
      </c>
    </row>
    <row r="7202" spans="1:6" hidden="1" x14ac:dyDescent="0.3">
      <c r="A7202" s="6">
        <v>52</v>
      </c>
      <c r="B7202" s="6" t="s">
        <v>185</v>
      </c>
      <c r="C7202" s="6" t="s">
        <v>416</v>
      </c>
      <c r="D7202" s="6" t="s">
        <v>186</v>
      </c>
      <c r="E7202" s="11">
        <v>3.7281579971313477</v>
      </c>
      <c r="F7202" s="11">
        <v>3.8044278621673584</v>
      </c>
    </row>
    <row r="7203" spans="1:6" hidden="1" x14ac:dyDescent="0.3">
      <c r="A7203" s="6">
        <v>52</v>
      </c>
      <c r="B7203" s="6" t="s">
        <v>185</v>
      </c>
      <c r="C7203" s="6" t="s">
        <v>417</v>
      </c>
      <c r="D7203" s="6" t="s">
        <v>186</v>
      </c>
      <c r="E7203" s="11">
        <v>3.8500635623931885</v>
      </c>
      <c r="F7203" s="11">
        <v>3.8044278621673584</v>
      </c>
    </row>
    <row r="7204" spans="1:6" hidden="1" x14ac:dyDescent="0.3">
      <c r="A7204" s="6">
        <v>52</v>
      </c>
      <c r="B7204" s="6" t="s">
        <v>185</v>
      </c>
      <c r="C7204" s="6" t="s">
        <v>418</v>
      </c>
      <c r="D7204" s="6" t="s">
        <v>186</v>
      </c>
      <c r="E7204" s="11">
        <v>2.6694133281707764</v>
      </c>
      <c r="F7204" s="11">
        <v>3.8044278621673584</v>
      </c>
    </row>
    <row r="7205" spans="1:6" hidden="1" x14ac:dyDescent="0.3">
      <c r="A7205" s="6">
        <v>52</v>
      </c>
      <c r="B7205" s="6" t="s">
        <v>185</v>
      </c>
      <c r="C7205" s="6" t="s">
        <v>419</v>
      </c>
      <c r="D7205" s="6" t="s">
        <v>186</v>
      </c>
      <c r="E7205" s="11">
        <v>2.849055290222168</v>
      </c>
      <c r="F7205" s="11">
        <v>3.8044278621673584</v>
      </c>
    </row>
    <row r="7206" spans="1:6" hidden="1" x14ac:dyDescent="0.3">
      <c r="A7206" s="6">
        <v>52</v>
      </c>
      <c r="B7206" s="6" t="s">
        <v>185</v>
      </c>
      <c r="C7206" s="6" t="s">
        <v>420</v>
      </c>
      <c r="D7206" s="6" t="s">
        <v>186</v>
      </c>
      <c r="E7206" s="11">
        <v>3.1055643558502197</v>
      </c>
      <c r="F7206" s="11">
        <v>3.8044278621673584</v>
      </c>
    </row>
    <row r="7207" spans="1:6" hidden="1" x14ac:dyDescent="0.3">
      <c r="A7207" s="6">
        <v>52</v>
      </c>
      <c r="B7207" s="6" t="s">
        <v>185</v>
      </c>
      <c r="C7207" s="6" t="s">
        <v>421</v>
      </c>
      <c r="D7207" s="6" t="s">
        <v>186</v>
      </c>
      <c r="E7207" s="11">
        <v>4.7392888069152832</v>
      </c>
      <c r="F7207" s="11">
        <v>3.8044278621673584</v>
      </c>
    </row>
    <row r="7208" spans="1:6" hidden="1" x14ac:dyDescent="0.3">
      <c r="A7208" s="6">
        <v>52</v>
      </c>
      <c r="B7208" s="6" t="s">
        <v>185</v>
      </c>
      <c r="C7208" s="6" t="s">
        <v>422</v>
      </c>
      <c r="D7208" s="6" t="s">
        <v>186</v>
      </c>
      <c r="E7208" s="11">
        <v>22.461505889892578</v>
      </c>
      <c r="F7208" s="11">
        <v>3.8044278621673584</v>
      </c>
    </row>
    <row r="7209" spans="1:6" hidden="1" x14ac:dyDescent="0.3">
      <c r="A7209" s="6">
        <v>52</v>
      </c>
      <c r="B7209" s="6" t="s">
        <v>185</v>
      </c>
      <c r="C7209" s="6" t="s">
        <v>423</v>
      </c>
      <c r="D7209" s="6" t="s">
        <v>186</v>
      </c>
      <c r="E7209" s="11">
        <v>4.9836177825927734</v>
      </c>
      <c r="F7209" s="11">
        <v>3.8044278621673584</v>
      </c>
    </row>
    <row r="7210" spans="1:6" hidden="1" x14ac:dyDescent="0.3">
      <c r="A7210" s="6">
        <v>52</v>
      </c>
      <c r="B7210" s="6" t="s">
        <v>185</v>
      </c>
      <c r="C7210" s="6" t="s">
        <v>424</v>
      </c>
      <c r="D7210" s="6" t="s">
        <v>186</v>
      </c>
      <c r="E7210" s="11">
        <v>4.0236091613769531</v>
      </c>
      <c r="F7210" s="11">
        <v>3.8044278621673584</v>
      </c>
    </row>
    <row r="7211" spans="1:6" hidden="1" x14ac:dyDescent="0.3">
      <c r="A7211" s="6">
        <v>52</v>
      </c>
      <c r="B7211" s="6" t="s">
        <v>185</v>
      </c>
      <c r="C7211" s="6" t="s">
        <v>425</v>
      </c>
      <c r="D7211" s="6" t="s">
        <v>186</v>
      </c>
      <c r="E7211" s="11">
        <v>3.8972938060760498</v>
      </c>
      <c r="F7211" s="11">
        <v>3.8044278621673584</v>
      </c>
    </row>
    <row r="7212" spans="1:6" hidden="1" x14ac:dyDescent="0.3">
      <c r="A7212" s="6">
        <v>52</v>
      </c>
      <c r="B7212" s="6" t="s">
        <v>185</v>
      </c>
      <c r="C7212" s="6" t="s">
        <v>426</v>
      </c>
      <c r="D7212" s="6" t="s">
        <v>186</v>
      </c>
      <c r="E7212" s="11">
        <v>3.2569730281829834</v>
      </c>
      <c r="F7212" s="11">
        <v>3.8044278621673584</v>
      </c>
    </row>
    <row r="7213" spans="1:6" hidden="1" x14ac:dyDescent="0.3">
      <c r="A7213" s="6">
        <v>52</v>
      </c>
      <c r="B7213" s="6" t="s">
        <v>185</v>
      </c>
      <c r="C7213" s="6" t="s">
        <v>427</v>
      </c>
      <c r="D7213" s="6" t="s">
        <v>186</v>
      </c>
      <c r="E7213" s="11">
        <v>4.5014214515686035</v>
      </c>
      <c r="F7213" s="11">
        <v>3.8044278621673584</v>
      </c>
    </row>
    <row r="7214" spans="1:6" hidden="1" x14ac:dyDescent="0.3">
      <c r="A7214" s="6">
        <v>52</v>
      </c>
      <c r="B7214" s="6" t="s">
        <v>185</v>
      </c>
      <c r="C7214" s="6" t="s">
        <v>428</v>
      </c>
      <c r="D7214" s="6" t="s">
        <v>186</v>
      </c>
      <c r="E7214" s="11">
        <v>3.7738862037658691</v>
      </c>
      <c r="F7214" s="11">
        <v>3.8044278621673584</v>
      </c>
    </row>
    <row r="7215" spans="1:6" hidden="1" x14ac:dyDescent="0.3">
      <c r="A7215" s="6">
        <v>52</v>
      </c>
      <c r="B7215" s="6" t="s">
        <v>185</v>
      </c>
      <c r="C7215" s="6" t="s">
        <v>429</v>
      </c>
      <c r="D7215" s="6" t="s">
        <v>186</v>
      </c>
      <c r="E7215" s="11">
        <v>5.5512599945068359</v>
      </c>
      <c r="F7215" s="11">
        <v>3.8044278621673584</v>
      </c>
    </row>
    <row r="7216" spans="1:6" hidden="1" x14ac:dyDescent="0.3">
      <c r="A7216" s="6">
        <v>52</v>
      </c>
      <c r="B7216" s="6" t="s">
        <v>185</v>
      </c>
      <c r="C7216" s="6" t="s">
        <v>430</v>
      </c>
      <c r="D7216" s="6" t="s">
        <v>186</v>
      </c>
      <c r="E7216" s="11">
        <v>3.5965492725372314</v>
      </c>
      <c r="F7216" s="11">
        <v>3.8044278621673584</v>
      </c>
    </row>
    <row r="7217" spans="1:6" hidden="1" x14ac:dyDescent="0.3">
      <c r="A7217" s="6">
        <v>52</v>
      </c>
      <c r="B7217" s="6" t="s">
        <v>185</v>
      </c>
      <c r="C7217" s="6" t="s">
        <v>431</v>
      </c>
      <c r="D7217" s="6" t="s">
        <v>186</v>
      </c>
      <c r="E7217" s="11">
        <v>4.0570693016052246</v>
      </c>
      <c r="F7217" s="11">
        <v>3.8044278621673584</v>
      </c>
    </row>
    <row r="7218" spans="1:6" hidden="1" x14ac:dyDescent="0.3">
      <c r="A7218" s="6">
        <v>52</v>
      </c>
      <c r="B7218" s="6" t="s">
        <v>185</v>
      </c>
      <c r="C7218" s="6" t="s">
        <v>432</v>
      </c>
      <c r="D7218" s="6" t="s">
        <v>186</v>
      </c>
      <c r="E7218" s="11">
        <v>4.1674118041992188</v>
      </c>
      <c r="F7218" s="11">
        <v>3.8044278621673584</v>
      </c>
    </row>
    <row r="7219" spans="1:6" hidden="1" x14ac:dyDescent="0.3">
      <c r="A7219" s="6">
        <v>52</v>
      </c>
      <c r="B7219" s="6" t="s">
        <v>185</v>
      </c>
      <c r="C7219" s="6" t="s">
        <v>433</v>
      </c>
      <c r="D7219" s="6" t="s">
        <v>186</v>
      </c>
      <c r="E7219" s="11">
        <v>4.6532459259033203</v>
      </c>
      <c r="F7219" s="11">
        <v>3.8044278621673584</v>
      </c>
    </row>
    <row r="7220" spans="1:6" hidden="1" x14ac:dyDescent="0.3">
      <c r="A7220" s="6">
        <v>52</v>
      </c>
      <c r="B7220" s="6" t="s">
        <v>185</v>
      </c>
      <c r="C7220" s="6" t="s">
        <v>434</v>
      </c>
      <c r="D7220" s="6" t="s">
        <v>186</v>
      </c>
      <c r="E7220" s="11">
        <v>3.1268489360809326</v>
      </c>
      <c r="F7220" s="11">
        <v>3.8044278621673584</v>
      </c>
    </row>
    <row r="7221" spans="1:6" hidden="1" x14ac:dyDescent="0.3">
      <c r="A7221" s="6">
        <v>52</v>
      </c>
      <c r="B7221" s="6" t="s">
        <v>185</v>
      </c>
      <c r="C7221" s="6" t="s">
        <v>435</v>
      </c>
      <c r="D7221" s="6" t="s">
        <v>186</v>
      </c>
      <c r="E7221" s="11">
        <v>3.8747925758361816</v>
      </c>
      <c r="F7221" s="11">
        <v>3.8044278621673584</v>
      </c>
    </row>
    <row r="7222" spans="1:6" hidden="1" x14ac:dyDescent="0.3">
      <c r="A7222" s="6">
        <v>52</v>
      </c>
      <c r="B7222" s="6" t="s">
        <v>185</v>
      </c>
      <c r="C7222" s="6" t="s">
        <v>436</v>
      </c>
      <c r="D7222" s="6" t="s">
        <v>186</v>
      </c>
      <c r="E7222" s="11">
        <v>5.3403964042663574</v>
      </c>
      <c r="F7222" s="11">
        <v>3.8044278621673584</v>
      </c>
    </row>
    <row r="7223" spans="1:6" hidden="1" x14ac:dyDescent="0.3">
      <c r="A7223" s="6">
        <v>52</v>
      </c>
      <c r="B7223" s="6" t="s">
        <v>185</v>
      </c>
      <c r="C7223" s="6" t="s">
        <v>437</v>
      </c>
      <c r="D7223" s="6" t="s">
        <v>186</v>
      </c>
      <c r="E7223" s="11">
        <v>3.1966454982757568</v>
      </c>
      <c r="F7223" s="11">
        <v>3.8044278621673584</v>
      </c>
    </row>
    <row r="7224" spans="1:6" hidden="1" x14ac:dyDescent="0.3">
      <c r="A7224" s="6">
        <v>52</v>
      </c>
      <c r="B7224" s="6" t="s">
        <v>185</v>
      </c>
      <c r="C7224" s="6" t="s">
        <v>438</v>
      </c>
      <c r="D7224" s="6" t="s">
        <v>186</v>
      </c>
      <c r="E7224" s="11">
        <v>11.750999450683594</v>
      </c>
      <c r="F7224" s="11">
        <v>3.8044278621673584</v>
      </c>
    </row>
    <row r="7225" spans="1:6" hidden="1" x14ac:dyDescent="0.3">
      <c r="A7225" s="6">
        <v>52</v>
      </c>
      <c r="B7225" s="6" t="s">
        <v>185</v>
      </c>
      <c r="C7225" s="6" t="s">
        <v>439</v>
      </c>
      <c r="D7225" s="6" t="s">
        <v>186</v>
      </c>
      <c r="E7225" s="11">
        <v>3.4767396450042725</v>
      </c>
      <c r="F7225" s="11">
        <v>3.8044278621673584</v>
      </c>
    </row>
    <row r="7226" spans="1:6" hidden="1" x14ac:dyDescent="0.3">
      <c r="A7226" s="6">
        <v>52</v>
      </c>
      <c r="B7226" s="6" t="s">
        <v>185</v>
      </c>
      <c r="C7226" s="6" t="s">
        <v>440</v>
      </c>
      <c r="D7226" s="6" t="s">
        <v>186</v>
      </c>
      <c r="E7226" s="11">
        <v>2.663243293762207</v>
      </c>
      <c r="F7226" s="11">
        <v>3.8044278621673584</v>
      </c>
    </row>
    <row r="7227" spans="1:6" hidden="1" x14ac:dyDescent="0.3">
      <c r="A7227" s="6">
        <v>52</v>
      </c>
      <c r="B7227" s="6" t="s">
        <v>185</v>
      </c>
      <c r="C7227" s="6" t="s">
        <v>441</v>
      </c>
      <c r="D7227" s="6" t="s">
        <v>186</v>
      </c>
      <c r="E7227" s="11">
        <v>2.5992445945739746</v>
      </c>
      <c r="F7227" s="11">
        <v>3.8044278621673584</v>
      </c>
    </row>
    <row r="7228" spans="1:6" hidden="1" x14ac:dyDescent="0.3">
      <c r="A7228" s="6">
        <v>52</v>
      </c>
      <c r="B7228" s="6" t="s">
        <v>185</v>
      </c>
      <c r="C7228" s="6" t="s">
        <v>442</v>
      </c>
      <c r="D7228" s="6" t="s">
        <v>186</v>
      </c>
      <c r="E7228" s="11">
        <v>4.3271641731262207</v>
      </c>
      <c r="F7228" s="11">
        <v>3.8044278621673584</v>
      </c>
    </row>
    <row r="7229" spans="1:6" hidden="1" x14ac:dyDescent="0.3">
      <c r="A7229" s="6">
        <v>52</v>
      </c>
      <c r="B7229" s="6" t="s">
        <v>185</v>
      </c>
      <c r="C7229" s="6" t="s">
        <v>443</v>
      </c>
      <c r="D7229" s="6" t="s">
        <v>186</v>
      </c>
      <c r="E7229" s="11">
        <v>3.1219282150268555</v>
      </c>
      <c r="F7229" s="11">
        <v>3.8044278621673584</v>
      </c>
    </row>
    <row r="7230" spans="1:6" hidden="1" x14ac:dyDescent="0.3">
      <c r="A7230" s="6">
        <v>52</v>
      </c>
      <c r="B7230" s="6" t="s">
        <v>185</v>
      </c>
      <c r="C7230" s="6" t="s">
        <v>444</v>
      </c>
      <c r="D7230" s="6" t="s">
        <v>186</v>
      </c>
      <c r="E7230" s="11">
        <v>3.4370462894439697</v>
      </c>
      <c r="F7230" s="11">
        <v>3.8044278621673584</v>
      </c>
    </row>
    <row r="7231" spans="1:6" hidden="1" x14ac:dyDescent="0.3">
      <c r="A7231" s="6">
        <v>52</v>
      </c>
      <c r="B7231" s="6" t="s">
        <v>185</v>
      </c>
      <c r="C7231" s="6" t="s">
        <v>445</v>
      </c>
      <c r="D7231" s="6" t="s">
        <v>186</v>
      </c>
      <c r="E7231" s="11">
        <v>4.7243504524230957</v>
      </c>
      <c r="F7231" s="11">
        <v>3.8044278621673584</v>
      </c>
    </row>
    <row r="7232" spans="1:6" hidden="1" x14ac:dyDescent="0.3">
      <c r="A7232" s="6">
        <v>52</v>
      </c>
      <c r="B7232" s="6" t="s">
        <v>185</v>
      </c>
      <c r="C7232" s="6" t="s">
        <v>446</v>
      </c>
      <c r="D7232" s="6" t="s">
        <v>186</v>
      </c>
      <c r="E7232" s="11">
        <v>5.1799125671386719</v>
      </c>
      <c r="F7232" s="11">
        <v>3.8044278621673584</v>
      </c>
    </row>
    <row r="7233" spans="1:6" hidden="1" x14ac:dyDescent="0.3">
      <c r="A7233" s="6">
        <v>52</v>
      </c>
      <c r="B7233" s="6" t="s">
        <v>185</v>
      </c>
      <c r="C7233" s="6" t="s">
        <v>447</v>
      </c>
      <c r="D7233" s="6" t="s">
        <v>186</v>
      </c>
      <c r="E7233" s="11">
        <v>3.4833590984344482</v>
      </c>
      <c r="F7233" s="11">
        <v>3.8044278621673584</v>
      </c>
    </row>
    <row r="7234" spans="1:6" hidden="1" x14ac:dyDescent="0.3">
      <c r="A7234" s="6">
        <v>52</v>
      </c>
      <c r="B7234" s="6" t="s">
        <v>185</v>
      </c>
      <c r="C7234" s="6" t="s">
        <v>448</v>
      </c>
      <c r="D7234" s="6" t="s">
        <v>186</v>
      </c>
      <c r="E7234" s="11">
        <v>3.126802921295166</v>
      </c>
      <c r="F7234" s="11">
        <v>3.8044278621673584</v>
      </c>
    </row>
    <row r="7235" spans="1:6" hidden="1" x14ac:dyDescent="0.3">
      <c r="A7235" s="6">
        <v>52</v>
      </c>
      <c r="B7235" s="6" t="s">
        <v>185</v>
      </c>
      <c r="C7235" s="6" t="s">
        <v>449</v>
      </c>
      <c r="D7235" s="6" t="s">
        <v>186</v>
      </c>
      <c r="E7235" s="11">
        <v>2.6804885864257813</v>
      </c>
      <c r="F7235" s="11">
        <v>3.8044278621673584</v>
      </c>
    </row>
    <row r="7236" spans="1:6" hidden="1" x14ac:dyDescent="0.3">
      <c r="A7236" s="6">
        <v>52</v>
      </c>
      <c r="B7236" s="6" t="s">
        <v>185</v>
      </c>
      <c r="C7236" s="6" t="s">
        <v>450</v>
      </c>
      <c r="D7236" s="6" t="s">
        <v>186</v>
      </c>
      <c r="E7236" s="11">
        <v>4.3631181716918945</v>
      </c>
      <c r="F7236" s="11">
        <v>3.8044278621673584</v>
      </c>
    </row>
    <row r="7237" spans="1:6" hidden="1" x14ac:dyDescent="0.3">
      <c r="A7237" s="6">
        <v>52</v>
      </c>
      <c r="B7237" s="6" t="s">
        <v>185</v>
      </c>
      <c r="C7237" s="6" t="s">
        <v>451</v>
      </c>
      <c r="D7237" s="6" t="s">
        <v>186</v>
      </c>
      <c r="E7237" s="11">
        <v>3.9409222602844238</v>
      </c>
      <c r="F7237" s="11">
        <v>3.8044278621673584</v>
      </c>
    </row>
    <row r="7238" spans="1:6" hidden="1" x14ac:dyDescent="0.3">
      <c r="A7238" s="6">
        <v>52</v>
      </c>
      <c r="B7238" s="6" t="s">
        <v>185</v>
      </c>
      <c r="C7238" s="6" t="s">
        <v>452</v>
      </c>
      <c r="D7238" s="6" t="s">
        <v>186</v>
      </c>
      <c r="E7238" s="11">
        <v>3.4102530479431152</v>
      </c>
      <c r="F7238" s="11">
        <v>3.8044278621673584</v>
      </c>
    </row>
    <row r="7239" spans="1:6" hidden="1" x14ac:dyDescent="0.3">
      <c r="A7239" s="6">
        <v>52</v>
      </c>
      <c r="B7239" s="6" t="s">
        <v>185</v>
      </c>
      <c r="C7239" s="6" t="s">
        <v>453</v>
      </c>
      <c r="D7239" s="6" t="s">
        <v>186</v>
      </c>
      <c r="E7239" s="11">
        <v>2.7286036014556885</v>
      </c>
      <c r="F7239" s="11">
        <v>3.8044278621673584</v>
      </c>
    </row>
    <row r="7240" spans="1:6" hidden="1" x14ac:dyDescent="0.3">
      <c r="A7240" s="6">
        <v>52</v>
      </c>
      <c r="B7240" s="6" t="s">
        <v>185</v>
      </c>
      <c r="C7240" s="6" t="s">
        <v>454</v>
      </c>
      <c r="D7240" s="6" t="s">
        <v>186</v>
      </c>
      <c r="E7240" s="11">
        <v>4.3494353294372559</v>
      </c>
      <c r="F7240" s="11">
        <v>3.8044278621673584</v>
      </c>
    </row>
    <row r="7241" spans="1:6" hidden="1" x14ac:dyDescent="0.3">
      <c r="A7241" s="6">
        <v>52</v>
      </c>
      <c r="B7241" s="6" t="s">
        <v>185</v>
      </c>
      <c r="C7241" s="6" t="s">
        <v>455</v>
      </c>
      <c r="D7241" s="6" t="s">
        <v>186</v>
      </c>
      <c r="E7241" s="11">
        <v>3.8830294609069824</v>
      </c>
      <c r="F7241" s="11">
        <v>3.8044278621673584</v>
      </c>
    </row>
    <row r="7242" spans="1:6" hidden="1" x14ac:dyDescent="0.3">
      <c r="A7242" s="6">
        <v>52</v>
      </c>
      <c r="B7242" s="6" t="s">
        <v>185</v>
      </c>
      <c r="C7242" s="6" t="s">
        <v>456</v>
      </c>
      <c r="D7242" s="6" t="s">
        <v>186</v>
      </c>
      <c r="E7242" s="11">
        <v>4.0747866630554199</v>
      </c>
      <c r="F7242" s="11">
        <v>3.8044278621673584</v>
      </c>
    </row>
    <row r="7243" spans="1:6" hidden="1" x14ac:dyDescent="0.3">
      <c r="A7243" s="6">
        <v>52</v>
      </c>
      <c r="B7243" s="6" t="s">
        <v>185</v>
      </c>
      <c r="C7243" s="6" t="s">
        <v>457</v>
      </c>
      <c r="D7243" s="6" t="s">
        <v>186</v>
      </c>
      <c r="E7243" s="11">
        <v>3.9259610176086426</v>
      </c>
      <c r="F7243" s="11">
        <v>3.8044278621673584</v>
      </c>
    </row>
    <row r="7244" spans="1:6" hidden="1" x14ac:dyDescent="0.3">
      <c r="A7244" s="6">
        <v>52</v>
      </c>
      <c r="B7244" s="6" t="s">
        <v>185</v>
      </c>
      <c r="C7244" s="6" t="s">
        <v>458</v>
      </c>
      <c r="D7244" s="6" t="s">
        <v>186</v>
      </c>
      <c r="E7244" s="11">
        <v>4.9867253303527832</v>
      </c>
      <c r="F7244" s="11">
        <v>3.8044278621673584</v>
      </c>
    </row>
    <row r="7245" spans="1:6" hidden="1" x14ac:dyDescent="0.3">
      <c r="A7245" s="6">
        <v>52</v>
      </c>
      <c r="B7245" s="6" t="s">
        <v>185</v>
      </c>
      <c r="C7245" s="6" t="s">
        <v>459</v>
      </c>
      <c r="D7245" s="6" t="s">
        <v>186</v>
      </c>
      <c r="E7245" s="11">
        <v>4.094085693359375</v>
      </c>
      <c r="F7245" s="11">
        <v>3.8044278621673584</v>
      </c>
    </row>
    <row r="7246" spans="1:6" hidden="1" x14ac:dyDescent="0.3">
      <c r="A7246" s="6">
        <v>52</v>
      </c>
      <c r="B7246" s="6" t="s">
        <v>185</v>
      </c>
      <c r="C7246" s="6" t="s">
        <v>460</v>
      </c>
      <c r="D7246" s="6" t="s">
        <v>186</v>
      </c>
      <c r="E7246" s="11">
        <v>5.1360530853271484</v>
      </c>
      <c r="F7246" s="11">
        <v>3.8044278621673584</v>
      </c>
    </row>
    <row r="7247" spans="1:6" hidden="1" x14ac:dyDescent="0.3">
      <c r="A7247" s="6">
        <v>52</v>
      </c>
      <c r="B7247" s="6" t="s">
        <v>185</v>
      </c>
      <c r="C7247" s="6" t="s">
        <v>461</v>
      </c>
      <c r="D7247" s="6" t="s">
        <v>186</v>
      </c>
      <c r="E7247" s="11">
        <v>3.2644057273864746</v>
      </c>
      <c r="F7247" s="11">
        <v>3.8044278621673584</v>
      </c>
    </row>
    <row r="7248" spans="1:6" hidden="1" x14ac:dyDescent="0.3">
      <c r="A7248" s="6">
        <v>52</v>
      </c>
      <c r="B7248" s="6" t="s">
        <v>185</v>
      </c>
      <c r="C7248" s="6" t="s">
        <v>462</v>
      </c>
      <c r="D7248" s="6" t="s">
        <v>186</v>
      </c>
      <c r="E7248" s="11">
        <v>3.0062465667724609</v>
      </c>
      <c r="F7248" s="11">
        <v>3.8044278621673584</v>
      </c>
    </row>
    <row r="7249" spans="1:6" hidden="1" x14ac:dyDescent="0.3">
      <c r="A7249" s="6">
        <v>52</v>
      </c>
      <c r="B7249" s="6" t="s">
        <v>185</v>
      </c>
      <c r="C7249" s="6" t="s">
        <v>463</v>
      </c>
      <c r="D7249" s="6" t="s">
        <v>186</v>
      </c>
      <c r="E7249" s="11">
        <v>2.8845992088317871</v>
      </c>
      <c r="F7249" s="11">
        <v>3.8044278621673584</v>
      </c>
    </row>
    <row r="7250" spans="1:6" hidden="1" x14ac:dyDescent="0.3">
      <c r="A7250" s="6">
        <v>52</v>
      </c>
      <c r="B7250" s="6" t="s">
        <v>185</v>
      </c>
      <c r="C7250" s="6" t="s">
        <v>464</v>
      </c>
      <c r="D7250" s="6" t="s">
        <v>186</v>
      </c>
      <c r="E7250" s="11">
        <v>3.3017077445983887</v>
      </c>
      <c r="F7250" s="11">
        <v>3.8044278621673584</v>
      </c>
    </row>
    <row r="7251" spans="1:6" hidden="1" x14ac:dyDescent="0.3">
      <c r="A7251" s="6">
        <v>52</v>
      </c>
      <c r="B7251" s="6" t="s">
        <v>185</v>
      </c>
      <c r="C7251" s="6" t="s">
        <v>465</v>
      </c>
      <c r="D7251" s="6" t="s">
        <v>186</v>
      </c>
      <c r="E7251" s="11">
        <v>3.9215478897094727</v>
      </c>
      <c r="F7251" s="11">
        <v>3.8044278621673584</v>
      </c>
    </row>
    <row r="7252" spans="1:6" hidden="1" x14ac:dyDescent="0.3">
      <c r="A7252" s="6">
        <v>52</v>
      </c>
      <c r="B7252" s="6" t="s">
        <v>185</v>
      </c>
      <c r="C7252" s="6" t="s">
        <v>466</v>
      </c>
      <c r="D7252" s="6" t="s">
        <v>186</v>
      </c>
      <c r="E7252" s="11">
        <v>4.5892791748046875</v>
      </c>
      <c r="F7252" s="11">
        <v>3.8044278621673584</v>
      </c>
    </row>
    <row r="7253" spans="1:6" hidden="1" x14ac:dyDescent="0.3">
      <c r="A7253" s="6">
        <v>52</v>
      </c>
      <c r="B7253" s="6" t="s">
        <v>185</v>
      </c>
      <c r="C7253" s="6" t="s">
        <v>467</v>
      </c>
      <c r="D7253" s="6" t="s">
        <v>186</v>
      </c>
      <c r="E7253" s="11">
        <v>5.7609114646911621</v>
      </c>
      <c r="F7253" s="11">
        <v>3.8044278621673584</v>
      </c>
    </row>
    <row r="7254" spans="1:6" hidden="1" x14ac:dyDescent="0.3">
      <c r="A7254" s="6">
        <v>52</v>
      </c>
      <c r="B7254" s="6" t="s">
        <v>185</v>
      </c>
      <c r="C7254" s="6" t="s">
        <v>468</v>
      </c>
      <c r="D7254" s="6" t="s">
        <v>186</v>
      </c>
      <c r="E7254" s="11">
        <v>3.7179198265075684</v>
      </c>
      <c r="F7254" s="11">
        <v>3.8044278621673584</v>
      </c>
    </row>
    <row r="7255" spans="1:6" hidden="1" x14ac:dyDescent="0.3">
      <c r="A7255" s="6">
        <v>52</v>
      </c>
      <c r="B7255" s="6" t="s">
        <v>185</v>
      </c>
      <c r="C7255" s="6" t="s">
        <v>469</v>
      </c>
      <c r="D7255" s="6" t="s">
        <v>186</v>
      </c>
      <c r="E7255" s="11">
        <v>3.4673106670379639</v>
      </c>
      <c r="F7255" s="11">
        <v>3.8044278621673584</v>
      </c>
    </row>
    <row r="7256" spans="1:6" hidden="1" x14ac:dyDescent="0.3">
      <c r="A7256" s="6">
        <v>52</v>
      </c>
      <c r="B7256" s="6" t="s">
        <v>185</v>
      </c>
      <c r="C7256" s="6" t="s">
        <v>470</v>
      </c>
      <c r="D7256" s="6" t="s">
        <v>186</v>
      </c>
      <c r="E7256" s="11">
        <v>3.8962361812591553</v>
      </c>
      <c r="F7256" s="11">
        <v>3.8044278621673584</v>
      </c>
    </row>
    <row r="7257" spans="1:6" hidden="1" x14ac:dyDescent="0.3">
      <c r="A7257" s="6">
        <v>52</v>
      </c>
      <c r="B7257" s="6" t="s">
        <v>185</v>
      </c>
      <c r="C7257" s="6" t="s">
        <v>471</v>
      </c>
      <c r="D7257" s="6" t="s">
        <v>186</v>
      </c>
      <c r="E7257" s="11">
        <v>3.5823097229003906</v>
      </c>
      <c r="F7257" s="11">
        <v>3.8044278621673584</v>
      </c>
    </row>
    <row r="7258" spans="1:6" hidden="1" x14ac:dyDescent="0.3">
      <c r="A7258" s="6">
        <v>52</v>
      </c>
      <c r="B7258" s="6" t="s">
        <v>185</v>
      </c>
      <c r="C7258" s="6" t="s">
        <v>472</v>
      </c>
      <c r="D7258" s="6" t="s">
        <v>186</v>
      </c>
      <c r="E7258" s="11">
        <v>3.4357562065124512</v>
      </c>
      <c r="F7258" s="11">
        <v>3.8044278621673584</v>
      </c>
    </row>
    <row r="7259" spans="1:6" hidden="1" x14ac:dyDescent="0.3">
      <c r="A7259" s="6">
        <v>52</v>
      </c>
      <c r="B7259" s="6" t="s">
        <v>185</v>
      </c>
      <c r="C7259" s="6" t="s">
        <v>473</v>
      </c>
      <c r="D7259" s="6" t="s">
        <v>186</v>
      </c>
      <c r="E7259" s="11">
        <v>4.6245918273925781</v>
      </c>
      <c r="F7259" s="11">
        <v>3.8044278621673584</v>
      </c>
    </row>
    <row r="7260" spans="1:6" hidden="1" x14ac:dyDescent="0.3">
      <c r="A7260" s="6">
        <v>52</v>
      </c>
      <c r="B7260" s="6" t="s">
        <v>185</v>
      </c>
      <c r="C7260" s="6" t="s">
        <v>474</v>
      </c>
      <c r="D7260" s="6" t="s">
        <v>186</v>
      </c>
      <c r="E7260" s="11">
        <v>5.1798419952392578</v>
      </c>
      <c r="F7260" s="11">
        <v>3.8044278621673584</v>
      </c>
    </row>
    <row r="7261" spans="1:6" hidden="1" x14ac:dyDescent="0.3">
      <c r="A7261" s="6">
        <v>52</v>
      </c>
      <c r="B7261" s="6" t="s">
        <v>185</v>
      </c>
      <c r="C7261" s="6" t="s">
        <v>475</v>
      </c>
      <c r="D7261" s="6" t="s">
        <v>186</v>
      </c>
      <c r="E7261" s="11">
        <v>3.8097875118255615</v>
      </c>
      <c r="F7261" s="11">
        <v>3.8044278621673584</v>
      </c>
    </row>
    <row r="7262" spans="1:6" hidden="1" x14ac:dyDescent="0.3">
      <c r="A7262" s="6">
        <v>52</v>
      </c>
      <c r="B7262" s="6" t="s">
        <v>185</v>
      </c>
      <c r="C7262" s="6" t="s">
        <v>476</v>
      </c>
      <c r="D7262" s="6" t="s">
        <v>186</v>
      </c>
      <c r="E7262" s="11">
        <v>4.0056366920471191</v>
      </c>
      <c r="F7262" s="11">
        <v>3.8044278621673584</v>
      </c>
    </row>
    <row r="7263" spans="1:6" hidden="1" x14ac:dyDescent="0.3">
      <c r="A7263" s="6">
        <v>52</v>
      </c>
      <c r="B7263" s="6" t="s">
        <v>185</v>
      </c>
      <c r="C7263" s="6" t="s">
        <v>477</v>
      </c>
      <c r="D7263" s="6" t="s">
        <v>186</v>
      </c>
      <c r="E7263" s="11">
        <v>3.8557777404785156</v>
      </c>
      <c r="F7263" s="11">
        <v>3.8044278621673584</v>
      </c>
    </row>
    <row r="7264" spans="1:6" hidden="1" x14ac:dyDescent="0.3">
      <c r="A7264" s="6">
        <v>52</v>
      </c>
      <c r="B7264" s="6" t="s">
        <v>185</v>
      </c>
      <c r="C7264" s="6" t="s">
        <v>478</v>
      </c>
      <c r="D7264" s="6" t="s">
        <v>186</v>
      </c>
      <c r="E7264" s="11">
        <v>3.1204373836517334</v>
      </c>
      <c r="F7264" s="11">
        <v>3.8044278621673584</v>
      </c>
    </row>
    <row r="7265" spans="1:6" hidden="1" x14ac:dyDescent="0.3">
      <c r="A7265" s="6">
        <v>52</v>
      </c>
      <c r="B7265" s="6" t="s">
        <v>185</v>
      </c>
      <c r="C7265" s="6" t="s">
        <v>479</v>
      </c>
      <c r="D7265" s="6" t="s">
        <v>186</v>
      </c>
      <c r="E7265" s="11">
        <v>3.6775002479553223</v>
      </c>
      <c r="F7265" s="11">
        <v>3.8044278621673584</v>
      </c>
    </row>
    <row r="7266" spans="1:6" hidden="1" x14ac:dyDescent="0.3">
      <c r="A7266" s="6">
        <v>52</v>
      </c>
      <c r="B7266" s="6" t="s">
        <v>185</v>
      </c>
      <c r="C7266" s="6" t="s">
        <v>480</v>
      </c>
      <c r="D7266" s="6" t="s">
        <v>186</v>
      </c>
      <c r="E7266" s="11">
        <v>5.0660567283630371</v>
      </c>
      <c r="F7266" s="11">
        <v>3.8044278621673584</v>
      </c>
    </row>
    <row r="7267" spans="1:6" hidden="1" x14ac:dyDescent="0.3">
      <c r="A7267" s="6">
        <v>52</v>
      </c>
      <c r="B7267" s="6" t="s">
        <v>185</v>
      </c>
      <c r="C7267" s="6" t="s">
        <v>481</v>
      </c>
      <c r="D7267" s="6" t="s">
        <v>186</v>
      </c>
      <c r="E7267" s="11">
        <v>4.2368912696838379</v>
      </c>
      <c r="F7267" s="11">
        <v>3.8044278621673584</v>
      </c>
    </row>
    <row r="7268" spans="1:6" hidden="1" x14ac:dyDescent="0.3">
      <c r="A7268" s="6">
        <v>52</v>
      </c>
      <c r="B7268" s="6" t="s">
        <v>185</v>
      </c>
      <c r="C7268" s="6" t="s">
        <v>482</v>
      </c>
      <c r="D7268" s="6" t="s">
        <v>186</v>
      </c>
      <c r="E7268" s="11">
        <v>3.906113862991333</v>
      </c>
      <c r="F7268" s="11">
        <v>3.8044278621673584</v>
      </c>
    </row>
    <row r="7269" spans="1:6" hidden="1" x14ac:dyDescent="0.3">
      <c r="A7269" s="6">
        <v>52</v>
      </c>
      <c r="B7269" s="6" t="s">
        <v>185</v>
      </c>
      <c r="C7269" s="6" t="s">
        <v>483</v>
      </c>
      <c r="D7269" s="6" t="s">
        <v>186</v>
      </c>
      <c r="E7269" s="11">
        <v>2.8764216899871826</v>
      </c>
      <c r="F7269" s="11">
        <v>3.8044278621673584</v>
      </c>
    </row>
    <row r="7270" spans="1:6" hidden="1" x14ac:dyDescent="0.3">
      <c r="A7270" s="6">
        <v>52</v>
      </c>
      <c r="B7270" s="6" t="s">
        <v>185</v>
      </c>
      <c r="C7270" s="6" t="s">
        <v>484</v>
      </c>
      <c r="D7270" s="6" t="s">
        <v>186</v>
      </c>
      <c r="E7270" s="11">
        <v>3.6483049392700195</v>
      </c>
      <c r="F7270" s="11">
        <v>3.8044278621673584</v>
      </c>
    </row>
    <row r="7271" spans="1:6" hidden="1" x14ac:dyDescent="0.3">
      <c r="A7271" s="6">
        <v>52</v>
      </c>
      <c r="B7271" s="6" t="s">
        <v>185</v>
      </c>
      <c r="C7271" s="6" t="s">
        <v>485</v>
      </c>
      <c r="D7271" s="6" t="s">
        <v>186</v>
      </c>
      <c r="E7271" s="11">
        <v>6.0668654441833496</v>
      </c>
      <c r="F7271" s="11">
        <v>3.8044278621673584</v>
      </c>
    </row>
    <row r="7272" spans="1:6" hidden="1" x14ac:dyDescent="0.3">
      <c r="A7272" s="6">
        <v>52</v>
      </c>
      <c r="B7272" s="6" t="s">
        <v>185</v>
      </c>
      <c r="C7272" s="6" t="s">
        <v>486</v>
      </c>
      <c r="D7272" s="6" t="s">
        <v>186</v>
      </c>
      <c r="E7272" s="11">
        <v>5.9562335014343262</v>
      </c>
      <c r="F7272" s="11">
        <v>3.8044278621673584</v>
      </c>
    </row>
    <row r="7273" spans="1:6" hidden="1" x14ac:dyDescent="0.3">
      <c r="A7273" s="6">
        <v>52</v>
      </c>
      <c r="B7273" s="6" t="s">
        <v>185</v>
      </c>
      <c r="C7273" s="6" t="s">
        <v>487</v>
      </c>
      <c r="D7273" s="6" t="s">
        <v>186</v>
      </c>
      <c r="E7273" s="11">
        <v>2.937678337097168</v>
      </c>
      <c r="F7273" s="11">
        <v>3.8044278621673584</v>
      </c>
    </row>
    <row r="7274" spans="1:6" hidden="1" x14ac:dyDescent="0.3">
      <c r="A7274" s="6">
        <v>52</v>
      </c>
      <c r="B7274" s="6" t="s">
        <v>185</v>
      </c>
      <c r="C7274" s="6" t="s">
        <v>488</v>
      </c>
      <c r="D7274" s="6" t="s">
        <v>186</v>
      </c>
      <c r="E7274" s="11">
        <v>3.5688683986663818</v>
      </c>
      <c r="F7274" s="11">
        <v>3.8044278621673584</v>
      </c>
    </row>
    <row r="7275" spans="1:6" hidden="1" x14ac:dyDescent="0.3">
      <c r="A7275" s="6">
        <v>52</v>
      </c>
      <c r="B7275" s="6" t="s">
        <v>185</v>
      </c>
      <c r="C7275" s="6" t="s">
        <v>489</v>
      </c>
      <c r="D7275" s="6" t="s">
        <v>186</v>
      </c>
      <c r="E7275" s="11">
        <v>3.735537052154541</v>
      </c>
      <c r="F7275" s="11">
        <v>3.8044278621673584</v>
      </c>
    </row>
    <row r="7276" spans="1:6" hidden="1" x14ac:dyDescent="0.3">
      <c r="A7276" s="6">
        <v>52</v>
      </c>
      <c r="B7276" s="6" t="s">
        <v>185</v>
      </c>
      <c r="C7276" s="6" t="s">
        <v>490</v>
      </c>
      <c r="D7276" s="6" t="s">
        <v>186</v>
      </c>
      <c r="E7276" s="11">
        <v>3.7043774127960205</v>
      </c>
      <c r="F7276" s="11">
        <v>3.8044278621673584</v>
      </c>
    </row>
    <row r="7277" spans="1:6" hidden="1" x14ac:dyDescent="0.3">
      <c r="A7277" s="6">
        <v>52</v>
      </c>
      <c r="B7277" s="6" t="s">
        <v>185</v>
      </c>
      <c r="C7277" s="6" t="s">
        <v>491</v>
      </c>
      <c r="D7277" s="6" t="s">
        <v>186</v>
      </c>
      <c r="E7277" s="11">
        <v>3.3313047885894775</v>
      </c>
      <c r="F7277" s="11">
        <v>3.8044278621673584</v>
      </c>
    </row>
    <row r="7278" spans="1:6" hidden="1" x14ac:dyDescent="0.3">
      <c r="A7278" s="6">
        <v>52</v>
      </c>
      <c r="B7278" s="6" t="s">
        <v>185</v>
      </c>
      <c r="C7278" s="6" t="s">
        <v>492</v>
      </c>
      <c r="D7278" s="6" t="s">
        <v>186</v>
      </c>
      <c r="E7278" s="11">
        <v>3.453751802444458</v>
      </c>
      <c r="F7278" s="11">
        <v>3.8044278621673584</v>
      </c>
    </row>
    <row r="7279" spans="1:6" hidden="1" x14ac:dyDescent="0.3">
      <c r="A7279" s="6">
        <v>52</v>
      </c>
      <c r="B7279" s="6" t="s">
        <v>185</v>
      </c>
      <c r="C7279" s="6" t="s">
        <v>493</v>
      </c>
      <c r="D7279" s="6" t="s">
        <v>186</v>
      </c>
      <c r="E7279" s="11">
        <v>3.7256200313568115</v>
      </c>
      <c r="F7279" s="11">
        <v>3.8044278621673584</v>
      </c>
    </row>
    <row r="7280" spans="1:6" hidden="1" x14ac:dyDescent="0.3">
      <c r="A7280" s="6">
        <v>52</v>
      </c>
      <c r="B7280" s="6" t="s">
        <v>185</v>
      </c>
      <c r="C7280" s="6" t="s">
        <v>494</v>
      </c>
      <c r="D7280" s="6" t="s">
        <v>186</v>
      </c>
      <c r="E7280" s="11">
        <v>3.4919455051422119</v>
      </c>
      <c r="F7280" s="11">
        <v>3.8044278621673584</v>
      </c>
    </row>
    <row r="7281" spans="1:6" hidden="1" x14ac:dyDescent="0.3">
      <c r="A7281" s="6">
        <v>52</v>
      </c>
      <c r="B7281" s="6" t="s">
        <v>185</v>
      </c>
      <c r="C7281" s="6" t="s">
        <v>495</v>
      </c>
      <c r="D7281" s="6" t="s">
        <v>186</v>
      </c>
      <c r="E7281" s="11">
        <v>4.2093591690063477</v>
      </c>
      <c r="F7281" s="11">
        <v>3.8044278621673584</v>
      </c>
    </row>
    <row r="7282" spans="1:6" hidden="1" x14ac:dyDescent="0.3">
      <c r="A7282" s="6">
        <v>53</v>
      </c>
      <c r="B7282" s="6" t="s">
        <v>187</v>
      </c>
      <c r="C7282" s="6" t="s">
        <v>356</v>
      </c>
      <c r="D7282" s="6" t="s">
        <v>188</v>
      </c>
      <c r="E7282" s="11">
        <v>4.1171183586120605</v>
      </c>
      <c r="F7282" s="11">
        <v>4.7231674194335938</v>
      </c>
    </row>
    <row r="7283" spans="1:6" hidden="1" x14ac:dyDescent="0.3">
      <c r="A7283" s="6">
        <v>53</v>
      </c>
      <c r="B7283" s="6" t="s">
        <v>187</v>
      </c>
      <c r="C7283" s="6" t="s">
        <v>357</v>
      </c>
      <c r="D7283" s="6" t="s">
        <v>188</v>
      </c>
      <c r="E7283" s="11">
        <v>2.7715117931365967</v>
      </c>
      <c r="F7283" s="11">
        <v>4.7231674194335938</v>
      </c>
    </row>
    <row r="7284" spans="1:6" hidden="1" x14ac:dyDescent="0.3">
      <c r="A7284" s="6">
        <v>53</v>
      </c>
      <c r="B7284" s="6" t="s">
        <v>187</v>
      </c>
      <c r="C7284" s="6" t="s">
        <v>358</v>
      </c>
      <c r="D7284" s="6" t="s">
        <v>188</v>
      </c>
      <c r="E7284" s="11">
        <v>8.0862979888916016</v>
      </c>
      <c r="F7284" s="11">
        <v>4.7231674194335938</v>
      </c>
    </row>
    <row r="7285" spans="1:6" hidden="1" x14ac:dyDescent="0.3">
      <c r="A7285" s="6">
        <v>53</v>
      </c>
      <c r="B7285" s="6" t="s">
        <v>187</v>
      </c>
      <c r="C7285" s="6" t="s">
        <v>359</v>
      </c>
      <c r="D7285" s="6" t="s">
        <v>188</v>
      </c>
      <c r="E7285" s="11">
        <v>4.5783405303955078</v>
      </c>
      <c r="F7285" s="11">
        <v>4.7231674194335938</v>
      </c>
    </row>
    <row r="7286" spans="1:6" hidden="1" x14ac:dyDescent="0.3">
      <c r="A7286" s="6">
        <v>53</v>
      </c>
      <c r="B7286" s="6" t="s">
        <v>187</v>
      </c>
      <c r="C7286" s="6" t="s">
        <v>360</v>
      </c>
      <c r="D7286" s="6" t="s">
        <v>188</v>
      </c>
      <c r="E7286" s="11">
        <v>4.1000981330871582</v>
      </c>
      <c r="F7286" s="11">
        <v>4.7231674194335938</v>
      </c>
    </row>
    <row r="7287" spans="1:6" hidden="1" x14ac:dyDescent="0.3">
      <c r="A7287" s="6">
        <v>53</v>
      </c>
      <c r="B7287" s="6" t="s">
        <v>187</v>
      </c>
      <c r="C7287" s="6" t="s">
        <v>361</v>
      </c>
      <c r="D7287" s="6" t="s">
        <v>188</v>
      </c>
      <c r="E7287" s="11">
        <v>4.8346543312072754</v>
      </c>
      <c r="F7287" s="11">
        <v>4.7231674194335938</v>
      </c>
    </row>
    <row r="7288" spans="1:6" hidden="1" x14ac:dyDescent="0.3">
      <c r="A7288" s="6">
        <v>53</v>
      </c>
      <c r="B7288" s="6" t="s">
        <v>187</v>
      </c>
      <c r="C7288" s="6" t="s">
        <v>362</v>
      </c>
      <c r="D7288" s="6" t="s">
        <v>188</v>
      </c>
      <c r="E7288" s="11">
        <v>3.7701394557952881</v>
      </c>
      <c r="F7288" s="11">
        <v>4.7231674194335938</v>
      </c>
    </row>
    <row r="7289" spans="1:6" hidden="1" x14ac:dyDescent="0.3">
      <c r="A7289" s="6">
        <v>53</v>
      </c>
      <c r="B7289" s="6" t="s">
        <v>187</v>
      </c>
      <c r="C7289" s="6" t="s">
        <v>363</v>
      </c>
      <c r="D7289" s="6" t="s">
        <v>188</v>
      </c>
      <c r="E7289" s="11">
        <v>4.9626870155334473</v>
      </c>
      <c r="F7289" s="11">
        <v>4.7231674194335938</v>
      </c>
    </row>
    <row r="7290" spans="1:6" hidden="1" x14ac:dyDescent="0.3">
      <c r="A7290" s="6">
        <v>53</v>
      </c>
      <c r="B7290" s="6" t="s">
        <v>187</v>
      </c>
      <c r="C7290" s="6" t="s">
        <v>364</v>
      </c>
      <c r="D7290" s="6" t="s">
        <v>188</v>
      </c>
      <c r="E7290" s="11">
        <v>3.106220006942749</v>
      </c>
      <c r="F7290" s="11">
        <v>4.7231674194335938</v>
      </c>
    </row>
    <row r="7291" spans="1:6" hidden="1" x14ac:dyDescent="0.3">
      <c r="A7291" s="6">
        <v>53</v>
      </c>
      <c r="B7291" s="6" t="s">
        <v>187</v>
      </c>
      <c r="C7291" s="6" t="s">
        <v>365</v>
      </c>
      <c r="D7291" s="6" t="s">
        <v>188</v>
      </c>
      <c r="E7291" s="11">
        <v>3.3296294212341309</v>
      </c>
      <c r="F7291" s="11">
        <v>4.7231674194335938</v>
      </c>
    </row>
    <row r="7292" spans="1:6" hidden="1" x14ac:dyDescent="0.3">
      <c r="A7292" s="6">
        <v>53</v>
      </c>
      <c r="B7292" s="6" t="s">
        <v>187</v>
      </c>
      <c r="C7292" s="6" t="s">
        <v>366</v>
      </c>
      <c r="D7292" s="6" t="s">
        <v>188</v>
      </c>
      <c r="E7292" s="11">
        <v>3.3728935718536377</v>
      </c>
      <c r="F7292" s="11">
        <v>4.7231674194335938</v>
      </c>
    </row>
    <row r="7293" spans="1:6" hidden="1" x14ac:dyDescent="0.3">
      <c r="A7293" s="6">
        <v>53</v>
      </c>
      <c r="B7293" s="6" t="s">
        <v>187</v>
      </c>
      <c r="C7293" s="6" t="s">
        <v>367</v>
      </c>
      <c r="D7293" s="6" t="s">
        <v>188</v>
      </c>
      <c r="E7293" s="11">
        <v>5.5629477500915527</v>
      </c>
      <c r="F7293" s="11">
        <v>4.7231674194335938</v>
      </c>
    </row>
    <row r="7294" spans="1:6" hidden="1" x14ac:dyDescent="0.3">
      <c r="A7294" s="6">
        <v>53</v>
      </c>
      <c r="B7294" s="6" t="s">
        <v>187</v>
      </c>
      <c r="C7294" s="6" t="s">
        <v>368</v>
      </c>
      <c r="D7294" s="6" t="s">
        <v>188</v>
      </c>
      <c r="E7294" s="11">
        <v>2.762364387512207</v>
      </c>
      <c r="F7294" s="11">
        <v>4.7231674194335938</v>
      </c>
    </row>
    <row r="7295" spans="1:6" hidden="1" x14ac:dyDescent="0.3">
      <c r="A7295" s="6">
        <v>53</v>
      </c>
      <c r="B7295" s="6" t="s">
        <v>187</v>
      </c>
      <c r="C7295" s="6" t="s">
        <v>369</v>
      </c>
      <c r="D7295" s="6" t="s">
        <v>188</v>
      </c>
      <c r="E7295" s="11">
        <v>3.1344988346099854</v>
      </c>
      <c r="F7295" s="11">
        <v>4.7231674194335938</v>
      </c>
    </row>
    <row r="7296" spans="1:6" hidden="1" x14ac:dyDescent="0.3">
      <c r="A7296" s="6">
        <v>53</v>
      </c>
      <c r="B7296" s="6" t="s">
        <v>187</v>
      </c>
      <c r="C7296" s="6" t="s">
        <v>370</v>
      </c>
      <c r="D7296" s="6" t="s">
        <v>188</v>
      </c>
      <c r="E7296" s="11">
        <v>4.129847526550293</v>
      </c>
      <c r="F7296" s="11">
        <v>4.7231674194335938</v>
      </c>
    </row>
    <row r="7297" spans="1:6" hidden="1" x14ac:dyDescent="0.3">
      <c r="A7297" s="6">
        <v>53</v>
      </c>
      <c r="B7297" s="6" t="s">
        <v>187</v>
      </c>
      <c r="C7297" s="6" t="s">
        <v>371</v>
      </c>
      <c r="D7297" s="6" t="s">
        <v>188</v>
      </c>
      <c r="E7297" s="11">
        <v>4.0628819465637207</v>
      </c>
      <c r="F7297" s="11">
        <v>4.7231674194335938</v>
      </c>
    </row>
    <row r="7298" spans="1:6" hidden="1" x14ac:dyDescent="0.3">
      <c r="A7298" s="6">
        <v>53</v>
      </c>
      <c r="B7298" s="6" t="s">
        <v>187</v>
      </c>
      <c r="C7298" s="6" t="s">
        <v>372</v>
      </c>
      <c r="D7298" s="6" t="s">
        <v>188</v>
      </c>
      <c r="E7298" s="11">
        <v>2.6449050903320313</v>
      </c>
      <c r="F7298" s="11">
        <v>4.7231674194335938</v>
      </c>
    </row>
    <row r="7299" spans="1:6" hidden="1" x14ac:dyDescent="0.3">
      <c r="A7299" s="6">
        <v>53</v>
      </c>
      <c r="B7299" s="6" t="s">
        <v>187</v>
      </c>
      <c r="C7299" s="6" t="s">
        <v>373</v>
      </c>
      <c r="D7299" s="6" t="s">
        <v>188</v>
      </c>
      <c r="E7299" s="11">
        <v>3.14117431640625</v>
      </c>
      <c r="F7299" s="11">
        <v>4.7231674194335938</v>
      </c>
    </row>
    <row r="7300" spans="1:6" hidden="1" x14ac:dyDescent="0.3">
      <c r="A7300" s="6">
        <v>53</v>
      </c>
      <c r="B7300" s="6" t="s">
        <v>187</v>
      </c>
      <c r="C7300" s="6" t="s">
        <v>374</v>
      </c>
      <c r="D7300" s="6" t="s">
        <v>188</v>
      </c>
      <c r="E7300" s="11">
        <v>4.6036858558654785</v>
      </c>
      <c r="F7300" s="11">
        <v>4.7231674194335938</v>
      </c>
    </row>
    <row r="7301" spans="1:6" hidden="1" x14ac:dyDescent="0.3">
      <c r="A7301" s="6">
        <v>53</v>
      </c>
      <c r="B7301" s="6" t="s">
        <v>187</v>
      </c>
      <c r="C7301" s="6" t="s">
        <v>375</v>
      </c>
      <c r="D7301" s="6" t="s">
        <v>188</v>
      </c>
      <c r="E7301" s="11">
        <v>4.2662258148193359</v>
      </c>
      <c r="F7301" s="11">
        <v>4.7231674194335938</v>
      </c>
    </row>
    <row r="7302" spans="1:6" hidden="1" x14ac:dyDescent="0.3">
      <c r="A7302" s="6">
        <v>53</v>
      </c>
      <c r="B7302" s="6" t="s">
        <v>187</v>
      </c>
      <c r="C7302" s="6" t="s">
        <v>376</v>
      </c>
      <c r="D7302" s="6" t="s">
        <v>188</v>
      </c>
      <c r="E7302" s="11">
        <v>4.7153921127319336</v>
      </c>
      <c r="F7302" s="11">
        <v>4.7231674194335938</v>
      </c>
    </row>
    <row r="7303" spans="1:6" hidden="1" x14ac:dyDescent="0.3">
      <c r="A7303" s="6">
        <v>53</v>
      </c>
      <c r="B7303" s="6" t="s">
        <v>187</v>
      </c>
      <c r="C7303" s="6" t="s">
        <v>377</v>
      </c>
      <c r="D7303" s="6" t="s">
        <v>188</v>
      </c>
      <c r="E7303" s="11">
        <v>6.3531694412231445</v>
      </c>
      <c r="F7303" s="11">
        <v>4.7231674194335938</v>
      </c>
    </row>
    <row r="7304" spans="1:6" hidden="1" x14ac:dyDescent="0.3">
      <c r="A7304" s="6">
        <v>53</v>
      </c>
      <c r="B7304" s="6" t="s">
        <v>187</v>
      </c>
      <c r="C7304" s="6" t="s">
        <v>378</v>
      </c>
      <c r="D7304" s="6" t="s">
        <v>188</v>
      </c>
      <c r="E7304" s="11">
        <v>3.4043998718261719</v>
      </c>
      <c r="F7304" s="11">
        <v>4.7231674194335938</v>
      </c>
    </row>
    <row r="7305" spans="1:6" hidden="1" x14ac:dyDescent="0.3">
      <c r="A7305" s="6">
        <v>53</v>
      </c>
      <c r="B7305" s="6" t="s">
        <v>187</v>
      </c>
      <c r="C7305" s="6" t="s">
        <v>379</v>
      </c>
      <c r="D7305" s="6" t="s">
        <v>188</v>
      </c>
      <c r="E7305" s="11">
        <v>4.0509881973266602</v>
      </c>
      <c r="F7305" s="11">
        <v>4.7231674194335938</v>
      </c>
    </row>
    <row r="7306" spans="1:6" hidden="1" x14ac:dyDescent="0.3">
      <c r="A7306" s="6">
        <v>53</v>
      </c>
      <c r="B7306" s="6" t="s">
        <v>187</v>
      </c>
      <c r="C7306" s="6" t="s">
        <v>380</v>
      </c>
      <c r="D7306" s="6" t="s">
        <v>188</v>
      </c>
      <c r="E7306" s="11">
        <v>3.3212575912475586</v>
      </c>
      <c r="F7306" s="11">
        <v>4.7231674194335938</v>
      </c>
    </row>
    <row r="7307" spans="1:6" hidden="1" x14ac:dyDescent="0.3">
      <c r="A7307" s="6">
        <v>53</v>
      </c>
      <c r="B7307" s="6" t="s">
        <v>187</v>
      </c>
      <c r="C7307" s="6" t="s">
        <v>381</v>
      </c>
      <c r="D7307" s="6" t="s">
        <v>188</v>
      </c>
      <c r="E7307" s="11">
        <v>5.3317875862121582</v>
      </c>
      <c r="F7307" s="11">
        <v>4.7231674194335938</v>
      </c>
    </row>
    <row r="7308" spans="1:6" hidden="1" x14ac:dyDescent="0.3">
      <c r="A7308" s="6">
        <v>53</v>
      </c>
      <c r="B7308" s="6" t="s">
        <v>187</v>
      </c>
      <c r="C7308" s="6" t="s">
        <v>382</v>
      </c>
      <c r="D7308" s="6" t="s">
        <v>188</v>
      </c>
      <c r="E7308" s="11">
        <v>7.4235196113586426</v>
      </c>
      <c r="F7308" s="11">
        <v>4.7231674194335938</v>
      </c>
    </row>
    <row r="7309" spans="1:6" hidden="1" x14ac:dyDescent="0.3">
      <c r="A7309" s="6">
        <v>53</v>
      </c>
      <c r="B7309" s="6" t="s">
        <v>187</v>
      </c>
      <c r="C7309" s="6" t="s">
        <v>383</v>
      </c>
      <c r="D7309" s="6" t="s">
        <v>188</v>
      </c>
      <c r="E7309" s="11">
        <v>7.9221253395080566</v>
      </c>
      <c r="F7309" s="11">
        <v>4.7231674194335938</v>
      </c>
    </row>
    <row r="7310" spans="1:6" hidden="1" x14ac:dyDescent="0.3">
      <c r="A7310" s="6">
        <v>53</v>
      </c>
      <c r="B7310" s="6" t="s">
        <v>187</v>
      </c>
      <c r="C7310" s="6" t="s">
        <v>384</v>
      </c>
      <c r="D7310" s="6" t="s">
        <v>188</v>
      </c>
      <c r="E7310" s="11">
        <v>9.0361251831054688</v>
      </c>
      <c r="F7310" s="11">
        <v>4.7231674194335938</v>
      </c>
    </row>
    <row r="7311" spans="1:6" hidden="1" x14ac:dyDescent="0.3">
      <c r="A7311" s="6">
        <v>53</v>
      </c>
      <c r="B7311" s="6" t="s">
        <v>187</v>
      </c>
      <c r="C7311" s="6" t="s">
        <v>385</v>
      </c>
      <c r="D7311" s="6" t="s">
        <v>188</v>
      </c>
      <c r="E7311" s="11">
        <v>4.5467338562011719</v>
      </c>
      <c r="F7311" s="11">
        <v>4.7231674194335938</v>
      </c>
    </row>
    <row r="7312" spans="1:6" hidden="1" x14ac:dyDescent="0.3">
      <c r="A7312" s="6">
        <v>53</v>
      </c>
      <c r="B7312" s="6" t="s">
        <v>187</v>
      </c>
      <c r="C7312" s="6" t="s">
        <v>386</v>
      </c>
      <c r="D7312" s="6" t="s">
        <v>188</v>
      </c>
      <c r="E7312" s="11">
        <v>3.9007341861724854</v>
      </c>
      <c r="F7312" s="11">
        <v>4.7231674194335938</v>
      </c>
    </row>
    <row r="7313" spans="1:6" hidden="1" x14ac:dyDescent="0.3">
      <c r="A7313" s="6">
        <v>53</v>
      </c>
      <c r="B7313" s="6" t="s">
        <v>187</v>
      </c>
      <c r="C7313" s="6" t="s">
        <v>387</v>
      </c>
      <c r="D7313" s="6" t="s">
        <v>188</v>
      </c>
      <c r="E7313" s="11">
        <v>8.9062786102294922</v>
      </c>
      <c r="F7313" s="11">
        <v>4.7231674194335938</v>
      </c>
    </row>
    <row r="7314" spans="1:6" hidden="1" x14ac:dyDescent="0.3">
      <c r="A7314" s="6">
        <v>53</v>
      </c>
      <c r="B7314" s="6" t="s">
        <v>187</v>
      </c>
      <c r="C7314" s="6" t="s">
        <v>388</v>
      </c>
      <c r="D7314" s="6" t="s">
        <v>188</v>
      </c>
      <c r="E7314" s="11">
        <v>3.1802647113800049</v>
      </c>
      <c r="F7314" s="11">
        <v>4.7231674194335938</v>
      </c>
    </row>
    <row r="7315" spans="1:6" hidden="1" x14ac:dyDescent="0.3">
      <c r="A7315" s="6">
        <v>53</v>
      </c>
      <c r="B7315" s="6" t="s">
        <v>187</v>
      </c>
      <c r="C7315" s="6" t="s">
        <v>389</v>
      </c>
      <c r="D7315" s="6" t="s">
        <v>188</v>
      </c>
      <c r="E7315" s="11">
        <v>6.7399420738220215</v>
      </c>
      <c r="F7315" s="11">
        <v>4.7231674194335938</v>
      </c>
    </row>
    <row r="7316" spans="1:6" hidden="1" x14ac:dyDescent="0.3">
      <c r="A7316" s="6">
        <v>53</v>
      </c>
      <c r="B7316" s="6" t="s">
        <v>187</v>
      </c>
      <c r="C7316" s="6" t="s">
        <v>390</v>
      </c>
      <c r="D7316" s="6" t="s">
        <v>188</v>
      </c>
      <c r="E7316" s="11">
        <v>4.892697811126709</v>
      </c>
      <c r="F7316" s="11">
        <v>4.7231674194335938</v>
      </c>
    </row>
    <row r="7317" spans="1:6" hidden="1" x14ac:dyDescent="0.3">
      <c r="A7317" s="6">
        <v>53</v>
      </c>
      <c r="B7317" s="6" t="s">
        <v>187</v>
      </c>
      <c r="C7317" s="6" t="s">
        <v>391</v>
      </c>
      <c r="D7317" s="6" t="s">
        <v>188</v>
      </c>
      <c r="E7317" s="11">
        <v>3.0731902122497559</v>
      </c>
      <c r="F7317" s="11">
        <v>4.7231674194335938</v>
      </c>
    </row>
    <row r="7318" spans="1:6" hidden="1" x14ac:dyDescent="0.3">
      <c r="A7318" s="6">
        <v>53</v>
      </c>
      <c r="B7318" s="6" t="s">
        <v>187</v>
      </c>
      <c r="C7318" s="6" t="s">
        <v>392</v>
      </c>
      <c r="D7318" s="6" t="s">
        <v>188</v>
      </c>
      <c r="E7318" s="11">
        <v>3.0896143913269043</v>
      </c>
      <c r="F7318" s="11">
        <v>4.7231674194335938</v>
      </c>
    </row>
    <row r="7319" spans="1:6" hidden="1" x14ac:dyDescent="0.3">
      <c r="A7319" s="6">
        <v>53</v>
      </c>
      <c r="B7319" s="6" t="s">
        <v>187</v>
      </c>
      <c r="C7319" s="6" t="s">
        <v>393</v>
      </c>
      <c r="D7319" s="6" t="s">
        <v>188</v>
      </c>
      <c r="E7319" s="11">
        <v>5.5852847099304199</v>
      </c>
      <c r="F7319" s="11">
        <v>4.7231674194335938</v>
      </c>
    </row>
    <row r="7320" spans="1:6" hidden="1" x14ac:dyDescent="0.3">
      <c r="A7320" s="6">
        <v>53</v>
      </c>
      <c r="B7320" s="6" t="s">
        <v>187</v>
      </c>
      <c r="C7320" s="6" t="s">
        <v>394</v>
      </c>
      <c r="D7320" s="6" t="s">
        <v>188</v>
      </c>
      <c r="E7320" s="11">
        <v>6.8251585960388184</v>
      </c>
      <c r="F7320" s="11">
        <v>4.7231674194335938</v>
      </c>
    </row>
    <row r="7321" spans="1:6" hidden="1" x14ac:dyDescent="0.3">
      <c r="A7321" s="6">
        <v>53</v>
      </c>
      <c r="B7321" s="6" t="s">
        <v>187</v>
      </c>
      <c r="C7321" s="6" t="s">
        <v>395</v>
      </c>
      <c r="D7321" s="6" t="s">
        <v>188</v>
      </c>
      <c r="E7321" s="11">
        <v>4.2474880218505859</v>
      </c>
      <c r="F7321" s="11">
        <v>4.7231674194335938</v>
      </c>
    </row>
    <row r="7322" spans="1:6" hidden="1" x14ac:dyDescent="0.3">
      <c r="A7322" s="6">
        <v>53</v>
      </c>
      <c r="B7322" s="6" t="s">
        <v>187</v>
      </c>
      <c r="C7322" s="6" t="s">
        <v>396</v>
      </c>
      <c r="D7322" s="6" t="s">
        <v>188</v>
      </c>
      <c r="E7322" s="11">
        <v>3.0742866992950439</v>
      </c>
      <c r="F7322" s="11">
        <v>4.7231674194335938</v>
      </c>
    </row>
    <row r="7323" spans="1:6" hidden="1" x14ac:dyDescent="0.3">
      <c r="A7323" s="6">
        <v>53</v>
      </c>
      <c r="B7323" s="6" t="s">
        <v>187</v>
      </c>
      <c r="C7323" s="6" t="s">
        <v>397</v>
      </c>
      <c r="D7323" s="6" t="s">
        <v>188</v>
      </c>
      <c r="E7323" s="11">
        <v>3.0784101486206055</v>
      </c>
      <c r="F7323" s="11">
        <v>4.7231674194335938</v>
      </c>
    </row>
    <row r="7324" spans="1:6" hidden="1" x14ac:dyDescent="0.3">
      <c r="A7324" s="6">
        <v>53</v>
      </c>
      <c r="B7324" s="6" t="s">
        <v>187</v>
      </c>
      <c r="C7324" s="6" t="s">
        <v>398</v>
      </c>
      <c r="D7324" s="6" t="s">
        <v>188</v>
      </c>
      <c r="E7324" s="11">
        <v>6.6029095649719238</v>
      </c>
      <c r="F7324" s="11">
        <v>4.7231674194335938</v>
      </c>
    </row>
    <row r="7325" spans="1:6" hidden="1" x14ac:dyDescent="0.3">
      <c r="A7325" s="6">
        <v>53</v>
      </c>
      <c r="B7325" s="6" t="s">
        <v>187</v>
      </c>
      <c r="C7325" s="6" t="s">
        <v>399</v>
      </c>
      <c r="D7325" s="6" t="s">
        <v>188</v>
      </c>
      <c r="E7325" s="11">
        <v>3.6550235748291016</v>
      </c>
      <c r="F7325" s="11">
        <v>4.7231674194335938</v>
      </c>
    </row>
    <row r="7326" spans="1:6" hidden="1" x14ac:dyDescent="0.3">
      <c r="A7326" s="6">
        <v>53</v>
      </c>
      <c r="B7326" s="6" t="s">
        <v>187</v>
      </c>
      <c r="C7326" s="6" t="s">
        <v>400</v>
      </c>
      <c r="D7326" s="6" t="s">
        <v>188</v>
      </c>
      <c r="E7326" s="11">
        <v>3.8817257881164551</v>
      </c>
      <c r="F7326" s="11">
        <v>4.7231674194335938</v>
      </c>
    </row>
    <row r="7327" spans="1:6" hidden="1" x14ac:dyDescent="0.3">
      <c r="A7327" s="6">
        <v>53</v>
      </c>
      <c r="B7327" s="6" t="s">
        <v>187</v>
      </c>
      <c r="C7327" s="6" t="s">
        <v>401</v>
      </c>
      <c r="D7327" s="6" t="s">
        <v>188</v>
      </c>
      <c r="E7327" s="11">
        <v>11.944705009460449</v>
      </c>
      <c r="F7327" s="11">
        <v>4.7231674194335938</v>
      </c>
    </row>
    <row r="7328" spans="1:6" hidden="1" x14ac:dyDescent="0.3">
      <c r="A7328" s="6">
        <v>53</v>
      </c>
      <c r="B7328" s="6" t="s">
        <v>187</v>
      </c>
      <c r="C7328" s="6" t="s">
        <v>402</v>
      </c>
      <c r="D7328" s="6" t="s">
        <v>188</v>
      </c>
      <c r="E7328" s="11">
        <v>3.2566680908203125</v>
      </c>
      <c r="F7328" s="11">
        <v>4.7231674194335938</v>
      </c>
    </row>
    <row r="7329" spans="1:6" hidden="1" x14ac:dyDescent="0.3">
      <c r="A7329" s="6">
        <v>53</v>
      </c>
      <c r="B7329" s="6" t="s">
        <v>187</v>
      </c>
      <c r="C7329" s="6" t="s">
        <v>403</v>
      </c>
      <c r="D7329" s="6" t="s">
        <v>188</v>
      </c>
      <c r="E7329" s="11">
        <v>5.0824317932128906</v>
      </c>
      <c r="F7329" s="11">
        <v>4.7231674194335938</v>
      </c>
    </row>
    <row r="7330" spans="1:6" hidden="1" x14ac:dyDescent="0.3">
      <c r="A7330" s="6">
        <v>53</v>
      </c>
      <c r="B7330" s="6" t="s">
        <v>187</v>
      </c>
      <c r="C7330" s="6" t="s">
        <v>404</v>
      </c>
      <c r="D7330" s="6" t="s">
        <v>188</v>
      </c>
      <c r="E7330" s="11">
        <v>3.3108422756195068</v>
      </c>
      <c r="F7330" s="11">
        <v>4.7231674194335938</v>
      </c>
    </row>
    <row r="7331" spans="1:6" hidden="1" x14ac:dyDescent="0.3">
      <c r="A7331" s="6">
        <v>53</v>
      </c>
      <c r="B7331" s="6" t="s">
        <v>187</v>
      </c>
      <c r="C7331" s="6" t="s">
        <v>405</v>
      </c>
      <c r="D7331" s="6" t="s">
        <v>188</v>
      </c>
      <c r="E7331" s="11">
        <v>3.2134172916412354</v>
      </c>
      <c r="F7331" s="11">
        <v>4.7231674194335938</v>
      </c>
    </row>
    <row r="7332" spans="1:6" hidden="1" x14ac:dyDescent="0.3">
      <c r="A7332" s="6">
        <v>53</v>
      </c>
      <c r="B7332" s="6" t="s">
        <v>187</v>
      </c>
      <c r="C7332" s="6" t="s">
        <v>406</v>
      </c>
      <c r="D7332" s="6" t="s">
        <v>188</v>
      </c>
      <c r="E7332" s="11">
        <v>6.4576907157897949</v>
      </c>
      <c r="F7332" s="11">
        <v>4.7231674194335938</v>
      </c>
    </row>
    <row r="7333" spans="1:6" hidden="1" x14ac:dyDescent="0.3">
      <c r="A7333" s="6">
        <v>53</v>
      </c>
      <c r="B7333" s="6" t="s">
        <v>187</v>
      </c>
      <c r="C7333" s="6" t="s">
        <v>407</v>
      </c>
      <c r="D7333" s="6" t="s">
        <v>188</v>
      </c>
      <c r="E7333" s="11">
        <v>3.583566427230835</v>
      </c>
      <c r="F7333" s="11">
        <v>4.7231674194335938</v>
      </c>
    </row>
    <row r="7334" spans="1:6" hidden="1" x14ac:dyDescent="0.3">
      <c r="A7334" s="6">
        <v>53</v>
      </c>
      <c r="B7334" s="6" t="s">
        <v>187</v>
      </c>
      <c r="C7334" s="6" t="s">
        <v>408</v>
      </c>
      <c r="D7334" s="6" t="s">
        <v>188</v>
      </c>
      <c r="E7334" s="11">
        <v>7.4671316146850586</v>
      </c>
      <c r="F7334" s="11">
        <v>4.7231674194335938</v>
      </c>
    </row>
    <row r="7335" spans="1:6" hidden="1" x14ac:dyDescent="0.3">
      <c r="A7335" s="6">
        <v>53</v>
      </c>
      <c r="B7335" s="6" t="s">
        <v>187</v>
      </c>
      <c r="C7335" s="6" t="s">
        <v>409</v>
      </c>
      <c r="D7335" s="6" t="s">
        <v>188</v>
      </c>
      <c r="E7335" s="11">
        <v>6.5027298927307129</v>
      </c>
      <c r="F7335" s="11">
        <v>4.7231674194335938</v>
      </c>
    </row>
    <row r="7336" spans="1:6" hidden="1" x14ac:dyDescent="0.3">
      <c r="A7336" s="6">
        <v>53</v>
      </c>
      <c r="B7336" s="6" t="s">
        <v>187</v>
      </c>
      <c r="C7336" s="6" t="s">
        <v>410</v>
      </c>
      <c r="D7336" s="6" t="s">
        <v>188</v>
      </c>
      <c r="E7336" s="11">
        <v>4.0481176376342773</v>
      </c>
      <c r="F7336" s="11">
        <v>4.7231674194335938</v>
      </c>
    </row>
    <row r="7337" spans="1:6" hidden="1" x14ac:dyDescent="0.3">
      <c r="A7337" s="6">
        <v>53</v>
      </c>
      <c r="B7337" s="6" t="s">
        <v>187</v>
      </c>
      <c r="C7337" s="6" t="s">
        <v>411</v>
      </c>
      <c r="D7337" s="6" t="s">
        <v>188</v>
      </c>
      <c r="E7337" s="11">
        <v>4.6360034942626953</v>
      </c>
      <c r="F7337" s="11">
        <v>4.7231674194335938</v>
      </c>
    </row>
    <row r="7338" spans="1:6" hidden="1" x14ac:dyDescent="0.3">
      <c r="A7338" s="6">
        <v>53</v>
      </c>
      <c r="B7338" s="6" t="s">
        <v>187</v>
      </c>
      <c r="C7338" s="6" t="s">
        <v>412</v>
      </c>
      <c r="D7338" s="6" t="s">
        <v>188</v>
      </c>
      <c r="E7338" s="11">
        <v>3.9977347850799561</v>
      </c>
      <c r="F7338" s="11">
        <v>4.7231674194335938</v>
      </c>
    </row>
    <row r="7339" spans="1:6" hidden="1" x14ac:dyDescent="0.3">
      <c r="A7339" s="6">
        <v>53</v>
      </c>
      <c r="B7339" s="6" t="s">
        <v>187</v>
      </c>
      <c r="C7339" s="6" t="s">
        <v>413</v>
      </c>
      <c r="D7339" s="6" t="s">
        <v>188</v>
      </c>
      <c r="E7339" s="11">
        <v>3.0868926048278809</v>
      </c>
      <c r="F7339" s="11">
        <v>4.7231674194335938</v>
      </c>
    </row>
    <row r="7340" spans="1:6" hidden="1" x14ac:dyDescent="0.3">
      <c r="A7340" s="6">
        <v>53</v>
      </c>
      <c r="B7340" s="6" t="s">
        <v>187</v>
      </c>
      <c r="C7340" s="6" t="s">
        <v>414</v>
      </c>
      <c r="D7340" s="6" t="s">
        <v>188</v>
      </c>
      <c r="E7340" s="11">
        <v>3.9441616535186768</v>
      </c>
      <c r="F7340" s="11">
        <v>4.7231674194335938</v>
      </c>
    </row>
    <row r="7341" spans="1:6" hidden="1" x14ac:dyDescent="0.3">
      <c r="A7341" s="6">
        <v>53</v>
      </c>
      <c r="B7341" s="6" t="s">
        <v>187</v>
      </c>
      <c r="C7341" s="6" t="s">
        <v>415</v>
      </c>
      <c r="D7341" s="6" t="s">
        <v>188</v>
      </c>
      <c r="E7341" s="11">
        <v>6.0080842971801758</v>
      </c>
      <c r="F7341" s="11">
        <v>4.7231674194335938</v>
      </c>
    </row>
    <row r="7342" spans="1:6" hidden="1" x14ac:dyDescent="0.3">
      <c r="A7342" s="6">
        <v>53</v>
      </c>
      <c r="B7342" s="6" t="s">
        <v>187</v>
      </c>
      <c r="C7342" s="6" t="s">
        <v>416</v>
      </c>
      <c r="D7342" s="6" t="s">
        <v>188</v>
      </c>
      <c r="E7342" s="11">
        <v>4.4964137077331543</v>
      </c>
      <c r="F7342" s="11">
        <v>4.7231674194335938</v>
      </c>
    </row>
    <row r="7343" spans="1:6" hidden="1" x14ac:dyDescent="0.3">
      <c r="A7343" s="6">
        <v>53</v>
      </c>
      <c r="B7343" s="6" t="s">
        <v>187</v>
      </c>
      <c r="C7343" s="6" t="s">
        <v>417</v>
      </c>
      <c r="D7343" s="6" t="s">
        <v>188</v>
      </c>
      <c r="E7343" s="11">
        <v>5.0687713623046875</v>
      </c>
      <c r="F7343" s="11">
        <v>4.7231674194335938</v>
      </c>
    </row>
    <row r="7344" spans="1:6" hidden="1" x14ac:dyDescent="0.3">
      <c r="A7344" s="6">
        <v>53</v>
      </c>
      <c r="B7344" s="6" t="s">
        <v>187</v>
      </c>
      <c r="C7344" s="6" t="s">
        <v>418</v>
      </c>
      <c r="D7344" s="6" t="s">
        <v>188</v>
      </c>
      <c r="E7344" s="11">
        <v>2.7701878547668457</v>
      </c>
      <c r="F7344" s="11">
        <v>4.7231674194335938</v>
      </c>
    </row>
    <row r="7345" spans="1:6" hidden="1" x14ac:dyDescent="0.3">
      <c r="A7345" s="6">
        <v>53</v>
      </c>
      <c r="B7345" s="6" t="s">
        <v>187</v>
      </c>
      <c r="C7345" s="6" t="s">
        <v>419</v>
      </c>
      <c r="D7345" s="6" t="s">
        <v>188</v>
      </c>
      <c r="E7345" s="11">
        <v>3.0785927772521973</v>
      </c>
      <c r="F7345" s="11">
        <v>4.7231674194335938</v>
      </c>
    </row>
    <row r="7346" spans="1:6" hidden="1" x14ac:dyDescent="0.3">
      <c r="A7346" s="6">
        <v>53</v>
      </c>
      <c r="B7346" s="6" t="s">
        <v>187</v>
      </c>
      <c r="C7346" s="6" t="s">
        <v>420</v>
      </c>
      <c r="D7346" s="6" t="s">
        <v>188</v>
      </c>
      <c r="E7346" s="11">
        <v>3.3173356056213379</v>
      </c>
      <c r="F7346" s="11">
        <v>4.7231674194335938</v>
      </c>
    </row>
    <row r="7347" spans="1:6" hidden="1" x14ac:dyDescent="0.3">
      <c r="A7347" s="6">
        <v>53</v>
      </c>
      <c r="B7347" s="6" t="s">
        <v>187</v>
      </c>
      <c r="C7347" s="6" t="s">
        <v>421</v>
      </c>
      <c r="D7347" s="6" t="s">
        <v>188</v>
      </c>
      <c r="E7347" s="11">
        <v>4.109377384185791</v>
      </c>
      <c r="F7347" s="11">
        <v>4.7231674194335938</v>
      </c>
    </row>
    <row r="7348" spans="1:6" hidden="1" x14ac:dyDescent="0.3">
      <c r="A7348" s="6">
        <v>53</v>
      </c>
      <c r="B7348" s="6" t="s">
        <v>187</v>
      </c>
      <c r="C7348" s="6" t="s">
        <v>422</v>
      </c>
      <c r="D7348" s="6" t="s">
        <v>188</v>
      </c>
      <c r="E7348" s="11">
        <v>17.918914794921875</v>
      </c>
      <c r="F7348" s="11">
        <v>4.7231674194335938</v>
      </c>
    </row>
    <row r="7349" spans="1:6" hidden="1" x14ac:dyDescent="0.3">
      <c r="A7349" s="6">
        <v>53</v>
      </c>
      <c r="B7349" s="6" t="s">
        <v>187</v>
      </c>
      <c r="C7349" s="6" t="s">
        <v>423</v>
      </c>
      <c r="D7349" s="6" t="s">
        <v>188</v>
      </c>
      <c r="E7349" s="11">
        <v>5.9736042022705078</v>
      </c>
      <c r="F7349" s="11">
        <v>4.7231674194335938</v>
      </c>
    </row>
    <row r="7350" spans="1:6" hidden="1" x14ac:dyDescent="0.3">
      <c r="A7350" s="6">
        <v>53</v>
      </c>
      <c r="B7350" s="6" t="s">
        <v>187</v>
      </c>
      <c r="C7350" s="6" t="s">
        <v>424</v>
      </c>
      <c r="D7350" s="6" t="s">
        <v>188</v>
      </c>
      <c r="E7350" s="11">
        <v>3.8238935470581055</v>
      </c>
      <c r="F7350" s="11">
        <v>4.7231674194335938</v>
      </c>
    </row>
    <row r="7351" spans="1:6" hidden="1" x14ac:dyDescent="0.3">
      <c r="A7351" s="6">
        <v>53</v>
      </c>
      <c r="B7351" s="6" t="s">
        <v>187</v>
      </c>
      <c r="C7351" s="6" t="s">
        <v>425</v>
      </c>
      <c r="D7351" s="6" t="s">
        <v>188</v>
      </c>
      <c r="E7351" s="11">
        <v>3.886962890625</v>
      </c>
      <c r="F7351" s="11">
        <v>4.7231674194335938</v>
      </c>
    </row>
    <row r="7352" spans="1:6" hidden="1" x14ac:dyDescent="0.3">
      <c r="A7352" s="6">
        <v>53</v>
      </c>
      <c r="B7352" s="6" t="s">
        <v>187</v>
      </c>
      <c r="C7352" s="6" t="s">
        <v>426</v>
      </c>
      <c r="D7352" s="6" t="s">
        <v>188</v>
      </c>
      <c r="E7352" s="11">
        <v>4.362642765045166</v>
      </c>
      <c r="F7352" s="11">
        <v>4.7231674194335938</v>
      </c>
    </row>
    <row r="7353" spans="1:6" hidden="1" x14ac:dyDescent="0.3">
      <c r="A7353" s="6">
        <v>53</v>
      </c>
      <c r="B7353" s="6" t="s">
        <v>187</v>
      </c>
      <c r="C7353" s="6" t="s">
        <v>427</v>
      </c>
      <c r="D7353" s="6" t="s">
        <v>188</v>
      </c>
      <c r="E7353" s="11">
        <v>6.033848762512207</v>
      </c>
      <c r="F7353" s="11">
        <v>4.7231674194335938</v>
      </c>
    </row>
    <row r="7354" spans="1:6" hidden="1" x14ac:dyDescent="0.3">
      <c r="A7354" s="6">
        <v>53</v>
      </c>
      <c r="B7354" s="6" t="s">
        <v>187</v>
      </c>
      <c r="C7354" s="6" t="s">
        <v>428</v>
      </c>
      <c r="D7354" s="6" t="s">
        <v>188</v>
      </c>
      <c r="E7354" s="11">
        <v>5.0876288414001465</v>
      </c>
      <c r="F7354" s="11">
        <v>4.7231674194335938</v>
      </c>
    </row>
    <row r="7355" spans="1:6" hidden="1" x14ac:dyDescent="0.3">
      <c r="A7355" s="6">
        <v>53</v>
      </c>
      <c r="B7355" s="6" t="s">
        <v>187</v>
      </c>
      <c r="C7355" s="6" t="s">
        <v>429</v>
      </c>
      <c r="D7355" s="6" t="s">
        <v>188</v>
      </c>
      <c r="E7355" s="11">
        <v>8.7662019729614258</v>
      </c>
      <c r="F7355" s="11">
        <v>4.7231674194335938</v>
      </c>
    </row>
    <row r="7356" spans="1:6" hidden="1" x14ac:dyDescent="0.3">
      <c r="A7356" s="6">
        <v>53</v>
      </c>
      <c r="B7356" s="6" t="s">
        <v>187</v>
      </c>
      <c r="C7356" s="6" t="s">
        <v>430</v>
      </c>
      <c r="D7356" s="6" t="s">
        <v>188</v>
      </c>
      <c r="E7356" s="11">
        <v>4.2162914276123047</v>
      </c>
      <c r="F7356" s="11">
        <v>4.7231674194335938</v>
      </c>
    </row>
    <row r="7357" spans="1:6" hidden="1" x14ac:dyDescent="0.3">
      <c r="A7357" s="6">
        <v>53</v>
      </c>
      <c r="B7357" s="6" t="s">
        <v>187</v>
      </c>
      <c r="C7357" s="6" t="s">
        <v>431</v>
      </c>
      <c r="D7357" s="6" t="s">
        <v>188</v>
      </c>
      <c r="E7357" s="11">
        <v>5.5474767684936523</v>
      </c>
      <c r="F7357" s="11">
        <v>4.7231674194335938</v>
      </c>
    </row>
    <row r="7358" spans="1:6" hidden="1" x14ac:dyDescent="0.3">
      <c r="A7358" s="6">
        <v>53</v>
      </c>
      <c r="B7358" s="6" t="s">
        <v>187</v>
      </c>
      <c r="C7358" s="6" t="s">
        <v>432</v>
      </c>
      <c r="D7358" s="6" t="s">
        <v>188</v>
      </c>
      <c r="E7358" s="11">
        <v>4.0629086494445801</v>
      </c>
      <c r="F7358" s="11">
        <v>4.7231674194335938</v>
      </c>
    </row>
    <row r="7359" spans="1:6" hidden="1" x14ac:dyDescent="0.3">
      <c r="A7359" s="6">
        <v>53</v>
      </c>
      <c r="B7359" s="6" t="s">
        <v>187</v>
      </c>
      <c r="C7359" s="6" t="s">
        <v>433</v>
      </c>
      <c r="D7359" s="6" t="s">
        <v>188</v>
      </c>
      <c r="E7359" s="11">
        <v>6.5205626487731934</v>
      </c>
      <c r="F7359" s="11">
        <v>4.7231674194335938</v>
      </c>
    </row>
    <row r="7360" spans="1:6" hidden="1" x14ac:dyDescent="0.3">
      <c r="A7360" s="6">
        <v>53</v>
      </c>
      <c r="B7360" s="6" t="s">
        <v>187</v>
      </c>
      <c r="C7360" s="6" t="s">
        <v>434</v>
      </c>
      <c r="D7360" s="6" t="s">
        <v>188</v>
      </c>
      <c r="E7360" s="11">
        <v>3.2737343311309814</v>
      </c>
      <c r="F7360" s="11">
        <v>4.7231674194335938</v>
      </c>
    </row>
    <row r="7361" spans="1:6" hidden="1" x14ac:dyDescent="0.3">
      <c r="A7361" s="6">
        <v>53</v>
      </c>
      <c r="B7361" s="6" t="s">
        <v>187</v>
      </c>
      <c r="C7361" s="6" t="s">
        <v>435</v>
      </c>
      <c r="D7361" s="6" t="s">
        <v>188</v>
      </c>
      <c r="E7361" s="11">
        <v>4.5403366088867188</v>
      </c>
      <c r="F7361" s="11">
        <v>4.7231674194335938</v>
      </c>
    </row>
    <row r="7362" spans="1:6" hidden="1" x14ac:dyDescent="0.3">
      <c r="A7362" s="6">
        <v>53</v>
      </c>
      <c r="B7362" s="6" t="s">
        <v>187</v>
      </c>
      <c r="C7362" s="6" t="s">
        <v>436</v>
      </c>
      <c r="D7362" s="6" t="s">
        <v>188</v>
      </c>
      <c r="E7362" s="11">
        <v>4.8953838348388672</v>
      </c>
      <c r="F7362" s="11">
        <v>4.7231674194335938</v>
      </c>
    </row>
    <row r="7363" spans="1:6" hidden="1" x14ac:dyDescent="0.3">
      <c r="A7363" s="6">
        <v>53</v>
      </c>
      <c r="B7363" s="6" t="s">
        <v>187</v>
      </c>
      <c r="C7363" s="6" t="s">
        <v>437</v>
      </c>
      <c r="D7363" s="6" t="s">
        <v>188</v>
      </c>
      <c r="E7363" s="11">
        <v>3.677757740020752</v>
      </c>
      <c r="F7363" s="11">
        <v>4.7231674194335938</v>
      </c>
    </row>
    <row r="7364" spans="1:6" hidden="1" x14ac:dyDescent="0.3">
      <c r="A7364" s="6">
        <v>53</v>
      </c>
      <c r="B7364" s="6" t="s">
        <v>187</v>
      </c>
      <c r="C7364" s="6" t="s">
        <v>438</v>
      </c>
      <c r="D7364" s="6" t="s">
        <v>188</v>
      </c>
      <c r="E7364" s="11">
        <v>3.0458757877349854</v>
      </c>
      <c r="F7364" s="11">
        <v>4.7231674194335938</v>
      </c>
    </row>
    <row r="7365" spans="1:6" hidden="1" x14ac:dyDescent="0.3">
      <c r="A7365" s="6">
        <v>53</v>
      </c>
      <c r="B7365" s="6" t="s">
        <v>187</v>
      </c>
      <c r="C7365" s="6" t="s">
        <v>439</v>
      </c>
      <c r="D7365" s="6" t="s">
        <v>188</v>
      </c>
      <c r="E7365" s="11">
        <v>4.4634513854980469</v>
      </c>
      <c r="F7365" s="11">
        <v>4.7231674194335938</v>
      </c>
    </row>
    <row r="7366" spans="1:6" hidden="1" x14ac:dyDescent="0.3">
      <c r="A7366" s="6">
        <v>53</v>
      </c>
      <c r="B7366" s="6" t="s">
        <v>187</v>
      </c>
      <c r="C7366" s="6" t="s">
        <v>440</v>
      </c>
      <c r="D7366" s="6" t="s">
        <v>188</v>
      </c>
      <c r="E7366" s="11">
        <v>2.7497107982635498</v>
      </c>
      <c r="F7366" s="11">
        <v>4.7231674194335938</v>
      </c>
    </row>
    <row r="7367" spans="1:6" hidden="1" x14ac:dyDescent="0.3">
      <c r="A7367" s="6">
        <v>53</v>
      </c>
      <c r="B7367" s="6" t="s">
        <v>187</v>
      </c>
      <c r="C7367" s="6" t="s">
        <v>441</v>
      </c>
      <c r="D7367" s="6" t="s">
        <v>188</v>
      </c>
      <c r="E7367" s="11">
        <v>2.6118209362030029</v>
      </c>
      <c r="F7367" s="11">
        <v>4.7231674194335938</v>
      </c>
    </row>
    <row r="7368" spans="1:6" hidden="1" x14ac:dyDescent="0.3">
      <c r="A7368" s="6">
        <v>53</v>
      </c>
      <c r="B7368" s="6" t="s">
        <v>187</v>
      </c>
      <c r="C7368" s="6" t="s">
        <v>442</v>
      </c>
      <c r="D7368" s="6" t="s">
        <v>188</v>
      </c>
      <c r="E7368" s="11">
        <v>4.8801703453063965</v>
      </c>
      <c r="F7368" s="11">
        <v>4.7231674194335938</v>
      </c>
    </row>
    <row r="7369" spans="1:6" hidden="1" x14ac:dyDescent="0.3">
      <c r="A7369" s="6">
        <v>53</v>
      </c>
      <c r="B7369" s="6" t="s">
        <v>187</v>
      </c>
      <c r="C7369" s="6" t="s">
        <v>443</v>
      </c>
      <c r="D7369" s="6" t="s">
        <v>188</v>
      </c>
      <c r="E7369" s="11">
        <v>3.3310348987579346</v>
      </c>
      <c r="F7369" s="11">
        <v>4.7231674194335938</v>
      </c>
    </row>
    <row r="7370" spans="1:6" hidden="1" x14ac:dyDescent="0.3">
      <c r="A7370" s="6">
        <v>53</v>
      </c>
      <c r="B7370" s="6" t="s">
        <v>187</v>
      </c>
      <c r="C7370" s="6" t="s">
        <v>444</v>
      </c>
      <c r="D7370" s="6" t="s">
        <v>188</v>
      </c>
      <c r="E7370" s="11">
        <v>3.112544059753418</v>
      </c>
      <c r="F7370" s="11">
        <v>4.7231674194335938</v>
      </c>
    </row>
    <row r="7371" spans="1:6" hidden="1" x14ac:dyDescent="0.3">
      <c r="A7371" s="6">
        <v>53</v>
      </c>
      <c r="B7371" s="6" t="s">
        <v>187</v>
      </c>
      <c r="C7371" s="6" t="s">
        <v>445</v>
      </c>
      <c r="D7371" s="6" t="s">
        <v>188</v>
      </c>
      <c r="E7371" s="11">
        <v>3.3242244720458984</v>
      </c>
      <c r="F7371" s="11">
        <v>4.7231674194335938</v>
      </c>
    </row>
    <row r="7372" spans="1:6" hidden="1" x14ac:dyDescent="0.3">
      <c r="A7372" s="6">
        <v>53</v>
      </c>
      <c r="B7372" s="6" t="s">
        <v>187</v>
      </c>
      <c r="C7372" s="6" t="s">
        <v>446</v>
      </c>
      <c r="D7372" s="6" t="s">
        <v>188</v>
      </c>
      <c r="E7372" s="11">
        <v>7.459984302520752</v>
      </c>
      <c r="F7372" s="11">
        <v>4.7231674194335938</v>
      </c>
    </row>
    <row r="7373" spans="1:6" hidden="1" x14ac:dyDescent="0.3">
      <c r="A7373" s="6">
        <v>53</v>
      </c>
      <c r="B7373" s="6" t="s">
        <v>187</v>
      </c>
      <c r="C7373" s="6" t="s">
        <v>447</v>
      </c>
      <c r="D7373" s="6" t="s">
        <v>188</v>
      </c>
      <c r="E7373" s="11">
        <v>5.5961575508117676</v>
      </c>
      <c r="F7373" s="11">
        <v>4.7231674194335938</v>
      </c>
    </row>
    <row r="7374" spans="1:6" hidden="1" x14ac:dyDescent="0.3">
      <c r="A7374" s="6">
        <v>53</v>
      </c>
      <c r="B7374" s="6" t="s">
        <v>187</v>
      </c>
      <c r="C7374" s="6" t="s">
        <v>448</v>
      </c>
      <c r="D7374" s="6" t="s">
        <v>188</v>
      </c>
      <c r="E7374" s="11">
        <v>3.4040329456329346</v>
      </c>
      <c r="F7374" s="11">
        <v>4.7231674194335938</v>
      </c>
    </row>
    <row r="7375" spans="1:6" hidden="1" x14ac:dyDescent="0.3">
      <c r="A7375" s="6">
        <v>53</v>
      </c>
      <c r="B7375" s="6" t="s">
        <v>187</v>
      </c>
      <c r="C7375" s="6" t="s">
        <v>449</v>
      </c>
      <c r="D7375" s="6" t="s">
        <v>188</v>
      </c>
      <c r="E7375" s="11">
        <v>2.7565062046051025</v>
      </c>
      <c r="F7375" s="11">
        <v>4.7231674194335938</v>
      </c>
    </row>
    <row r="7376" spans="1:6" hidden="1" x14ac:dyDescent="0.3">
      <c r="A7376" s="6">
        <v>53</v>
      </c>
      <c r="B7376" s="6" t="s">
        <v>187</v>
      </c>
      <c r="C7376" s="6" t="s">
        <v>450</v>
      </c>
      <c r="D7376" s="6" t="s">
        <v>188</v>
      </c>
      <c r="E7376" s="11">
        <v>4.5554790496826172</v>
      </c>
      <c r="F7376" s="11">
        <v>4.7231674194335938</v>
      </c>
    </row>
    <row r="7377" spans="1:6" hidden="1" x14ac:dyDescent="0.3">
      <c r="A7377" s="6">
        <v>53</v>
      </c>
      <c r="B7377" s="6" t="s">
        <v>187</v>
      </c>
      <c r="C7377" s="6" t="s">
        <v>451</v>
      </c>
      <c r="D7377" s="6" t="s">
        <v>188</v>
      </c>
      <c r="E7377" s="11">
        <v>3.2980184555053711</v>
      </c>
      <c r="F7377" s="11">
        <v>4.7231674194335938</v>
      </c>
    </row>
    <row r="7378" spans="1:6" hidden="1" x14ac:dyDescent="0.3">
      <c r="A7378" s="6">
        <v>53</v>
      </c>
      <c r="B7378" s="6" t="s">
        <v>187</v>
      </c>
      <c r="C7378" s="6" t="s">
        <v>452</v>
      </c>
      <c r="D7378" s="6" t="s">
        <v>188</v>
      </c>
      <c r="E7378" s="11">
        <v>3.6250910758972168</v>
      </c>
      <c r="F7378" s="11">
        <v>4.7231674194335938</v>
      </c>
    </row>
    <row r="7379" spans="1:6" hidden="1" x14ac:dyDescent="0.3">
      <c r="A7379" s="6">
        <v>53</v>
      </c>
      <c r="B7379" s="6" t="s">
        <v>187</v>
      </c>
      <c r="C7379" s="6" t="s">
        <v>453</v>
      </c>
      <c r="D7379" s="6" t="s">
        <v>188</v>
      </c>
      <c r="E7379" s="11">
        <v>2.8345744609832764</v>
      </c>
      <c r="F7379" s="11">
        <v>4.7231674194335938</v>
      </c>
    </row>
    <row r="7380" spans="1:6" hidden="1" x14ac:dyDescent="0.3">
      <c r="A7380" s="6">
        <v>53</v>
      </c>
      <c r="B7380" s="6" t="s">
        <v>187</v>
      </c>
      <c r="C7380" s="6" t="s">
        <v>454</v>
      </c>
      <c r="D7380" s="6" t="s">
        <v>188</v>
      </c>
      <c r="E7380" s="11">
        <v>5.5612878799438477</v>
      </c>
      <c r="F7380" s="11">
        <v>4.7231674194335938</v>
      </c>
    </row>
    <row r="7381" spans="1:6" hidden="1" x14ac:dyDescent="0.3">
      <c r="A7381" s="6">
        <v>53</v>
      </c>
      <c r="B7381" s="6" t="s">
        <v>187</v>
      </c>
      <c r="C7381" s="6" t="s">
        <v>455</v>
      </c>
      <c r="D7381" s="6" t="s">
        <v>188</v>
      </c>
      <c r="E7381" s="11">
        <v>3.8921353816986084</v>
      </c>
      <c r="F7381" s="11">
        <v>4.7231674194335938</v>
      </c>
    </row>
    <row r="7382" spans="1:6" hidden="1" x14ac:dyDescent="0.3">
      <c r="A7382" s="6">
        <v>53</v>
      </c>
      <c r="B7382" s="6" t="s">
        <v>187</v>
      </c>
      <c r="C7382" s="6" t="s">
        <v>456</v>
      </c>
      <c r="D7382" s="6" t="s">
        <v>188</v>
      </c>
      <c r="E7382" s="11">
        <v>5.7344303131103516</v>
      </c>
      <c r="F7382" s="11">
        <v>4.7231674194335938</v>
      </c>
    </row>
    <row r="7383" spans="1:6" hidden="1" x14ac:dyDescent="0.3">
      <c r="A7383" s="6">
        <v>53</v>
      </c>
      <c r="B7383" s="6" t="s">
        <v>187</v>
      </c>
      <c r="C7383" s="6" t="s">
        <v>457</v>
      </c>
      <c r="D7383" s="6" t="s">
        <v>188</v>
      </c>
      <c r="E7383" s="11">
        <v>4.789853572845459</v>
      </c>
      <c r="F7383" s="11">
        <v>4.7231674194335938</v>
      </c>
    </row>
    <row r="7384" spans="1:6" hidden="1" x14ac:dyDescent="0.3">
      <c r="A7384" s="6">
        <v>53</v>
      </c>
      <c r="B7384" s="6" t="s">
        <v>187</v>
      </c>
      <c r="C7384" s="6" t="s">
        <v>458</v>
      </c>
      <c r="D7384" s="6" t="s">
        <v>188</v>
      </c>
      <c r="E7384" s="11">
        <v>11.420871734619141</v>
      </c>
      <c r="F7384" s="11">
        <v>4.7231674194335938</v>
      </c>
    </row>
    <row r="7385" spans="1:6" hidden="1" x14ac:dyDescent="0.3">
      <c r="A7385" s="6">
        <v>53</v>
      </c>
      <c r="B7385" s="6" t="s">
        <v>187</v>
      </c>
      <c r="C7385" s="6" t="s">
        <v>459</v>
      </c>
      <c r="D7385" s="6" t="s">
        <v>188</v>
      </c>
      <c r="E7385" s="11">
        <v>4.1880998611450195</v>
      </c>
      <c r="F7385" s="11">
        <v>4.7231674194335938</v>
      </c>
    </row>
    <row r="7386" spans="1:6" hidden="1" x14ac:dyDescent="0.3">
      <c r="A7386" s="6">
        <v>53</v>
      </c>
      <c r="B7386" s="6" t="s">
        <v>187</v>
      </c>
      <c r="C7386" s="6" t="s">
        <v>460</v>
      </c>
      <c r="D7386" s="6" t="s">
        <v>188</v>
      </c>
      <c r="E7386" s="11">
        <v>7.4621591567993164</v>
      </c>
      <c r="F7386" s="11">
        <v>4.7231674194335938</v>
      </c>
    </row>
    <row r="7387" spans="1:6" hidden="1" x14ac:dyDescent="0.3">
      <c r="A7387" s="6">
        <v>53</v>
      </c>
      <c r="B7387" s="6" t="s">
        <v>187</v>
      </c>
      <c r="C7387" s="6" t="s">
        <v>461</v>
      </c>
      <c r="D7387" s="6" t="s">
        <v>188</v>
      </c>
      <c r="E7387" s="11">
        <v>3.0311734676361084</v>
      </c>
      <c r="F7387" s="11">
        <v>4.7231674194335938</v>
      </c>
    </row>
    <row r="7388" spans="1:6" hidden="1" x14ac:dyDescent="0.3">
      <c r="A7388" s="6">
        <v>53</v>
      </c>
      <c r="B7388" s="6" t="s">
        <v>187</v>
      </c>
      <c r="C7388" s="6" t="s">
        <v>462</v>
      </c>
      <c r="D7388" s="6" t="s">
        <v>188</v>
      </c>
      <c r="E7388" s="11">
        <v>2.7180311679840088</v>
      </c>
      <c r="F7388" s="11">
        <v>4.7231674194335938</v>
      </c>
    </row>
    <row r="7389" spans="1:6" hidden="1" x14ac:dyDescent="0.3">
      <c r="A7389" s="6">
        <v>53</v>
      </c>
      <c r="B7389" s="6" t="s">
        <v>187</v>
      </c>
      <c r="C7389" s="6" t="s">
        <v>463</v>
      </c>
      <c r="D7389" s="6" t="s">
        <v>188</v>
      </c>
      <c r="E7389" s="11">
        <v>4.2291908264160156</v>
      </c>
      <c r="F7389" s="11">
        <v>4.7231674194335938</v>
      </c>
    </row>
    <row r="7390" spans="1:6" hidden="1" x14ac:dyDescent="0.3">
      <c r="A7390" s="6">
        <v>53</v>
      </c>
      <c r="B7390" s="6" t="s">
        <v>187</v>
      </c>
      <c r="C7390" s="6" t="s">
        <v>464</v>
      </c>
      <c r="D7390" s="6" t="s">
        <v>188</v>
      </c>
      <c r="E7390" s="11">
        <v>3.5505261421203613</v>
      </c>
      <c r="F7390" s="11">
        <v>4.7231674194335938</v>
      </c>
    </row>
    <row r="7391" spans="1:6" hidden="1" x14ac:dyDescent="0.3">
      <c r="A7391" s="6">
        <v>53</v>
      </c>
      <c r="B7391" s="6" t="s">
        <v>187</v>
      </c>
      <c r="C7391" s="6" t="s">
        <v>465</v>
      </c>
      <c r="D7391" s="6" t="s">
        <v>188</v>
      </c>
      <c r="E7391" s="11">
        <v>3.9194076061248779</v>
      </c>
      <c r="F7391" s="11">
        <v>4.7231674194335938</v>
      </c>
    </row>
    <row r="7392" spans="1:6" hidden="1" x14ac:dyDescent="0.3">
      <c r="A7392" s="6">
        <v>53</v>
      </c>
      <c r="B7392" s="6" t="s">
        <v>187</v>
      </c>
      <c r="C7392" s="6" t="s">
        <v>466</v>
      </c>
      <c r="D7392" s="6" t="s">
        <v>188</v>
      </c>
      <c r="E7392" s="11">
        <v>4.8437666893005371</v>
      </c>
      <c r="F7392" s="11">
        <v>4.7231674194335938</v>
      </c>
    </row>
    <row r="7393" spans="1:6" hidden="1" x14ac:dyDescent="0.3">
      <c r="A7393" s="6">
        <v>53</v>
      </c>
      <c r="B7393" s="6" t="s">
        <v>187</v>
      </c>
      <c r="C7393" s="6" t="s">
        <v>467</v>
      </c>
      <c r="D7393" s="6" t="s">
        <v>188</v>
      </c>
      <c r="E7393" s="11">
        <v>8.5283412933349609</v>
      </c>
      <c r="F7393" s="11">
        <v>4.7231674194335938</v>
      </c>
    </row>
    <row r="7394" spans="1:6" hidden="1" x14ac:dyDescent="0.3">
      <c r="A7394" s="6">
        <v>53</v>
      </c>
      <c r="B7394" s="6" t="s">
        <v>187</v>
      </c>
      <c r="C7394" s="6" t="s">
        <v>468</v>
      </c>
      <c r="D7394" s="6" t="s">
        <v>188</v>
      </c>
      <c r="E7394" s="11">
        <v>3.7701916694641113</v>
      </c>
      <c r="F7394" s="11">
        <v>4.7231674194335938</v>
      </c>
    </row>
    <row r="7395" spans="1:6" hidden="1" x14ac:dyDescent="0.3">
      <c r="A7395" s="6">
        <v>53</v>
      </c>
      <c r="B7395" s="6" t="s">
        <v>187</v>
      </c>
      <c r="C7395" s="6" t="s">
        <v>469</v>
      </c>
      <c r="D7395" s="6" t="s">
        <v>188</v>
      </c>
      <c r="E7395" s="11">
        <v>4.2109403610229492</v>
      </c>
      <c r="F7395" s="11">
        <v>4.7231674194335938</v>
      </c>
    </row>
    <row r="7396" spans="1:6" hidden="1" x14ac:dyDescent="0.3">
      <c r="A7396" s="6">
        <v>53</v>
      </c>
      <c r="B7396" s="6" t="s">
        <v>187</v>
      </c>
      <c r="C7396" s="6" t="s">
        <v>470</v>
      </c>
      <c r="D7396" s="6" t="s">
        <v>188</v>
      </c>
      <c r="E7396" s="11">
        <v>4.7623286247253418</v>
      </c>
      <c r="F7396" s="11">
        <v>4.7231674194335938</v>
      </c>
    </row>
    <row r="7397" spans="1:6" hidden="1" x14ac:dyDescent="0.3">
      <c r="A7397" s="6">
        <v>53</v>
      </c>
      <c r="B7397" s="6" t="s">
        <v>187</v>
      </c>
      <c r="C7397" s="6" t="s">
        <v>471</v>
      </c>
      <c r="D7397" s="6" t="s">
        <v>188</v>
      </c>
      <c r="E7397" s="11">
        <v>4.6953926086425781</v>
      </c>
      <c r="F7397" s="11">
        <v>4.7231674194335938</v>
      </c>
    </row>
    <row r="7398" spans="1:6" hidden="1" x14ac:dyDescent="0.3">
      <c r="A7398" s="6">
        <v>53</v>
      </c>
      <c r="B7398" s="6" t="s">
        <v>187</v>
      </c>
      <c r="C7398" s="6" t="s">
        <v>472</v>
      </c>
      <c r="D7398" s="6" t="s">
        <v>188</v>
      </c>
      <c r="E7398" s="11">
        <v>4.3632569313049316</v>
      </c>
      <c r="F7398" s="11">
        <v>4.7231674194335938</v>
      </c>
    </row>
    <row r="7399" spans="1:6" hidden="1" x14ac:dyDescent="0.3">
      <c r="A7399" s="6">
        <v>53</v>
      </c>
      <c r="B7399" s="6" t="s">
        <v>187</v>
      </c>
      <c r="C7399" s="6" t="s">
        <v>473</v>
      </c>
      <c r="D7399" s="6" t="s">
        <v>188</v>
      </c>
      <c r="E7399" s="11">
        <v>6.6231417655944824</v>
      </c>
      <c r="F7399" s="11">
        <v>4.7231674194335938</v>
      </c>
    </row>
    <row r="7400" spans="1:6" hidden="1" x14ac:dyDescent="0.3">
      <c r="A7400" s="6">
        <v>53</v>
      </c>
      <c r="B7400" s="6" t="s">
        <v>187</v>
      </c>
      <c r="C7400" s="6" t="s">
        <v>474</v>
      </c>
      <c r="D7400" s="6" t="s">
        <v>188</v>
      </c>
      <c r="E7400" s="11">
        <v>16.103347778320313</v>
      </c>
      <c r="F7400" s="11">
        <v>4.7231674194335938</v>
      </c>
    </row>
    <row r="7401" spans="1:6" hidden="1" x14ac:dyDescent="0.3">
      <c r="A7401" s="6">
        <v>53</v>
      </c>
      <c r="B7401" s="6" t="s">
        <v>187</v>
      </c>
      <c r="C7401" s="6" t="s">
        <v>475</v>
      </c>
      <c r="D7401" s="6" t="s">
        <v>188</v>
      </c>
      <c r="E7401" s="11">
        <v>4.1294693946838379</v>
      </c>
      <c r="F7401" s="11">
        <v>4.7231674194335938</v>
      </c>
    </row>
    <row r="7402" spans="1:6" hidden="1" x14ac:dyDescent="0.3">
      <c r="A7402" s="6">
        <v>53</v>
      </c>
      <c r="B7402" s="6" t="s">
        <v>187</v>
      </c>
      <c r="C7402" s="6" t="s">
        <v>476</v>
      </c>
      <c r="D7402" s="6" t="s">
        <v>188</v>
      </c>
      <c r="E7402" s="11">
        <v>4.9946703910827637</v>
      </c>
      <c r="F7402" s="11">
        <v>4.7231674194335938</v>
      </c>
    </row>
    <row r="7403" spans="1:6" hidden="1" x14ac:dyDescent="0.3">
      <c r="A7403" s="6">
        <v>53</v>
      </c>
      <c r="B7403" s="6" t="s">
        <v>187</v>
      </c>
      <c r="C7403" s="6" t="s">
        <v>477</v>
      </c>
      <c r="D7403" s="6" t="s">
        <v>188</v>
      </c>
      <c r="E7403" s="11">
        <v>4.4463558197021484</v>
      </c>
      <c r="F7403" s="11">
        <v>4.7231674194335938</v>
      </c>
    </row>
    <row r="7404" spans="1:6" hidden="1" x14ac:dyDescent="0.3">
      <c r="A7404" s="6">
        <v>53</v>
      </c>
      <c r="B7404" s="6" t="s">
        <v>187</v>
      </c>
      <c r="C7404" s="6" t="s">
        <v>478</v>
      </c>
      <c r="D7404" s="6" t="s">
        <v>188</v>
      </c>
      <c r="E7404" s="11">
        <v>3.40004563331604</v>
      </c>
      <c r="F7404" s="11">
        <v>4.7231674194335938</v>
      </c>
    </row>
    <row r="7405" spans="1:6" hidden="1" x14ac:dyDescent="0.3">
      <c r="A7405" s="6">
        <v>53</v>
      </c>
      <c r="B7405" s="6" t="s">
        <v>187</v>
      </c>
      <c r="C7405" s="6" t="s">
        <v>479</v>
      </c>
      <c r="D7405" s="6" t="s">
        <v>188</v>
      </c>
      <c r="E7405" s="11">
        <v>3.734360933303833</v>
      </c>
      <c r="F7405" s="11">
        <v>4.7231674194335938</v>
      </c>
    </row>
    <row r="7406" spans="1:6" hidden="1" x14ac:dyDescent="0.3">
      <c r="A7406" s="6">
        <v>53</v>
      </c>
      <c r="B7406" s="6" t="s">
        <v>187</v>
      </c>
      <c r="C7406" s="6" t="s">
        <v>480</v>
      </c>
      <c r="D7406" s="6" t="s">
        <v>188</v>
      </c>
      <c r="E7406" s="11">
        <v>3.8212597370147705</v>
      </c>
      <c r="F7406" s="11">
        <v>4.7231674194335938</v>
      </c>
    </row>
    <row r="7407" spans="1:6" hidden="1" x14ac:dyDescent="0.3">
      <c r="A7407" s="6">
        <v>53</v>
      </c>
      <c r="B7407" s="6" t="s">
        <v>187</v>
      </c>
      <c r="C7407" s="6" t="s">
        <v>481</v>
      </c>
      <c r="D7407" s="6" t="s">
        <v>188</v>
      </c>
      <c r="E7407" s="11">
        <v>4.6720037460327148</v>
      </c>
      <c r="F7407" s="11">
        <v>4.7231674194335938</v>
      </c>
    </row>
    <row r="7408" spans="1:6" hidden="1" x14ac:dyDescent="0.3">
      <c r="A7408" s="6">
        <v>53</v>
      </c>
      <c r="B7408" s="6" t="s">
        <v>187</v>
      </c>
      <c r="C7408" s="6" t="s">
        <v>482</v>
      </c>
      <c r="D7408" s="6" t="s">
        <v>188</v>
      </c>
      <c r="E7408" s="11">
        <v>4.6156082153320313</v>
      </c>
      <c r="F7408" s="11">
        <v>4.7231674194335938</v>
      </c>
    </row>
    <row r="7409" spans="1:6" hidden="1" x14ac:dyDescent="0.3">
      <c r="A7409" s="6">
        <v>53</v>
      </c>
      <c r="B7409" s="6" t="s">
        <v>187</v>
      </c>
      <c r="C7409" s="6" t="s">
        <v>483</v>
      </c>
      <c r="D7409" s="6" t="s">
        <v>188</v>
      </c>
      <c r="E7409" s="11">
        <v>4.258030891418457</v>
      </c>
      <c r="F7409" s="11">
        <v>4.7231674194335938</v>
      </c>
    </row>
    <row r="7410" spans="1:6" hidden="1" x14ac:dyDescent="0.3">
      <c r="A7410" s="6">
        <v>53</v>
      </c>
      <c r="B7410" s="6" t="s">
        <v>187</v>
      </c>
      <c r="C7410" s="6" t="s">
        <v>484</v>
      </c>
      <c r="D7410" s="6" t="s">
        <v>188</v>
      </c>
      <c r="E7410" s="11">
        <v>4.6701374053955078</v>
      </c>
      <c r="F7410" s="11">
        <v>4.7231674194335938</v>
      </c>
    </row>
    <row r="7411" spans="1:6" hidden="1" x14ac:dyDescent="0.3">
      <c r="A7411" s="6">
        <v>53</v>
      </c>
      <c r="B7411" s="6" t="s">
        <v>187</v>
      </c>
      <c r="C7411" s="6" t="s">
        <v>485</v>
      </c>
      <c r="D7411" s="6" t="s">
        <v>188</v>
      </c>
      <c r="E7411" s="11">
        <v>3.2478702068328857</v>
      </c>
      <c r="F7411" s="11">
        <v>4.7231674194335938</v>
      </c>
    </row>
    <row r="7412" spans="1:6" hidden="1" x14ac:dyDescent="0.3">
      <c r="A7412" s="6">
        <v>53</v>
      </c>
      <c r="B7412" s="6" t="s">
        <v>187</v>
      </c>
      <c r="C7412" s="6" t="s">
        <v>486</v>
      </c>
      <c r="D7412" s="6" t="s">
        <v>188</v>
      </c>
      <c r="E7412" s="11">
        <v>5.9286670684814453</v>
      </c>
      <c r="F7412" s="11">
        <v>4.7231674194335938</v>
      </c>
    </row>
    <row r="7413" spans="1:6" hidden="1" x14ac:dyDescent="0.3">
      <c r="A7413" s="6">
        <v>53</v>
      </c>
      <c r="B7413" s="6" t="s">
        <v>187</v>
      </c>
      <c r="C7413" s="6" t="s">
        <v>487</v>
      </c>
      <c r="D7413" s="6" t="s">
        <v>188</v>
      </c>
      <c r="E7413" s="11">
        <v>3.2746932506561279</v>
      </c>
      <c r="F7413" s="11">
        <v>4.7231674194335938</v>
      </c>
    </row>
    <row r="7414" spans="1:6" hidden="1" x14ac:dyDescent="0.3">
      <c r="A7414" s="6">
        <v>53</v>
      </c>
      <c r="B7414" s="6" t="s">
        <v>187</v>
      </c>
      <c r="C7414" s="6" t="s">
        <v>488</v>
      </c>
      <c r="D7414" s="6" t="s">
        <v>188</v>
      </c>
      <c r="E7414" s="11">
        <v>3.4203767776489258</v>
      </c>
      <c r="F7414" s="11">
        <v>4.7231674194335938</v>
      </c>
    </row>
    <row r="7415" spans="1:6" hidden="1" x14ac:dyDescent="0.3">
      <c r="A7415" s="6">
        <v>53</v>
      </c>
      <c r="B7415" s="6" t="s">
        <v>187</v>
      </c>
      <c r="C7415" s="6" t="s">
        <v>489</v>
      </c>
      <c r="D7415" s="6" t="s">
        <v>188</v>
      </c>
      <c r="E7415" s="11">
        <v>4.3306255340576172</v>
      </c>
      <c r="F7415" s="11">
        <v>4.7231674194335938</v>
      </c>
    </row>
    <row r="7416" spans="1:6" hidden="1" x14ac:dyDescent="0.3">
      <c r="A7416" s="6">
        <v>53</v>
      </c>
      <c r="B7416" s="6" t="s">
        <v>187</v>
      </c>
      <c r="C7416" s="6" t="s">
        <v>490</v>
      </c>
      <c r="D7416" s="6" t="s">
        <v>188</v>
      </c>
      <c r="E7416" s="11">
        <v>4.7547221183776855</v>
      </c>
      <c r="F7416" s="11">
        <v>4.7231674194335938</v>
      </c>
    </row>
    <row r="7417" spans="1:6" hidden="1" x14ac:dyDescent="0.3">
      <c r="A7417" s="6">
        <v>53</v>
      </c>
      <c r="B7417" s="6" t="s">
        <v>187</v>
      </c>
      <c r="C7417" s="6" t="s">
        <v>491</v>
      </c>
      <c r="D7417" s="6" t="s">
        <v>188</v>
      </c>
      <c r="E7417" s="11">
        <v>3.834984302520752</v>
      </c>
      <c r="F7417" s="11">
        <v>4.7231674194335938</v>
      </c>
    </row>
    <row r="7418" spans="1:6" hidden="1" x14ac:dyDescent="0.3">
      <c r="A7418" s="6">
        <v>53</v>
      </c>
      <c r="B7418" s="6" t="s">
        <v>187</v>
      </c>
      <c r="C7418" s="6" t="s">
        <v>492</v>
      </c>
      <c r="D7418" s="6" t="s">
        <v>188</v>
      </c>
      <c r="E7418" s="11">
        <v>3.8017458915710449</v>
      </c>
      <c r="F7418" s="11">
        <v>4.7231674194335938</v>
      </c>
    </row>
    <row r="7419" spans="1:6" hidden="1" x14ac:dyDescent="0.3">
      <c r="A7419" s="6">
        <v>53</v>
      </c>
      <c r="B7419" s="6" t="s">
        <v>187</v>
      </c>
      <c r="C7419" s="6" t="s">
        <v>493</v>
      </c>
      <c r="D7419" s="6" t="s">
        <v>188</v>
      </c>
      <c r="E7419" s="11">
        <v>3.7676222324371338</v>
      </c>
      <c r="F7419" s="11">
        <v>4.7231674194335938</v>
      </c>
    </row>
    <row r="7420" spans="1:6" hidden="1" x14ac:dyDescent="0.3">
      <c r="A7420" s="6">
        <v>53</v>
      </c>
      <c r="B7420" s="6" t="s">
        <v>187</v>
      </c>
      <c r="C7420" s="6" t="s">
        <v>494</v>
      </c>
      <c r="D7420" s="6" t="s">
        <v>188</v>
      </c>
      <c r="E7420" s="11">
        <v>4.1523313522338867</v>
      </c>
      <c r="F7420" s="11">
        <v>4.7231674194335938</v>
      </c>
    </row>
    <row r="7421" spans="1:6" hidden="1" x14ac:dyDescent="0.3">
      <c r="A7421" s="6">
        <v>53</v>
      </c>
      <c r="B7421" s="6" t="s">
        <v>187</v>
      </c>
      <c r="C7421" s="6" t="s">
        <v>495</v>
      </c>
      <c r="D7421" s="6" t="s">
        <v>188</v>
      </c>
      <c r="E7421" s="11">
        <v>4.3814249038696289</v>
      </c>
      <c r="F7421" s="11">
        <v>4.7231674194335938</v>
      </c>
    </row>
    <row r="7422" spans="1:6" hidden="1" x14ac:dyDescent="0.3">
      <c r="A7422" s="6">
        <v>54</v>
      </c>
      <c r="B7422" s="6" t="s">
        <v>189</v>
      </c>
      <c r="C7422" s="6" t="s">
        <v>356</v>
      </c>
      <c r="D7422" s="6" t="s">
        <v>190</v>
      </c>
      <c r="E7422" s="11">
        <v>3.9850776195526123</v>
      </c>
      <c r="F7422" s="11">
        <v>4.0016798973083496</v>
      </c>
    </row>
    <row r="7423" spans="1:6" hidden="1" x14ac:dyDescent="0.3">
      <c r="A7423" s="6">
        <v>54</v>
      </c>
      <c r="B7423" s="6" t="s">
        <v>189</v>
      </c>
      <c r="C7423" s="6" t="s">
        <v>357</v>
      </c>
      <c r="D7423" s="6" t="s">
        <v>190</v>
      </c>
      <c r="E7423" s="11">
        <v>3.0291438102722168</v>
      </c>
      <c r="F7423" s="11">
        <v>4.0016798973083496</v>
      </c>
    </row>
    <row r="7424" spans="1:6" hidden="1" x14ac:dyDescent="0.3">
      <c r="A7424" s="6">
        <v>54</v>
      </c>
      <c r="B7424" s="6" t="s">
        <v>189</v>
      </c>
      <c r="C7424" s="6" t="s">
        <v>358</v>
      </c>
      <c r="D7424" s="6" t="s">
        <v>190</v>
      </c>
      <c r="E7424" s="11">
        <v>3.5417249202728271</v>
      </c>
      <c r="F7424" s="11">
        <v>4.0016798973083496</v>
      </c>
    </row>
    <row r="7425" spans="1:6" hidden="1" x14ac:dyDescent="0.3">
      <c r="A7425" s="6">
        <v>54</v>
      </c>
      <c r="B7425" s="6" t="s">
        <v>189</v>
      </c>
      <c r="C7425" s="6" t="s">
        <v>359</v>
      </c>
      <c r="D7425" s="6" t="s">
        <v>190</v>
      </c>
      <c r="E7425" s="11">
        <v>5.2109861373901367</v>
      </c>
      <c r="F7425" s="11">
        <v>4.0016798973083496</v>
      </c>
    </row>
    <row r="7426" spans="1:6" hidden="1" x14ac:dyDescent="0.3">
      <c r="A7426" s="6">
        <v>54</v>
      </c>
      <c r="B7426" s="6" t="s">
        <v>189</v>
      </c>
      <c r="C7426" s="6" t="s">
        <v>360</v>
      </c>
      <c r="D7426" s="6" t="s">
        <v>190</v>
      </c>
      <c r="E7426" s="11">
        <v>4.3551721572875977</v>
      </c>
      <c r="F7426" s="11">
        <v>4.0016798973083496</v>
      </c>
    </row>
    <row r="7427" spans="1:6" hidden="1" x14ac:dyDescent="0.3">
      <c r="A7427" s="6">
        <v>54</v>
      </c>
      <c r="B7427" s="6" t="s">
        <v>189</v>
      </c>
      <c r="C7427" s="6" t="s">
        <v>361</v>
      </c>
      <c r="D7427" s="6" t="s">
        <v>190</v>
      </c>
      <c r="E7427" s="11">
        <v>4.0063309669494629</v>
      </c>
      <c r="F7427" s="11">
        <v>4.0016798973083496</v>
      </c>
    </row>
    <row r="7428" spans="1:6" hidden="1" x14ac:dyDescent="0.3">
      <c r="A7428" s="6">
        <v>54</v>
      </c>
      <c r="B7428" s="6" t="s">
        <v>189</v>
      </c>
      <c r="C7428" s="6" t="s">
        <v>362</v>
      </c>
      <c r="D7428" s="6" t="s">
        <v>190</v>
      </c>
      <c r="E7428" s="11">
        <v>3.5349340438842773</v>
      </c>
      <c r="F7428" s="11">
        <v>4.0016798973083496</v>
      </c>
    </row>
    <row r="7429" spans="1:6" hidden="1" x14ac:dyDescent="0.3">
      <c r="A7429" s="6">
        <v>54</v>
      </c>
      <c r="B7429" s="6" t="s">
        <v>189</v>
      </c>
      <c r="C7429" s="6" t="s">
        <v>363</v>
      </c>
      <c r="D7429" s="6" t="s">
        <v>190</v>
      </c>
      <c r="E7429" s="11">
        <v>4.5441279411315918</v>
      </c>
      <c r="F7429" s="11">
        <v>4.0016798973083496</v>
      </c>
    </row>
    <row r="7430" spans="1:6" hidden="1" x14ac:dyDescent="0.3">
      <c r="A7430" s="6">
        <v>54</v>
      </c>
      <c r="B7430" s="6" t="s">
        <v>189</v>
      </c>
      <c r="C7430" s="6" t="s">
        <v>364</v>
      </c>
      <c r="D7430" s="6" t="s">
        <v>190</v>
      </c>
      <c r="E7430" s="11">
        <v>3.7221970558166504</v>
      </c>
      <c r="F7430" s="11">
        <v>4.0016798973083496</v>
      </c>
    </row>
    <row r="7431" spans="1:6" hidden="1" x14ac:dyDescent="0.3">
      <c r="A7431" s="6">
        <v>54</v>
      </c>
      <c r="B7431" s="6" t="s">
        <v>189</v>
      </c>
      <c r="C7431" s="6" t="s">
        <v>365</v>
      </c>
      <c r="D7431" s="6" t="s">
        <v>190</v>
      </c>
      <c r="E7431" s="11">
        <v>3.1516828536987305</v>
      </c>
      <c r="F7431" s="11">
        <v>4.0016798973083496</v>
      </c>
    </row>
    <row r="7432" spans="1:6" hidden="1" x14ac:dyDescent="0.3">
      <c r="A7432" s="6">
        <v>54</v>
      </c>
      <c r="B7432" s="6" t="s">
        <v>189</v>
      </c>
      <c r="C7432" s="6" t="s">
        <v>366</v>
      </c>
      <c r="D7432" s="6" t="s">
        <v>190</v>
      </c>
      <c r="E7432" s="11">
        <v>2.7381355762481689</v>
      </c>
      <c r="F7432" s="11">
        <v>4.0016798973083496</v>
      </c>
    </row>
    <row r="7433" spans="1:6" hidden="1" x14ac:dyDescent="0.3">
      <c r="A7433" s="6">
        <v>54</v>
      </c>
      <c r="B7433" s="6" t="s">
        <v>189</v>
      </c>
      <c r="C7433" s="6" t="s">
        <v>367</v>
      </c>
      <c r="D7433" s="6" t="s">
        <v>190</v>
      </c>
      <c r="E7433" s="11">
        <v>3.5910520553588867</v>
      </c>
      <c r="F7433" s="11">
        <v>4.0016798973083496</v>
      </c>
    </row>
    <row r="7434" spans="1:6" hidden="1" x14ac:dyDescent="0.3">
      <c r="A7434" s="6">
        <v>54</v>
      </c>
      <c r="B7434" s="6" t="s">
        <v>189</v>
      </c>
      <c r="C7434" s="6" t="s">
        <v>368</v>
      </c>
      <c r="D7434" s="6" t="s">
        <v>190</v>
      </c>
      <c r="E7434" s="11">
        <v>3.101839542388916</v>
      </c>
      <c r="F7434" s="11">
        <v>4.0016798973083496</v>
      </c>
    </row>
    <row r="7435" spans="1:6" hidden="1" x14ac:dyDescent="0.3">
      <c r="A7435" s="6">
        <v>54</v>
      </c>
      <c r="B7435" s="6" t="s">
        <v>189</v>
      </c>
      <c r="C7435" s="6" t="s">
        <v>369</v>
      </c>
      <c r="D7435" s="6" t="s">
        <v>190</v>
      </c>
      <c r="E7435" s="11">
        <v>4.0245652198791504</v>
      </c>
      <c r="F7435" s="11">
        <v>4.0016798973083496</v>
      </c>
    </row>
    <row r="7436" spans="1:6" hidden="1" x14ac:dyDescent="0.3">
      <c r="A7436" s="6">
        <v>54</v>
      </c>
      <c r="B7436" s="6" t="s">
        <v>189</v>
      </c>
      <c r="C7436" s="6" t="s">
        <v>370</v>
      </c>
      <c r="D7436" s="6" t="s">
        <v>190</v>
      </c>
      <c r="E7436" s="11">
        <v>3.3990371227264404</v>
      </c>
      <c r="F7436" s="11">
        <v>4.0016798973083496</v>
      </c>
    </row>
    <row r="7437" spans="1:6" hidden="1" x14ac:dyDescent="0.3">
      <c r="A7437" s="6">
        <v>54</v>
      </c>
      <c r="B7437" s="6" t="s">
        <v>189</v>
      </c>
      <c r="C7437" s="6" t="s">
        <v>371</v>
      </c>
      <c r="D7437" s="6" t="s">
        <v>190</v>
      </c>
      <c r="E7437" s="11">
        <v>3.4542086124420166</v>
      </c>
      <c r="F7437" s="11">
        <v>4.0016798973083496</v>
      </c>
    </row>
    <row r="7438" spans="1:6" hidden="1" x14ac:dyDescent="0.3">
      <c r="A7438" s="6">
        <v>54</v>
      </c>
      <c r="B7438" s="6" t="s">
        <v>189</v>
      </c>
      <c r="C7438" s="6" t="s">
        <v>372</v>
      </c>
      <c r="D7438" s="6" t="s">
        <v>190</v>
      </c>
      <c r="E7438" s="11">
        <v>2.96303391456604</v>
      </c>
      <c r="F7438" s="11">
        <v>4.0016798973083496</v>
      </c>
    </row>
    <row r="7439" spans="1:6" hidden="1" x14ac:dyDescent="0.3">
      <c r="A7439" s="6">
        <v>54</v>
      </c>
      <c r="B7439" s="6" t="s">
        <v>189</v>
      </c>
      <c r="C7439" s="6" t="s">
        <v>373</v>
      </c>
      <c r="D7439" s="6" t="s">
        <v>190</v>
      </c>
      <c r="E7439" s="11">
        <v>3.2685017585754395</v>
      </c>
      <c r="F7439" s="11">
        <v>4.0016798973083496</v>
      </c>
    </row>
    <row r="7440" spans="1:6" hidden="1" x14ac:dyDescent="0.3">
      <c r="A7440" s="6">
        <v>54</v>
      </c>
      <c r="B7440" s="6" t="s">
        <v>189</v>
      </c>
      <c r="C7440" s="6" t="s">
        <v>374</v>
      </c>
      <c r="D7440" s="6" t="s">
        <v>190</v>
      </c>
      <c r="E7440" s="11">
        <v>3.8724503517150879</v>
      </c>
      <c r="F7440" s="11">
        <v>4.0016798973083496</v>
      </c>
    </row>
    <row r="7441" spans="1:6" hidden="1" x14ac:dyDescent="0.3">
      <c r="A7441" s="6">
        <v>54</v>
      </c>
      <c r="B7441" s="6" t="s">
        <v>189</v>
      </c>
      <c r="C7441" s="6" t="s">
        <v>375</v>
      </c>
      <c r="D7441" s="6" t="s">
        <v>190</v>
      </c>
      <c r="E7441" s="11">
        <v>4.472160816192627</v>
      </c>
      <c r="F7441" s="11">
        <v>4.0016798973083496</v>
      </c>
    </row>
    <row r="7442" spans="1:6" hidden="1" x14ac:dyDescent="0.3">
      <c r="A7442" s="6">
        <v>54</v>
      </c>
      <c r="B7442" s="6" t="s">
        <v>189</v>
      </c>
      <c r="C7442" s="6" t="s">
        <v>376</v>
      </c>
      <c r="D7442" s="6" t="s">
        <v>190</v>
      </c>
      <c r="E7442" s="11">
        <v>3.4895946979522705</v>
      </c>
      <c r="F7442" s="11">
        <v>4.0016798973083496</v>
      </c>
    </row>
    <row r="7443" spans="1:6" hidden="1" x14ac:dyDescent="0.3">
      <c r="A7443" s="6">
        <v>54</v>
      </c>
      <c r="B7443" s="6" t="s">
        <v>189</v>
      </c>
      <c r="C7443" s="6" t="s">
        <v>377</v>
      </c>
      <c r="D7443" s="6" t="s">
        <v>190</v>
      </c>
      <c r="E7443" s="11">
        <v>4.541811466217041</v>
      </c>
      <c r="F7443" s="11">
        <v>4.0016798973083496</v>
      </c>
    </row>
    <row r="7444" spans="1:6" hidden="1" x14ac:dyDescent="0.3">
      <c r="A7444" s="6">
        <v>54</v>
      </c>
      <c r="B7444" s="6" t="s">
        <v>189</v>
      </c>
      <c r="C7444" s="6" t="s">
        <v>378</v>
      </c>
      <c r="D7444" s="6" t="s">
        <v>190</v>
      </c>
      <c r="E7444" s="11">
        <v>3.1037540435791016</v>
      </c>
      <c r="F7444" s="11">
        <v>4.0016798973083496</v>
      </c>
    </row>
    <row r="7445" spans="1:6" hidden="1" x14ac:dyDescent="0.3">
      <c r="A7445" s="6">
        <v>54</v>
      </c>
      <c r="B7445" s="6" t="s">
        <v>189</v>
      </c>
      <c r="C7445" s="6" t="s">
        <v>379</v>
      </c>
      <c r="D7445" s="6" t="s">
        <v>190</v>
      </c>
      <c r="E7445" s="11">
        <v>3.2522261142730713</v>
      </c>
      <c r="F7445" s="11">
        <v>4.0016798973083496</v>
      </c>
    </row>
    <row r="7446" spans="1:6" hidden="1" x14ac:dyDescent="0.3">
      <c r="A7446" s="6">
        <v>54</v>
      </c>
      <c r="B7446" s="6" t="s">
        <v>189</v>
      </c>
      <c r="C7446" s="6" t="s">
        <v>380</v>
      </c>
      <c r="D7446" s="6" t="s">
        <v>190</v>
      </c>
      <c r="E7446" s="11">
        <v>2.8967773914337158</v>
      </c>
      <c r="F7446" s="11">
        <v>4.0016798973083496</v>
      </c>
    </row>
    <row r="7447" spans="1:6" hidden="1" x14ac:dyDescent="0.3">
      <c r="A7447" s="6">
        <v>54</v>
      </c>
      <c r="B7447" s="6" t="s">
        <v>189</v>
      </c>
      <c r="C7447" s="6" t="s">
        <v>381</v>
      </c>
      <c r="D7447" s="6" t="s">
        <v>190</v>
      </c>
      <c r="E7447" s="11">
        <v>3.1746006011962891</v>
      </c>
      <c r="F7447" s="11">
        <v>4.0016798973083496</v>
      </c>
    </row>
    <row r="7448" spans="1:6" hidden="1" x14ac:dyDescent="0.3">
      <c r="A7448" s="6">
        <v>54</v>
      </c>
      <c r="B7448" s="6" t="s">
        <v>189</v>
      </c>
      <c r="C7448" s="6" t="s">
        <v>382</v>
      </c>
      <c r="D7448" s="6" t="s">
        <v>190</v>
      </c>
      <c r="E7448" s="11">
        <v>3.5143229961395264</v>
      </c>
      <c r="F7448" s="11">
        <v>4.0016798973083496</v>
      </c>
    </row>
    <row r="7449" spans="1:6" hidden="1" x14ac:dyDescent="0.3">
      <c r="A7449" s="6">
        <v>54</v>
      </c>
      <c r="B7449" s="6" t="s">
        <v>189</v>
      </c>
      <c r="C7449" s="6" t="s">
        <v>383</v>
      </c>
      <c r="D7449" s="6" t="s">
        <v>190</v>
      </c>
      <c r="E7449" s="11">
        <v>5.0101099014282227</v>
      </c>
      <c r="F7449" s="11">
        <v>4.0016798973083496</v>
      </c>
    </row>
    <row r="7450" spans="1:6" hidden="1" x14ac:dyDescent="0.3">
      <c r="A7450" s="6">
        <v>54</v>
      </c>
      <c r="B7450" s="6" t="s">
        <v>189</v>
      </c>
      <c r="C7450" s="6" t="s">
        <v>384</v>
      </c>
      <c r="D7450" s="6" t="s">
        <v>190</v>
      </c>
      <c r="E7450" s="11">
        <v>3.8497531414031982</v>
      </c>
      <c r="F7450" s="11">
        <v>4.0016798973083496</v>
      </c>
    </row>
    <row r="7451" spans="1:6" hidden="1" x14ac:dyDescent="0.3">
      <c r="A7451" s="6">
        <v>54</v>
      </c>
      <c r="B7451" s="6" t="s">
        <v>189</v>
      </c>
      <c r="C7451" s="6" t="s">
        <v>385</v>
      </c>
      <c r="D7451" s="6" t="s">
        <v>190</v>
      </c>
      <c r="E7451" s="11">
        <v>3.8274126052856445</v>
      </c>
      <c r="F7451" s="11">
        <v>4.0016798973083496</v>
      </c>
    </row>
    <row r="7452" spans="1:6" hidden="1" x14ac:dyDescent="0.3">
      <c r="A7452" s="6">
        <v>54</v>
      </c>
      <c r="B7452" s="6" t="s">
        <v>189</v>
      </c>
      <c r="C7452" s="6" t="s">
        <v>386</v>
      </c>
      <c r="D7452" s="6" t="s">
        <v>190</v>
      </c>
      <c r="E7452" s="11">
        <v>2.8448660373687744</v>
      </c>
      <c r="F7452" s="11">
        <v>4.0016798973083496</v>
      </c>
    </row>
    <row r="7453" spans="1:6" hidden="1" x14ac:dyDescent="0.3">
      <c r="A7453" s="6">
        <v>54</v>
      </c>
      <c r="B7453" s="6" t="s">
        <v>189</v>
      </c>
      <c r="C7453" s="6" t="s">
        <v>387</v>
      </c>
      <c r="D7453" s="6" t="s">
        <v>190</v>
      </c>
      <c r="E7453" s="11">
        <v>3.1020395755767822</v>
      </c>
      <c r="F7453" s="11">
        <v>4.0016798973083496</v>
      </c>
    </row>
    <row r="7454" spans="1:6" hidden="1" x14ac:dyDescent="0.3">
      <c r="A7454" s="6">
        <v>54</v>
      </c>
      <c r="B7454" s="6" t="s">
        <v>189</v>
      </c>
      <c r="C7454" s="6" t="s">
        <v>388</v>
      </c>
      <c r="D7454" s="6" t="s">
        <v>190</v>
      </c>
      <c r="E7454" s="11">
        <v>3.0239307880401611</v>
      </c>
      <c r="F7454" s="11">
        <v>4.0016798973083496</v>
      </c>
    </row>
    <row r="7455" spans="1:6" hidden="1" x14ac:dyDescent="0.3">
      <c r="A7455" s="6">
        <v>54</v>
      </c>
      <c r="B7455" s="6" t="s">
        <v>189</v>
      </c>
      <c r="C7455" s="6" t="s">
        <v>389</v>
      </c>
      <c r="D7455" s="6" t="s">
        <v>190</v>
      </c>
      <c r="E7455" s="11">
        <v>4.0386381149291992</v>
      </c>
      <c r="F7455" s="11">
        <v>4.0016798973083496</v>
      </c>
    </row>
    <row r="7456" spans="1:6" hidden="1" x14ac:dyDescent="0.3">
      <c r="A7456" s="6">
        <v>54</v>
      </c>
      <c r="B7456" s="6" t="s">
        <v>189</v>
      </c>
      <c r="C7456" s="6" t="s">
        <v>390</v>
      </c>
      <c r="D7456" s="6" t="s">
        <v>190</v>
      </c>
      <c r="E7456" s="11">
        <v>4.3378043174743652</v>
      </c>
      <c r="F7456" s="11">
        <v>4.0016798973083496</v>
      </c>
    </row>
    <row r="7457" spans="1:6" hidden="1" x14ac:dyDescent="0.3">
      <c r="A7457" s="6">
        <v>54</v>
      </c>
      <c r="B7457" s="6" t="s">
        <v>189</v>
      </c>
      <c r="C7457" s="6" t="s">
        <v>391</v>
      </c>
      <c r="D7457" s="6" t="s">
        <v>190</v>
      </c>
      <c r="E7457" s="11">
        <v>3.5715460777282715</v>
      </c>
      <c r="F7457" s="11">
        <v>4.0016798973083496</v>
      </c>
    </row>
    <row r="7458" spans="1:6" hidden="1" x14ac:dyDescent="0.3">
      <c r="A7458" s="6">
        <v>54</v>
      </c>
      <c r="B7458" s="6" t="s">
        <v>189</v>
      </c>
      <c r="C7458" s="6" t="s">
        <v>392</v>
      </c>
      <c r="D7458" s="6" t="s">
        <v>190</v>
      </c>
      <c r="E7458" s="11">
        <v>4.0330042839050293</v>
      </c>
      <c r="F7458" s="11">
        <v>4.0016798973083496</v>
      </c>
    </row>
    <row r="7459" spans="1:6" hidden="1" x14ac:dyDescent="0.3">
      <c r="A7459" s="6">
        <v>54</v>
      </c>
      <c r="B7459" s="6" t="s">
        <v>189</v>
      </c>
      <c r="C7459" s="6" t="s">
        <v>393</v>
      </c>
      <c r="D7459" s="6" t="s">
        <v>190</v>
      </c>
      <c r="E7459" s="11">
        <v>4.7054433822631836</v>
      </c>
      <c r="F7459" s="11">
        <v>4.0016798973083496</v>
      </c>
    </row>
    <row r="7460" spans="1:6" hidden="1" x14ac:dyDescent="0.3">
      <c r="A7460" s="6">
        <v>54</v>
      </c>
      <c r="B7460" s="6" t="s">
        <v>189</v>
      </c>
      <c r="C7460" s="6" t="s">
        <v>394</v>
      </c>
      <c r="D7460" s="6" t="s">
        <v>190</v>
      </c>
      <c r="E7460" s="11">
        <v>3.9942753314971924</v>
      </c>
      <c r="F7460" s="11">
        <v>4.0016798973083496</v>
      </c>
    </row>
    <row r="7461" spans="1:6" hidden="1" x14ac:dyDescent="0.3">
      <c r="A7461" s="6">
        <v>54</v>
      </c>
      <c r="B7461" s="6" t="s">
        <v>189</v>
      </c>
      <c r="C7461" s="6" t="s">
        <v>395</v>
      </c>
      <c r="D7461" s="6" t="s">
        <v>190</v>
      </c>
      <c r="E7461" s="11">
        <v>3.0334227085113525</v>
      </c>
      <c r="F7461" s="11">
        <v>4.0016798973083496</v>
      </c>
    </row>
    <row r="7462" spans="1:6" hidden="1" x14ac:dyDescent="0.3">
      <c r="A7462" s="6">
        <v>54</v>
      </c>
      <c r="B7462" s="6" t="s">
        <v>189</v>
      </c>
      <c r="C7462" s="6" t="s">
        <v>396</v>
      </c>
      <c r="D7462" s="6" t="s">
        <v>190</v>
      </c>
      <c r="E7462" s="11">
        <v>3.2981374263763428</v>
      </c>
      <c r="F7462" s="11">
        <v>4.0016798973083496</v>
      </c>
    </row>
    <row r="7463" spans="1:6" hidden="1" x14ac:dyDescent="0.3">
      <c r="A7463" s="6">
        <v>54</v>
      </c>
      <c r="B7463" s="6" t="s">
        <v>189</v>
      </c>
      <c r="C7463" s="6" t="s">
        <v>397</v>
      </c>
      <c r="D7463" s="6" t="s">
        <v>190</v>
      </c>
      <c r="E7463" s="11">
        <v>2.9998126029968262</v>
      </c>
      <c r="F7463" s="11">
        <v>4.0016798973083496</v>
      </c>
    </row>
    <row r="7464" spans="1:6" hidden="1" x14ac:dyDescent="0.3">
      <c r="A7464" s="6">
        <v>54</v>
      </c>
      <c r="B7464" s="6" t="s">
        <v>189</v>
      </c>
      <c r="C7464" s="6" t="s">
        <v>398</v>
      </c>
      <c r="D7464" s="6" t="s">
        <v>190</v>
      </c>
      <c r="E7464" s="11">
        <v>2.9439268112182617</v>
      </c>
      <c r="F7464" s="11">
        <v>4.0016798973083496</v>
      </c>
    </row>
    <row r="7465" spans="1:6" hidden="1" x14ac:dyDescent="0.3">
      <c r="A7465" s="6">
        <v>54</v>
      </c>
      <c r="B7465" s="6" t="s">
        <v>189</v>
      </c>
      <c r="C7465" s="6" t="s">
        <v>399</v>
      </c>
      <c r="D7465" s="6" t="s">
        <v>190</v>
      </c>
      <c r="E7465" s="11">
        <v>3.2565865516662598</v>
      </c>
      <c r="F7465" s="11">
        <v>4.0016798973083496</v>
      </c>
    </row>
    <row r="7466" spans="1:6" hidden="1" x14ac:dyDescent="0.3">
      <c r="A7466" s="6">
        <v>54</v>
      </c>
      <c r="B7466" s="6" t="s">
        <v>189</v>
      </c>
      <c r="C7466" s="6" t="s">
        <v>400</v>
      </c>
      <c r="D7466" s="6" t="s">
        <v>190</v>
      </c>
      <c r="E7466" s="11">
        <v>3.7622897624969482</v>
      </c>
      <c r="F7466" s="11">
        <v>4.0016798973083496</v>
      </c>
    </row>
    <row r="7467" spans="1:6" hidden="1" x14ac:dyDescent="0.3">
      <c r="A7467" s="6">
        <v>54</v>
      </c>
      <c r="B7467" s="6" t="s">
        <v>189</v>
      </c>
      <c r="C7467" s="6" t="s">
        <v>401</v>
      </c>
      <c r="D7467" s="6" t="s">
        <v>190</v>
      </c>
      <c r="E7467" s="11">
        <v>3.1642816066741943</v>
      </c>
      <c r="F7467" s="11">
        <v>4.0016798973083496</v>
      </c>
    </row>
    <row r="7468" spans="1:6" hidden="1" x14ac:dyDescent="0.3">
      <c r="A7468" s="6">
        <v>54</v>
      </c>
      <c r="B7468" s="6" t="s">
        <v>189</v>
      </c>
      <c r="C7468" s="6" t="s">
        <v>402</v>
      </c>
      <c r="D7468" s="6" t="s">
        <v>190</v>
      </c>
      <c r="E7468" s="11">
        <v>4.8257932662963867</v>
      </c>
      <c r="F7468" s="11">
        <v>4.0016798973083496</v>
      </c>
    </row>
    <row r="7469" spans="1:6" hidden="1" x14ac:dyDescent="0.3">
      <c r="A7469" s="6">
        <v>54</v>
      </c>
      <c r="B7469" s="6" t="s">
        <v>189</v>
      </c>
      <c r="C7469" s="6" t="s">
        <v>403</v>
      </c>
      <c r="D7469" s="6" t="s">
        <v>190</v>
      </c>
      <c r="E7469" s="11">
        <v>4.0178813934326172</v>
      </c>
      <c r="F7469" s="11">
        <v>4.0016798973083496</v>
      </c>
    </row>
    <row r="7470" spans="1:6" hidden="1" x14ac:dyDescent="0.3">
      <c r="A7470" s="6">
        <v>54</v>
      </c>
      <c r="B7470" s="6" t="s">
        <v>189</v>
      </c>
      <c r="C7470" s="6" t="s">
        <v>404</v>
      </c>
      <c r="D7470" s="6" t="s">
        <v>190</v>
      </c>
      <c r="E7470" s="11">
        <v>4.2989487648010254</v>
      </c>
      <c r="F7470" s="11">
        <v>4.0016798973083496</v>
      </c>
    </row>
    <row r="7471" spans="1:6" hidden="1" x14ac:dyDescent="0.3">
      <c r="A7471" s="6">
        <v>54</v>
      </c>
      <c r="B7471" s="6" t="s">
        <v>189</v>
      </c>
      <c r="C7471" s="6" t="s">
        <v>405</v>
      </c>
      <c r="D7471" s="6" t="s">
        <v>190</v>
      </c>
      <c r="E7471" s="11">
        <v>3.2420361042022705</v>
      </c>
      <c r="F7471" s="11">
        <v>4.0016798973083496</v>
      </c>
    </row>
    <row r="7472" spans="1:6" hidden="1" x14ac:dyDescent="0.3">
      <c r="A7472" s="6">
        <v>54</v>
      </c>
      <c r="B7472" s="6" t="s">
        <v>189</v>
      </c>
      <c r="C7472" s="6" t="s">
        <v>406</v>
      </c>
      <c r="D7472" s="6" t="s">
        <v>190</v>
      </c>
      <c r="E7472" s="11">
        <v>3.9887988567352295</v>
      </c>
      <c r="F7472" s="11">
        <v>4.0016798973083496</v>
      </c>
    </row>
    <row r="7473" spans="1:6" hidden="1" x14ac:dyDescent="0.3">
      <c r="A7473" s="6">
        <v>54</v>
      </c>
      <c r="B7473" s="6" t="s">
        <v>189</v>
      </c>
      <c r="C7473" s="6" t="s">
        <v>407</v>
      </c>
      <c r="D7473" s="6" t="s">
        <v>190</v>
      </c>
      <c r="E7473" s="11">
        <v>2.9076340198516846</v>
      </c>
      <c r="F7473" s="11">
        <v>4.0016798973083496</v>
      </c>
    </row>
    <row r="7474" spans="1:6" hidden="1" x14ac:dyDescent="0.3">
      <c r="A7474" s="6">
        <v>54</v>
      </c>
      <c r="B7474" s="6" t="s">
        <v>189</v>
      </c>
      <c r="C7474" s="6" t="s">
        <v>408</v>
      </c>
      <c r="D7474" s="6" t="s">
        <v>190</v>
      </c>
      <c r="E7474" s="11">
        <v>3.6959598064422607</v>
      </c>
      <c r="F7474" s="11">
        <v>4.0016798973083496</v>
      </c>
    </row>
    <row r="7475" spans="1:6" hidden="1" x14ac:dyDescent="0.3">
      <c r="A7475" s="6">
        <v>54</v>
      </c>
      <c r="B7475" s="6" t="s">
        <v>189</v>
      </c>
      <c r="C7475" s="6" t="s">
        <v>409</v>
      </c>
      <c r="D7475" s="6" t="s">
        <v>190</v>
      </c>
      <c r="E7475" s="11">
        <v>3.8716893196105957</v>
      </c>
      <c r="F7475" s="11">
        <v>4.0016798973083496</v>
      </c>
    </row>
    <row r="7476" spans="1:6" hidden="1" x14ac:dyDescent="0.3">
      <c r="A7476" s="6">
        <v>54</v>
      </c>
      <c r="B7476" s="6" t="s">
        <v>189</v>
      </c>
      <c r="C7476" s="6" t="s">
        <v>410</v>
      </c>
      <c r="D7476" s="6" t="s">
        <v>190</v>
      </c>
      <c r="E7476" s="11">
        <v>3.7544615268707275</v>
      </c>
      <c r="F7476" s="11">
        <v>4.0016798973083496</v>
      </c>
    </row>
    <row r="7477" spans="1:6" hidden="1" x14ac:dyDescent="0.3">
      <c r="A7477" s="6">
        <v>54</v>
      </c>
      <c r="B7477" s="6" t="s">
        <v>189</v>
      </c>
      <c r="C7477" s="6" t="s">
        <v>411</v>
      </c>
      <c r="D7477" s="6" t="s">
        <v>190</v>
      </c>
      <c r="E7477" s="11">
        <v>6.1783871650695801</v>
      </c>
      <c r="F7477" s="11">
        <v>4.0016798973083496</v>
      </c>
    </row>
    <row r="7478" spans="1:6" hidden="1" x14ac:dyDescent="0.3">
      <c r="A7478" s="6">
        <v>54</v>
      </c>
      <c r="B7478" s="6" t="s">
        <v>189</v>
      </c>
      <c r="C7478" s="6" t="s">
        <v>412</v>
      </c>
      <c r="D7478" s="6" t="s">
        <v>190</v>
      </c>
      <c r="E7478" s="11">
        <v>4.5797305107116699</v>
      </c>
      <c r="F7478" s="11">
        <v>4.0016798973083496</v>
      </c>
    </row>
    <row r="7479" spans="1:6" hidden="1" x14ac:dyDescent="0.3">
      <c r="A7479" s="6">
        <v>54</v>
      </c>
      <c r="B7479" s="6" t="s">
        <v>189</v>
      </c>
      <c r="C7479" s="6" t="s">
        <v>413</v>
      </c>
      <c r="D7479" s="6" t="s">
        <v>190</v>
      </c>
      <c r="E7479" s="11">
        <v>3.8099346160888672</v>
      </c>
      <c r="F7479" s="11">
        <v>4.0016798973083496</v>
      </c>
    </row>
    <row r="7480" spans="1:6" hidden="1" x14ac:dyDescent="0.3">
      <c r="A7480" s="6">
        <v>54</v>
      </c>
      <c r="B7480" s="6" t="s">
        <v>189</v>
      </c>
      <c r="C7480" s="6" t="s">
        <v>414</v>
      </c>
      <c r="D7480" s="6" t="s">
        <v>190</v>
      </c>
      <c r="E7480" s="11">
        <v>3.6793084144592285</v>
      </c>
      <c r="F7480" s="11">
        <v>4.0016798973083496</v>
      </c>
    </row>
    <row r="7481" spans="1:6" hidden="1" x14ac:dyDescent="0.3">
      <c r="A7481" s="6">
        <v>54</v>
      </c>
      <c r="B7481" s="6" t="s">
        <v>189</v>
      </c>
      <c r="C7481" s="6" t="s">
        <v>415</v>
      </c>
      <c r="D7481" s="6" t="s">
        <v>190</v>
      </c>
      <c r="E7481" s="11">
        <v>3.5917813777923584</v>
      </c>
      <c r="F7481" s="11">
        <v>4.0016798973083496</v>
      </c>
    </row>
    <row r="7482" spans="1:6" hidden="1" x14ac:dyDescent="0.3">
      <c r="A7482" s="6">
        <v>54</v>
      </c>
      <c r="B7482" s="6" t="s">
        <v>189</v>
      </c>
      <c r="C7482" s="6" t="s">
        <v>416</v>
      </c>
      <c r="D7482" s="6" t="s">
        <v>190</v>
      </c>
      <c r="E7482" s="11">
        <v>4.7592082023620605</v>
      </c>
      <c r="F7482" s="11">
        <v>4.0016798973083496</v>
      </c>
    </row>
    <row r="7483" spans="1:6" hidden="1" x14ac:dyDescent="0.3">
      <c r="A7483" s="6">
        <v>54</v>
      </c>
      <c r="B7483" s="6" t="s">
        <v>189</v>
      </c>
      <c r="C7483" s="6" t="s">
        <v>417</v>
      </c>
      <c r="D7483" s="6" t="s">
        <v>190</v>
      </c>
      <c r="E7483" s="11">
        <v>3.5801033973693848</v>
      </c>
      <c r="F7483" s="11">
        <v>4.0016798973083496</v>
      </c>
    </row>
    <row r="7484" spans="1:6" hidden="1" x14ac:dyDescent="0.3">
      <c r="A7484" s="6">
        <v>54</v>
      </c>
      <c r="B7484" s="6" t="s">
        <v>189</v>
      </c>
      <c r="C7484" s="6" t="s">
        <v>418</v>
      </c>
      <c r="D7484" s="6" t="s">
        <v>190</v>
      </c>
      <c r="E7484" s="11">
        <v>3.1746461391448975</v>
      </c>
      <c r="F7484" s="11">
        <v>4.0016798973083496</v>
      </c>
    </row>
    <row r="7485" spans="1:6" hidden="1" x14ac:dyDescent="0.3">
      <c r="A7485" s="6">
        <v>54</v>
      </c>
      <c r="B7485" s="6" t="s">
        <v>189</v>
      </c>
      <c r="C7485" s="6" t="s">
        <v>419</v>
      </c>
      <c r="D7485" s="6" t="s">
        <v>190</v>
      </c>
      <c r="E7485" s="11">
        <v>3.0026168823242188</v>
      </c>
      <c r="F7485" s="11">
        <v>4.0016798973083496</v>
      </c>
    </row>
    <row r="7486" spans="1:6" hidden="1" x14ac:dyDescent="0.3">
      <c r="A7486" s="6">
        <v>54</v>
      </c>
      <c r="B7486" s="6" t="s">
        <v>189</v>
      </c>
      <c r="C7486" s="6" t="s">
        <v>420</v>
      </c>
      <c r="D7486" s="6" t="s">
        <v>190</v>
      </c>
      <c r="E7486" s="11">
        <v>3.1811745166778564</v>
      </c>
      <c r="F7486" s="11">
        <v>4.0016798973083496</v>
      </c>
    </row>
    <row r="7487" spans="1:6" hidden="1" x14ac:dyDescent="0.3">
      <c r="A7487" s="6">
        <v>54</v>
      </c>
      <c r="B7487" s="6" t="s">
        <v>189</v>
      </c>
      <c r="C7487" s="6" t="s">
        <v>421</v>
      </c>
      <c r="D7487" s="6" t="s">
        <v>190</v>
      </c>
      <c r="E7487" s="11">
        <v>3.6447949409484863</v>
      </c>
      <c r="F7487" s="11">
        <v>4.0016798973083496</v>
      </c>
    </row>
    <row r="7488" spans="1:6" hidden="1" x14ac:dyDescent="0.3">
      <c r="A7488" s="6">
        <v>54</v>
      </c>
      <c r="B7488" s="6" t="s">
        <v>189</v>
      </c>
      <c r="C7488" s="6" t="s">
        <v>422</v>
      </c>
      <c r="D7488" s="6" t="s">
        <v>190</v>
      </c>
      <c r="E7488" s="11">
        <v>4.3041834831237793</v>
      </c>
      <c r="F7488" s="11">
        <v>4.0016798973083496</v>
      </c>
    </row>
    <row r="7489" spans="1:6" hidden="1" x14ac:dyDescent="0.3">
      <c r="A7489" s="6">
        <v>54</v>
      </c>
      <c r="B7489" s="6" t="s">
        <v>189</v>
      </c>
      <c r="C7489" s="6" t="s">
        <v>423</v>
      </c>
      <c r="D7489" s="6" t="s">
        <v>190</v>
      </c>
      <c r="E7489" s="11">
        <v>5.3207488059997559</v>
      </c>
      <c r="F7489" s="11">
        <v>4.0016798973083496</v>
      </c>
    </row>
    <row r="7490" spans="1:6" hidden="1" x14ac:dyDescent="0.3">
      <c r="A7490" s="6">
        <v>54</v>
      </c>
      <c r="B7490" s="6" t="s">
        <v>189</v>
      </c>
      <c r="C7490" s="6" t="s">
        <v>424</v>
      </c>
      <c r="D7490" s="6" t="s">
        <v>190</v>
      </c>
      <c r="E7490" s="11">
        <v>3.978416919708252</v>
      </c>
      <c r="F7490" s="11">
        <v>4.0016798973083496</v>
      </c>
    </row>
    <row r="7491" spans="1:6" hidden="1" x14ac:dyDescent="0.3">
      <c r="A7491" s="6">
        <v>54</v>
      </c>
      <c r="B7491" s="6" t="s">
        <v>189</v>
      </c>
      <c r="C7491" s="6" t="s">
        <v>425</v>
      </c>
      <c r="D7491" s="6" t="s">
        <v>190</v>
      </c>
      <c r="E7491" s="11">
        <v>3.5645956993103027</v>
      </c>
      <c r="F7491" s="11">
        <v>4.0016798973083496</v>
      </c>
    </row>
    <row r="7492" spans="1:6" hidden="1" x14ac:dyDescent="0.3">
      <c r="A7492" s="6">
        <v>54</v>
      </c>
      <c r="B7492" s="6" t="s">
        <v>189</v>
      </c>
      <c r="C7492" s="6" t="s">
        <v>426</v>
      </c>
      <c r="D7492" s="6" t="s">
        <v>190</v>
      </c>
      <c r="E7492" s="11">
        <v>3.2599778175354004</v>
      </c>
      <c r="F7492" s="11">
        <v>4.0016798973083496</v>
      </c>
    </row>
    <row r="7493" spans="1:6" hidden="1" x14ac:dyDescent="0.3">
      <c r="A7493" s="6">
        <v>54</v>
      </c>
      <c r="B7493" s="6" t="s">
        <v>189</v>
      </c>
      <c r="C7493" s="6" t="s">
        <v>427</v>
      </c>
      <c r="D7493" s="6" t="s">
        <v>190</v>
      </c>
      <c r="E7493" s="11">
        <v>5.0006566047668457</v>
      </c>
      <c r="F7493" s="11">
        <v>4.0016798973083496</v>
      </c>
    </row>
    <row r="7494" spans="1:6" hidden="1" x14ac:dyDescent="0.3">
      <c r="A7494" s="6">
        <v>54</v>
      </c>
      <c r="B7494" s="6" t="s">
        <v>189</v>
      </c>
      <c r="C7494" s="6" t="s">
        <v>428</v>
      </c>
      <c r="D7494" s="6" t="s">
        <v>190</v>
      </c>
      <c r="E7494" s="11">
        <v>7.9754071235656738</v>
      </c>
      <c r="F7494" s="11">
        <v>4.0016798973083496</v>
      </c>
    </row>
    <row r="7495" spans="1:6" hidden="1" x14ac:dyDescent="0.3">
      <c r="A7495" s="6">
        <v>54</v>
      </c>
      <c r="B7495" s="6" t="s">
        <v>189</v>
      </c>
      <c r="C7495" s="6" t="s">
        <v>429</v>
      </c>
      <c r="D7495" s="6" t="s">
        <v>190</v>
      </c>
      <c r="E7495" s="11">
        <v>4.0993747711181641</v>
      </c>
      <c r="F7495" s="11">
        <v>4.0016798973083496</v>
      </c>
    </row>
    <row r="7496" spans="1:6" hidden="1" x14ac:dyDescent="0.3">
      <c r="A7496" s="6">
        <v>54</v>
      </c>
      <c r="B7496" s="6" t="s">
        <v>189</v>
      </c>
      <c r="C7496" s="6" t="s">
        <v>430</v>
      </c>
      <c r="D7496" s="6" t="s">
        <v>190</v>
      </c>
      <c r="E7496" s="11">
        <v>3.1525166034698486</v>
      </c>
      <c r="F7496" s="11">
        <v>4.0016798973083496</v>
      </c>
    </row>
    <row r="7497" spans="1:6" hidden="1" x14ac:dyDescent="0.3">
      <c r="A7497" s="6">
        <v>54</v>
      </c>
      <c r="B7497" s="6" t="s">
        <v>189</v>
      </c>
      <c r="C7497" s="6" t="s">
        <v>431</v>
      </c>
      <c r="D7497" s="6" t="s">
        <v>190</v>
      </c>
      <c r="E7497" s="11">
        <v>3.7160205841064453</v>
      </c>
      <c r="F7497" s="11">
        <v>4.0016798973083496</v>
      </c>
    </row>
    <row r="7498" spans="1:6" hidden="1" x14ac:dyDescent="0.3">
      <c r="A7498" s="6">
        <v>54</v>
      </c>
      <c r="B7498" s="6" t="s">
        <v>189</v>
      </c>
      <c r="C7498" s="6" t="s">
        <v>432</v>
      </c>
      <c r="D7498" s="6" t="s">
        <v>190</v>
      </c>
      <c r="E7498" s="11">
        <v>3.7826251983642578</v>
      </c>
      <c r="F7498" s="11">
        <v>4.0016798973083496</v>
      </c>
    </row>
    <row r="7499" spans="1:6" hidden="1" x14ac:dyDescent="0.3">
      <c r="A7499" s="6">
        <v>54</v>
      </c>
      <c r="B7499" s="6" t="s">
        <v>189</v>
      </c>
      <c r="C7499" s="6" t="s">
        <v>433</v>
      </c>
      <c r="D7499" s="6" t="s">
        <v>190</v>
      </c>
      <c r="E7499" s="11">
        <v>3.2381021976470947</v>
      </c>
      <c r="F7499" s="11">
        <v>4.0016798973083496</v>
      </c>
    </row>
    <row r="7500" spans="1:6" hidden="1" x14ac:dyDescent="0.3">
      <c r="A7500" s="6">
        <v>54</v>
      </c>
      <c r="B7500" s="6" t="s">
        <v>189</v>
      </c>
      <c r="C7500" s="6" t="s">
        <v>434</v>
      </c>
      <c r="D7500" s="6" t="s">
        <v>190</v>
      </c>
      <c r="E7500" s="11">
        <v>3.5490517616271973</v>
      </c>
      <c r="F7500" s="11">
        <v>4.0016798973083496</v>
      </c>
    </row>
    <row r="7501" spans="1:6" hidden="1" x14ac:dyDescent="0.3">
      <c r="A7501" s="6">
        <v>54</v>
      </c>
      <c r="B7501" s="6" t="s">
        <v>189</v>
      </c>
      <c r="C7501" s="6" t="s">
        <v>435</v>
      </c>
      <c r="D7501" s="6" t="s">
        <v>190</v>
      </c>
      <c r="E7501" s="11">
        <v>2.7890498638153076</v>
      </c>
      <c r="F7501" s="11">
        <v>4.0016798973083496</v>
      </c>
    </row>
    <row r="7502" spans="1:6" hidden="1" x14ac:dyDescent="0.3">
      <c r="A7502" s="6">
        <v>54</v>
      </c>
      <c r="B7502" s="6" t="s">
        <v>189</v>
      </c>
      <c r="C7502" s="6" t="s">
        <v>436</v>
      </c>
      <c r="D7502" s="6" t="s">
        <v>190</v>
      </c>
      <c r="E7502" s="11">
        <v>4.4461269378662109</v>
      </c>
      <c r="F7502" s="11">
        <v>4.0016798973083496</v>
      </c>
    </row>
    <row r="7503" spans="1:6" hidden="1" x14ac:dyDescent="0.3">
      <c r="A7503" s="6">
        <v>54</v>
      </c>
      <c r="B7503" s="6" t="s">
        <v>189</v>
      </c>
      <c r="C7503" s="6" t="s">
        <v>437</v>
      </c>
      <c r="D7503" s="6" t="s">
        <v>190</v>
      </c>
      <c r="E7503" s="11">
        <v>3.8416025638580322</v>
      </c>
      <c r="F7503" s="11">
        <v>4.0016798973083496</v>
      </c>
    </row>
    <row r="7504" spans="1:6" hidden="1" x14ac:dyDescent="0.3">
      <c r="A7504" s="6">
        <v>54</v>
      </c>
      <c r="B7504" s="6" t="s">
        <v>189</v>
      </c>
      <c r="C7504" s="6" t="s">
        <v>438</v>
      </c>
      <c r="D7504" s="6" t="s">
        <v>190</v>
      </c>
      <c r="E7504" s="11">
        <v>3.7568275928497314</v>
      </c>
      <c r="F7504" s="11">
        <v>4.0016798973083496</v>
      </c>
    </row>
    <row r="7505" spans="1:6" hidden="1" x14ac:dyDescent="0.3">
      <c r="A7505" s="6">
        <v>54</v>
      </c>
      <c r="B7505" s="6" t="s">
        <v>189</v>
      </c>
      <c r="C7505" s="6" t="s">
        <v>439</v>
      </c>
      <c r="D7505" s="6" t="s">
        <v>190</v>
      </c>
      <c r="E7505" s="11">
        <v>3.8312625885009766</v>
      </c>
      <c r="F7505" s="11">
        <v>4.0016798973083496</v>
      </c>
    </row>
    <row r="7506" spans="1:6" hidden="1" x14ac:dyDescent="0.3">
      <c r="A7506" s="6">
        <v>54</v>
      </c>
      <c r="B7506" s="6" t="s">
        <v>189</v>
      </c>
      <c r="C7506" s="6" t="s">
        <v>440</v>
      </c>
      <c r="D7506" s="6" t="s">
        <v>190</v>
      </c>
      <c r="E7506" s="11">
        <v>3.061166524887085</v>
      </c>
      <c r="F7506" s="11">
        <v>4.0016798973083496</v>
      </c>
    </row>
    <row r="7507" spans="1:6" hidden="1" x14ac:dyDescent="0.3">
      <c r="A7507" s="6">
        <v>54</v>
      </c>
      <c r="B7507" s="6" t="s">
        <v>189</v>
      </c>
      <c r="C7507" s="6" t="s">
        <v>441</v>
      </c>
      <c r="D7507" s="6" t="s">
        <v>190</v>
      </c>
      <c r="E7507" s="11">
        <v>3.8167049884796143</v>
      </c>
      <c r="F7507" s="11">
        <v>4.0016798973083496</v>
      </c>
    </row>
    <row r="7508" spans="1:6" hidden="1" x14ac:dyDescent="0.3">
      <c r="A7508" s="6">
        <v>54</v>
      </c>
      <c r="B7508" s="6" t="s">
        <v>189</v>
      </c>
      <c r="C7508" s="6" t="s">
        <v>442</v>
      </c>
      <c r="D7508" s="6" t="s">
        <v>190</v>
      </c>
      <c r="E7508" s="11">
        <v>3.7727513313293457</v>
      </c>
      <c r="F7508" s="11">
        <v>4.0016798973083496</v>
      </c>
    </row>
    <row r="7509" spans="1:6" hidden="1" x14ac:dyDescent="0.3">
      <c r="A7509" s="6">
        <v>54</v>
      </c>
      <c r="B7509" s="6" t="s">
        <v>189</v>
      </c>
      <c r="C7509" s="6" t="s">
        <v>443</v>
      </c>
      <c r="D7509" s="6" t="s">
        <v>190</v>
      </c>
      <c r="E7509" s="11">
        <v>3.2466845512390137</v>
      </c>
      <c r="F7509" s="11">
        <v>4.0016798973083496</v>
      </c>
    </row>
    <row r="7510" spans="1:6" hidden="1" x14ac:dyDescent="0.3">
      <c r="A7510" s="6">
        <v>54</v>
      </c>
      <c r="B7510" s="6" t="s">
        <v>189</v>
      </c>
      <c r="C7510" s="6" t="s">
        <v>444</v>
      </c>
      <c r="D7510" s="6" t="s">
        <v>190</v>
      </c>
      <c r="E7510" s="11">
        <v>3.4936747550964355</v>
      </c>
      <c r="F7510" s="11">
        <v>4.0016798973083496</v>
      </c>
    </row>
    <row r="7511" spans="1:6" hidden="1" x14ac:dyDescent="0.3">
      <c r="A7511" s="6">
        <v>54</v>
      </c>
      <c r="B7511" s="6" t="s">
        <v>189</v>
      </c>
      <c r="C7511" s="6" t="s">
        <v>445</v>
      </c>
      <c r="D7511" s="6" t="s">
        <v>190</v>
      </c>
      <c r="E7511" s="11">
        <v>4.7778239250183105</v>
      </c>
      <c r="F7511" s="11">
        <v>4.0016798973083496</v>
      </c>
    </row>
    <row r="7512" spans="1:6" hidden="1" x14ac:dyDescent="0.3">
      <c r="A7512" s="6">
        <v>54</v>
      </c>
      <c r="B7512" s="6" t="s">
        <v>189</v>
      </c>
      <c r="C7512" s="6" t="s">
        <v>446</v>
      </c>
      <c r="D7512" s="6" t="s">
        <v>190</v>
      </c>
      <c r="E7512" s="11">
        <v>3.9516065120697021</v>
      </c>
      <c r="F7512" s="11">
        <v>4.0016798973083496</v>
      </c>
    </row>
    <row r="7513" spans="1:6" hidden="1" x14ac:dyDescent="0.3">
      <c r="A7513" s="6">
        <v>54</v>
      </c>
      <c r="B7513" s="6" t="s">
        <v>189</v>
      </c>
      <c r="C7513" s="6" t="s">
        <v>447</v>
      </c>
      <c r="D7513" s="6" t="s">
        <v>190</v>
      </c>
      <c r="E7513" s="11">
        <v>3.9807188510894775</v>
      </c>
      <c r="F7513" s="11">
        <v>4.0016798973083496</v>
      </c>
    </row>
    <row r="7514" spans="1:6" hidden="1" x14ac:dyDescent="0.3">
      <c r="A7514" s="6">
        <v>54</v>
      </c>
      <c r="B7514" s="6" t="s">
        <v>189</v>
      </c>
      <c r="C7514" s="6" t="s">
        <v>448</v>
      </c>
      <c r="D7514" s="6" t="s">
        <v>190</v>
      </c>
      <c r="E7514" s="11">
        <v>3.5621061325073242</v>
      </c>
      <c r="F7514" s="11">
        <v>4.0016798973083496</v>
      </c>
    </row>
    <row r="7515" spans="1:6" hidden="1" x14ac:dyDescent="0.3">
      <c r="A7515" s="6">
        <v>54</v>
      </c>
      <c r="B7515" s="6" t="s">
        <v>189</v>
      </c>
      <c r="C7515" s="6" t="s">
        <v>449</v>
      </c>
      <c r="D7515" s="6" t="s">
        <v>190</v>
      </c>
      <c r="E7515" s="11">
        <v>2.9285578727722168</v>
      </c>
      <c r="F7515" s="11">
        <v>4.0016798973083496</v>
      </c>
    </row>
    <row r="7516" spans="1:6" hidden="1" x14ac:dyDescent="0.3">
      <c r="A7516" s="6">
        <v>54</v>
      </c>
      <c r="B7516" s="6" t="s">
        <v>189</v>
      </c>
      <c r="C7516" s="6" t="s">
        <v>450</v>
      </c>
      <c r="D7516" s="6" t="s">
        <v>190</v>
      </c>
      <c r="E7516" s="11">
        <v>5.6971802711486816</v>
      </c>
      <c r="F7516" s="11">
        <v>4.0016798973083496</v>
      </c>
    </row>
    <row r="7517" spans="1:6" hidden="1" x14ac:dyDescent="0.3">
      <c r="A7517" s="6">
        <v>54</v>
      </c>
      <c r="B7517" s="6" t="s">
        <v>189</v>
      </c>
      <c r="C7517" s="6" t="s">
        <v>451</v>
      </c>
      <c r="D7517" s="6" t="s">
        <v>190</v>
      </c>
      <c r="E7517" s="11">
        <v>3.3116965293884277</v>
      </c>
      <c r="F7517" s="11">
        <v>4.0016798973083496</v>
      </c>
    </row>
    <row r="7518" spans="1:6" hidden="1" x14ac:dyDescent="0.3">
      <c r="A7518" s="6">
        <v>54</v>
      </c>
      <c r="B7518" s="6" t="s">
        <v>189</v>
      </c>
      <c r="C7518" s="6" t="s">
        <v>452</v>
      </c>
      <c r="D7518" s="6" t="s">
        <v>190</v>
      </c>
      <c r="E7518" s="11">
        <v>3.4051954746246338</v>
      </c>
      <c r="F7518" s="11">
        <v>4.0016798973083496</v>
      </c>
    </row>
    <row r="7519" spans="1:6" hidden="1" x14ac:dyDescent="0.3">
      <c r="A7519" s="6">
        <v>54</v>
      </c>
      <c r="B7519" s="6" t="s">
        <v>189</v>
      </c>
      <c r="C7519" s="6" t="s">
        <v>453</v>
      </c>
      <c r="D7519" s="6" t="s">
        <v>190</v>
      </c>
      <c r="E7519" s="11">
        <v>3.1577966213226318</v>
      </c>
      <c r="F7519" s="11">
        <v>4.0016798973083496</v>
      </c>
    </row>
    <row r="7520" spans="1:6" hidden="1" x14ac:dyDescent="0.3">
      <c r="A7520" s="6">
        <v>54</v>
      </c>
      <c r="B7520" s="6" t="s">
        <v>189</v>
      </c>
      <c r="C7520" s="6" t="s">
        <v>454</v>
      </c>
      <c r="D7520" s="6" t="s">
        <v>190</v>
      </c>
      <c r="E7520" s="11">
        <v>2.6614749431610107</v>
      </c>
      <c r="F7520" s="11">
        <v>4.0016798973083496</v>
      </c>
    </row>
    <row r="7521" spans="1:6" hidden="1" x14ac:dyDescent="0.3">
      <c r="A7521" s="6">
        <v>54</v>
      </c>
      <c r="B7521" s="6" t="s">
        <v>189</v>
      </c>
      <c r="C7521" s="6" t="s">
        <v>455</v>
      </c>
      <c r="D7521" s="6" t="s">
        <v>190</v>
      </c>
      <c r="E7521" s="11">
        <v>4.1329426765441895</v>
      </c>
      <c r="F7521" s="11">
        <v>4.0016798973083496</v>
      </c>
    </row>
    <row r="7522" spans="1:6" hidden="1" x14ac:dyDescent="0.3">
      <c r="A7522" s="6">
        <v>54</v>
      </c>
      <c r="B7522" s="6" t="s">
        <v>189</v>
      </c>
      <c r="C7522" s="6" t="s">
        <v>456</v>
      </c>
      <c r="D7522" s="6" t="s">
        <v>190</v>
      </c>
      <c r="E7522" s="11">
        <v>2.7882843017578125</v>
      </c>
      <c r="F7522" s="11">
        <v>4.0016798973083496</v>
      </c>
    </row>
    <row r="7523" spans="1:6" hidden="1" x14ac:dyDescent="0.3">
      <c r="A7523" s="6">
        <v>54</v>
      </c>
      <c r="B7523" s="6" t="s">
        <v>189</v>
      </c>
      <c r="C7523" s="6" t="s">
        <v>457</v>
      </c>
      <c r="D7523" s="6" t="s">
        <v>190</v>
      </c>
      <c r="E7523" s="11">
        <v>4.9610834121704102</v>
      </c>
      <c r="F7523" s="11">
        <v>4.0016798973083496</v>
      </c>
    </row>
    <row r="7524" spans="1:6" hidden="1" x14ac:dyDescent="0.3">
      <c r="A7524" s="6">
        <v>54</v>
      </c>
      <c r="B7524" s="6" t="s">
        <v>189</v>
      </c>
      <c r="C7524" s="6" t="s">
        <v>458</v>
      </c>
      <c r="D7524" s="6" t="s">
        <v>190</v>
      </c>
      <c r="E7524" s="11">
        <v>5.0418310165405273</v>
      </c>
      <c r="F7524" s="11">
        <v>4.0016798973083496</v>
      </c>
    </row>
    <row r="7525" spans="1:6" hidden="1" x14ac:dyDescent="0.3">
      <c r="A7525" s="6">
        <v>54</v>
      </c>
      <c r="B7525" s="6" t="s">
        <v>189</v>
      </c>
      <c r="C7525" s="6" t="s">
        <v>459</v>
      </c>
      <c r="D7525" s="6" t="s">
        <v>190</v>
      </c>
      <c r="E7525" s="11">
        <v>4.8007397651672363</v>
      </c>
      <c r="F7525" s="11">
        <v>4.0016798973083496</v>
      </c>
    </row>
    <row r="7526" spans="1:6" hidden="1" x14ac:dyDescent="0.3">
      <c r="A7526" s="6">
        <v>54</v>
      </c>
      <c r="B7526" s="6" t="s">
        <v>189</v>
      </c>
      <c r="C7526" s="6" t="s">
        <v>460</v>
      </c>
      <c r="D7526" s="6" t="s">
        <v>190</v>
      </c>
      <c r="E7526" s="11">
        <v>3.2886929512023926</v>
      </c>
      <c r="F7526" s="11">
        <v>4.0016798973083496</v>
      </c>
    </row>
    <row r="7527" spans="1:6" hidden="1" x14ac:dyDescent="0.3">
      <c r="A7527" s="6">
        <v>54</v>
      </c>
      <c r="B7527" s="6" t="s">
        <v>189</v>
      </c>
      <c r="C7527" s="6" t="s">
        <v>461</v>
      </c>
      <c r="D7527" s="6" t="s">
        <v>190</v>
      </c>
      <c r="E7527" s="11">
        <v>4.2481527328491211</v>
      </c>
      <c r="F7527" s="11">
        <v>4.0016798973083496</v>
      </c>
    </row>
    <row r="7528" spans="1:6" hidden="1" x14ac:dyDescent="0.3">
      <c r="A7528" s="6">
        <v>54</v>
      </c>
      <c r="B7528" s="6" t="s">
        <v>189</v>
      </c>
      <c r="C7528" s="6" t="s">
        <v>462</v>
      </c>
      <c r="D7528" s="6" t="s">
        <v>190</v>
      </c>
      <c r="E7528" s="11">
        <v>3.3887922763824463</v>
      </c>
      <c r="F7528" s="11">
        <v>4.0016798973083496</v>
      </c>
    </row>
    <row r="7529" spans="1:6" hidden="1" x14ac:dyDescent="0.3">
      <c r="A7529" s="6">
        <v>54</v>
      </c>
      <c r="B7529" s="6" t="s">
        <v>189</v>
      </c>
      <c r="C7529" s="6" t="s">
        <v>463</v>
      </c>
      <c r="D7529" s="6" t="s">
        <v>190</v>
      </c>
      <c r="E7529" s="11">
        <v>3.3572432994842529</v>
      </c>
      <c r="F7529" s="11">
        <v>4.0016798973083496</v>
      </c>
    </row>
    <row r="7530" spans="1:6" hidden="1" x14ac:dyDescent="0.3">
      <c r="A7530" s="6">
        <v>54</v>
      </c>
      <c r="B7530" s="6" t="s">
        <v>189</v>
      </c>
      <c r="C7530" s="6" t="s">
        <v>464</v>
      </c>
      <c r="D7530" s="6" t="s">
        <v>190</v>
      </c>
      <c r="E7530" s="11">
        <v>3.4895498752593994</v>
      </c>
      <c r="F7530" s="11">
        <v>4.0016798973083496</v>
      </c>
    </row>
    <row r="7531" spans="1:6" hidden="1" x14ac:dyDescent="0.3">
      <c r="A7531" s="6">
        <v>54</v>
      </c>
      <c r="B7531" s="6" t="s">
        <v>189</v>
      </c>
      <c r="C7531" s="6" t="s">
        <v>465</v>
      </c>
      <c r="D7531" s="6" t="s">
        <v>190</v>
      </c>
      <c r="E7531" s="11">
        <v>3.838050365447998</v>
      </c>
      <c r="F7531" s="11">
        <v>4.0016798973083496</v>
      </c>
    </row>
    <row r="7532" spans="1:6" hidden="1" x14ac:dyDescent="0.3">
      <c r="A7532" s="6">
        <v>54</v>
      </c>
      <c r="B7532" s="6" t="s">
        <v>189</v>
      </c>
      <c r="C7532" s="6" t="s">
        <v>466</v>
      </c>
      <c r="D7532" s="6" t="s">
        <v>190</v>
      </c>
      <c r="E7532" s="11">
        <v>4.1994209289550781</v>
      </c>
      <c r="F7532" s="11">
        <v>4.0016798973083496</v>
      </c>
    </row>
    <row r="7533" spans="1:6" hidden="1" x14ac:dyDescent="0.3">
      <c r="A7533" s="6">
        <v>54</v>
      </c>
      <c r="B7533" s="6" t="s">
        <v>189</v>
      </c>
      <c r="C7533" s="6" t="s">
        <v>467</v>
      </c>
      <c r="D7533" s="6" t="s">
        <v>190</v>
      </c>
      <c r="E7533" s="11">
        <v>3.437352180480957</v>
      </c>
      <c r="F7533" s="11">
        <v>4.0016798973083496</v>
      </c>
    </row>
    <row r="7534" spans="1:6" hidden="1" x14ac:dyDescent="0.3">
      <c r="A7534" s="6">
        <v>54</v>
      </c>
      <c r="B7534" s="6" t="s">
        <v>189</v>
      </c>
      <c r="C7534" s="6" t="s">
        <v>468</v>
      </c>
      <c r="D7534" s="6" t="s">
        <v>190</v>
      </c>
      <c r="E7534" s="11">
        <v>3.8975944519042969</v>
      </c>
      <c r="F7534" s="11">
        <v>4.0016798973083496</v>
      </c>
    </row>
    <row r="7535" spans="1:6" hidden="1" x14ac:dyDescent="0.3">
      <c r="A7535" s="6">
        <v>54</v>
      </c>
      <c r="B7535" s="6" t="s">
        <v>189</v>
      </c>
      <c r="C7535" s="6" t="s">
        <v>469</v>
      </c>
      <c r="D7535" s="6" t="s">
        <v>190</v>
      </c>
      <c r="E7535" s="11">
        <v>3.4177682399749756</v>
      </c>
      <c r="F7535" s="11">
        <v>4.0016798973083496</v>
      </c>
    </row>
    <row r="7536" spans="1:6" hidden="1" x14ac:dyDescent="0.3">
      <c r="A7536" s="6">
        <v>54</v>
      </c>
      <c r="B7536" s="6" t="s">
        <v>189</v>
      </c>
      <c r="C7536" s="6" t="s">
        <v>470</v>
      </c>
      <c r="D7536" s="6" t="s">
        <v>190</v>
      </c>
      <c r="E7536" s="11">
        <v>3.9310793876647949</v>
      </c>
      <c r="F7536" s="11">
        <v>4.0016798973083496</v>
      </c>
    </row>
    <row r="7537" spans="1:6" hidden="1" x14ac:dyDescent="0.3">
      <c r="A7537" s="6">
        <v>54</v>
      </c>
      <c r="B7537" s="6" t="s">
        <v>189</v>
      </c>
      <c r="C7537" s="6" t="s">
        <v>471</v>
      </c>
      <c r="D7537" s="6" t="s">
        <v>190</v>
      </c>
      <c r="E7537" s="11">
        <v>3.3880467414855957</v>
      </c>
      <c r="F7537" s="11">
        <v>4.0016798973083496</v>
      </c>
    </row>
    <row r="7538" spans="1:6" hidden="1" x14ac:dyDescent="0.3">
      <c r="A7538" s="6">
        <v>54</v>
      </c>
      <c r="B7538" s="6" t="s">
        <v>189</v>
      </c>
      <c r="C7538" s="6" t="s">
        <v>472</v>
      </c>
      <c r="D7538" s="6" t="s">
        <v>190</v>
      </c>
      <c r="E7538" s="11">
        <v>3.7144308090209961</v>
      </c>
      <c r="F7538" s="11">
        <v>4.0016798973083496</v>
      </c>
    </row>
    <row r="7539" spans="1:6" hidden="1" x14ac:dyDescent="0.3">
      <c r="A7539" s="6">
        <v>54</v>
      </c>
      <c r="B7539" s="6" t="s">
        <v>189</v>
      </c>
      <c r="C7539" s="6" t="s">
        <v>473</v>
      </c>
      <c r="D7539" s="6" t="s">
        <v>190</v>
      </c>
      <c r="E7539" s="11">
        <v>3.4218654632568359</v>
      </c>
      <c r="F7539" s="11">
        <v>4.0016798973083496</v>
      </c>
    </row>
    <row r="7540" spans="1:6" hidden="1" x14ac:dyDescent="0.3">
      <c r="A7540" s="6">
        <v>54</v>
      </c>
      <c r="B7540" s="6" t="s">
        <v>189</v>
      </c>
      <c r="C7540" s="6" t="s">
        <v>474</v>
      </c>
      <c r="D7540" s="6" t="s">
        <v>190</v>
      </c>
      <c r="E7540" s="11">
        <v>3.0694503784179688</v>
      </c>
      <c r="F7540" s="11">
        <v>4.0016798973083496</v>
      </c>
    </row>
    <row r="7541" spans="1:6" hidden="1" x14ac:dyDescent="0.3">
      <c r="A7541" s="6">
        <v>54</v>
      </c>
      <c r="B7541" s="6" t="s">
        <v>189</v>
      </c>
      <c r="C7541" s="6" t="s">
        <v>475</v>
      </c>
      <c r="D7541" s="6" t="s">
        <v>190</v>
      </c>
      <c r="E7541" s="11">
        <v>3.3234527111053467</v>
      </c>
      <c r="F7541" s="11">
        <v>4.0016798973083496</v>
      </c>
    </row>
    <row r="7542" spans="1:6" hidden="1" x14ac:dyDescent="0.3">
      <c r="A7542" s="6">
        <v>54</v>
      </c>
      <c r="B7542" s="6" t="s">
        <v>189</v>
      </c>
      <c r="C7542" s="6" t="s">
        <v>476</v>
      </c>
      <c r="D7542" s="6" t="s">
        <v>190</v>
      </c>
      <c r="E7542" s="11">
        <v>3.0892369747161865</v>
      </c>
      <c r="F7542" s="11">
        <v>4.0016798973083496</v>
      </c>
    </row>
    <row r="7543" spans="1:6" hidden="1" x14ac:dyDescent="0.3">
      <c r="A7543" s="6">
        <v>54</v>
      </c>
      <c r="B7543" s="6" t="s">
        <v>189</v>
      </c>
      <c r="C7543" s="6" t="s">
        <v>477</v>
      </c>
      <c r="D7543" s="6" t="s">
        <v>190</v>
      </c>
      <c r="E7543" s="11">
        <v>4.7927913665771484</v>
      </c>
      <c r="F7543" s="11">
        <v>4.0016798973083496</v>
      </c>
    </row>
    <row r="7544" spans="1:6" hidden="1" x14ac:dyDescent="0.3">
      <c r="A7544" s="6">
        <v>54</v>
      </c>
      <c r="B7544" s="6" t="s">
        <v>189</v>
      </c>
      <c r="C7544" s="6" t="s">
        <v>478</v>
      </c>
      <c r="D7544" s="6" t="s">
        <v>190</v>
      </c>
      <c r="E7544" s="11">
        <v>3.9968454837799072</v>
      </c>
      <c r="F7544" s="11">
        <v>4.0016798973083496</v>
      </c>
    </row>
    <row r="7545" spans="1:6" hidden="1" x14ac:dyDescent="0.3">
      <c r="A7545" s="6">
        <v>54</v>
      </c>
      <c r="B7545" s="6" t="s">
        <v>189</v>
      </c>
      <c r="C7545" s="6" t="s">
        <v>479</v>
      </c>
      <c r="D7545" s="6" t="s">
        <v>190</v>
      </c>
      <c r="E7545" s="11">
        <v>3.816124439239502</v>
      </c>
      <c r="F7545" s="11">
        <v>4.0016798973083496</v>
      </c>
    </row>
    <row r="7546" spans="1:6" hidden="1" x14ac:dyDescent="0.3">
      <c r="A7546" s="6">
        <v>54</v>
      </c>
      <c r="B7546" s="6" t="s">
        <v>189</v>
      </c>
      <c r="C7546" s="6" t="s">
        <v>480</v>
      </c>
      <c r="D7546" s="6" t="s">
        <v>190</v>
      </c>
      <c r="E7546" s="11">
        <v>4.0498051643371582</v>
      </c>
      <c r="F7546" s="11">
        <v>4.0016798973083496</v>
      </c>
    </row>
    <row r="7547" spans="1:6" hidden="1" x14ac:dyDescent="0.3">
      <c r="A7547" s="6">
        <v>54</v>
      </c>
      <c r="B7547" s="6" t="s">
        <v>189</v>
      </c>
      <c r="C7547" s="6" t="s">
        <v>481</v>
      </c>
      <c r="D7547" s="6" t="s">
        <v>190</v>
      </c>
      <c r="E7547" s="11">
        <v>3.8743181228637695</v>
      </c>
      <c r="F7547" s="11">
        <v>4.0016798973083496</v>
      </c>
    </row>
    <row r="7548" spans="1:6" hidden="1" x14ac:dyDescent="0.3">
      <c r="A7548" s="6">
        <v>54</v>
      </c>
      <c r="B7548" s="6" t="s">
        <v>189</v>
      </c>
      <c r="C7548" s="6" t="s">
        <v>482</v>
      </c>
      <c r="D7548" s="6" t="s">
        <v>190</v>
      </c>
      <c r="E7548" s="11">
        <v>4.031949520111084</v>
      </c>
      <c r="F7548" s="11">
        <v>4.0016798973083496</v>
      </c>
    </row>
    <row r="7549" spans="1:6" hidden="1" x14ac:dyDescent="0.3">
      <c r="A7549" s="6">
        <v>54</v>
      </c>
      <c r="B7549" s="6" t="s">
        <v>189</v>
      </c>
      <c r="C7549" s="6" t="s">
        <v>483</v>
      </c>
      <c r="D7549" s="6" t="s">
        <v>190</v>
      </c>
      <c r="E7549" s="11">
        <v>3.3787376880645752</v>
      </c>
      <c r="F7549" s="11">
        <v>4.0016798973083496</v>
      </c>
    </row>
    <row r="7550" spans="1:6" hidden="1" x14ac:dyDescent="0.3">
      <c r="A7550" s="6">
        <v>54</v>
      </c>
      <c r="B7550" s="6" t="s">
        <v>189</v>
      </c>
      <c r="C7550" s="6" t="s">
        <v>484</v>
      </c>
      <c r="D7550" s="6" t="s">
        <v>190</v>
      </c>
      <c r="E7550" s="11">
        <v>4.1866469383239746</v>
      </c>
      <c r="F7550" s="11">
        <v>4.0016798973083496</v>
      </c>
    </row>
    <row r="7551" spans="1:6" hidden="1" x14ac:dyDescent="0.3">
      <c r="A7551" s="6">
        <v>54</v>
      </c>
      <c r="B7551" s="6" t="s">
        <v>189</v>
      </c>
      <c r="C7551" s="6" t="s">
        <v>485</v>
      </c>
      <c r="D7551" s="6" t="s">
        <v>190</v>
      </c>
      <c r="E7551" s="11">
        <v>3.6838140487670898</v>
      </c>
      <c r="F7551" s="11">
        <v>4.0016798973083496</v>
      </c>
    </row>
    <row r="7552" spans="1:6" hidden="1" x14ac:dyDescent="0.3">
      <c r="A7552" s="6">
        <v>54</v>
      </c>
      <c r="B7552" s="6" t="s">
        <v>189</v>
      </c>
      <c r="C7552" s="6" t="s">
        <v>486</v>
      </c>
      <c r="D7552" s="6" t="s">
        <v>190</v>
      </c>
      <c r="E7552" s="11">
        <v>3.4224691390991211</v>
      </c>
      <c r="F7552" s="11">
        <v>4.0016798973083496</v>
      </c>
    </row>
    <row r="7553" spans="1:6" hidden="1" x14ac:dyDescent="0.3">
      <c r="A7553" s="6">
        <v>54</v>
      </c>
      <c r="B7553" s="6" t="s">
        <v>189</v>
      </c>
      <c r="C7553" s="6" t="s">
        <v>487</v>
      </c>
      <c r="D7553" s="6" t="s">
        <v>190</v>
      </c>
      <c r="E7553" s="11">
        <v>3.0749690532684326</v>
      </c>
      <c r="F7553" s="11">
        <v>4.0016798973083496</v>
      </c>
    </row>
    <row r="7554" spans="1:6" hidden="1" x14ac:dyDescent="0.3">
      <c r="A7554" s="6">
        <v>54</v>
      </c>
      <c r="B7554" s="6" t="s">
        <v>189</v>
      </c>
      <c r="C7554" s="6" t="s">
        <v>488</v>
      </c>
      <c r="D7554" s="6" t="s">
        <v>190</v>
      </c>
      <c r="E7554" s="11">
        <v>3.3717203140258789</v>
      </c>
      <c r="F7554" s="11">
        <v>4.0016798973083496</v>
      </c>
    </row>
    <row r="7555" spans="1:6" hidden="1" x14ac:dyDescent="0.3">
      <c r="A7555" s="6">
        <v>54</v>
      </c>
      <c r="B7555" s="6" t="s">
        <v>189</v>
      </c>
      <c r="C7555" s="6" t="s">
        <v>489</v>
      </c>
      <c r="D7555" s="6" t="s">
        <v>190</v>
      </c>
      <c r="E7555" s="11">
        <v>3.9731786251068115</v>
      </c>
      <c r="F7555" s="11">
        <v>4.0016798973083496</v>
      </c>
    </row>
    <row r="7556" spans="1:6" hidden="1" x14ac:dyDescent="0.3">
      <c r="A7556" s="6">
        <v>54</v>
      </c>
      <c r="B7556" s="6" t="s">
        <v>189</v>
      </c>
      <c r="C7556" s="6" t="s">
        <v>490</v>
      </c>
      <c r="D7556" s="6" t="s">
        <v>190</v>
      </c>
      <c r="E7556" s="11">
        <v>4.0794229507446289</v>
      </c>
      <c r="F7556" s="11">
        <v>4.0016798973083496</v>
      </c>
    </row>
    <row r="7557" spans="1:6" hidden="1" x14ac:dyDescent="0.3">
      <c r="A7557" s="6">
        <v>54</v>
      </c>
      <c r="B7557" s="6" t="s">
        <v>189</v>
      </c>
      <c r="C7557" s="6" t="s">
        <v>491</v>
      </c>
      <c r="D7557" s="6" t="s">
        <v>190</v>
      </c>
      <c r="E7557" s="11">
        <v>3.7115082740783691</v>
      </c>
      <c r="F7557" s="11">
        <v>4.0016798973083496</v>
      </c>
    </row>
    <row r="7558" spans="1:6" hidden="1" x14ac:dyDescent="0.3">
      <c r="A7558" s="6">
        <v>54</v>
      </c>
      <c r="B7558" s="6" t="s">
        <v>189</v>
      </c>
      <c r="C7558" s="6" t="s">
        <v>492</v>
      </c>
      <c r="D7558" s="6" t="s">
        <v>190</v>
      </c>
      <c r="E7558" s="11">
        <v>3.4277117252349854</v>
      </c>
      <c r="F7558" s="11">
        <v>4.0016798973083496</v>
      </c>
    </row>
    <row r="7559" spans="1:6" hidden="1" x14ac:dyDescent="0.3">
      <c r="A7559" s="6">
        <v>54</v>
      </c>
      <c r="B7559" s="6" t="s">
        <v>189</v>
      </c>
      <c r="C7559" s="6" t="s">
        <v>493</v>
      </c>
      <c r="D7559" s="6" t="s">
        <v>190</v>
      </c>
      <c r="E7559" s="11">
        <v>4.0449690818786621</v>
      </c>
      <c r="F7559" s="11">
        <v>4.0016798973083496</v>
      </c>
    </row>
    <row r="7560" spans="1:6" hidden="1" x14ac:dyDescent="0.3">
      <c r="A7560" s="6">
        <v>54</v>
      </c>
      <c r="B7560" s="6" t="s">
        <v>189</v>
      </c>
      <c r="C7560" s="6" t="s">
        <v>494</v>
      </c>
      <c r="D7560" s="6" t="s">
        <v>190</v>
      </c>
      <c r="E7560" s="11">
        <v>4.387392520904541</v>
      </c>
      <c r="F7560" s="11">
        <v>4.0016798973083496</v>
      </c>
    </row>
    <row r="7561" spans="1:6" hidden="1" x14ac:dyDescent="0.3">
      <c r="A7561" s="6">
        <v>54</v>
      </c>
      <c r="B7561" s="6" t="s">
        <v>189</v>
      </c>
      <c r="C7561" s="6" t="s">
        <v>495</v>
      </c>
      <c r="D7561" s="6" t="s">
        <v>190</v>
      </c>
      <c r="E7561" s="11">
        <v>3.9564361572265625</v>
      </c>
      <c r="F7561" s="11">
        <v>4.0016798973083496</v>
      </c>
    </row>
    <row r="7562" spans="1:6" hidden="1" x14ac:dyDescent="0.3">
      <c r="A7562" s="6">
        <v>55</v>
      </c>
      <c r="B7562" s="6" t="s">
        <v>191</v>
      </c>
      <c r="C7562" s="6" t="s">
        <v>356</v>
      </c>
      <c r="D7562" s="6" t="s">
        <v>192</v>
      </c>
      <c r="E7562" s="11">
        <v>6.471642017364502</v>
      </c>
      <c r="F7562" s="11">
        <v>4.6686358451843262</v>
      </c>
    </row>
    <row r="7563" spans="1:6" hidden="1" x14ac:dyDescent="0.3">
      <c r="A7563" s="6">
        <v>55</v>
      </c>
      <c r="B7563" s="6" t="s">
        <v>191</v>
      </c>
      <c r="C7563" s="6" t="s">
        <v>357</v>
      </c>
      <c r="D7563" s="6" t="s">
        <v>192</v>
      </c>
      <c r="E7563" s="11">
        <v>5.4934220314025879</v>
      </c>
      <c r="F7563" s="11">
        <v>4.6686358451843262</v>
      </c>
    </row>
    <row r="7564" spans="1:6" hidden="1" x14ac:dyDescent="0.3">
      <c r="A7564" s="6">
        <v>55</v>
      </c>
      <c r="B7564" s="6" t="s">
        <v>191</v>
      </c>
      <c r="C7564" s="6" t="s">
        <v>358</v>
      </c>
      <c r="D7564" s="6" t="s">
        <v>192</v>
      </c>
      <c r="E7564" s="11">
        <v>3.3846783638000488</v>
      </c>
      <c r="F7564" s="11">
        <v>4.6686358451843262</v>
      </c>
    </row>
    <row r="7565" spans="1:6" hidden="1" x14ac:dyDescent="0.3">
      <c r="A7565" s="6">
        <v>55</v>
      </c>
      <c r="B7565" s="6" t="s">
        <v>191</v>
      </c>
      <c r="C7565" s="6" t="s">
        <v>359</v>
      </c>
      <c r="D7565" s="6" t="s">
        <v>192</v>
      </c>
      <c r="E7565" s="11">
        <v>10.324304580688477</v>
      </c>
      <c r="F7565" s="11">
        <v>4.6686358451843262</v>
      </c>
    </row>
    <row r="7566" spans="1:6" hidden="1" x14ac:dyDescent="0.3">
      <c r="A7566" s="6">
        <v>55</v>
      </c>
      <c r="B7566" s="6" t="s">
        <v>191</v>
      </c>
      <c r="C7566" s="6" t="s">
        <v>360</v>
      </c>
      <c r="D7566" s="6" t="s">
        <v>192</v>
      </c>
      <c r="E7566" s="11">
        <v>4.421393871307373</v>
      </c>
      <c r="F7566" s="11">
        <v>4.6686358451843262</v>
      </c>
    </row>
    <row r="7567" spans="1:6" hidden="1" x14ac:dyDescent="0.3">
      <c r="A7567" s="6">
        <v>55</v>
      </c>
      <c r="B7567" s="6" t="s">
        <v>191</v>
      </c>
      <c r="C7567" s="6" t="s">
        <v>361</v>
      </c>
      <c r="D7567" s="6" t="s">
        <v>192</v>
      </c>
      <c r="E7567" s="11">
        <v>4.8903031349182129</v>
      </c>
      <c r="F7567" s="11">
        <v>4.6686358451843262</v>
      </c>
    </row>
    <row r="7568" spans="1:6" hidden="1" x14ac:dyDescent="0.3">
      <c r="A7568" s="6">
        <v>55</v>
      </c>
      <c r="B7568" s="6" t="s">
        <v>191</v>
      </c>
      <c r="C7568" s="6" t="s">
        <v>362</v>
      </c>
      <c r="D7568" s="6" t="s">
        <v>192</v>
      </c>
      <c r="E7568" s="11">
        <v>4.9658517837524414</v>
      </c>
      <c r="F7568" s="11">
        <v>4.6686358451843262</v>
      </c>
    </row>
    <row r="7569" spans="1:6" hidden="1" x14ac:dyDescent="0.3">
      <c r="A7569" s="6">
        <v>55</v>
      </c>
      <c r="B7569" s="6" t="s">
        <v>191</v>
      </c>
      <c r="C7569" s="6" t="s">
        <v>363</v>
      </c>
      <c r="D7569" s="6" t="s">
        <v>192</v>
      </c>
      <c r="E7569" s="11">
        <v>5.7229561805725098</v>
      </c>
      <c r="F7569" s="11">
        <v>4.6686358451843262</v>
      </c>
    </row>
    <row r="7570" spans="1:6" hidden="1" x14ac:dyDescent="0.3">
      <c r="A7570" s="6">
        <v>55</v>
      </c>
      <c r="B7570" s="6" t="s">
        <v>191</v>
      </c>
      <c r="C7570" s="6" t="s">
        <v>364</v>
      </c>
      <c r="D7570" s="6" t="s">
        <v>192</v>
      </c>
      <c r="E7570" s="11">
        <v>6.7152528762817383</v>
      </c>
      <c r="F7570" s="11">
        <v>4.6686358451843262</v>
      </c>
    </row>
    <row r="7571" spans="1:6" hidden="1" x14ac:dyDescent="0.3">
      <c r="A7571" s="6">
        <v>55</v>
      </c>
      <c r="B7571" s="6" t="s">
        <v>191</v>
      </c>
      <c r="C7571" s="6" t="s">
        <v>365</v>
      </c>
      <c r="D7571" s="6" t="s">
        <v>192</v>
      </c>
      <c r="E7571" s="11">
        <v>3.7041358947753906</v>
      </c>
      <c r="F7571" s="11">
        <v>4.6686358451843262</v>
      </c>
    </row>
    <row r="7572" spans="1:6" hidden="1" x14ac:dyDescent="0.3">
      <c r="A7572" s="6">
        <v>55</v>
      </c>
      <c r="B7572" s="6" t="s">
        <v>191</v>
      </c>
      <c r="C7572" s="6" t="s">
        <v>366</v>
      </c>
      <c r="D7572" s="6" t="s">
        <v>192</v>
      </c>
      <c r="E7572" s="11">
        <v>4.2402281761169434</v>
      </c>
      <c r="F7572" s="11">
        <v>4.6686358451843262</v>
      </c>
    </row>
    <row r="7573" spans="1:6" hidden="1" x14ac:dyDescent="0.3">
      <c r="A7573" s="6">
        <v>55</v>
      </c>
      <c r="B7573" s="6" t="s">
        <v>191</v>
      </c>
      <c r="C7573" s="6" t="s">
        <v>367</v>
      </c>
      <c r="D7573" s="6" t="s">
        <v>192</v>
      </c>
      <c r="E7573" s="11">
        <v>4.7640571594238281</v>
      </c>
      <c r="F7573" s="11">
        <v>4.6686358451843262</v>
      </c>
    </row>
    <row r="7574" spans="1:6" hidden="1" x14ac:dyDescent="0.3">
      <c r="A7574" s="6">
        <v>55</v>
      </c>
      <c r="B7574" s="6" t="s">
        <v>191</v>
      </c>
      <c r="C7574" s="6" t="s">
        <v>368</v>
      </c>
      <c r="D7574" s="6" t="s">
        <v>192</v>
      </c>
      <c r="E7574" s="11">
        <v>5.0161600112915039</v>
      </c>
      <c r="F7574" s="11">
        <v>4.6686358451843262</v>
      </c>
    </row>
    <row r="7575" spans="1:6" hidden="1" x14ac:dyDescent="0.3">
      <c r="A7575" s="6">
        <v>55</v>
      </c>
      <c r="B7575" s="6" t="s">
        <v>191</v>
      </c>
      <c r="C7575" s="6" t="s">
        <v>369</v>
      </c>
      <c r="D7575" s="6" t="s">
        <v>192</v>
      </c>
      <c r="E7575" s="11">
        <v>3.2834591865539551</v>
      </c>
      <c r="F7575" s="11">
        <v>4.6686358451843262</v>
      </c>
    </row>
    <row r="7576" spans="1:6" hidden="1" x14ac:dyDescent="0.3">
      <c r="A7576" s="6">
        <v>55</v>
      </c>
      <c r="B7576" s="6" t="s">
        <v>191</v>
      </c>
      <c r="C7576" s="6" t="s">
        <v>370</v>
      </c>
      <c r="D7576" s="6" t="s">
        <v>192</v>
      </c>
      <c r="E7576" s="11">
        <v>9.4231510162353516</v>
      </c>
      <c r="F7576" s="11">
        <v>4.6686358451843262</v>
      </c>
    </row>
    <row r="7577" spans="1:6" hidden="1" x14ac:dyDescent="0.3">
      <c r="A7577" s="6">
        <v>55</v>
      </c>
      <c r="B7577" s="6" t="s">
        <v>191</v>
      </c>
      <c r="C7577" s="6" t="s">
        <v>371</v>
      </c>
      <c r="D7577" s="6" t="s">
        <v>192</v>
      </c>
      <c r="E7577" s="11">
        <v>7.4103741645812988</v>
      </c>
      <c r="F7577" s="11">
        <v>4.6686358451843262</v>
      </c>
    </row>
    <row r="7578" spans="1:6" hidden="1" x14ac:dyDescent="0.3">
      <c r="A7578" s="6">
        <v>55</v>
      </c>
      <c r="B7578" s="6" t="s">
        <v>191</v>
      </c>
      <c r="C7578" s="6" t="s">
        <v>372</v>
      </c>
      <c r="D7578" s="6" t="s">
        <v>192</v>
      </c>
      <c r="E7578" s="11">
        <v>4.6885604858398438</v>
      </c>
      <c r="F7578" s="11">
        <v>4.6686358451843262</v>
      </c>
    </row>
    <row r="7579" spans="1:6" hidden="1" x14ac:dyDescent="0.3">
      <c r="A7579" s="6">
        <v>55</v>
      </c>
      <c r="B7579" s="6" t="s">
        <v>191</v>
      </c>
      <c r="C7579" s="6" t="s">
        <v>373</v>
      </c>
      <c r="D7579" s="6" t="s">
        <v>192</v>
      </c>
      <c r="E7579" s="11">
        <v>3.7865200042724609</v>
      </c>
      <c r="F7579" s="11">
        <v>4.6686358451843262</v>
      </c>
    </row>
    <row r="7580" spans="1:6" hidden="1" x14ac:dyDescent="0.3">
      <c r="A7580" s="6">
        <v>55</v>
      </c>
      <c r="B7580" s="6" t="s">
        <v>191</v>
      </c>
      <c r="C7580" s="6" t="s">
        <v>374</v>
      </c>
      <c r="D7580" s="6" t="s">
        <v>192</v>
      </c>
      <c r="E7580" s="11">
        <v>4.2271304130554199</v>
      </c>
      <c r="F7580" s="11">
        <v>4.6686358451843262</v>
      </c>
    </row>
    <row r="7581" spans="1:6" hidden="1" x14ac:dyDescent="0.3">
      <c r="A7581" s="6">
        <v>55</v>
      </c>
      <c r="B7581" s="6" t="s">
        <v>191</v>
      </c>
      <c r="C7581" s="6" t="s">
        <v>375</v>
      </c>
      <c r="D7581" s="6" t="s">
        <v>192</v>
      </c>
      <c r="E7581" s="11">
        <v>9.3485107421875</v>
      </c>
      <c r="F7581" s="11">
        <v>4.6686358451843262</v>
      </c>
    </row>
    <row r="7582" spans="1:6" hidden="1" x14ac:dyDescent="0.3">
      <c r="A7582" s="6">
        <v>55</v>
      </c>
      <c r="B7582" s="6" t="s">
        <v>191</v>
      </c>
      <c r="C7582" s="6" t="s">
        <v>376</v>
      </c>
      <c r="D7582" s="6" t="s">
        <v>192</v>
      </c>
      <c r="E7582" s="11">
        <v>3.4928834438323975</v>
      </c>
      <c r="F7582" s="11">
        <v>4.6686358451843262</v>
      </c>
    </row>
    <row r="7583" spans="1:6" hidden="1" x14ac:dyDescent="0.3">
      <c r="A7583" s="6">
        <v>55</v>
      </c>
      <c r="B7583" s="6" t="s">
        <v>191</v>
      </c>
      <c r="C7583" s="6" t="s">
        <v>377</v>
      </c>
      <c r="D7583" s="6" t="s">
        <v>192</v>
      </c>
      <c r="E7583" s="11">
        <v>4.6749773025512695</v>
      </c>
      <c r="F7583" s="11">
        <v>4.6686358451843262</v>
      </c>
    </row>
    <row r="7584" spans="1:6" hidden="1" x14ac:dyDescent="0.3">
      <c r="A7584" s="6">
        <v>55</v>
      </c>
      <c r="B7584" s="6" t="s">
        <v>191</v>
      </c>
      <c r="C7584" s="6" t="s">
        <v>378</v>
      </c>
      <c r="D7584" s="6" t="s">
        <v>192</v>
      </c>
      <c r="E7584" s="11">
        <v>4.2824516296386719</v>
      </c>
      <c r="F7584" s="11">
        <v>4.6686358451843262</v>
      </c>
    </row>
    <row r="7585" spans="1:6" hidden="1" x14ac:dyDescent="0.3">
      <c r="A7585" s="6">
        <v>55</v>
      </c>
      <c r="B7585" s="6" t="s">
        <v>191</v>
      </c>
      <c r="C7585" s="6" t="s">
        <v>379</v>
      </c>
      <c r="D7585" s="6" t="s">
        <v>192</v>
      </c>
      <c r="E7585" s="11">
        <v>3.700322151184082</v>
      </c>
      <c r="F7585" s="11">
        <v>4.6686358451843262</v>
      </c>
    </row>
    <row r="7586" spans="1:6" hidden="1" x14ac:dyDescent="0.3">
      <c r="A7586" s="6">
        <v>55</v>
      </c>
      <c r="B7586" s="6" t="s">
        <v>191</v>
      </c>
      <c r="C7586" s="6" t="s">
        <v>380</v>
      </c>
      <c r="D7586" s="6" t="s">
        <v>192</v>
      </c>
      <c r="E7586" s="11">
        <v>3.3068721294403076</v>
      </c>
      <c r="F7586" s="11">
        <v>4.6686358451843262</v>
      </c>
    </row>
    <row r="7587" spans="1:6" hidden="1" x14ac:dyDescent="0.3">
      <c r="A7587" s="6">
        <v>55</v>
      </c>
      <c r="B7587" s="6" t="s">
        <v>191</v>
      </c>
      <c r="C7587" s="6" t="s">
        <v>381</v>
      </c>
      <c r="D7587" s="6" t="s">
        <v>192</v>
      </c>
      <c r="E7587" s="11">
        <v>3.3723759651184082</v>
      </c>
      <c r="F7587" s="11">
        <v>4.6686358451843262</v>
      </c>
    </row>
    <row r="7588" spans="1:6" hidden="1" x14ac:dyDescent="0.3">
      <c r="A7588" s="6">
        <v>55</v>
      </c>
      <c r="B7588" s="6" t="s">
        <v>191</v>
      </c>
      <c r="C7588" s="6" t="s">
        <v>382</v>
      </c>
      <c r="D7588" s="6" t="s">
        <v>192</v>
      </c>
      <c r="E7588" s="11">
        <v>4.7931399345397949</v>
      </c>
      <c r="F7588" s="11">
        <v>4.6686358451843262</v>
      </c>
    </row>
    <row r="7589" spans="1:6" hidden="1" x14ac:dyDescent="0.3">
      <c r="A7589" s="6">
        <v>55</v>
      </c>
      <c r="B7589" s="6" t="s">
        <v>191</v>
      </c>
      <c r="C7589" s="6" t="s">
        <v>383</v>
      </c>
      <c r="D7589" s="6" t="s">
        <v>192</v>
      </c>
      <c r="E7589" s="11">
        <v>4.8857393264770508</v>
      </c>
      <c r="F7589" s="11">
        <v>4.6686358451843262</v>
      </c>
    </row>
    <row r="7590" spans="1:6" hidden="1" x14ac:dyDescent="0.3">
      <c r="A7590" s="6">
        <v>55</v>
      </c>
      <c r="B7590" s="6" t="s">
        <v>191</v>
      </c>
      <c r="C7590" s="6" t="s">
        <v>384</v>
      </c>
      <c r="D7590" s="6" t="s">
        <v>192</v>
      </c>
      <c r="E7590" s="11">
        <v>4.1318874359130859</v>
      </c>
      <c r="F7590" s="11">
        <v>4.6686358451843262</v>
      </c>
    </row>
    <row r="7591" spans="1:6" hidden="1" x14ac:dyDescent="0.3">
      <c r="A7591" s="6">
        <v>55</v>
      </c>
      <c r="B7591" s="6" t="s">
        <v>191</v>
      </c>
      <c r="C7591" s="6" t="s">
        <v>385</v>
      </c>
      <c r="D7591" s="6" t="s">
        <v>192</v>
      </c>
      <c r="E7591" s="11">
        <v>4.2963671684265137</v>
      </c>
      <c r="F7591" s="11">
        <v>4.6686358451843262</v>
      </c>
    </row>
    <row r="7592" spans="1:6" hidden="1" x14ac:dyDescent="0.3">
      <c r="A7592" s="6">
        <v>55</v>
      </c>
      <c r="B7592" s="6" t="s">
        <v>191</v>
      </c>
      <c r="C7592" s="6" t="s">
        <v>386</v>
      </c>
      <c r="D7592" s="6" t="s">
        <v>192</v>
      </c>
      <c r="E7592" s="11">
        <v>2.7845480442047119</v>
      </c>
      <c r="F7592" s="11">
        <v>4.6686358451843262</v>
      </c>
    </row>
    <row r="7593" spans="1:6" hidden="1" x14ac:dyDescent="0.3">
      <c r="A7593" s="6">
        <v>55</v>
      </c>
      <c r="B7593" s="6" t="s">
        <v>191</v>
      </c>
      <c r="C7593" s="6" t="s">
        <v>387</v>
      </c>
      <c r="D7593" s="6" t="s">
        <v>192</v>
      </c>
      <c r="E7593" s="11">
        <v>4.6009011268615723</v>
      </c>
      <c r="F7593" s="11">
        <v>4.6686358451843262</v>
      </c>
    </row>
    <row r="7594" spans="1:6" hidden="1" x14ac:dyDescent="0.3">
      <c r="A7594" s="6">
        <v>55</v>
      </c>
      <c r="B7594" s="6" t="s">
        <v>191</v>
      </c>
      <c r="C7594" s="6" t="s">
        <v>388</v>
      </c>
      <c r="D7594" s="6" t="s">
        <v>192</v>
      </c>
      <c r="E7594" s="11">
        <v>3.9076344966888428</v>
      </c>
      <c r="F7594" s="11">
        <v>4.6686358451843262</v>
      </c>
    </row>
    <row r="7595" spans="1:6" hidden="1" x14ac:dyDescent="0.3">
      <c r="A7595" s="6">
        <v>55</v>
      </c>
      <c r="B7595" s="6" t="s">
        <v>191</v>
      </c>
      <c r="C7595" s="6" t="s">
        <v>389</v>
      </c>
      <c r="D7595" s="6" t="s">
        <v>192</v>
      </c>
      <c r="E7595" s="11">
        <v>5.1188230514526367</v>
      </c>
      <c r="F7595" s="11">
        <v>4.6686358451843262</v>
      </c>
    </row>
    <row r="7596" spans="1:6" hidden="1" x14ac:dyDescent="0.3">
      <c r="A7596" s="6">
        <v>55</v>
      </c>
      <c r="B7596" s="6" t="s">
        <v>191</v>
      </c>
      <c r="C7596" s="6" t="s">
        <v>390</v>
      </c>
      <c r="D7596" s="6" t="s">
        <v>192</v>
      </c>
      <c r="E7596" s="11">
        <v>6.3210406303405762</v>
      </c>
      <c r="F7596" s="11">
        <v>4.6686358451843262</v>
      </c>
    </row>
    <row r="7597" spans="1:6" hidden="1" x14ac:dyDescent="0.3">
      <c r="A7597" s="6">
        <v>55</v>
      </c>
      <c r="B7597" s="6" t="s">
        <v>191</v>
      </c>
      <c r="C7597" s="6" t="s">
        <v>391</v>
      </c>
      <c r="D7597" s="6" t="s">
        <v>192</v>
      </c>
      <c r="E7597" s="11">
        <v>4.493891716003418</v>
      </c>
      <c r="F7597" s="11">
        <v>4.6686358451843262</v>
      </c>
    </row>
    <row r="7598" spans="1:6" hidden="1" x14ac:dyDescent="0.3">
      <c r="A7598" s="6">
        <v>55</v>
      </c>
      <c r="B7598" s="6" t="s">
        <v>191</v>
      </c>
      <c r="C7598" s="6" t="s">
        <v>392</v>
      </c>
      <c r="D7598" s="6" t="s">
        <v>192</v>
      </c>
      <c r="E7598" s="11">
        <v>5.3921709060668945</v>
      </c>
      <c r="F7598" s="11">
        <v>4.6686358451843262</v>
      </c>
    </row>
    <row r="7599" spans="1:6" hidden="1" x14ac:dyDescent="0.3">
      <c r="A7599" s="6">
        <v>55</v>
      </c>
      <c r="B7599" s="6" t="s">
        <v>191</v>
      </c>
      <c r="C7599" s="6" t="s">
        <v>393</v>
      </c>
      <c r="D7599" s="6" t="s">
        <v>192</v>
      </c>
      <c r="E7599" s="11">
        <v>5.172370433807373</v>
      </c>
      <c r="F7599" s="11">
        <v>4.6686358451843262</v>
      </c>
    </row>
    <row r="7600" spans="1:6" hidden="1" x14ac:dyDescent="0.3">
      <c r="A7600" s="6">
        <v>55</v>
      </c>
      <c r="B7600" s="6" t="s">
        <v>191</v>
      </c>
      <c r="C7600" s="6" t="s">
        <v>394</v>
      </c>
      <c r="D7600" s="6" t="s">
        <v>192</v>
      </c>
      <c r="E7600" s="11">
        <v>4.8339967727661133</v>
      </c>
      <c r="F7600" s="11">
        <v>4.6686358451843262</v>
      </c>
    </row>
    <row r="7601" spans="1:6" hidden="1" x14ac:dyDescent="0.3">
      <c r="A7601" s="6">
        <v>55</v>
      </c>
      <c r="B7601" s="6" t="s">
        <v>191</v>
      </c>
      <c r="C7601" s="6" t="s">
        <v>395</v>
      </c>
      <c r="D7601" s="6" t="s">
        <v>192</v>
      </c>
      <c r="E7601" s="11">
        <v>6.0013265609741211</v>
      </c>
      <c r="F7601" s="11">
        <v>4.6686358451843262</v>
      </c>
    </row>
    <row r="7602" spans="1:6" hidden="1" x14ac:dyDescent="0.3">
      <c r="A7602" s="6">
        <v>55</v>
      </c>
      <c r="B7602" s="6" t="s">
        <v>191</v>
      </c>
      <c r="C7602" s="6" t="s">
        <v>396</v>
      </c>
      <c r="D7602" s="6" t="s">
        <v>192</v>
      </c>
      <c r="E7602" s="11">
        <v>5.6232848167419434</v>
      </c>
      <c r="F7602" s="11">
        <v>4.6686358451843262</v>
      </c>
    </row>
    <row r="7603" spans="1:6" hidden="1" x14ac:dyDescent="0.3">
      <c r="A7603" s="6">
        <v>55</v>
      </c>
      <c r="B7603" s="6" t="s">
        <v>191</v>
      </c>
      <c r="C7603" s="6" t="s">
        <v>397</v>
      </c>
      <c r="D7603" s="6" t="s">
        <v>192</v>
      </c>
      <c r="E7603" s="11">
        <v>3.7677135467529297</v>
      </c>
      <c r="F7603" s="11">
        <v>4.6686358451843262</v>
      </c>
    </row>
    <row r="7604" spans="1:6" hidden="1" x14ac:dyDescent="0.3">
      <c r="A7604" s="6">
        <v>55</v>
      </c>
      <c r="B7604" s="6" t="s">
        <v>191</v>
      </c>
      <c r="C7604" s="6" t="s">
        <v>398</v>
      </c>
      <c r="D7604" s="6" t="s">
        <v>192</v>
      </c>
      <c r="E7604" s="11">
        <v>3.5166504383087158</v>
      </c>
      <c r="F7604" s="11">
        <v>4.6686358451843262</v>
      </c>
    </row>
    <row r="7605" spans="1:6" hidden="1" x14ac:dyDescent="0.3">
      <c r="A7605" s="6">
        <v>55</v>
      </c>
      <c r="B7605" s="6" t="s">
        <v>191</v>
      </c>
      <c r="C7605" s="6" t="s">
        <v>399</v>
      </c>
      <c r="D7605" s="6" t="s">
        <v>192</v>
      </c>
      <c r="E7605" s="11">
        <v>3.3471243381500244</v>
      </c>
      <c r="F7605" s="11">
        <v>4.6686358451843262</v>
      </c>
    </row>
    <row r="7606" spans="1:6" hidden="1" x14ac:dyDescent="0.3">
      <c r="A7606" s="6">
        <v>55</v>
      </c>
      <c r="B7606" s="6" t="s">
        <v>191</v>
      </c>
      <c r="C7606" s="6" t="s">
        <v>400</v>
      </c>
      <c r="D7606" s="6" t="s">
        <v>192</v>
      </c>
      <c r="E7606" s="11">
        <v>4.6806001663208008</v>
      </c>
      <c r="F7606" s="11">
        <v>4.6686358451843262</v>
      </c>
    </row>
    <row r="7607" spans="1:6" hidden="1" x14ac:dyDescent="0.3">
      <c r="A7607" s="6">
        <v>55</v>
      </c>
      <c r="B7607" s="6" t="s">
        <v>191</v>
      </c>
      <c r="C7607" s="6" t="s">
        <v>401</v>
      </c>
      <c r="D7607" s="6" t="s">
        <v>192</v>
      </c>
      <c r="E7607" s="11">
        <v>4.8909821510314941</v>
      </c>
      <c r="F7607" s="11">
        <v>4.6686358451843262</v>
      </c>
    </row>
    <row r="7608" spans="1:6" hidden="1" x14ac:dyDescent="0.3">
      <c r="A7608" s="6">
        <v>55</v>
      </c>
      <c r="B7608" s="6" t="s">
        <v>191</v>
      </c>
      <c r="C7608" s="6" t="s">
        <v>402</v>
      </c>
      <c r="D7608" s="6" t="s">
        <v>192</v>
      </c>
      <c r="E7608" s="11">
        <v>3.7552237510681152</v>
      </c>
      <c r="F7608" s="11">
        <v>4.6686358451843262</v>
      </c>
    </row>
    <row r="7609" spans="1:6" hidden="1" x14ac:dyDescent="0.3">
      <c r="A7609" s="6">
        <v>55</v>
      </c>
      <c r="B7609" s="6" t="s">
        <v>191</v>
      </c>
      <c r="C7609" s="6" t="s">
        <v>403</v>
      </c>
      <c r="D7609" s="6" t="s">
        <v>192</v>
      </c>
      <c r="E7609" s="11">
        <v>4.9745950698852539</v>
      </c>
      <c r="F7609" s="11">
        <v>4.6686358451843262</v>
      </c>
    </row>
    <row r="7610" spans="1:6" hidden="1" x14ac:dyDescent="0.3">
      <c r="A7610" s="6">
        <v>55</v>
      </c>
      <c r="B7610" s="6" t="s">
        <v>191</v>
      </c>
      <c r="C7610" s="6" t="s">
        <v>404</v>
      </c>
      <c r="D7610" s="6" t="s">
        <v>192</v>
      </c>
      <c r="E7610" s="11">
        <v>4.0592222213745117</v>
      </c>
      <c r="F7610" s="11">
        <v>4.6686358451843262</v>
      </c>
    </row>
    <row r="7611" spans="1:6" hidden="1" x14ac:dyDescent="0.3">
      <c r="A7611" s="6">
        <v>55</v>
      </c>
      <c r="B7611" s="6" t="s">
        <v>191</v>
      </c>
      <c r="C7611" s="6" t="s">
        <v>405</v>
      </c>
      <c r="D7611" s="6" t="s">
        <v>192</v>
      </c>
      <c r="E7611" s="11">
        <v>3.6946127414703369</v>
      </c>
      <c r="F7611" s="11">
        <v>4.6686358451843262</v>
      </c>
    </row>
    <row r="7612" spans="1:6" hidden="1" x14ac:dyDescent="0.3">
      <c r="A7612" s="6">
        <v>55</v>
      </c>
      <c r="B7612" s="6" t="s">
        <v>191</v>
      </c>
      <c r="C7612" s="6" t="s">
        <v>406</v>
      </c>
      <c r="D7612" s="6" t="s">
        <v>192</v>
      </c>
      <c r="E7612" s="11">
        <v>5.1583065986633301</v>
      </c>
      <c r="F7612" s="11">
        <v>4.6686358451843262</v>
      </c>
    </row>
    <row r="7613" spans="1:6" hidden="1" x14ac:dyDescent="0.3">
      <c r="A7613" s="6">
        <v>55</v>
      </c>
      <c r="B7613" s="6" t="s">
        <v>191</v>
      </c>
      <c r="C7613" s="6" t="s">
        <v>407</v>
      </c>
      <c r="D7613" s="6" t="s">
        <v>192</v>
      </c>
      <c r="E7613" s="11">
        <v>3.2136483192443848</v>
      </c>
      <c r="F7613" s="11">
        <v>4.6686358451843262</v>
      </c>
    </row>
    <row r="7614" spans="1:6" hidden="1" x14ac:dyDescent="0.3">
      <c r="A7614" s="6">
        <v>55</v>
      </c>
      <c r="B7614" s="6" t="s">
        <v>191</v>
      </c>
      <c r="C7614" s="6" t="s">
        <v>408</v>
      </c>
      <c r="D7614" s="6" t="s">
        <v>192</v>
      </c>
      <c r="E7614" s="11">
        <v>4.6082768440246582</v>
      </c>
      <c r="F7614" s="11">
        <v>4.6686358451843262</v>
      </c>
    </row>
    <row r="7615" spans="1:6" hidden="1" x14ac:dyDescent="0.3">
      <c r="A7615" s="6">
        <v>55</v>
      </c>
      <c r="B7615" s="6" t="s">
        <v>191</v>
      </c>
      <c r="C7615" s="6" t="s">
        <v>409</v>
      </c>
      <c r="D7615" s="6" t="s">
        <v>192</v>
      </c>
      <c r="E7615" s="11">
        <v>4.5160388946533203</v>
      </c>
      <c r="F7615" s="11">
        <v>4.6686358451843262</v>
      </c>
    </row>
    <row r="7616" spans="1:6" hidden="1" x14ac:dyDescent="0.3">
      <c r="A7616" s="6">
        <v>55</v>
      </c>
      <c r="B7616" s="6" t="s">
        <v>191</v>
      </c>
      <c r="C7616" s="6" t="s">
        <v>410</v>
      </c>
      <c r="D7616" s="6" t="s">
        <v>192</v>
      </c>
      <c r="E7616" s="11">
        <v>4.7369384765625</v>
      </c>
      <c r="F7616" s="11">
        <v>4.6686358451843262</v>
      </c>
    </row>
    <row r="7617" spans="1:6" hidden="1" x14ac:dyDescent="0.3">
      <c r="A7617" s="6">
        <v>55</v>
      </c>
      <c r="B7617" s="6" t="s">
        <v>191</v>
      </c>
      <c r="C7617" s="6" t="s">
        <v>411</v>
      </c>
      <c r="D7617" s="6" t="s">
        <v>192</v>
      </c>
      <c r="E7617" s="11">
        <v>6.576502799987793</v>
      </c>
      <c r="F7617" s="11">
        <v>4.6686358451843262</v>
      </c>
    </row>
    <row r="7618" spans="1:6" hidden="1" x14ac:dyDescent="0.3">
      <c r="A7618" s="6">
        <v>55</v>
      </c>
      <c r="B7618" s="6" t="s">
        <v>191</v>
      </c>
      <c r="C7618" s="6" t="s">
        <v>412</v>
      </c>
      <c r="D7618" s="6" t="s">
        <v>192</v>
      </c>
      <c r="E7618" s="11">
        <v>4.031468391418457</v>
      </c>
      <c r="F7618" s="11">
        <v>4.6686358451843262</v>
      </c>
    </row>
    <row r="7619" spans="1:6" hidden="1" x14ac:dyDescent="0.3">
      <c r="A7619" s="6">
        <v>55</v>
      </c>
      <c r="B7619" s="6" t="s">
        <v>191</v>
      </c>
      <c r="C7619" s="6" t="s">
        <v>413</v>
      </c>
      <c r="D7619" s="6" t="s">
        <v>192</v>
      </c>
      <c r="E7619" s="11">
        <v>4.5402565002441406</v>
      </c>
      <c r="F7619" s="11">
        <v>4.6686358451843262</v>
      </c>
    </row>
    <row r="7620" spans="1:6" hidden="1" x14ac:dyDescent="0.3">
      <c r="A7620" s="6">
        <v>55</v>
      </c>
      <c r="B7620" s="6" t="s">
        <v>191</v>
      </c>
      <c r="C7620" s="6" t="s">
        <v>414</v>
      </c>
      <c r="D7620" s="6" t="s">
        <v>192</v>
      </c>
      <c r="E7620" s="11">
        <v>31.414384841918945</v>
      </c>
      <c r="F7620" s="11">
        <v>4.6686358451843262</v>
      </c>
    </row>
    <row r="7621" spans="1:6" hidden="1" x14ac:dyDescent="0.3">
      <c r="A7621" s="6">
        <v>55</v>
      </c>
      <c r="B7621" s="6" t="s">
        <v>191</v>
      </c>
      <c r="C7621" s="6" t="s">
        <v>415</v>
      </c>
      <c r="D7621" s="6" t="s">
        <v>192</v>
      </c>
      <c r="E7621" s="11">
        <v>5.5356082916259766</v>
      </c>
      <c r="F7621" s="11">
        <v>4.6686358451843262</v>
      </c>
    </row>
    <row r="7622" spans="1:6" hidden="1" x14ac:dyDescent="0.3">
      <c r="A7622" s="6">
        <v>55</v>
      </c>
      <c r="B7622" s="6" t="s">
        <v>191</v>
      </c>
      <c r="C7622" s="6" t="s">
        <v>416</v>
      </c>
      <c r="D7622" s="6" t="s">
        <v>192</v>
      </c>
      <c r="E7622" s="11">
        <v>3.7542564868927002</v>
      </c>
      <c r="F7622" s="11">
        <v>4.6686358451843262</v>
      </c>
    </row>
    <row r="7623" spans="1:6" hidden="1" x14ac:dyDescent="0.3">
      <c r="A7623" s="6">
        <v>55</v>
      </c>
      <c r="B7623" s="6" t="s">
        <v>191</v>
      </c>
      <c r="C7623" s="6" t="s">
        <v>417</v>
      </c>
      <c r="D7623" s="6" t="s">
        <v>192</v>
      </c>
      <c r="E7623" s="11">
        <v>4.2530102729797363</v>
      </c>
      <c r="F7623" s="11">
        <v>4.6686358451843262</v>
      </c>
    </row>
    <row r="7624" spans="1:6" hidden="1" x14ac:dyDescent="0.3">
      <c r="A7624" s="6">
        <v>55</v>
      </c>
      <c r="B7624" s="6" t="s">
        <v>191</v>
      </c>
      <c r="C7624" s="6" t="s">
        <v>418</v>
      </c>
      <c r="D7624" s="6" t="s">
        <v>192</v>
      </c>
      <c r="E7624" s="11">
        <v>6.0934209823608398</v>
      </c>
      <c r="F7624" s="11">
        <v>4.6686358451843262</v>
      </c>
    </row>
    <row r="7625" spans="1:6" hidden="1" x14ac:dyDescent="0.3">
      <c r="A7625" s="6">
        <v>55</v>
      </c>
      <c r="B7625" s="6" t="s">
        <v>191</v>
      </c>
      <c r="C7625" s="6" t="s">
        <v>419</v>
      </c>
      <c r="D7625" s="6" t="s">
        <v>192</v>
      </c>
      <c r="E7625" s="11">
        <v>7.5424833297729492</v>
      </c>
      <c r="F7625" s="11">
        <v>4.6686358451843262</v>
      </c>
    </row>
    <row r="7626" spans="1:6" hidden="1" x14ac:dyDescent="0.3">
      <c r="A7626" s="6">
        <v>55</v>
      </c>
      <c r="B7626" s="6" t="s">
        <v>191</v>
      </c>
      <c r="C7626" s="6" t="s">
        <v>420</v>
      </c>
      <c r="D7626" s="6" t="s">
        <v>192</v>
      </c>
      <c r="E7626" s="11">
        <v>4.9022312164306641</v>
      </c>
      <c r="F7626" s="11">
        <v>4.6686358451843262</v>
      </c>
    </row>
    <row r="7627" spans="1:6" hidden="1" x14ac:dyDescent="0.3">
      <c r="A7627" s="6">
        <v>55</v>
      </c>
      <c r="B7627" s="6" t="s">
        <v>191</v>
      </c>
      <c r="C7627" s="6" t="s">
        <v>421</v>
      </c>
      <c r="D7627" s="6" t="s">
        <v>192</v>
      </c>
      <c r="E7627" s="11">
        <v>4.1093754768371582</v>
      </c>
      <c r="F7627" s="11">
        <v>4.6686358451843262</v>
      </c>
    </row>
    <row r="7628" spans="1:6" hidden="1" x14ac:dyDescent="0.3">
      <c r="A7628" s="6">
        <v>55</v>
      </c>
      <c r="B7628" s="6" t="s">
        <v>191</v>
      </c>
      <c r="C7628" s="6" t="s">
        <v>422</v>
      </c>
      <c r="D7628" s="6" t="s">
        <v>192</v>
      </c>
      <c r="E7628" s="11">
        <v>7.1946206092834473</v>
      </c>
      <c r="F7628" s="11">
        <v>4.6686358451843262</v>
      </c>
    </row>
    <row r="7629" spans="1:6" hidden="1" x14ac:dyDescent="0.3">
      <c r="A7629" s="6">
        <v>55</v>
      </c>
      <c r="B7629" s="6" t="s">
        <v>191</v>
      </c>
      <c r="C7629" s="6" t="s">
        <v>423</v>
      </c>
      <c r="D7629" s="6" t="s">
        <v>192</v>
      </c>
      <c r="E7629" s="11">
        <v>7.8417215347290039</v>
      </c>
      <c r="F7629" s="11">
        <v>4.6686358451843262</v>
      </c>
    </row>
    <row r="7630" spans="1:6" hidden="1" x14ac:dyDescent="0.3">
      <c r="A7630" s="6">
        <v>55</v>
      </c>
      <c r="B7630" s="6" t="s">
        <v>191</v>
      </c>
      <c r="C7630" s="6" t="s">
        <v>424</v>
      </c>
      <c r="D7630" s="6" t="s">
        <v>192</v>
      </c>
      <c r="E7630" s="11">
        <v>5.426720142364502</v>
      </c>
      <c r="F7630" s="11">
        <v>4.6686358451843262</v>
      </c>
    </row>
    <row r="7631" spans="1:6" hidden="1" x14ac:dyDescent="0.3">
      <c r="A7631" s="6">
        <v>55</v>
      </c>
      <c r="B7631" s="6" t="s">
        <v>191</v>
      </c>
      <c r="C7631" s="6" t="s">
        <v>425</v>
      </c>
      <c r="D7631" s="6" t="s">
        <v>192</v>
      </c>
      <c r="E7631" s="11">
        <v>4.2349715232849121</v>
      </c>
      <c r="F7631" s="11">
        <v>4.6686358451843262</v>
      </c>
    </row>
    <row r="7632" spans="1:6" hidden="1" x14ac:dyDescent="0.3">
      <c r="A7632" s="6">
        <v>55</v>
      </c>
      <c r="B7632" s="6" t="s">
        <v>191</v>
      </c>
      <c r="C7632" s="6" t="s">
        <v>426</v>
      </c>
      <c r="D7632" s="6" t="s">
        <v>192</v>
      </c>
      <c r="E7632" s="11">
        <v>3.2271003723144531</v>
      </c>
      <c r="F7632" s="11">
        <v>4.6686358451843262</v>
      </c>
    </row>
    <row r="7633" spans="1:6" hidden="1" x14ac:dyDescent="0.3">
      <c r="A7633" s="6">
        <v>55</v>
      </c>
      <c r="B7633" s="6" t="s">
        <v>191</v>
      </c>
      <c r="C7633" s="6" t="s">
        <v>427</v>
      </c>
      <c r="D7633" s="6" t="s">
        <v>192</v>
      </c>
      <c r="E7633" s="11">
        <v>4.0922756195068359</v>
      </c>
      <c r="F7633" s="11">
        <v>4.6686358451843262</v>
      </c>
    </row>
    <row r="7634" spans="1:6" hidden="1" x14ac:dyDescent="0.3">
      <c r="A7634" s="6">
        <v>55</v>
      </c>
      <c r="B7634" s="6" t="s">
        <v>191</v>
      </c>
      <c r="C7634" s="6" t="s">
        <v>428</v>
      </c>
      <c r="D7634" s="6" t="s">
        <v>192</v>
      </c>
      <c r="E7634" s="11">
        <v>15.757551193237305</v>
      </c>
      <c r="F7634" s="11">
        <v>4.6686358451843262</v>
      </c>
    </row>
    <row r="7635" spans="1:6" hidden="1" x14ac:dyDescent="0.3">
      <c r="A7635" s="6">
        <v>55</v>
      </c>
      <c r="B7635" s="6" t="s">
        <v>191</v>
      </c>
      <c r="C7635" s="6" t="s">
        <v>429</v>
      </c>
      <c r="D7635" s="6" t="s">
        <v>192</v>
      </c>
      <c r="E7635" s="11">
        <v>10.10035228729248</v>
      </c>
      <c r="F7635" s="11">
        <v>4.6686358451843262</v>
      </c>
    </row>
    <row r="7636" spans="1:6" hidden="1" x14ac:dyDescent="0.3">
      <c r="A7636" s="6">
        <v>55</v>
      </c>
      <c r="B7636" s="6" t="s">
        <v>191</v>
      </c>
      <c r="C7636" s="6" t="s">
        <v>430</v>
      </c>
      <c r="D7636" s="6" t="s">
        <v>192</v>
      </c>
      <c r="E7636" s="11">
        <v>5.5127463340759277</v>
      </c>
      <c r="F7636" s="11">
        <v>4.6686358451843262</v>
      </c>
    </row>
    <row r="7637" spans="1:6" hidden="1" x14ac:dyDescent="0.3">
      <c r="A7637" s="6">
        <v>55</v>
      </c>
      <c r="B7637" s="6" t="s">
        <v>191</v>
      </c>
      <c r="C7637" s="6" t="s">
        <v>431</v>
      </c>
      <c r="D7637" s="6" t="s">
        <v>192</v>
      </c>
      <c r="E7637" s="11">
        <v>4.2267813682556152</v>
      </c>
      <c r="F7637" s="11">
        <v>4.6686358451843262</v>
      </c>
    </row>
    <row r="7638" spans="1:6" hidden="1" x14ac:dyDescent="0.3">
      <c r="A7638" s="6">
        <v>55</v>
      </c>
      <c r="B7638" s="6" t="s">
        <v>191</v>
      </c>
      <c r="C7638" s="6" t="s">
        <v>432</v>
      </c>
      <c r="D7638" s="6" t="s">
        <v>192</v>
      </c>
      <c r="E7638" s="11">
        <v>4.6344590187072754</v>
      </c>
      <c r="F7638" s="11">
        <v>4.6686358451843262</v>
      </c>
    </row>
    <row r="7639" spans="1:6" hidden="1" x14ac:dyDescent="0.3">
      <c r="A7639" s="6">
        <v>55</v>
      </c>
      <c r="B7639" s="6" t="s">
        <v>191</v>
      </c>
      <c r="C7639" s="6" t="s">
        <v>433</v>
      </c>
      <c r="D7639" s="6" t="s">
        <v>192</v>
      </c>
      <c r="E7639" s="11">
        <v>9.8104057312011719</v>
      </c>
      <c r="F7639" s="11">
        <v>4.6686358451843262</v>
      </c>
    </row>
    <row r="7640" spans="1:6" hidden="1" x14ac:dyDescent="0.3">
      <c r="A7640" s="6">
        <v>55</v>
      </c>
      <c r="B7640" s="6" t="s">
        <v>191</v>
      </c>
      <c r="C7640" s="6" t="s">
        <v>434</v>
      </c>
      <c r="D7640" s="6" t="s">
        <v>192</v>
      </c>
      <c r="E7640" s="11">
        <v>7.083918571472168</v>
      </c>
      <c r="F7640" s="11">
        <v>4.6686358451843262</v>
      </c>
    </row>
    <row r="7641" spans="1:6" hidden="1" x14ac:dyDescent="0.3">
      <c r="A7641" s="6">
        <v>55</v>
      </c>
      <c r="B7641" s="6" t="s">
        <v>191</v>
      </c>
      <c r="C7641" s="6" t="s">
        <v>435</v>
      </c>
      <c r="D7641" s="6" t="s">
        <v>192</v>
      </c>
      <c r="E7641" s="11">
        <v>3.4917645454406738</v>
      </c>
      <c r="F7641" s="11">
        <v>4.6686358451843262</v>
      </c>
    </row>
    <row r="7642" spans="1:6" hidden="1" x14ac:dyDescent="0.3">
      <c r="A7642" s="6">
        <v>55</v>
      </c>
      <c r="B7642" s="6" t="s">
        <v>191</v>
      </c>
      <c r="C7642" s="6" t="s">
        <v>436</v>
      </c>
      <c r="D7642" s="6" t="s">
        <v>192</v>
      </c>
      <c r="E7642" s="11">
        <v>5.5581479072570801</v>
      </c>
      <c r="F7642" s="11">
        <v>4.6686358451843262</v>
      </c>
    </row>
    <row r="7643" spans="1:6" hidden="1" x14ac:dyDescent="0.3">
      <c r="A7643" s="6">
        <v>55</v>
      </c>
      <c r="B7643" s="6" t="s">
        <v>191</v>
      </c>
      <c r="C7643" s="6" t="s">
        <v>437</v>
      </c>
      <c r="D7643" s="6" t="s">
        <v>192</v>
      </c>
      <c r="E7643" s="11">
        <v>4.6486496925354004</v>
      </c>
      <c r="F7643" s="11">
        <v>4.6686358451843262</v>
      </c>
    </row>
    <row r="7644" spans="1:6" hidden="1" x14ac:dyDescent="0.3">
      <c r="A7644" s="6">
        <v>55</v>
      </c>
      <c r="B7644" s="6" t="s">
        <v>191</v>
      </c>
      <c r="C7644" s="6" t="s">
        <v>438</v>
      </c>
      <c r="D7644" s="6" t="s">
        <v>192</v>
      </c>
      <c r="E7644" s="11">
        <v>5.1286602020263672</v>
      </c>
      <c r="F7644" s="11">
        <v>4.6686358451843262</v>
      </c>
    </row>
    <row r="7645" spans="1:6" hidden="1" x14ac:dyDescent="0.3">
      <c r="A7645" s="6">
        <v>55</v>
      </c>
      <c r="B7645" s="6" t="s">
        <v>191</v>
      </c>
      <c r="C7645" s="6" t="s">
        <v>439</v>
      </c>
      <c r="D7645" s="6" t="s">
        <v>192</v>
      </c>
      <c r="E7645" s="11">
        <v>4.1145868301391602</v>
      </c>
      <c r="F7645" s="11">
        <v>4.6686358451843262</v>
      </c>
    </row>
    <row r="7646" spans="1:6" hidden="1" x14ac:dyDescent="0.3">
      <c r="A7646" s="6">
        <v>55</v>
      </c>
      <c r="B7646" s="6" t="s">
        <v>191</v>
      </c>
      <c r="C7646" s="6" t="s">
        <v>440</v>
      </c>
      <c r="D7646" s="6" t="s">
        <v>192</v>
      </c>
      <c r="E7646" s="11">
        <v>5.6373705863952637</v>
      </c>
      <c r="F7646" s="11">
        <v>4.6686358451843262</v>
      </c>
    </row>
    <row r="7647" spans="1:6" hidden="1" x14ac:dyDescent="0.3">
      <c r="A7647" s="6">
        <v>55</v>
      </c>
      <c r="B7647" s="6" t="s">
        <v>191</v>
      </c>
      <c r="C7647" s="6" t="s">
        <v>441</v>
      </c>
      <c r="D7647" s="6" t="s">
        <v>192</v>
      </c>
      <c r="E7647" s="11">
        <v>6.0773768424987793</v>
      </c>
      <c r="F7647" s="11">
        <v>4.6686358451843262</v>
      </c>
    </row>
    <row r="7648" spans="1:6" hidden="1" x14ac:dyDescent="0.3">
      <c r="A7648" s="6">
        <v>55</v>
      </c>
      <c r="B7648" s="6" t="s">
        <v>191</v>
      </c>
      <c r="C7648" s="6" t="s">
        <v>442</v>
      </c>
      <c r="D7648" s="6" t="s">
        <v>192</v>
      </c>
      <c r="E7648" s="11">
        <v>4.3566365242004395</v>
      </c>
      <c r="F7648" s="11">
        <v>4.6686358451843262</v>
      </c>
    </row>
    <row r="7649" spans="1:6" hidden="1" x14ac:dyDescent="0.3">
      <c r="A7649" s="6">
        <v>55</v>
      </c>
      <c r="B7649" s="6" t="s">
        <v>191</v>
      </c>
      <c r="C7649" s="6" t="s">
        <v>443</v>
      </c>
      <c r="D7649" s="6" t="s">
        <v>192</v>
      </c>
      <c r="E7649" s="11">
        <v>4.5175013542175293</v>
      </c>
      <c r="F7649" s="11">
        <v>4.6686358451843262</v>
      </c>
    </row>
    <row r="7650" spans="1:6" hidden="1" x14ac:dyDescent="0.3">
      <c r="A7650" s="6">
        <v>55</v>
      </c>
      <c r="B7650" s="6" t="s">
        <v>191</v>
      </c>
      <c r="C7650" s="6" t="s">
        <v>444</v>
      </c>
      <c r="D7650" s="6" t="s">
        <v>192</v>
      </c>
      <c r="E7650" s="11">
        <v>4.1367473602294922</v>
      </c>
      <c r="F7650" s="11">
        <v>4.6686358451843262</v>
      </c>
    </row>
    <row r="7651" spans="1:6" hidden="1" x14ac:dyDescent="0.3">
      <c r="A7651" s="6">
        <v>55</v>
      </c>
      <c r="B7651" s="6" t="s">
        <v>191</v>
      </c>
      <c r="C7651" s="6" t="s">
        <v>445</v>
      </c>
      <c r="D7651" s="6" t="s">
        <v>192</v>
      </c>
      <c r="E7651" s="11">
        <v>4.2044320106506348</v>
      </c>
      <c r="F7651" s="11">
        <v>4.6686358451843262</v>
      </c>
    </row>
    <row r="7652" spans="1:6" hidden="1" x14ac:dyDescent="0.3">
      <c r="A7652" s="6">
        <v>55</v>
      </c>
      <c r="B7652" s="6" t="s">
        <v>191</v>
      </c>
      <c r="C7652" s="6" t="s">
        <v>446</v>
      </c>
      <c r="D7652" s="6" t="s">
        <v>192</v>
      </c>
      <c r="E7652" s="11">
        <v>4.3049116134643555</v>
      </c>
      <c r="F7652" s="11">
        <v>4.6686358451843262</v>
      </c>
    </row>
    <row r="7653" spans="1:6" hidden="1" x14ac:dyDescent="0.3">
      <c r="A7653" s="6">
        <v>55</v>
      </c>
      <c r="B7653" s="6" t="s">
        <v>191</v>
      </c>
      <c r="C7653" s="6" t="s">
        <v>447</v>
      </c>
      <c r="D7653" s="6" t="s">
        <v>192</v>
      </c>
      <c r="E7653" s="11">
        <v>5.5483798980712891</v>
      </c>
      <c r="F7653" s="11">
        <v>4.6686358451843262</v>
      </c>
    </row>
    <row r="7654" spans="1:6" hidden="1" x14ac:dyDescent="0.3">
      <c r="A7654" s="6">
        <v>55</v>
      </c>
      <c r="B7654" s="6" t="s">
        <v>191</v>
      </c>
      <c r="C7654" s="6" t="s">
        <v>448</v>
      </c>
      <c r="D7654" s="6" t="s">
        <v>192</v>
      </c>
      <c r="E7654" s="11">
        <v>3.7356319427490234</v>
      </c>
      <c r="F7654" s="11">
        <v>4.6686358451843262</v>
      </c>
    </row>
    <row r="7655" spans="1:6" hidden="1" x14ac:dyDescent="0.3">
      <c r="A7655" s="6">
        <v>55</v>
      </c>
      <c r="B7655" s="6" t="s">
        <v>191</v>
      </c>
      <c r="C7655" s="6" t="s">
        <v>449</v>
      </c>
      <c r="D7655" s="6" t="s">
        <v>192</v>
      </c>
      <c r="E7655" s="11">
        <v>5.6178350448608398</v>
      </c>
      <c r="F7655" s="11">
        <v>4.6686358451843262</v>
      </c>
    </row>
    <row r="7656" spans="1:6" hidden="1" x14ac:dyDescent="0.3">
      <c r="A7656" s="6">
        <v>55</v>
      </c>
      <c r="B7656" s="6" t="s">
        <v>191</v>
      </c>
      <c r="C7656" s="6" t="s">
        <v>450</v>
      </c>
      <c r="D7656" s="6" t="s">
        <v>192</v>
      </c>
      <c r="E7656" s="11">
        <v>6.6308417320251465</v>
      </c>
      <c r="F7656" s="11">
        <v>4.6686358451843262</v>
      </c>
    </row>
    <row r="7657" spans="1:6" hidden="1" x14ac:dyDescent="0.3">
      <c r="A7657" s="6">
        <v>55</v>
      </c>
      <c r="B7657" s="6" t="s">
        <v>191</v>
      </c>
      <c r="C7657" s="6" t="s">
        <v>451</v>
      </c>
      <c r="D7657" s="6" t="s">
        <v>192</v>
      </c>
      <c r="E7657" s="11">
        <v>6.3873319625854492</v>
      </c>
      <c r="F7657" s="11">
        <v>4.6686358451843262</v>
      </c>
    </row>
    <row r="7658" spans="1:6" hidden="1" x14ac:dyDescent="0.3">
      <c r="A7658" s="6">
        <v>55</v>
      </c>
      <c r="B7658" s="6" t="s">
        <v>191</v>
      </c>
      <c r="C7658" s="6" t="s">
        <v>452</v>
      </c>
      <c r="D7658" s="6" t="s">
        <v>192</v>
      </c>
      <c r="E7658" s="11">
        <v>10.55450439453125</v>
      </c>
      <c r="F7658" s="11">
        <v>4.6686358451843262</v>
      </c>
    </row>
    <row r="7659" spans="1:6" hidden="1" x14ac:dyDescent="0.3">
      <c r="A7659" s="6">
        <v>55</v>
      </c>
      <c r="B7659" s="6" t="s">
        <v>191</v>
      </c>
      <c r="C7659" s="6" t="s">
        <v>453</v>
      </c>
      <c r="D7659" s="6" t="s">
        <v>192</v>
      </c>
      <c r="E7659" s="11">
        <v>6.4330554008483887</v>
      </c>
      <c r="F7659" s="11">
        <v>4.6686358451843262</v>
      </c>
    </row>
    <row r="7660" spans="1:6" hidden="1" x14ac:dyDescent="0.3">
      <c r="A7660" s="6">
        <v>55</v>
      </c>
      <c r="B7660" s="6" t="s">
        <v>191</v>
      </c>
      <c r="C7660" s="6" t="s">
        <v>454</v>
      </c>
      <c r="D7660" s="6" t="s">
        <v>192</v>
      </c>
      <c r="E7660" s="11">
        <v>4.0958652496337891</v>
      </c>
      <c r="F7660" s="11">
        <v>4.6686358451843262</v>
      </c>
    </row>
    <row r="7661" spans="1:6" hidden="1" x14ac:dyDescent="0.3">
      <c r="A7661" s="6">
        <v>55</v>
      </c>
      <c r="B7661" s="6" t="s">
        <v>191</v>
      </c>
      <c r="C7661" s="6" t="s">
        <v>455</v>
      </c>
      <c r="D7661" s="6" t="s">
        <v>192</v>
      </c>
      <c r="E7661" s="11">
        <v>5.1448831558227539</v>
      </c>
      <c r="F7661" s="11">
        <v>4.6686358451843262</v>
      </c>
    </row>
    <row r="7662" spans="1:6" hidden="1" x14ac:dyDescent="0.3">
      <c r="A7662" s="6">
        <v>55</v>
      </c>
      <c r="B7662" s="6" t="s">
        <v>191</v>
      </c>
      <c r="C7662" s="6" t="s">
        <v>456</v>
      </c>
      <c r="D7662" s="6" t="s">
        <v>192</v>
      </c>
      <c r="E7662" s="11">
        <v>2.924203634262085</v>
      </c>
      <c r="F7662" s="11">
        <v>4.6686358451843262</v>
      </c>
    </row>
    <row r="7663" spans="1:6" hidden="1" x14ac:dyDescent="0.3">
      <c r="A7663" s="6">
        <v>55</v>
      </c>
      <c r="B7663" s="6" t="s">
        <v>191</v>
      </c>
      <c r="C7663" s="6" t="s">
        <v>457</v>
      </c>
      <c r="D7663" s="6" t="s">
        <v>192</v>
      </c>
      <c r="E7663" s="11">
        <v>4.7631573677062988</v>
      </c>
      <c r="F7663" s="11">
        <v>4.6686358451843262</v>
      </c>
    </row>
    <row r="7664" spans="1:6" hidden="1" x14ac:dyDescent="0.3">
      <c r="A7664" s="6">
        <v>55</v>
      </c>
      <c r="B7664" s="6" t="s">
        <v>191</v>
      </c>
      <c r="C7664" s="6" t="s">
        <v>458</v>
      </c>
      <c r="D7664" s="6" t="s">
        <v>192</v>
      </c>
      <c r="E7664" s="11">
        <v>6.1560759544372559</v>
      </c>
      <c r="F7664" s="11">
        <v>4.6686358451843262</v>
      </c>
    </row>
    <row r="7665" spans="1:6" hidden="1" x14ac:dyDescent="0.3">
      <c r="A7665" s="6">
        <v>55</v>
      </c>
      <c r="B7665" s="6" t="s">
        <v>191</v>
      </c>
      <c r="C7665" s="6" t="s">
        <v>459</v>
      </c>
      <c r="D7665" s="6" t="s">
        <v>192</v>
      </c>
      <c r="E7665" s="11">
        <v>5.8531951904296875</v>
      </c>
      <c r="F7665" s="11">
        <v>4.6686358451843262</v>
      </c>
    </row>
    <row r="7666" spans="1:6" hidden="1" x14ac:dyDescent="0.3">
      <c r="A7666" s="6">
        <v>55</v>
      </c>
      <c r="B7666" s="6" t="s">
        <v>191</v>
      </c>
      <c r="C7666" s="6" t="s">
        <v>460</v>
      </c>
      <c r="D7666" s="6" t="s">
        <v>192</v>
      </c>
      <c r="E7666" s="11">
        <v>4.7180781364440918</v>
      </c>
      <c r="F7666" s="11">
        <v>4.6686358451843262</v>
      </c>
    </row>
    <row r="7667" spans="1:6" hidden="1" x14ac:dyDescent="0.3">
      <c r="A7667" s="6">
        <v>55</v>
      </c>
      <c r="B7667" s="6" t="s">
        <v>191</v>
      </c>
      <c r="C7667" s="6" t="s">
        <v>461</v>
      </c>
      <c r="D7667" s="6" t="s">
        <v>192</v>
      </c>
      <c r="E7667" s="11">
        <v>5.392056941986084</v>
      </c>
      <c r="F7667" s="11">
        <v>4.6686358451843262</v>
      </c>
    </row>
    <row r="7668" spans="1:6" hidden="1" x14ac:dyDescent="0.3">
      <c r="A7668" s="6">
        <v>55</v>
      </c>
      <c r="B7668" s="6" t="s">
        <v>191</v>
      </c>
      <c r="C7668" s="6" t="s">
        <v>462</v>
      </c>
      <c r="D7668" s="6" t="s">
        <v>192</v>
      </c>
      <c r="E7668" s="11">
        <v>3.1594245433807373</v>
      </c>
      <c r="F7668" s="11">
        <v>4.6686358451843262</v>
      </c>
    </row>
    <row r="7669" spans="1:6" hidden="1" x14ac:dyDescent="0.3">
      <c r="A7669" s="6">
        <v>55</v>
      </c>
      <c r="B7669" s="6" t="s">
        <v>191</v>
      </c>
      <c r="C7669" s="6" t="s">
        <v>463</v>
      </c>
      <c r="D7669" s="6" t="s">
        <v>192</v>
      </c>
      <c r="E7669" s="11">
        <v>40.099555969238281</v>
      </c>
      <c r="F7669" s="11">
        <v>4.6686358451843262</v>
      </c>
    </row>
    <row r="7670" spans="1:6" hidden="1" x14ac:dyDescent="0.3">
      <c r="A7670" s="6">
        <v>55</v>
      </c>
      <c r="B7670" s="6" t="s">
        <v>191</v>
      </c>
      <c r="C7670" s="6" t="s">
        <v>464</v>
      </c>
      <c r="D7670" s="6" t="s">
        <v>192</v>
      </c>
      <c r="E7670" s="11">
        <v>4.6339874267578125</v>
      </c>
      <c r="F7670" s="11">
        <v>4.6686358451843262</v>
      </c>
    </row>
    <row r="7671" spans="1:6" hidden="1" x14ac:dyDescent="0.3">
      <c r="A7671" s="6">
        <v>55</v>
      </c>
      <c r="B7671" s="6" t="s">
        <v>191</v>
      </c>
      <c r="C7671" s="6" t="s">
        <v>465</v>
      </c>
      <c r="D7671" s="6" t="s">
        <v>192</v>
      </c>
      <c r="E7671" s="11">
        <v>4.4999308586120605</v>
      </c>
      <c r="F7671" s="11">
        <v>4.6686358451843262</v>
      </c>
    </row>
    <row r="7672" spans="1:6" hidden="1" x14ac:dyDescent="0.3">
      <c r="A7672" s="6">
        <v>55</v>
      </c>
      <c r="B7672" s="6" t="s">
        <v>191</v>
      </c>
      <c r="C7672" s="6" t="s">
        <v>466</v>
      </c>
      <c r="D7672" s="6" t="s">
        <v>192</v>
      </c>
      <c r="E7672" s="11">
        <v>5.4494171142578125</v>
      </c>
      <c r="F7672" s="11">
        <v>4.6686358451843262</v>
      </c>
    </row>
    <row r="7673" spans="1:6" hidden="1" x14ac:dyDescent="0.3">
      <c r="A7673" s="6">
        <v>55</v>
      </c>
      <c r="B7673" s="6" t="s">
        <v>191</v>
      </c>
      <c r="C7673" s="6" t="s">
        <v>467</v>
      </c>
      <c r="D7673" s="6" t="s">
        <v>192</v>
      </c>
      <c r="E7673" s="11">
        <v>5.2204174995422363</v>
      </c>
      <c r="F7673" s="11">
        <v>4.6686358451843262</v>
      </c>
    </row>
    <row r="7674" spans="1:6" hidden="1" x14ac:dyDescent="0.3">
      <c r="A7674" s="6">
        <v>55</v>
      </c>
      <c r="B7674" s="6" t="s">
        <v>191</v>
      </c>
      <c r="C7674" s="6" t="s">
        <v>468</v>
      </c>
      <c r="D7674" s="6" t="s">
        <v>192</v>
      </c>
      <c r="E7674" s="11">
        <v>4.5977530479431152</v>
      </c>
      <c r="F7674" s="11">
        <v>4.6686358451843262</v>
      </c>
    </row>
    <row r="7675" spans="1:6" hidden="1" x14ac:dyDescent="0.3">
      <c r="A7675" s="6">
        <v>55</v>
      </c>
      <c r="B7675" s="6" t="s">
        <v>191</v>
      </c>
      <c r="C7675" s="6" t="s">
        <v>469</v>
      </c>
      <c r="D7675" s="6" t="s">
        <v>192</v>
      </c>
      <c r="E7675" s="11">
        <v>3.6286678314208984</v>
      </c>
      <c r="F7675" s="11">
        <v>4.6686358451843262</v>
      </c>
    </row>
    <row r="7676" spans="1:6" hidden="1" x14ac:dyDescent="0.3">
      <c r="A7676" s="6">
        <v>55</v>
      </c>
      <c r="B7676" s="6" t="s">
        <v>191</v>
      </c>
      <c r="C7676" s="6" t="s">
        <v>470</v>
      </c>
      <c r="D7676" s="6" t="s">
        <v>192</v>
      </c>
      <c r="E7676" s="11">
        <v>5.477424144744873</v>
      </c>
      <c r="F7676" s="11">
        <v>4.6686358451843262</v>
      </c>
    </row>
    <row r="7677" spans="1:6" hidden="1" x14ac:dyDescent="0.3">
      <c r="A7677" s="6">
        <v>55</v>
      </c>
      <c r="B7677" s="6" t="s">
        <v>191</v>
      </c>
      <c r="C7677" s="6" t="s">
        <v>471</v>
      </c>
      <c r="D7677" s="6" t="s">
        <v>192</v>
      </c>
      <c r="E7677" s="11">
        <v>3.5870649814605713</v>
      </c>
      <c r="F7677" s="11">
        <v>4.6686358451843262</v>
      </c>
    </row>
    <row r="7678" spans="1:6" hidden="1" x14ac:dyDescent="0.3">
      <c r="A7678" s="6">
        <v>55</v>
      </c>
      <c r="B7678" s="6" t="s">
        <v>191</v>
      </c>
      <c r="C7678" s="6" t="s">
        <v>472</v>
      </c>
      <c r="D7678" s="6" t="s">
        <v>192</v>
      </c>
      <c r="E7678" s="11">
        <v>3.8550882339477539</v>
      </c>
      <c r="F7678" s="11">
        <v>4.6686358451843262</v>
      </c>
    </row>
    <row r="7679" spans="1:6" hidden="1" x14ac:dyDescent="0.3">
      <c r="A7679" s="6">
        <v>55</v>
      </c>
      <c r="B7679" s="6" t="s">
        <v>191</v>
      </c>
      <c r="C7679" s="6" t="s">
        <v>473</v>
      </c>
      <c r="D7679" s="6" t="s">
        <v>192</v>
      </c>
      <c r="E7679" s="11">
        <v>7.2416186332702637</v>
      </c>
      <c r="F7679" s="11">
        <v>4.6686358451843262</v>
      </c>
    </row>
    <row r="7680" spans="1:6" hidden="1" x14ac:dyDescent="0.3">
      <c r="A7680" s="6">
        <v>55</v>
      </c>
      <c r="B7680" s="6" t="s">
        <v>191</v>
      </c>
      <c r="C7680" s="6" t="s">
        <v>474</v>
      </c>
      <c r="D7680" s="6" t="s">
        <v>192</v>
      </c>
      <c r="E7680" s="11">
        <v>5.0176362991333008</v>
      </c>
      <c r="F7680" s="11">
        <v>4.6686358451843262</v>
      </c>
    </row>
    <row r="7681" spans="1:6" hidden="1" x14ac:dyDescent="0.3">
      <c r="A7681" s="6">
        <v>55</v>
      </c>
      <c r="B7681" s="6" t="s">
        <v>191</v>
      </c>
      <c r="C7681" s="6" t="s">
        <v>475</v>
      </c>
      <c r="D7681" s="6" t="s">
        <v>192</v>
      </c>
      <c r="E7681" s="11">
        <v>3.8239638805389404</v>
      </c>
      <c r="F7681" s="11">
        <v>4.6686358451843262</v>
      </c>
    </row>
    <row r="7682" spans="1:6" hidden="1" x14ac:dyDescent="0.3">
      <c r="A7682" s="6">
        <v>55</v>
      </c>
      <c r="B7682" s="6" t="s">
        <v>191</v>
      </c>
      <c r="C7682" s="6" t="s">
        <v>476</v>
      </c>
      <c r="D7682" s="6" t="s">
        <v>192</v>
      </c>
      <c r="E7682" s="11">
        <v>4.3990011215209961</v>
      </c>
      <c r="F7682" s="11">
        <v>4.6686358451843262</v>
      </c>
    </row>
    <row r="7683" spans="1:6" hidden="1" x14ac:dyDescent="0.3">
      <c r="A7683" s="6">
        <v>55</v>
      </c>
      <c r="B7683" s="6" t="s">
        <v>191</v>
      </c>
      <c r="C7683" s="6" t="s">
        <v>477</v>
      </c>
      <c r="D7683" s="6" t="s">
        <v>192</v>
      </c>
      <c r="E7683" s="11">
        <v>5.1065659523010254</v>
      </c>
      <c r="F7683" s="11">
        <v>4.6686358451843262</v>
      </c>
    </row>
    <row r="7684" spans="1:6" hidden="1" x14ac:dyDescent="0.3">
      <c r="A7684" s="6">
        <v>55</v>
      </c>
      <c r="B7684" s="6" t="s">
        <v>191</v>
      </c>
      <c r="C7684" s="6" t="s">
        <v>478</v>
      </c>
      <c r="D7684" s="6" t="s">
        <v>192</v>
      </c>
      <c r="E7684" s="11">
        <v>4.6913065910339355</v>
      </c>
      <c r="F7684" s="11">
        <v>4.6686358451843262</v>
      </c>
    </row>
    <row r="7685" spans="1:6" hidden="1" x14ac:dyDescent="0.3">
      <c r="A7685" s="6">
        <v>55</v>
      </c>
      <c r="B7685" s="6" t="s">
        <v>191</v>
      </c>
      <c r="C7685" s="6" t="s">
        <v>479</v>
      </c>
      <c r="D7685" s="6" t="s">
        <v>192</v>
      </c>
      <c r="E7685" s="11">
        <v>4.5507583618164063</v>
      </c>
      <c r="F7685" s="11">
        <v>4.6686358451843262</v>
      </c>
    </row>
    <row r="7686" spans="1:6" hidden="1" x14ac:dyDescent="0.3">
      <c r="A7686" s="6">
        <v>55</v>
      </c>
      <c r="B7686" s="6" t="s">
        <v>191</v>
      </c>
      <c r="C7686" s="6" t="s">
        <v>480</v>
      </c>
      <c r="D7686" s="6" t="s">
        <v>192</v>
      </c>
      <c r="E7686" s="11">
        <v>5.9467668533325195</v>
      </c>
      <c r="F7686" s="11">
        <v>4.6686358451843262</v>
      </c>
    </row>
    <row r="7687" spans="1:6" hidden="1" x14ac:dyDescent="0.3">
      <c r="A7687" s="6">
        <v>55</v>
      </c>
      <c r="B7687" s="6" t="s">
        <v>191</v>
      </c>
      <c r="C7687" s="6" t="s">
        <v>481</v>
      </c>
      <c r="D7687" s="6" t="s">
        <v>192</v>
      </c>
      <c r="E7687" s="11">
        <v>3.6051123142242432</v>
      </c>
      <c r="F7687" s="11">
        <v>4.6686358451843262</v>
      </c>
    </row>
    <row r="7688" spans="1:6" hidden="1" x14ac:dyDescent="0.3">
      <c r="A7688" s="6">
        <v>55</v>
      </c>
      <c r="B7688" s="6" t="s">
        <v>191</v>
      </c>
      <c r="C7688" s="6" t="s">
        <v>482</v>
      </c>
      <c r="D7688" s="6" t="s">
        <v>192</v>
      </c>
      <c r="E7688" s="11">
        <v>6.1677980422973633</v>
      </c>
      <c r="F7688" s="11">
        <v>4.6686358451843262</v>
      </c>
    </row>
    <row r="7689" spans="1:6" hidden="1" x14ac:dyDescent="0.3">
      <c r="A7689" s="6">
        <v>55</v>
      </c>
      <c r="B7689" s="6" t="s">
        <v>191</v>
      </c>
      <c r="C7689" s="6" t="s">
        <v>483</v>
      </c>
      <c r="D7689" s="6" t="s">
        <v>192</v>
      </c>
      <c r="E7689" s="11">
        <v>27.393924713134766</v>
      </c>
      <c r="F7689" s="11">
        <v>4.6686358451843262</v>
      </c>
    </row>
    <row r="7690" spans="1:6" hidden="1" x14ac:dyDescent="0.3">
      <c r="A7690" s="6">
        <v>55</v>
      </c>
      <c r="B7690" s="6" t="s">
        <v>191</v>
      </c>
      <c r="C7690" s="6" t="s">
        <v>484</v>
      </c>
      <c r="D7690" s="6" t="s">
        <v>192</v>
      </c>
      <c r="E7690" s="11">
        <v>4.7945852279663086</v>
      </c>
      <c r="F7690" s="11">
        <v>4.6686358451843262</v>
      </c>
    </row>
    <row r="7691" spans="1:6" hidden="1" x14ac:dyDescent="0.3">
      <c r="A7691" s="6">
        <v>55</v>
      </c>
      <c r="B7691" s="6" t="s">
        <v>191</v>
      </c>
      <c r="C7691" s="6" t="s">
        <v>485</v>
      </c>
      <c r="D7691" s="6" t="s">
        <v>192</v>
      </c>
      <c r="E7691" s="11">
        <v>4.9608163833618164</v>
      </c>
      <c r="F7691" s="11">
        <v>4.6686358451843262</v>
      </c>
    </row>
    <row r="7692" spans="1:6" hidden="1" x14ac:dyDescent="0.3">
      <c r="A7692" s="6">
        <v>55</v>
      </c>
      <c r="B7692" s="6" t="s">
        <v>191</v>
      </c>
      <c r="C7692" s="6" t="s">
        <v>486</v>
      </c>
      <c r="D7692" s="6" t="s">
        <v>192</v>
      </c>
      <c r="E7692" s="11">
        <v>8.4719524383544922</v>
      </c>
      <c r="F7692" s="11">
        <v>4.6686358451843262</v>
      </c>
    </row>
    <row r="7693" spans="1:6" hidden="1" x14ac:dyDescent="0.3">
      <c r="A7693" s="6">
        <v>55</v>
      </c>
      <c r="B7693" s="6" t="s">
        <v>191</v>
      </c>
      <c r="C7693" s="6" t="s">
        <v>487</v>
      </c>
      <c r="D7693" s="6" t="s">
        <v>192</v>
      </c>
      <c r="E7693" s="11">
        <v>4.8595738410949707</v>
      </c>
      <c r="F7693" s="11">
        <v>4.6686358451843262</v>
      </c>
    </row>
    <row r="7694" spans="1:6" hidden="1" x14ac:dyDescent="0.3">
      <c r="A7694" s="6">
        <v>55</v>
      </c>
      <c r="B7694" s="6" t="s">
        <v>191</v>
      </c>
      <c r="C7694" s="6" t="s">
        <v>488</v>
      </c>
      <c r="D7694" s="6" t="s">
        <v>192</v>
      </c>
      <c r="E7694" s="11">
        <v>3.4108338356018066</v>
      </c>
      <c r="F7694" s="11">
        <v>4.6686358451843262</v>
      </c>
    </row>
    <row r="7695" spans="1:6" hidden="1" x14ac:dyDescent="0.3">
      <c r="A7695" s="6">
        <v>55</v>
      </c>
      <c r="B7695" s="6" t="s">
        <v>191</v>
      </c>
      <c r="C7695" s="6" t="s">
        <v>489</v>
      </c>
      <c r="D7695" s="6" t="s">
        <v>192</v>
      </c>
      <c r="E7695" s="11">
        <v>5.8290643692016602</v>
      </c>
      <c r="F7695" s="11">
        <v>4.6686358451843262</v>
      </c>
    </row>
    <row r="7696" spans="1:6" hidden="1" x14ac:dyDescent="0.3">
      <c r="A7696" s="6">
        <v>55</v>
      </c>
      <c r="B7696" s="6" t="s">
        <v>191</v>
      </c>
      <c r="C7696" s="6" t="s">
        <v>490</v>
      </c>
      <c r="D7696" s="6" t="s">
        <v>192</v>
      </c>
      <c r="E7696" s="11">
        <v>4.4414920806884766</v>
      </c>
      <c r="F7696" s="11">
        <v>4.6686358451843262</v>
      </c>
    </row>
    <row r="7697" spans="1:6" hidden="1" x14ac:dyDescent="0.3">
      <c r="A7697" s="6">
        <v>55</v>
      </c>
      <c r="B7697" s="6" t="s">
        <v>191</v>
      </c>
      <c r="C7697" s="6" t="s">
        <v>491</v>
      </c>
      <c r="D7697" s="6" t="s">
        <v>192</v>
      </c>
      <c r="E7697" s="11">
        <v>4.3455414772033691</v>
      </c>
      <c r="F7697" s="11">
        <v>4.6686358451843262</v>
      </c>
    </row>
    <row r="7698" spans="1:6" hidden="1" x14ac:dyDescent="0.3">
      <c r="A7698" s="6">
        <v>55</v>
      </c>
      <c r="B7698" s="6" t="s">
        <v>191</v>
      </c>
      <c r="C7698" s="6" t="s">
        <v>492</v>
      </c>
      <c r="D7698" s="6" t="s">
        <v>192</v>
      </c>
      <c r="E7698" s="11">
        <v>5.278165340423584</v>
      </c>
      <c r="F7698" s="11">
        <v>4.6686358451843262</v>
      </c>
    </row>
    <row r="7699" spans="1:6" hidden="1" x14ac:dyDescent="0.3">
      <c r="A7699" s="6">
        <v>55</v>
      </c>
      <c r="B7699" s="6" t="s">
        <v>191</v>
      </c>
      <c r="C7699" s="6" t="s">
        <v>493</v>
      </c>
      <c r="D7699" s="6" t="s">
        <v>192</v>
      </c>
      <c r="E7699" s="11">
        <v>3.9956626892089844</v>
      </c>
      <c r="F7699" s="11">
        <v>4.6686358451843262</v>
      </c>
    </row>
    <row r="7700" spans="1:6" hidden="1" x14ac:dyDescent="0.3">
      <c r="A7700" s="6">
        <v>55</v>
      </c>
      <c r="B7700" s="6" t="s">
        <v>191</v>
      </c>
      <c r="C7700" s="6" t="s">
        <v>494</v>
      </c>
      <c r="D7700" s="6" t="s">
        <v>192</v>
      </c>
      <c r="E7700" s="11">
        <v>4.7610211372375488</v>
      </c>
      <c r="F7700" s="11">
        <v>4.6686358451843262</v>
      </c>
    </row>
    <row r="7701" spans="1:6" hidden="1" x14ac:dyDescent="0.3">
      <c r="A7701" s="6">
        <v>55</v>
      </c>
      <c r="B7701" s="6" t="s">
        <v>191</v>
      </c>
      <c r="C7701" s="6" t="s">
        <v>495</v>
      </c>
      <c r="D7701" s="6" t="s">
        <v>192</v>
      </c>
      <c r="E7701" s="11">
        <v>6.5228066444396973</v>
      </c>
      <c r="F7701" s="11">
        <v>4.6686358451843262</v>
      </c>
    </row>
    <row r="7702" spans="1:6" hidden="1" x14ac:dyDescent="0.3">
      <c r="A7702" s="6">
        <v>56</v>
      </c>
      <c r="B7702" s="6" t="s">
        <v>193</v>
      </c>
      <c r="C7702" s="6" t="s">
        <v>356</v>
      </c>
      <c r="D7702" s="6" t="s">
        <v>194</v>
      </c>
      <c r="E7702" s="11">
        <v>3.562985897064209</v>
      </c>
      <c r="F7702" s="11">
        <v>3.7081646919250488</v>
      </c>
    </row>
    <row r="7703" spans="1:6" hidden="1" x14ac:dyDescent="0.3">
      <c r="A7703" s="6">
        <v>56</v>
      </c>
      <c r="B7703" s="6" t="s">
        <v>193</v>
      </c>
      <c r="C7703" s="6" t="s">
        <v>357</v>
      </c>
      <c r="D7703" s="6" t="s">
        <v>194</v>
      </c>
      <c r="E7703" s="11">
        <v>3.1840050220489502</v>
      </c>
      <c r="F7703" s="11">
        <v>3.7081646919250488</v>
      </c>
    </row>
    <row r="7704" spans="1:6" hidden="1" x14ac:dyDescent="0.3">
      <c r="A7704" s="6">
        <v>56</v>
      </c>
      <c r="B7704" s="6" t="s">
        <v>193</v>
      </c>
      <c r="C7704" s="6" t="s">
        <v>358</v>
      </c>
      <c r="D7704" s="6" t="s">
        <v>194</v>
      </c>
      <c r="E7704" s="11">
        <v>3.5750198364257813</v>
      </c>
      <c r="F7704" s="11">
        <v>3.7081646919250488</v>
      </c>
    </row>
    <row r="7705" spans="1:6" hidden="1" x14ac:dyDescent="0.3">
      <c r="A7705" s="6">
        <v>56</v>
      </c>
      <c r="B7705" s="6" t="s">
        <v>193</v>
      </c>
      <c r="C7705" s="6" t="s">
        <v>359</v>
      </c>
      <c r="D7705" s="6" t="s">
        <v>194</v>
      </c>
      <c r="E7705" s="11">
        <v>4.7313175201416016</v>
      </c>
      <c r="F7705" s="11">
        <v>3.7081646919250488</v>
      </c>
    </row>
    <row r="7706" spans="1:6" hidden="1" x14ac:dyDescent="0.3">
      <c r="A7706" s="6">
        <v>56</v>
      </c>
      <c r="B7706" s="6" t="s">
        <v>193</v>
      </c>
      <c r="C7706" s="6" t="s">
        <v>360</v>
      </c>
      <c r="D7706" s="6" t="s">
        <v>194</v>
      </c>
      <c r="E7706" s="11">
        <v>3.6714582443237305</v>
      </c>
      <c r="F7706" s="11">
        <v>3.7081646919250488</v>
      </c>
    </row>
    <row r="7707" spans="1:6" hidden="1" x14ac:dyDescent="0.3">
      <c r="A7707" s="6">
        <v>56</v>
      </c>
      <c r="B7707" s="6" t="s">
        <v>193</v>
      </c>
      <c r="C7707" s="6" t="s">
        <v>361</v>
      </c>
      <c r="D7707" s="6" t="s">
        <v>194</v>
      </c>
      <c r="E7707" s="11">
        <v>4.5123019218444824</v>
      </c>
      <c r="F7707" s="11">
        <v>3.7081646919250488</v>
      </c>
    </row>
    <row r="7708" spans="1:6" hidden="1" x14ac:dyDescent="0.3">
      <c r="A7708" s="6">
        <v>56</v>
      </c>
      <c r="B7708" s="6" t="s">
        <v>193</v>
      </c>
      <c r="C7708" s="6" t="s">
        <v>362</v>
      </c>
      <c r="D7708" s="6" t="s">
        <v>194</v>
      </c>
      <c r="E7708" s="11">
        <v>3.6231701374053955</v>
      </c>
      <c r="F7708" s="11">
        <v>3.7081646919250488</v>
      </c>
    </row>
    <row r="7709" spans="1:6" hidden="1" x14ac:dyDescent="0.3">
      <c r="A7709" s="6">
        <v>56</v>
      </c>
      <c r="B7709" s="6" t="s">
        <v>193</v>
      </c>
      <c r="C7709" s="6" t="s">
        <v>363</v>
      </c>
      <c r="D7709" s="6" t="s">
        <v>194</v>
      </c>
      <c r="E7709" s="11">
        <v>3.9135842323303223</v>
      </c>
      <c r="F7709" s="11">
        <v>3.7081646919250488</v>
      </c>
    </row>
    <row r="7710" spans="1:6" hidden="1" x14ac:dyDescent="0.3">
      <c r="A7710" s="6">
        <v>56</v>
      </c>
      <c r="B7710" s="6" t="s">
        <v>193</v>
      </c>
      <c r="C7710" s="6" t="s">
        <v>364</v>
      </c>
      <c r="D7710" s="6" t="s">
        <v>194</v>
      </c>
      <c r="E7710" s="11">
        <v>3.8551497459411621</v>
      </c>
      <c r="F7710" s="11">
        <v>3.7081646919250488</v>
      </c>
    </row>
    <row r="7711" spans="1:6" hidden="1" x14ac:dyDescent="0.3">
      <c r="A7711" s="6">
        <v>56</v>
      </c>
      <c r="B7711" s="6" t="s">
        <v>193</v>
      </c>
      <c r="C7711" s="6" t="s">
        <v>365</v>
      </c>
      <c r="D7711" s="6" t="s">
        <v>194</v>
      </c>
      <c r="E7711" s="11">
        <v>2.9330337047576904</v>
      </c>
      <c r="F7711" s="11">
        <v>3.7081646919250488</v>
      </c>
    </row>
    <row r="7712" spans="1:6" hidden="1" x14ac:dyDescent="0.3">
      <c r="A7712" s="6">
        <v>56</v>
      </c>
      <c r="B7712" s="6" t="s">
        <v>193</v>
      </c>
      <c r="C7712" s="6" t="s">
        <v>366</v>
      </c>
      <c r="D7712" s="6" t="s">
        <v>194</v>
      </c>
      <c r="E7712" s="11">
        <v>3.5132358074188232</v>
      </c>
      <c r="F7712" s="11">
        <v>3.7081646919250488</v>
      </c>
    </row>
    <row r="7713" spans="1:6" hidden="1" x14ac:dyDescent="0.3">
      <c r="A7713" s="6">
        <v>56</v>
      </c>
      <c r="B7713" s="6" t="s">
        <v>193</v>
      </c>
      <c r="C7713" s="6" t="s">
        <v>367</v>
      </c>
      <c r="D7713" s="6" t="s">
        <v>194</v>
      </c>
      <c r="E7713" s="11">
        <v>4.2531156539916992</v>
      </c>
      <c r="F7713" s="11">
        <v>3.7081646919250488</v>
      </c>
    </row>
    <row r="7714" spans="1:6" hidden="1" x14ac:dyDescent="0.3">
      <c r="A7714" s="6">
        <v>56</v>
      </c>
      <c r="B7714" s="6" t="s">
        <v>193</v>
      </c>
      <c r="C7714" s="6" t="s">
        <v>368</v>
      </c>
      <c r="D7714" s="6" t="s">
        <v>194</v>
      </c>
      <c r="E7714" s="11">
        <v>3.7955663204193115</v>
      </c>
      <c r="F7714" s="11">
        <v>3.7081646919250488</v>
      </c>
    </row>
    <row r="7715" spans="1:6" hidden="1" x14ac:dyDescent="0.3">
      <c r="A7715" s="6">
        <v>56</v>
      </c>
      <c r="B7715" s="6" t="s">
        <v>193</v>
      </c>
      <c r="C7715" s="6" t="s">
        <v>369</v>
      </c>
      <c r="D7715" s="6" t="s">
        <v>194</v>
      </c>
      <c r="E7715" s="11">
        <v>3.9640374183654785</v>
      </c>
      <c r="F7715" s="11">
        <v>3.7081646919250488</v>
      </c>
    </row>
    <row r="7716" spans="1:6" hidden="1" x14ac:dyDescent="0.3">
      <c r="A7716" s="6">
        <v>56</v>
      </c>
      <c r="B7716" s="6" t="s">
        <v>193</v>
      </c>
      <c r="C7716" s="6" t="s">
        <v>370</v>
      </c>
      <c r="D7716" s="6" t="s">
        <v>194</v>
      </c>
      <c r="E7716" s="11">
        <v>3.5575985908508301</v>
      </c>
      <c r="F7716" s="11">
        <v>3.7081646919250488</v>
      </c>
    </row>
    <row r="7717" spans="1:6" hidden="1" x14ac:dyDescent="0.3">
      <c r="A7717" s="6">
        <v>56</v>
      </c>
      <c r="B7717" s="6" t="s">
        <v>193</v>
      </c>
      <c r="C7717" s="6" t="s">
        <v>371</v>
      </c>
      <c r="D7717" s="6" t="s">
        <v>194</v>
      </c>
      <c r="E7717" s="11">
        <v>4.0128293037414551</v>
      </c>
      <c r="F7717" s="11">
        <v>3.7081646919250488</v>
      </c>
    </row>
    <row r="7718" spans="1:6" hidden="1" x14ac:dyDescent="0.3">
      <c r="A7718" s="6">
        <v>56</v>
      </c>
      <c r="B7718" s="6" t="s">
        <v>193</v>
      </c>
      <c r="C7718" s="6" t="s">
        <v>372</v>
      </c>
      <c r="D7718" s="6" t="s">
        <v>194</v>
      </c>
      <c r="E7718" s="11">
        <v>4.3667659759521484</v>
      </c>
      <c r="F7718" s="11">
        <v>3.7081646919250488</v>
      </c>
    </row>
    <row r="7719" spans="1:6" hidden="1" x14ac:dyDescent="0.3">
      <c r="A7719" s="6">
        <v>56</v>
      </c>
      <c r="B7719" s="6" t="s">
        <v>193</v>
      </c>
      <c r="C7719" s="6" t="s">
        <v>373</v>
      </c>
      <c r="D7719" s="6" t="s">
        <v>194</v>
      </c>
      <c r="E7719" s="11">
        <v>3.6748073101043701</v>
      </c>
      <c r="F7719" s="11">
        <v>3.7081646919250488</v>
      </c>
    </row>
    <row r="7720" spans="1:6" hidden="1" x14ac:dyDescent="0.3">
      <c r="A7720" s="6">
        <v>56</v>
      </c>
      <c r="B7720" s="6" t="s">
        <v>193</v>
      </c>
      <c r="C7720" s="6" t="s">
        <v>374</v>
      </c>
      <c r="D7720" s="6" t="s">
        <v>194</v>
      </c>
      <c r="E7720" s="11">
        <v>3.8400495052337646</v>
      </c>
      <c r="F7720" s="11">
        <v>3.7081646919250488</v>
      </c>
    </row>
    <row r="7721" spans="1:6" hidden="1" x14ac:dyDescent="0.3">
      <c r="A7721" s="6">
        <v>56</v>
      </c>
      <c r="B7721" s="6" t="s">
        <v>193</v>
      </c>
      <c r="C7721" s="6" t="s">
        <v>375</v>
      </c>
      <c r="D7721" s="6" t="s">
        <v>194</v>
      </c>
      <c r="E7721" s="11">
        <v>3.7383787631988525</v>
      </c>
      <c r="F7721" s="11">
        <v>3.7081646919250488</v>
      </c>
    </row>
    <row r="7722" spans="1:6" hidden="1" x14ac:dyDescent="0.3">
      <c r="A7722" s="6">
        <v>56</v>
      </c>
      <c r="B7722" s="6" t="s">
        <v>193</v>
      </c>
      <c r="C7722" s="6" t="s">
        <v>376</v>
      </c>
      <c r="D7722" s="6" t="s">
        <v>194</v>
      </c>
      <c r="E7722" s="11">
        <v>3.5078010559082031</v>
      </c>
      <c r="F7722" s="11">
        <v>3.7081646919250488</v>
      </c>
    </row>
    <row r="7723" spans="1:6" hidden="1" x14ac:dyDescent="0.3">
      <c r="A7723" s="6">
        <v>56</v>
      </c>
      <c r="B7723" s="6" t="s">
        <v>193</v>
      </c>
      <c r="C7723" s="6" t="s">
        <v>377</v>
      </c>
      <c r="D7723" s="6" t="s">
        <v>194</v>
      </c>
      <c r="E7723" s="11">
        <v>3.5791106224060059</v>
      </c>
      <c r="F7723" s="11">
        <v>3.7081646919250488</v>
      </c>
    </row>
    <row r="7724" spans="1:6" hidden="1" x14ac:dyDescent="0.3">
      <c r="A7724" s="6">
        <v>56</v>
      </c>
      <c r="B7724" s="6" t="s">
        <v>193</v>
      </c>
      <c r="C7724" s="6" t="s">
        <v>378</v>
      </c>
      <c r="D7724" s="6" t="s">
        <v>194</v>
      </c>
      <c r="E7724" s="11">
        <v>3.1536247730255127</v>
      </c>
      <c r="F7724" s="11">
        <v>3.7081646919250488</v>
      </c>
    </row>
    <row r="7725" spans="1:6" hidden="1" x14ac:dyDescent="0.3">
      <c r="A7725" s="6">
        <v>56</v>
      </c>
      <c r="B7725" s="6" t="s">
        <v>193</v>
      </c>
      <c r="C7725" s="6" t="s">
        <v>379</v>
      </c>
      <c r="D7725" s="6" t="s">
        <v>194</v>
      </c>
      <c r="E7725" s="11">
        <v>3.6763050556182861</v>
      </c>
      <c r="F7725" s="11">
        <v>3.7081646919250488</v>
      </c>
    </row>
    <row r="7726" spans="1:6" hidden="1" x14ac:dyDescent="0.3">
      <c r="A7726" s="6">
        <v>56</v>
      </c>
      <c r="B7726" s="6" t="s">
        <v>193</v>
      </c>
      <c r="C7726" s="6" t="s">
        <v>380</v>
      </c>
      <c r="D7726" s="6" t="s">
        <v>194</v>
      </c>
      <c r="E7726" s="11">
        <v>3.8506894111633301</v>
      </c>
      <c r="F7726" s="11">
        <v>3.7081646919250488</v>
      </c>
    </row>
    <row r="7727" spans="1:6" hidden="1" x14ac:dyDescent="0.3">
      <c r="A7727" s="6">
        <v>56</v>
      </c>
      <c r="B7727" s="6" t="s">
        <v>193</v>
      </c>
      <c r="C7727" s="6" t="s">
        <v>381</v>
      </c>
      <c r="D7727" s="6" t="s">
        <v>194</v>
      </c>
      <c r="E7727" s="11">
        <v>3.4354381561279297</v>
      </c>
      <c r="F7727" s="11">
        <v>3.7081646919250488</v>
      </c>
    </row>
    <row r="7728" spans="1:6" hidden="1" x14ac:dyDescent="0.3">
      <c r="A7728" s="6">
        <v>56</v>
      </c>
      <c r="B7728" s="6" t="s">
        <v>193</v>
      </c>
      <c r="C7728" s="6" t="s">
        <v>382</v>
      </c>
      <c r="D7728" s="6" t="s">
        <v>194</v>
      </c>
      <c r="E7728" s="11">
        <v>3.8935918807983398</v>
      </c>
      <c r="F7728" s="11">
        <v>3.7081646919250488</v>
      </c>
    </row>
    <row r="7729" spans="1:6" hidden="1" x14ac:dyDescent="0.3">
      <c r="A7729" s="6">
        <v>56</v>
      </c>
      <c r="B7729" s="6" t="s">
        <v>193</v>
      </c>
      <c r="C7729" s="6" t="s">
        <v>383</v>
      </c>
      <c r="D7729" s="6" t="s">
        <v>194</v>
      </c>
      <c r="E7729" s="11">
        <v>4.2852640151977539</v>
      </c>
      <c r="F7729" s="11">
        <v>3.7081646919250488</v>
      </c>
    </row>
    <row r="7730" spans="1:6" hidden="1" x14ac:dyDescent="0.3">
      <c r="A7730" s="6">
        <v>56</v>
      </c>
      <c r="B7730" s="6" t="s">
        <v>193</v>
      </c>
      <c r="C7730" s="6" t="s">
        <v>384</v>
      </c>
      <c r="D7730" s="6" t="s">
        <v>194</v>
      </c>
      <c r="E7730" s="11">
        <v>3.8564188480377197</v>
      </c>
      <c r="F7730" s="11">
        <v>3.7081646919250488</v>
      </c>
    </row>
    <row r="7731" spans="1:6" hidden="1" x14ac:dyDescent="0.3">
      <c r="A7731" s="6">
        <v>56</v>
      </c>
      <c r="B7731" s="6" t="s">
        <v>193</v>
      </c>
      <c r="C7731" s="6" t="s">
        <v>385</v>
      </c>
      <c r="D7731" s="6" t="s">
        <v>194</v>
      </c>
      <c r="E7731" s="11">
        <v>3.5610923767089844</v>
      </c>
      <c r="F7731" s="11">
        <v>3.7081646919250488</v>
      </c>
    </row>
    <row r="7732" spans="1:6" hidden="1" x14ac:dyDescent="0.3">
      <c r="A7732" s="6">
        <v>56</v>
      </c>
      <c r="B7732" s="6" t="s">
        <v>193</v>
      </c>
      <c r="C7732" s="6" t="s">
        <v>386</v>
      </c>
      <c r="D7732" s="6" t="s">
        <v>194</v>
      </c>
      <c r="E7732" s="11">
        <v>3.7091643810272217</v>
      </c>
      <c r="F7732" s="11">
        <v>3.7081646919250488</v>
      </c>
    </row>
    <row r="7733" spans="1:6" hidden="1" x14ac:dyDescent="0.3">
      <c r="A7733" s="6">
        <v>56</v>
      </c>
      <c r="B7733" s="6" t="s">
        <v>193</v>
      </c>
      <c r="C7733" s="6" t="s">
        <v>387</v>
      </c>
      <c r="D7733" s="6" t="s">
        <v>194</v>
      </c>
      <c r="E7733" s="11">
        <v>3.342557430267334</v>
      </c>
      <c r="F7733" s="11">
        <v>3.7081646919250488</v>
      </c>
    </row>
    <row r="7734" spans="1:6" hidden="1" x14ac:dyDescent="0.3">
      <c r="A7734" s="6">
        <v>56</v>
      </c>
      <c r="B7734" s="6" t="s">
        <v>193</v>
      </c>
      <c r="C7734" s="6" t="s">
        <v>388</v>
      </c>
      <c r="D7734" s="6" t="s">
        <v>194</v>
      </c>
      <c r="E7734" s="11">
        <v>4.1564841270446777</v>
      </c>
      <c r="F7734" s="11">
        <v>3.7081646919250488</v>
      </c>
    </row>
    <row r="7735" spans="1:6" hidden="1" x14ac:dyDescent="0.3">
      <c r="A7735" s="6">
        <v>56</v>
      </c>
      <c r="B7735" s="6" t="s">
        <v>193</v>
      </c>
      <c r="C7735" s="6" t="s">
        <v>389</v>
      </c>
      <c r="D7735" s="6" t="s">
        <v>194</v>
      </c>
      <c r="E7735" s="11">
        <v>3.79048752784729</v>
      </c>
      <c r="F7735" s="11">
        <v>3.7081646919250488</v>
      </c>
    </row>
    <row r="7736" spans="1:6" hidden="1" x14ac:dyDescent="0.3">
      <c r="A7736" s="6">
        <v>56</v>
      </c>
      <c r="B7736" s="6" t="s">
        <v>193</v>
      </c>
      <c r="C7736" s="6" t="s">
        <v>390</v>
      </c>
      <c r="D7736" s="6" t="s">
        <v>194</v>
      </c>
      <c r="E7736" s="11">
        <v>4.4405760765075684</v>
      </c>
      <c r="F7736" s="11">
        <v>3.7081646919250488</v>
      </c>
    </row>
    <row r="7737" spans="1:6" hidden="1" x14ac:dyDescent="0.3">
      <c r="A7737" s="6">
        <v>56</v>
      </c>
      <c r="B7737" s="6" t="s">
        <v>193</v>
      </c>
      <c r="C7737" s="6" t="s">
        <v>391</v>
      </c>
      <c r="D7737" s="6" t="s">
        <v>194</v>
      </c>
      <c r="E7737" s="11">
        <v>3.7503929138183594</v>
      </c>
      <c r="F7737" s="11">
        <v>3.7081646919250488</v>
      </c>
    </row>
    <row r="7738" spans="1:6" hidden="1" x14ac:dyDescent="0.3">
      <c r="A7738" s="6">
        <v>56</v>
      </c>
      <c r="B7738" s="6" t="s">
        <v>193</v>
      </c>
      <c r="C7738" s="6" t="s">
        <v>392</v>
      </c>
      <c r="D7738" s="6" t="s">
        <v>194</v>
      </c>
      <c r="E7738" s="11">
        <v>3.7653050422668457</v>
      </c>
      <c r="F7738" s="11">
        <v>3.7081646919250488</v>
      </c>
    </row>
    <row r="7739" spans="1:6" hidden="1" x14ac:dyDescent="0.3">
      <c r="A7739" s="6">
        <v>56</v>
      </c>
      <c r="B7739" s="6" t="s">
        <v>193</v>
      </c>
      <c r="C7739" s="6" t="s">
        <v>393</v>
      </c>
      <c r="D7739" s="6" t="s">
        <v>194</v>
      </c>
      <c r="E7739" s="11">
        <v>4.1596841812133789</v>
      </c>
      <c r="F7739" s="11">
        <v>3.7081646919250488</v>
      </c>
    </row>
    <row r="7740" spans="1:6" hidden="1" x14ac:dyDescent="0.3">
      <c r="A7740" s="6">
        <v>56</v>
      </c>
      <c r="B7740" s="6" t="s">
        <v>193</v>
      </c>
      <c r="C7740" s="6" t="s">
        <v>394</v>
      </c>
      <c r="D7740" s="6" t="s">
        <v>194</v>
      </c>
      <c r="E7740" s="11">
        <v>4.1549525260925293</v>
      </c>
      <c r="F7740" s="11">
        <v>3.7081646919250488</v>
      </c>
    </row>
    <row r="7741" spans="1:6" hidden="1" x14ac:dyDescent="0.3">
      <c r="A7741" s="6">
        <v>56</v>
      </c>
      <c r="B7741" s="6" t="s">
        <v>193</v>
      </c>
      <c r="C7741" s="6" t="s">
        <v>395</v>
      </c>
      <c r="D7741" s="6" t="s">
        <v>194</v>
      </c>
      <c r="E7741" s="11">
        <v>3.8204255104064941</v>
      </c>
      <c r="F7741" s="11">
        <v>3.7081646919250488</v>
      </c>
    </row>
    <row r="7742" spans="1:6" hidden="1" x14ac:dyDescent="0.3">
      <c r="A7742" s="6">
        <v>56</v>
      </c>
      <c r="B7742" s="6" t="s">
        <v>193</v>
      </c>
      <c r="C7742" s="6" t="s">
        <v>396</v>
      </c>
      <c r="D7742" s="6" t="s">
        <v>194</v>
      </c>
      <c r="E7742" s="11">
        <v>3.6884148120880127</v>
      </c>
      <c r="F7742" s="11">
        <v>3.7081646919250488</v>
      </c>
    </row>
    <row r="7743" spans="1:6" hidden="1" x14ac:dyDescent="0.3">
      <c r="A7743" s="6">
        <v>56</v>
      </c>
      <c r="B7743" s="6" t="s">
        <v>193</v>
      </c>
      <c r="C7743" s="6" t="s">
        <v>397</v>
      </c>
      <c r="D7743" s="6" t="s">
        <v>194</v>
      </c>
      <c r="E7743" s="11">
        <v>4.5156197547912598</v>
      </c>
      <c r="F7743" s="11">
        <v>3.7081646919250488</v>
      </c>
    </row>
    <row r="7744" spans="1:6" hidden="1" x14ac:dyDescent="0.3">
      <c r="A7744" s="6">
        <v>56</v>
      </c>
      <c r="B7744" s="6" t="s">
        <v>193</v>
      </c>
      <c r="C7744" s="6" t="s">
        <v>398</v>
      </c>
      <c r="D7744" s="6" t="s">
        <v>194</v>
      </c>
      <c r="E7744" s="11">
        <v>3.2868843078613281</v>
      </c>
      <c r="F7744" s="11">
        <v>3.7081646919250488</v>
      </c>
    </row>
    <row r="7745" spans="1:6" hidden="1" x14ac:dyDescent="0.3">
      <c r="A7745" s="6">
        <v>56</v>
      </c>
      <c r="B7745" s="6" t="s">
        <v>193</v>
      </c>
      <c r="C7745" s="6" t="s">
        <v>399</v>
      </c>
      <c r="D7745" s="6" t="s">
        <v>194</v>
      </c>
      <c r="E7745" s="11">
        <v>3.4849607944488525</v>
      </c>
      <c r="F7745" s="11">
        <v>3.7081646919250488</v>
      </c>
    </row>
    <row r="7746" spans="1:6" hidden="1" x14ac:dyDescent="0.3">
      <c r="A7746" s="6">
        <v>56</v>
      </c>
      <c r="B7746" s="6" t="s">
        <v>193</v>
      </c>
      <c r="C7746" s="6" t="s">
        <v>400</v>
      </c>
      <c r="D7746" s="6" t="s">
        <v>194</v>
      </c>
      <c r="E7746" s="11">
        <v>4.4643545150756836</v>
      </c>
      <c r="F7746" s="11">
        <v>3.7081646919250488</v>
      </c>
    </row>
    <row r="7747" spans="1:6" hidden="1" x14ac:dyDescent="0.3">
      <c r="A7747" s="6">
        <v>56</v>
      </c>
      <c r="B7747" s="6" t="s">
        <v>193</v>
      </c>
      <c r="C7747" s="6" t="s">
        <v>401</v>
      </c>
      <c r="D7747" s="6" t="s">
        <v>194</v>
      </c>
      <c r="E7747" s="11">
        <v>3.6562693119049072</v>
      </c>
      <c r="F7747" s="11">
        <v>3.7081646919250488</v>
      </c>
    </row>
    <row r="7748" spans="1:6" hidden="1" x14ac:dyDescent="0.3">
      <c r="A7748" s="6">
        <v>56</v>
      </c>
      <c r="B7748" s="6" t="s">
        <v>193</v>
      </c>
      <c r="C7748" s="6" t="s">
        <v>402</v>
      </c>
      <c r="D7748" s="6" t="s">
        <v>194</v>
      </c>
      <c r="E7748" s="11">
        <v>3.5059893131256104</v>
      </c>
      <c r="F7748" s="11">
        <v>3.7081646919250488</v>
      </c>
    </row>
    <row r="7749" spans="1:6" hidden="1" x14ac:dyDescent="0.3">
      <c r="A7749" s="6">
        <v>56</v>
      </c>
      <c r="B7749" s="6" t="s">
        <v>193</v>
      </c>
      <c r="C7749" s="6" t="s">
        <v>403</v>
      </c>
      <c r="D7749" s="6" t="s">
        <v>194</v>
      </c>
      <c r="E7749" s="11">
        <v>3.6838998794555664</v>
      </c>
      <c r="F7749" s="11">
        <v>3.7081646919250488</v>
      </c>
    </row>
    <row r="7750" spans="1:6" hidden="1" x14ac:dyDescent="0.3">
      <c r="A7750" s="6">
        <v>56</v>
      </c>
      <c r="B7750" s="6" t="s">
        <v>193</v>
      </c>
      <c r="C7750" s="6" t="s">
        <v>404</v>
      </c>
      <c r="D7750" s="6" t="s">
        <v>194</v>
      </c>
      <c r="E7750" s="11">
        <v>3.9558272361755371</v>
      </c>
      <c r="F7750" s="11">
        <v>3.7081646919250488</v>
      </c>
    </row>
    <row r="7751" spans="1:6" hidden="1" x14ac:dyDescent="0.3">
      <c r="A7751" s="6">
        <v>56</v>
      </c>
      <c r="B7751" s="6" t="s">
        <v>193</v>
      </c>
      <c r="C7751" s="6" t="s">
        <v>405</v>
      </c>
      <c r="D7751" s="6" t="s">
        <v>194</v>
      </c>
      <c r="E7751" s="11">
        <v>2.8519971370697021</v>
      </c>
      <c r="F7751" s="11">
        <v>3.7081646919250488</v>
      </c>
    </row>
    <row r="7752" spans="1:6" hidden="1" x14ac:dyDescent="0.3">
      <c r="A7752" s="6">
        <v>56</v>
      </c>
      <c r="B7752" s="6" t="s">
        <v>193</v>
      </c>
      <c r="C7752" s="6" t="s">
        <v>406</v>
      </c>
      <c r="D7752" s="6" t="s">
        <v>194</v>
      </c>
      <c r="E7752" s="11">
        <v>3.8291800022125244</v>
      </c>
      <c r="F7752" s="11">
        <v>3.7081646919250488</v>
      </c>
    </row>
    <row r="7753" spans="1:6" hidden="1" x14ac:dyDescent="0.3">
      <c r="A7753" s="6">
        <v>56</v>
      </c>
      <c r="B7753" s="6" t="s">
        <v>193</v>
      </c>
      <c r="C7753" s="6" t="s">
        <v>407</v>
      </c>
      <c r="D7753" s="6" t="s">
        <v>194</v>
      </c>
      <c r="E7753" s="11">
        <v>3.0551548004150391</v>
      </c>
      <c r="F7753" s="11">
        <v>3.7081646919250488</v>
      </c>
    </row>
    <row r="7754" spans="1:6" hidden="1" x14ac:dyDescent="0.3">
      <c r="A7754" s="6">
        <v>56</v>
      </c>
      <c r="B7754" s="6" t="s">
        <v>193</v>
      </c>
      <c r="C7754" s="6" t="s">
        <v>408</v>
      </c>
      <c r="D7754" s="6" t="s">
        <v>194</v>
      </c>
      <c r="E7754" s="11">
        <v>4.138953685760498</v>
      </c>
      <c r="F7754" s="11">
        <v>3.7081646919250488</v>
      </c>
    </row>
    <row r="7755" spans="1:6" hidden="1" x14ac:dyDescent="0.3">
      <c r="A7755" s="6">
        <v>56</v>
      </c>
      <c r="B7755" s="6" t="s">
        <v>193</v>
      </c>
      <c r="C7755" s="6" t="s">
        <v>409</v>
      </c>
      <c r="D7755" s="6" t="s">
        <v>194</v>
      </c>
      <c r="E7755" s="11">
        <v>3.7642080783843994</v>
      </c>
      <c r="F7755" s="11">
        <v>3.7081646919250488</v>
      </c>
    </row>
    <row r="7756" spans="1:6" hidden="1" x14ac:dyDescent="0.3">
      <c r="A7756" s="6">
        <v>56</v>
      </c>
      <c r="B7756" s="6" t="s">
        <v>193</v>
      </c>
      <c r="C7756" s="6" t="s">
        <v>410</v>
      </c>
      <c r="D7756" s="6" t="s">
        <v>194</v>
      </c>
      <c r="E7756" s="11">
        <v>4.213747501373291</v>
      </c>
      <c r="F7756" s="11">
        <v>3.7081646919250488</v>
      </c>
    </row>
    <row r="7757" spans="1:6" hidden="1" x14ac:dyDescent="0.3">
      <c r="A7757" s="6">
        <v>56</v>
      </c>
      <c r="B7757" s="6" t="s">
        <v>193</v>
      </c>
      <c r="C7757" s="6" t="s">
        <v>411</v>
      </c>
      <c r="D7757" s="6" t="s">
        <v>194</v>
      </c>
      <c r="E7757" s="11">
        <v>3.5662291049957275</v>
      </c>
      <c r="F7757" s="11">
        <v>3.7081646919250488</v>
      </c>
    </row>
    <row r="7758" spans="1:6" hidden="1" x14ac:dyDescent="0.3">
      <c r="A7758" s="6">
        <v>56</v>
      </c>
      <c r="B7758" s="6" t="s">
        <v>193</v>
      </c>
      <c r="C7758" s="6" t="s">
        <v>412</v>
      </c>
      <c r="D7758" s="6" t="s">
        <v>194</v>
      </c>
      <c r="E7758" s="11">
        <v>3.6322536468505859</v>
      </c>
      <c r="F7758" s="11">
        <v>3.7081646919250488</v>
      </c>
    </row>
    <row r="7759" spans="1:6" hidden="1" x14ac:dyDescent="0.3">
      <c r="A7759" s="6">
        <v>56</v>
      </c>
      <c r="B7759" s="6" t="s">
        <v>193</v>
      </c>
      <c r="C7759" s="6" t="s">
        <v>413</v>
      </c>
      <c r="D7759" s="6" t="s">
        <v>194</v>
      </c>
      <c r="E7759" s="11">
        <v>4.040745735168457</v>
      </c>
      <c r="F7759" s="11">
        <v>3.7081646919250488</v>
      </c>
    </row>
    <row r="7760" spans="1:6" hidden="1" x14ac:dyDescent="0.3">
      <c r="A7760" s="6">
        <v>56</v>
      </c>
      <c r="B7760" s="6" t="s">
        <v>193</v>
      </c>
      <c r="C7760" s="6" t="s">
        <v>414</v>
      </c>
      <c r="D7760" s="6" t="s">
        <v>194</v>
      </c>
      <c r="E7760" s="11">
        <v>6.0140037536621094</v>
      </c>
      <c r="F7760" s="11">
        <v>3.7081646919250488</v>
      </c>
    </row>
    <row r="7761" spans="1:6" hidden="1" x14ac:dyDescent="0.3">
      <c r="A7761" s="6">
        <v>56</v>
      </c>
      <c r="B7761" s="6" t="s">
        <v>193</v>
      </c>
      <c r="C7761" s="6" t="s">
        <v>415</v>
      </c>
      <c r="D7761" s="6" t="s">
        <v>194</v>
      </c>
      <c r="E7761" s="11">
        <v>4.5804233551025391</v>
      </c>
      <c r="F7761" s="11">
        <v>3.7081646919250488</v>
      </c>
    </row>
    <row r="7762" spans="1:6" hidden="1" x14ac:dyDescent="0.3">
      <c r="A7762" s="6">
        <v>56</v>
      </c>
      <c r="B7762" s="6" t="s">
        <v>193</v>
      </c>
      <c r="C7762" s="6" t="s">
        <v>416</v>
      </c>
      <c r="D7762" s="6" t="s">
        <v>194</v>
      </c>
      <c r="E7762" s="11">
        <v>5.0243039131164551</v>
      </c>
      <c r="F7762" s="11">
        <v>3.7081646919250488</v>
      </c>
    </row>
    <row r="7763" spans="1:6" hidden="1" x14ac:dyDescent="0.3">
      <c r="A7763" s="6">
        <v>56</v>
      </c>
      <c r="B7763" s="6" t="s">
        <v>193</v>
      </c>
      <c r="C7763" s="6" t="s">
        <v>417</v>
      </c>
      <c r="D7763" s="6" t="s">
        <v>194</v>
      </c>
      <c r="E7763" s="11">
        <v>3.5704166889190674</v>
      </c>
      <c r="F7763" s="11">
        <v>3.7081646919250488</v>
      </c>
    </row>
    <row r="7764" spans="1:6" hidden="1" x14ac:dyDescent="0.3">
      <c r="A7764" s="6">
        <v>56</v>
      </c>
      <c r="B7764" s="6" t="s">
        <v>193</v>
      </c>
      <c r="C7764" s="6" t="s">
        <v>418</v>
      </c>
      <c r="D7764" s="6" t="s">
        <v>194</v>
      </c>
      <c r="E7764" s="11">
        <v>3.1056866645812988</v>
      </c>
      <c r="F7764" s="11">
        <v>3.7081646919250488</v>
      </c>
    </row>
    <row r="7765" spans="1:6" hidden="1" x14ac:dyDescent="0.3">
      <c r="A7765" s="6">
        <v>56</v>
      </c>
      <c r="B7765" s="6" t="s">
        <v>193</v>
      </c>
      <c r="C7765" s="6" t="s">
        <v>419</v>
      </c>
      <c r="D7765" s="6" t="s">
        <v>194</v>
      </c>
      <c r="E7765" s="11">
        <v>4.4987306594848633</v>
      </c>
      <c r="F7765" s="11">
        <v>3.7081646919250488</v>
      </c>
    </row>
    <row r="7766" spans="1:6" hidden="1" x14ac:dyDescent="0.3">
      <c r="A7766" s="6">
        <v>56</v>
      </c>
      <c r="B7766" s="6" t="s">
        <v>193</v>
      </c>
      <c r="C7766" s="6" t="s">
        <v>420</v>
      </c>
      <c r="D7766" s="6" t="s">
        <v>194</v>
      </c>
      <c r="E7766" s="11">
        <v>4.577972412109375</v>
      </c>
      <c r="F7766" s="11">
        <v>3.7081646919250488</v>
      </c>
    </row>
    <row r="7767" spans="1:6" hidden="1" x14ac:dyDescent="0.3">
      <c r="A7767" s="6">
        <v>56</v>
      </c>
      <c r="B7767" s="6" t="s">
        <v>193</v>
      </c>
      <c r="C7767" s="6" t="s">
        <v>421</v>
      </c>
      <c r="D7767" s="6" t="s">
        <v>194</v>
      </c>
      <c r="E7767" s="11">
        <v>3.6273941993713379</v>
      </c>
      <c r="F7767" s="11">
        <v>3.7081646919250488</v>
      </c>
    </row>
    <row r="7768" spans="1:6" hidden="1" x14ac:dyDescent="0.3">
      <c r="A7768" s="6">
        <v>56</v>
      </c>
      <c r="B7768" s="6" t="s">
        <v>193</v>
      </c>
      <c r="C7768" s="6" t="s">
        <v>422</v>
      </c>
      <c r="D7768" s="6" t="s">
        <v>194</v>
      </c>
      <c r="E7768" s="11">
        <v>3.8265061378479004</v>
      </c>
      <c r="F7768" s="11">
        <v>3.7081646919250488</v>
      </c>
    </row>
    <row r="7769" spans="1:6" hidden="1" x14ac:dyDescent="0.3">
      <c r="A7769" s="6">
        <v>56</v>
      </c>
      <c r="B7769" s="6" t="s">
        <v>193</v>
      </c>
      <c r="C7769" s="6" t="s">
        <v>423</v>
      </c>
      <c r="D7769" s="6" t="s">
        <v>194</v>
      </c>
      <c r="E7769" s="11">
        <v>3.7009286880493164</v>
      </c>
      <c r="F7769" s="11">
        <v>3.7081646919250488</v>
      </c>
    </row>
    <row r="7770" spans="1:6" hidden="1" x14ac:dyDescent="0.3">
      <c r="A7770" s="6">
        <v>56</v>
      </c>
      <c r="B7770" s="6" t="s">
        <v>193</v>
      </c>
      <c r="C7770" s="6" t="s">
        <v>424</v>
      </c>
      <c r="D7770" s="6" t="s">
        <v>194</v>
      </c>
      <c r="E7770" s="11">
        <v>4.9836430549621582</v>
      </c>
      <c r="F7770" s="11">
        <v>3.7081646919250488</v>
      </c>
    </row>
    <row r="7771" spans="1:6" hidden="1" x14ac:dyDescent="0.3">
      <c r="A7771" s="6">
        <v>56</v>
      </c>
      <c r="B7771" s="6" t="s">
        <v>193</v>
      </c>
      <c r="C7771" s="6" t="s">
        <v>425</v>
      </c>
      <c r="D7771" s="6" t="s">
        <v>194</v>
      </c>
      <c r="E7771" s="11">
        <v>3.4326541423797607</v>
      </c>
      <c r="F7771" s="11">
        <v>3.7081646919250488</v>
      </c>
    </row>
    <row r="7772" spans="1:6" hidden="1" x14ac:dyDescent="0.3">
      <c r="A7772" s="6">
        <v>56</v>
      </c>
      <c r="B7772" s="6" t="s">
        <v>193</v>
      </c>
      <c r="C7772" s="6" t="s">
        <v>426</v>
      </c>
      <c r="D7772" s="6" t="s">
        <v>194</v>
      </c>
      <c r="E7772" s="11">
        <v>3.2166261672973633</v>
      </c>
      <c r="F7772" s="11">
        <v>3.7081646919250488</v>
      </c>
    </row>
    <row r="7773" spans="1:6" hidden="1" x14ac:dyDescent="0.3">
      <c r="A7773" s="6">
        <v>56</v>
      </c>
      <c r="B7773" s="6" t="s">
        <v>193</v>
      </c>
      <c r="C7773" s="6" t="s">
        <v>427</v>
      </c>
      <c r="D7773" s="6" t="s">
        <v>194</v>
      </c>
      <c r="E7773" s="11">
        <v>4.2073812484741211</v>
      </c>
      <c r="F7773" s="11">
        <v>3.7081646919250488</v>
      </c>
    </row>
    <row r="7774" spans="1:6" hidden="1" x14ac:dyDescent="0.3">
      <c r="A7774" s="6">
        <v>56</v>
      </c>
      <c r="B7774" s="6" t="s">
        <v>193</v>
      </c>
      <c r="C7774" s="6" t="s">
        <v>428</v>
      </c>
      <c r="D7774" s="6" t="s">
        <v>194</v>
      </c>
      <c r="E7774" s="11">
        <v>6.0513195991516113</v>
      </c>
      <c r="F7774" s="11">
        <v>3.7081646919250488</v>
      </c>
    </row>
    <row r="7775" spans="1:6" hidden="1" x14ac:dyDescent="0.3">
      <c r="A7775" s="6">
        <v>56</v>
      </c>
      <c r="B7775" s="6" t="s">
        <v>193</v>
      </c>
      <c r="C7775" s="6" t="s">
        <v>429</v>
      </c>
      <c r="D7775" s="6" t="s">
        <v>194</v>
      </c>
      <c r="E7775" s="11">
        <v>3.8832635879516602</v>
      </c>
      <c r="F7775" s="11">
        <v>3.7081646919250488</v>
      </c>
    </row>
    <row r="7776" spans="1:6" hidden="1" x14ac:dyDescent="0.3">
      <c r="A7776" s="6">
        <v>56</v>
      </c>
      <c r="B7776" s="6" t="s">
        <v>193</v>
      </c>
      <c r="C7776" s="6" t="s">
        <v>430</v>
      </c>
      <c r="D7776" s="6" t="s">
        <v>194</v>
      </c>
      <c r="E7776" s="11">
        <v>3.2804045677185059</v>
      </c>
      <c r="F7776" s="11">
        <v>3.7081646919250488</v>
      </c>
    </row>
    <row r="7777" spans="1:6" hidden="1" x14ac:dyDescent="0.3">
      <c r="A7777" s="6">
        <v>56</v>
      </c>
      <c r="B7777" s="6" t="s">
        <v>193</v>
      </c>
      <c r="C7777" s="6" t="s">
        <v>431</v>
      </c>
      <c r="D7777" s="6" t="s">
        <v>194</v>
      </c>
      <c r="E7777" s="11">
        <v>3.1465277671813965</v>
      </c>
      <c r="F7777" s="11">
        <v>3.7081646919250488</v>
      </c>
    </row>
    <row r="7778" spans="1:6" hidden="1" x14ac:dyDescent="0.3">
      <c r="A7778" s="6">
        <v>56</v>
      </c>
      <c r="B7778" s="6" t="s">
        <v>193</v>
      </c>
      <c r="C7778" s="6" t="s">
        <v>432</v>
      </c>
      <c r="D7778" s="6" t="s">
        <v>194</v>
      </c>
      <c r="E7778" s="11">
        <v>4.5841884613037109</v>
      </c>
      <c r="F7778" s="11">
        <v>3.7081646919250488</v>
      </c>
    </row>
    <row r="7779" spans="1:6" hidden="1" x14ac:dyDescent="0.3">
      <c r="A7779" s="6">
        <v>56</v>
      </c>
      <c r="B7779" s="6" t="s">
        <v>193</v>
      </c>
      <c r="C7779" s="6" t="s">
        <v>433</v>
      </c>
      <c r="D7779" s="6" t="s">
        <v>194</v>
      </c>
      <c r="E7779" s="11">
        <v>4.263373851776123</v>
      </c>
      <c r="F7779" s="11">
        <v>3.7081646919250488</v>
      </c>
    </row>
    <row r="7780" spans="1:6" hidden="1" x14ac:dyDescent="0.3">
      <c r="A7780" s="6">
        <v>56</v>
      </c>
      <c r="B7780" s="6" t="s">
        <v>193</v>
      </c>
      <c r="C7780" s="6" t="s">
        <v>434</v>
      </c>
      <c r="D7780" s="6" t="s">
        <v>194</v>
      </c>
      <c r="E7780" s="11">
        <v>5.3097677230834961</v>
      </c>
      <c r="F7780" s="11">
        <v>3.7081646919250488</v>
      </c>
    </row>
    <row r="7781" spans="1:6" hidden="1" x14ac:dyDescent="0.3">
      <c r="A7781" s="6">
        <v>56</v>
      </c>
      <c r="B7781" s="6" t="s">
        <v>193</v>
      </c>
      <c r="C7781" s="6" t="s">
        <v>435</v>
      </c>
      <c r="D7781" s="6" t="s">
        <v>194</v>
      </c>
      <c r="E7781" s="11">
        <v>3.8172585964202881</v>
      </c>
      <c r="F7781" s="11">
        <v>3.7081646919250488</v>
      </c>
    </row>
    <row r="7782" spans="1:6" hidden="1" x14ac:dyDescent="0.3">
      <c r="A7782" s="6">
        <v>56</v>
      </c>
      <c r="B7782" s="6" t="s">
        <v>193</v>
      </c>
      <c r="C7782" s="6" t="s">
        <v>436</v>
      </c>
      <c r="D7782" s="6" t="s">
        <v>194</v>
      </c>
      <c r="E7782" s="11">
        <v>4.0668249130249023</v>
      </c>
      <c r="F7782" s="11">
        <v>3.7081646919250488</v>
      </c>
    </row>
    <row r="7783" spans="1:6" hidden="1" x14ac:dyDescent="0.3">
      <c r="A7783" s="6">
        <v>56</v>
      </c>
      <c r="B7783" s="6" t="s">
        <v>193</v>
      </c>
      <c r="C7783" s="6" t="s">
        <v>437</v>
      </c>
      <c r="D7783" s="6" t="s">
        <v>194</v>
      </c>
      <c r="E7783" s="11">
        <v>3.6952884197235107</v>
      </c>
      <c r="F7783" s="11">
        <v>3.7081646919250488</v>
      </c>
    </row>
    <row r="7784" spans="1:6" hidden="1" x14ac:dyDescent="0.3">
      <c r="A7784" s="6">
        <v>56</v>
      </c>
      <c r="B7784" s="6" t="s">
        <v>193</v>
      </c>
      <c r="C7784" s="6" t="s">
        <v>438</v>
      </c>
      <c r="D7784" s="6" t="s">
        <v>194</v>
      </c>
      <c r="E7784" s="11">
        <v>3.7821547985076904</v>
      </c>
      <c r="F7784" s="11">
        <v>3.7081646919250488</v>
      </c>
    </row>
    <row r="7785" spans="1:6" hidden="1" x14ac:dyDescent="0.3">
      <c r="A7785" s="6">
        <v>56</v>
      </c>
      <c r="B7785" s="6" t="s">
        <v>193</v>
      </c>
      <c r="C7785" s="6" t="s">
        <v>439</v>
      </c>
      <c r="D7785" s="6" t="s">
        <v>194</v>
      </c>
      <c r="E7785" s="11">
        <v>3.6242861747741699</v>
      </c>
      <c r="F7785" s="11">
        <v>3.7081646919250488</v>
      </c>
    </row>
    <row r="7786" spans="1:6" hidden="1" x14ac:dyDescent="0.3">
      <c r="A7786" s="6">
        <v>56</v>
      </c>
      <c r="B7786" s="6" t="s">
        <v>193</v>
      </c>
      <c r="C7786" s="6" t="s">
        <v>440</v>
      </c>
      <c r="D7786" s="6" t="s">
        <v>194</v>
      </c>
      <c r="E7786" s="11">
        <v>3.7231707572937012</v>
      </c>
      <c r="F7786" s="11">
        <v>3.7081646919250488</v>
      </c>
    </row>
    <row r="7787" spans="1:6" hidden="1" x14ac:dyDescent="0.3">
      <c r="A7787" s="6">
        <v>56</v>
      </c>
      <c r="B7787" s="6" t="s">
        <v>193</v>
      </c>
      <c r="C7787" s="6" t="s">
        <v>441</v>
      </c>
      <c r="D7787" s="6" t="s">
        <v>194</v>
      </c>
      <c r="E7787" s="11">
        <v>4.6759581565856934</v>
      </c>
      <c r="F7787" s="11">
        <v>3.7081646919250488</v>
      </c>
    </row>
    <row r="7788" spans="1:6" hidden="1" x14ac:dyDescent="0.3">
      <c r="A7788" s="6">
        <v>56</v>
      </c>
      <c r="B7788" s="6" t="s">
        <v>193</v>
      </c>
      <c r="C7788" s="6" t="s">
        <v>442</v>
      </c>
      <c r="D7788" s="6" t="s">
        <v>194</v>
      </c>
      <c r="E7788" s="11">
        <v>3.8214950561523438</v>
      </c>
      <c r="F7788" s="11">
        <v>3.7081646919250488</v>
      </c>
    </row>
    <row r="7789" spans="1:6" hidden="1" x14ac:dyDescent="0.3">
      <c r="A7789" s="6">
        <v>56</v>
      </c>
      <c r="B7789" s="6" t="s">
        <v>193</v>
      </c>
      <c r="C7789" s="6" t="s">
        <v>443</v>
      </c>
      <c r="D7789" s="6" t="s">
        <v>194</v>
      </c>
      <c r="E7789" s="11">
        <v>3.929502010345459</v>
      </c>
      <c r="F7789" s="11">
        <v>3.7081646919250488</v>
      </c>
    </row>
    <row r="7790" spans="1:6" hidden="1" x14ac:dyDescent="0.3">
      <c r="A7790" s="6">
        <v>56</v>
      </c>
      <c r="B7790" s="6" t="s">
        <v>193</v>
      </c>
      <c r="C7790" s="6" t="s">
        <v>444</v>
      </c>
      <c r="D7790" s="6" t="s">
        <v>194</v>
      </c>
      <c r="E7790" s="11">
        <v>3.3290519714355469</v>
      </c>
      <c r="F7790" s="11">
        <v>3.7081646919250488</v>
      </c>
    </row>
    <row r="7791" spans="1:6" hidden="1" x14ac:dyDescent="0.3">
      <c r="A7791" s="6">
        <v>56</v>
      </c>
      <c r="B7791" s="6" t="s">
        <v>193</v>
      </c>
      <c r="C7791" s="6" t="s">
        <v>445</v>
      </c>
      <c r="D7791" s="6" t="s">
        <v>194</v>
      </c>
      <c r="E7791" s="11">
        <v>3.7129759788513184</v>
      </c>
      <c r="F7791" s="11">
        <v>3.7081646919250488</v>
      </c>
    </row>
    <row r="7792" spans="1:6" hidden="1" x14ac:dyDescent="0.3">
      <c r="A7792" s="6">
        <v>56</v>
      </c>
      <c r="B7792" s="6" t="s">
        <v>193</v>
      </c>
      <c r="C7792" s="6" t="s">
        <v>446</v>
      </c>
      <c r="D7792" s="6" t="s">
        <v>194</v>
      </c>
      <c r="E7792" s="11">
        <v>4.5446677207946777</v>
      </c>
      <c r="F7792" s="11">
        <v>3.7081646919250488</v>
      </c>
    </row>
    <row r="7793" spans="1:6" hidden="1" x14ac:dyDescent="0.3">
      <c r="A7793" s="6">
        <v>56</v>
      </c>
      <c r="B7793" s="6" t="s">
        <v>193</v>
      </c>
      <c r="C7793" s="6" t="s">
        <v>447</v>
      </c>
      <c r="D7793" s="6" t="s">
        <v>194</v>
      </c>
      <c r="E7793" s="11">
        <v>3.8375723361968994</v>
      </c>
      <c r="F7793" s="11">
        <v>3.7081646919250488</v>
      </c>
    </row>
    <row r="7794" spans="1:6" hidden="1" x14ac:dyDescent="0.3">
      <c r="A7794" s="6">
        <v>56</v>
      </c>
      <c r="B7794" s="6" t="s">
        <v>193</v>
      </c>
      <c r="C7794" s="6" t="s">
        <v>448</v>
      </c>
      <c r="D7794" s="6" t="s">
        <v>194</v>
      </c>
      <c r="E7794" s="11">
        <v>3.7747154235839844</v>
      </c>
      <c r="F7794" s="11">
        <v>3.7081646919250488</v>
      </c>
    </row>
    <row r="7795" spans="1:6" hidden="1" x14ac:dyDescent="0.3">
      <c r="A7795" s="6">
        <v>56</v>
      </c>
      <c r="B7795" s="6" t="s">
        <v>193</v>
      </c>
      <c r="C7795" s="6" t="s">
        <v>449</v>
      </c>
      <c r="D7795" s="6" t="s">
        <v>194</v>
      </c>
      <c r="E7795" s="11">
        <v>3.1229188442230225</v>
      </c>
      <c r="F7795" s="11">
        <v>3.7081646919250488</v>
      </c>
    </row>
    <row r="7796" spans="1:6" hidden="1" x14ac:dyDescent="0.3">
      <c r="A7796" s="6">
        <v>56</v>
      </c>
      <c r="B7796" s="6" t="s">
        <v>193</v>
      </c>
      <c r="C7796" s="6" t="s">
        <v>450</v>
      </c>
      <c r="D7796" s="6" t="s">
        <v>194</v>
      </c>
      <c r="E7796" s="11">
        <v>4.1769990921020508</v>
      </c>
      <c r="F7796" s="11">
        <v>3.7081646919250488</v>
      </c>
    </row>
    <row r="7797" spans="1:6" hidden="1" x14ac:dyDescent="0.3">
      <c r="A7797" s="6">
        <v>56</v>
      </c>
      <c r="B7797" s="6" t="s">
        <v>193</v>
      </c>
      <c r="C7797" s="6" t="s">
        <v>451</v>
      </c>
      <c r="D7797" s="6" t="s">
        <v>194</v>
      </c>
      <c r="E7797" s="11">
        <v>3.7534070014953613</v>
      </c>
      <c r="F7797" s="11">
        <v>3.7081646919250488</v>
      </c>
    </row>
    <row r="7798" spans="1:6" hidden="1" x14ac:dyDescent="0.3">
      <c r="A7798" s="6">
        <v>56</v>
      </c>
      <c r="B7798" s="6" t="s">
        <v>193</v>
      </c>
      <c r="C7798" s="6" t="s">
        <v>452</v>
      </c>
      <c r="D7798" s="6" t="s">
        <v>194</v>
      </c>
      <c r="E7798" s="11">
        <v>3.8836936950683594</v>
      </c>
      <c r="F7798" s="11">
        <v>3.7081646919250488</v>
      </c>
    </row>
    <row r="7799" spans="1:6" hidden="1" x14ac:dyDescent="0.3">
      <c r="A7799" s="6">
        <v>56</v>
      </c>
      <c r="B7799" s="6" t="s">
        <v>193</v>
      </c>
      <c r="C7799" s="6" t="s">
        <v>453</v>
      </c>
      <c r="D7799" s="6" t="s">
        <v>194</v>
      </c>
      <c r="E7799" s="11">
        <v>3.3834540843963623</v>
      </c>
      <c r="F7799" s="11">
        <v>3.7081646919250488</v>
      </c>
    </row>
    <row r="7800" spans="1:6" hidden="1" x14ac:dyDescent="0.3">
      <c r="A7800" s="6">
        <v>56</v>
      </c>
      <c r="B7800" s="6" t="s">
        <v>193</v>
      </c>
      <c r="C7800" s="6" t="s">
        <v>454</v>
      </c>
      <c r="D7800" s="6" t="s">
        <v>194</v>
      </c>
      <c r="E7800" s="11">
        <v>3.4108879566192627</v>
      </c>
      <c r="F7800" s="11">
        <v>3.7081646919250488</v>
      </c>
    </row>
    <row r="7801" spans="1:6" hidden="1" x14ac:dyDescent="0.3">
      <c r="A7801" s="6">
        <v>56</v>
      </c>
      <c r="B7801" s="6" t="s">
        <v>193</v>
      </c>
      <c r="C7801" s="6" t="s">
        <v>455</v>
      </c>
      <c r="D7801" s="6" t="s">
        <v>194</v>
      </c>
      <c r="E7801" s="11">
        <v>4.3224349021911621</v>
      </c>
      <c r="F7801" s="11">
        <v>3.7081646919250488</v>
      </c>
    </row>
    <row r="7802" spans="1:6" hidden="1" x14ac:dyDescent="0.3">
      <c r="A7802" s="6">
        <v>56</v>
      </c>
      <c r="B7802" s="6" t="s">
        <v>193</v>
      </c>
      <c r="C7802" s="6" t="s">
        <v>456</v>
      </c>
      <c r="D7802" s="6" t="s">
        <v>194</v>
      </c>
      <c r="E7802" s="11">
        <v>3.2775499820709229</v>
      </c>
      <c r="F7802" s="11">
        <v>3.7081646919250488</v>
      </c>
    </row>
    <row r="7803" spans="1:6" hidden="1" x14ac:dyDescent="0.3">
      <c r="A7803" s="6">
        <v>56</v>
      </c>
      <c r="B7803" s="6" t="s">
        <v>193</v>
      </c>
      <c r="C7803" s="6" t="s">
        <v>457</v>
      </c>
      <c r="D7803" s="6" t="s">
        <v>194</v>
      </c>
      <c r="E7803" s="11">
        <v>3.9919145107269287</v>
      </c>
      <c r="F7803" s="11">
        <v>3.7081646919250488</v>
      </c>
    </row>
    <row r="7804" spans="1:6" hidden="1" x14ac:dyDescent="0.3">
      <c r="A7804" s="6">
        <v>56</v>
      </c>
      <c r="B7804" s="6" t="s">
        <v>193</v>
      </c>
      <c r="C7804" s="6" t="s">
        <v>458</v>
      </c>
      <c r="D7804" s="6" t="s">
        <v>194</v>
      </c>
      <c r="E7804" s="11">
        <v>4.3227176666259766</v>
      </c>
      <c r="F7804" s="11">
        <v>3.7081646919250488</v>
      </c>
    </row>
    <row r="7805" spans="1:6" hidden="1" x14ac:dyDescent="0.3">
      <c r="A7805" s="6">
        <v>56</v>
      </c>
      <c r="B7805" s="6" t="s">
        <v>193</v>
      </c>
      <c r="C7805" s="6" t="s">
        <v>459</v>
      </c>
      <c r="D7805" s="6" t="s">
        <v>194</v>
      </c>
      <c r="E7805" s="11">
        <v>4.855341911315918</v>
      </c>
      <c r="F7805" s="11">
        <v>3.7081646919250488</v>
      </c>
    </row>
    <row r="7806" spans="1:6" hidden="1" x14ac:dyDescent="0.3">
      <c r="A7806" s="6">
        <v>56</v>
      </c>
      <c r="B7806" s="6" t="s">
        <v>193</v>
      </c>
      <c r="C7806" s="6" t="s">
        <v>460</v>
      </c>
      <c r="D7806" s="6" t="s">
        <v>194</v>
      </c>
      <c r="E7806" s="11">
        <v>3.5764744281768799</v>
      </c>
      <c r="F7806" s="11">
        <v>3.7081646919250488</v>
      </c>
    </row>
    <row r="7807" spans="1:6" hidden="1" x14ac:dyDescent="0.3">
      <c r="A7807" s="6">
        <v>56</v>
      </c>
      <c r="B7807" s="6" t="s">
        <v>193</v>
      </c>
      <c r="C7807" s="6" t="s">
        <v>461</v>
      </c>
      <c r="D7807" s="6" t="s">
        <v>194</v>
      </c>
      <c r="E7807" s="11">
        <v>3.5114610195159912</v>
      </c>
      <c r="F7807" s="11">
        <v>3.7081646919250488</v>
      </c>
    </row>
    <row r="7808" spans="1:6" hidden="1" x14ac:dyDescent="0.3">
      <c r="A7808" s="6">
        <v>56</v>
      </c>
      <c r="B7808" s="6" t="s">
        <v>193</v>
      </c>
      <c r="C7808" s="6" t="s">
        <v>462</v>
      </c>
      <c r="D7808" s="6" t="s">
        <v>194</v>
      </c>
      <c r="E7808" s="11">
        <v>4.0270810127258301</v>
      </c>
      <c r="F7808" s="11">
        <v>3.7081646919250488</v>
      </c>
    </row>
    <row r="7809" spans="1:6" hidden="1" x14ac:dyDescent="0.3">
      <c r="A7809" s="6">
        <v>56</v>
      </c>
      <c r="B7809" s="6" t="s">
        <v>193</v>
      </c>
      <c r="C7809" s="6" t="s">
        <v>463</v>
      </c>
      <c r="D7809" s="6" t="s">
        <v>194</v>
      </c>
      <c r="E7809" s="11">
        <v>3.6004953384399414</v>
      </c>
      <c r="F7809" s="11">
        <v>3.7081646919250488</v>
      </c>
    </row>
    <row r="7810" spans="1:6" hidden="1" x14ac:dyDescent="0.3">
      <c r="A7810" s="6">
        <v>56</v>
      </c>
      <c r="B7810" s="6" t="s">
        <v>193</v>
      </c>
      <c r="C7810" s="6" t="s">
        <v>464</v>
      </c>
      <c r="D7810" s="6" t="s">
        <v>194</v>
      </c>
      <c r="E7810" s="11">
        <v>3.8911893367767334</v>
      </c>
      <c r="F7810" s="11">
        <v>3.7081646919250488</v>
      </c>
    </row>
    <row r="7811" spans="1:6" hidden="1" x14ac:dyDescent="0.3">
      <c r="A7811" s="6">
        <v>56</v>
      </c>
      <c r="B7811" s="6" t="s">
        <v>193</v>
      </c>
      <c r="C7811" s="6" t="s">
        <v>465</v>
      </c>
      <c r="D7811" s="6" t="s">
        <v>194</v>
      </c>
      <c r="E7811" s="11">
        <v>3.4900176525115967</v>
      </c>
      <c r="F7811" s="11">
        <v>3.7081646919250488</v>
      </c>
    </row>
    <row r="7812" spans="1:6" hidden="1" x14ac:dyDescent="0.3">
      <c r="A7812" s="6">
        <v>56</v>
      </c>
      <c r="B7812" s="6" t="s">
        <v>193</v>
      </c>
      <c r="C7812" s="6" t="s">
        <v>466</v>
      </c>
      <c r="D7812" s="6" t="s">
        <v>194</v>
      </c>
      <c r="E7812" s="11">
        <v>4.0832600593566895</v>
      </c>
      <c r="F7812" s="11">
        <v>3.7081646919250488</v>
      </c>
    </row>
    <row r="7813" spans="1:6" hidden="1" x14ac:dyDescent="0.3">
      <c r="A7813" s="6">
        <v>56</v>
      </c>
      <c r="B7813" s="6" t="s">
        <v>193</v>
      </c>
      <c r="C7813" s="6" t="s">
        <v>467</v>
      </c>
      <c r="D7813" s="6" t="s">
        <v>194</v>
      </c>
      <c r="E7813" s="11">
        <v>3.7052268981933594</v>
      </c>
      <c r="F7813" s="11">
        <v>3.7081646919250488</v>
      </c>
    </row>
    <row r="7814" spans="1:6" hidden="1" x14ac:dyDescent="0.3">
      <c r="A7814" s="6">
        <v>56</v>
      </c>
      <c r="B7814" s="6" t="s">
        <v>193</v>
      </c>
      <c r="C7814" s="6" t="s">
        <v>468</v>
      </c>
      <c r="D7814" s="6" t="s">
        <v>194</v>
      </c>
      <c r="E7814" s="11">
        <v>3.8777577877044678</v>
      </c>
      <c r="F7814" s="11">
        <v>3.7081646919250488</v>
      </c>
    </row>
    <row r="7815" spans="1:6" hidden="1" x14ac:dyDescent="0.3">
      <c r="A7815" s="6">
        <v>56</v>
      </c>
      <c r="B7815" s="6" t="s">
        <v>193</v>
      </c>
      <c r="C7815" s="6" t="s">
        <v>469</v>
      </c>
      <c r="D7815" s="6" t="s">
        <v>194</v>
      </c>
      <c r="E7815" s="11">
        <v>3.8779745101928711</v>
      </c>
      <c r="F7815" s="11">
        <v>3.7081646919250488</v>
      </c>
    </row>
    <row r="7816" spans="1:6" hidden="1" x14ac:dyDescent="0.3">
      <c r="A7816" s="6">
        <v>56</v>
      </c>
      <c r="B7816" s="6" t="s">
        <v>193</v>
      </c>
      <c r="C7816" s="6" t="s">
        <v>470</v>
      </c>
      <c r="D7816" s="6" t="s">
        <v>194</v>
      </c>
      <c r="E7816" s="11">
        <v>3.5939505100250244</v>
      </c>
      <c r="F7816" s="11">
        <v>3.7081646919250488</v>
      </c>
    </row>
    <row r="7817" spans="1:6" hidden="1" x14ac:dyDescent="0.3">
      <c r="A7817" s="6">
        <v>56</v>
      </c>
      <c r="B7817" s="6" t="s">
        <v>193</v>
      </c>
      <c r="C7817" s="6" t="s">
        <v>471</v>
      </c>
      <c r="D7817" s="6" t="s">
        <v>194</v>
      </c>
      <c r="E7817" s="11">
        <v>3.4901220798492432</v>
      </c>
      <c r="F7817" s="11">
        <v>3.7081646919250488</v>
      </c>
    </row>
    <row r="7818" spans="1:6" hidden="1" x14ac:dyDescent="0.3">
      <c r="A7818" s="6">
        <v>56</v>
      </c>
      <c r="B7818" s="6" t="s">
        <v>193</v>
      </c>
      <c r="C7818" s="6" t="s">
        <v>472</v>
      </c>
      <c r="D7818" s="6" t="s">
        <v>194</v>
      </c>
      <c r="E7818" s="11">
        <v>3.9972686767578125</v>
      </c>
      <c r="F7818" s="11">
        <v>3.7081646919250488</v>
      </c>
    </row>
    <row r="7819" spans="1:6" hidden="1" x14ac:dyDescent="0.3">
      <c r="A7819" s="6">
        <v>56</v>
      </c>
      <c r="B7819" s="6" t="s">
        <v>193</v>
      </c>
      <c r="C7819" s="6" t="s">
        <v>473</v>
      </c>
      <c r="D7819" s="6" t="s">
        <v>194</v>
      </c>
      <c r="E7819" s="11">
        <v>3.4738335609436035</v>
      </c>
      <c r="F7819" s="11">
        <v>3.7081646919250488</v>
      </c>
    </row>
    <row r="7820" spans="1:6" hidden="1" x14ac:dyDescent="0.3">
      <c r="A7820" s="6">
        <v>56</v>
      </c>
      <c r="B7820" s="6" t="s">
        <v>193</v>
      </c>
      <c r="C7820" s="6" t="s">
        <v>474</v>
      </c>
      <c r="D7820" s="6" t="s">
        <v>194</v>
      </c>
      <c r="E7820" s="11">
        <v>3.3338980674743652</v>
      </c>
      <c r="F7820" s="11">
        <v>3.7081646919250488</v>
      </c>
    </row>
    <row r="7821" spans="1:6" hidden="1" x14ac:dyDescent="0.3">
      <c r="A7821" s="6">
        <v>56</v>
      </c>
      <c r="B7821" s="6" t="s">
        <v>193</v>
      </c>
      <c r="C7821" s="6" t="s">
        <v>475</v>
      </c>
      <c r="D7821" s="6" t="s">
        <v>194</v>
      </c>
      <c r="E7821" s="11">
        <v>4.7281789779663086</v>
      </c>
      <c r="F7821" s="11">
        <v>3.7081646919250488</v>
      </c>
    </row>
    <row r="7822" spans="1:6" hidden="1" x14ac:dyDescent="0.3">
      <c r="A7822" s="6">
        <v>56</v>
      </c>
      <c r="B7822" s="6" t="s">
        <v>193</v>
      </c>
      <c r="C7822" s="6" t="s">
        <v>476</v>
      </c>
      <c r="D7822" s="6" t="s">
        <v>194</v>
      </c>
      <c r="E7822" s="11">
        <v>3.3195457458496094</v>
      </c>
      <c r="F7822" s="11">
        <v>3.7081646919250488</v>
      </c>
    </row>
    <row r="7823" spans="1:6" hidden="1" x14ac:dyDescent="0.3">
      <c r="A7823" s="6">
        <v>56</v>
      </c>
      <c r="B7823" s="6" t="s">
        <v>193</v>
      </c>
      <c r="C7823" s="6" t="s">
        <v>477</v>
      </c>
      <c r="D7823" s="6" t="s">
        <v>194</v>
      </c>
      <c r="E7823" s="11">
        <v>3.9178900718688965</v>
      </c>
      <c r="F7823" s="11">
        <v>3.7081646919250488</v>
      </c>
    </row>
    <row r="7824" spans="1:6" hidden="1" x14ac:dyDescent="0.3">
      <c r="A7824" s="6">
        <v>56</v>
      </c>
      <c r="B7824" s="6" t="s">
        <v>193</v>
      </c>
      <c r="C7824" s="6" t="s">
        <v>478</v>
      </c>
      <c r="D7824" s="6" t="s">
        <v>194</v>
      </c>
      <c r="E7824" s="11">
        <v>3.0889382362365723</v>
      </c>
      <c r="F7824" s="11">
        <v>3.7081646919250488</v>
      </c>
    </row>
    <row r="7825" spans="1:6" hidden="1" x14ac:dyDescent="0.3">
      <c r="A7825" s="6">
        <v>56</v>
      </c>
      <c r="B7825" s="6" t="s">
        <v>193</v>
      </c>
      <c r="C7825" s="6" t="s">
        <v>479</v>
      </c>
      <c r="D7825" s="6" t="s">
        <v>194</v>
      </c>
      <c r="E7825" s="11">
        <v>3.83302903175354</v>
      </c>
      <c r="F7825" s="11">
        <v>3.7081646919250488</v>
      </c>
    </row>
    <row r="7826" spans="1:6" hidden="1" x14ac:dyDescent="0.3">
      <c r="A7826" s="6">
        <v>56</v>
      </c>
      <c r="B7826" s="6" t="s">
        <v>193</v>
      </c>
      <c r="C7826" s="6" t="s">
        <v>480</v>
      </c>
      <c r="D7826" s="6" t="s">
        <v>194</v>
      </c>
      <c r="E7826" s="11">
        <v>3.7893695831298828</v>
      </c>
      <c r="F7826" s="11">
        <v>3.7081646919250488</v>
      </c>
    </row>
    <row r="7827" spans="1:6" hidden="1" x14ac:dyDescent="0.3">
      <c r="A7827" s="6">
        <v>56</v>
      </c>
      <c r="B7827" s="6" t="s">
        <v>193</v>
      </c>
      <c r="C7827" s="6" t="s">
        <v>481</v>
      </c>
      <c r="D7827" s="6" t="s">
        <v>194</v>
      </c>
      <c r="E7827" s="11">
        <v>3.4155800342559814</v>
      </c>
      <c r="F7827" s="11">
        <v>3.7081646919250488</v>
      </c>
    </row>
    <row r="7828" spans="1:6" hidden="1" x14ac:dyDescent="0.3">
      <c r="A7828" s="6">
        <v>56</v>
      </c>
      <c r="B7828" s="6" t="s">
        <v>193</v>
      </c>
      <c r="C7828" s="6" t="s">
        <v>482</v>
      </c>
      <c r="D7828" s="6" t="s">
        <v>194</v>
      </c>
      <c r="E7828" s="11">
        <v>4.1633400917053223</v>
      </c>
      <c r="F7828" s="11">
        <v>3.7081646919250488</v>
      </c>
    </row>
    <row r="7829" spans="1:6" hidden="1" x14ac:dyDescent="0.3">
      <c r="A7829" s="6">
        <v>56</v>
      </c>
      <c r="B7829" s="6" t="s">
        <v>193</v>
      </c>
      <c r="C7829" s="6" t="s">
        <v>483</v>
      </c>
      <c r="D7829" s="6" t="s">
        <v>194</v>
      </c>
      <c r="E7829" s="11">
        <v>3.8594727516174316</v>
      </c>
      <c r="F7829" s="11">
        <v>3.7081646919250488</v>
      </c>
    </row>
    <row r="7830" spans="1:6" hidden="1" x14ac:dyDescent="0.3">
      <c r="A7830" s="6">
        <v>56</v>
      </c>
      <c r="B7830" s="6" t="s">
        <v>193</v>
      </c>
      <c r="C7830" s="6" t="s">
        <v>484</v>
      </c>
      <c r="D7830" s="6" t="s">
        <v>194</v>
      </c>
      <c r="E7830" s="11">
        <v>3.9870953559875488</v>
      </c>
      <c r="F7830" s="11">
        <v>3.7081646919250488</v>
      </c>
    </row>
    <row r="7831" spans="1:6" hidden="1" x14ac:dyDescent="0.3">
      <c r="A7831" s="6">
        <v>56</v>
      </c>
      <c r="B7831" s="6" t="s">
        <v>193</v>
      </c>
      <c r="C7831" s="6" t="s">
        <v>485</v>
      </c>
      <c r="D7831" s="6" t="s">
        <v>194</v>
      </c>
      <c r="E7831" s="11">
        <v>3.552839994430542</v>
      </c>
      <c r="F7831" s="11">
        <v>3.7081646919250488</v>
      </c>
    </row>
    <row r="7832" spans="1:6" hidden="1" x14ac:dyDescent="0.3">
      <c r="A7832" s="6">
        <v>56</v>
      </c>
      <c r="B7832" s="6" t="s">
        <v>193</v>
      </c>
      <c r="C7832" s="6" t="s">
        <v>486</v>
      </c>
      <c r="D7832" s="6" t="s">
        <v>194</v>
      </c>
      <c r="E7832" s="11">
        <v>3.3503811359405518</v>
      </c>
      <c r="F7832" s="11">
        <v>3.7081646919250488</v>
      </c>
    </row>
    <row r="7833" spans="1:6" hidden="1" x14ac:dyDescent="0.3">
      <c r="A7833" s="6">
        <v>56</v>
      </c>
      <c r="B7833" s="6" t="s">
        <v>193</v>
      </c>
      <c r="C7833" s="6" t="s">
        <v>487</v>
      </c>
      <c r="D7833" s="6" t="s">
        <v>194</v>
      </c>
      <c r="E7833" s="11">
        <v>4.130251407623291</v>
      </c>
      <c r="F7833" s="11">
        <v>3.7081646919250488</v>
      </c>
    </row>
    <row r="7834" spans="1:6" hidden="1" x14ac:dyDescent="0.3">
      <c r="A7834" s="6">
        <v>56</v>
      </c>
      <c r="B7834" s="6" t="s">
        <v>193</v>
      </c>
      <c r="C7834" s="6" t="s">
        <v>488</v>
      </c>
      <c r="D7834" s="6" t="s">
        <v>194</v>
      </c>
      <c r="E7834" s="11">
        <v>3.8082385063171387</v>
      </c>
      <c r="F7834" s="11">
        <v>3.7081646919250488</v>
      </c>
    </row>
    <row r="7835" spans="1:6" hidden="1" x14ac:dyDescent="0.3">
      <c r="A7835" s="6">
        <v>56</v>
      </c>
      <c r="B7835" s="6" t="s">
        <v>193</v>
      </c>
      <c r="C7835" s="6" t="s">
        <v>489</v>
      </c>
      <c r="D7835" s="6" t="s">
        <v>194</v>
      </c>
      <c r="E7835" s="11">
        <v>4.7271413803100586</v>
      </c>
      <c r="F7835" s="11">
        <v>3.7081646919250488</v>
      </c>
    </row>
    <row r="7836" spans="1:6" hidden="1" x14ac:dyDescent="0.3">
      <c r="A7836" s="6">
        <v>56</v>
      </c>
      <c r="B7836" s="6" t="s">
        <v>193</v>
      </c>
      <c r="C7836" s="6" t="s">
        <v>490</v>
      </c>
      <c r="D7836" s="6" t="s">
        <v>194</v>
      </c>
      <c r="E7836" s="11">
        <v>3.8898711204528809</v>
      </c>
      <c r="F7836" s="11">
        <v>3.7081646919250488</v>
      </c>
    </row>
    <row r="7837" spans="1:6" hidden="1" x14ac:dyDescent="0.3">
      <c r="A7837" s="6">
        <v>56</v>
      </c>
      <c r="B7837" s="6" t="s">
        <v>193</v>
      </c>
      <c r="C7837" s="6" t="s">
        <v>491</v>
      </c>
      <c r="D7837" s="6" t="s">
        <v>194</v>
      </c>
      <c r="E7837" s="11">
        <v>5.3742618560791016</v>
      </c>
      <c r="F7837" s="11">
        <v>3.7081646919250488</v>
      </c>
    </row>
    <row r="7838" spans="1:6" hidden="1" x14ac:dyDescent="0.3">
      <c r="A7838" s="6">
        <v>56</v>
      </c>
      <c r="B7838" s="6" t="s">
        <v>193</v>
      </c>
      <c r="C7838" s="6" t="s">
        <v>492</v>
      </c>
      <c r="D7838" s="6" t="s">
        <v>194</v>
      </c>
      <c r="E7838" s="11">
        <v>3.7369129657745361</v>
      </c>
      <c r="F7838" s="11">
        <v>3.7081646919250488</v>
      </c>
    </row>
    <row r="7839" spans="1:6" hidden="1" x14ac:dyDescent="0.3">
      <c r="A7839" s="6">
        <v>56</v>
      </c>
      <c r="B7839" s="6" t="s">
        <v>193</v>
      </c>
      <c r="C7839" s="6" t="s">
        <v>493</v>
      </c>
      <c r="D7839" s="6" t="s">
        <v>194</v>
      </c>
      <c r="E7839" s="11">
        <v>3.7201135158538818</v>
      </c>
      <c r="F7839" s="11">
        <v>3.7081646919250488</v>
      </c>
    </row>
    <row r="7840" spans="1:6" hidden="1" x14ac:dyDescent="0.3">
      <c r="A7840" s="6">
        <v>56</v>
      </c>
      <c r="B7840" s="6" t="s">
        <v>193</v>
      </c>
      <c r="C7840" s="6" t="s">
        <v>494</v>
      </c>
      <c r="D7840" s="6" t="s">
        <v>194</v>
      </c>
      <c r="E7840" s="11">
        <v>3.5563538074493408</v>
      </c>
      <c r="F7840" s="11">
        <v>3.7081646919250488</v>
      </c>
    </row>
    <row r="7841" spans="1:6" hidden="1" x14ac:dyDescent="0.3">
      <c r="A7841" s="6">
        <v>56</v>
      </c>
      <c r="B7841" s="6" t="s">
        <v>193</v>
      </c>
      <c r="C7841" s="6" t="s">
        <v>495</v>
      </c>
      <c r="D7841" s="6" t="s">
        <v>194</v>
      </c>
      <c r="E7841" s="11">
        <v>3.4192283153533936</v>
      </c>
      <c r="F7841" s="11">
        <v>3.7081646919250488</v>
      </c>
    </row>
    <row r="7842" spans="1:6" hidden="1" x14ac:dyDescent="0.3">
      <c r="A7842" s="6">
        <v>57</v>
      </c>
      <c r="B7842" s="6" t="s">
        <v>195</v>
      </c>
      <c r="C7842" s="6" t="s">
        <v>356</v>
      </c>
      <c r="D7842" s="6" t="s">
        <v>196</v>
      </c>
      <c r="E7842" s="11">
        <v>2.9125604629516602</v>
      </c>
      <c r="F7842" s="11">
        <v>2.8765428066253662</v>
      </c>
    </row>
    <row r="7843" spans="1:6" hidden="1" x14ac:dyDescent="0.3">
      <c r="A7843" s="6">
        <v>57</v>
      </c>
      <c r="B7843" s="6" t="s">
        <v>195</v>
      </c>
      <c r="C7843" s="6" t="s">
        <v>357</v>
      </c>
      <c r="D7843" s="6" t="s">
        <v>196</v>
      </c>
      <c r="E7843" s="11">
        <v>2.5923066139221191</v>
      </c>
      <c r="F7843" s="11">
        <v>2.8765428066253662</v>
      </c>
    </row>
    <row r="7844" spans="1:6" hidden="1" x14ac:dyDescent="0.3">
      <c r="A7844" s="6">
        <v>57</v>
      </c>
      <c r="B7844" s="6" t="s">
        <v>195</v>
      </c>
      <c r="C7844" s="6" t="s">
        <v>358</v>
      </c>
      <c r="D7844" s="6" t="s">
        <v>196</v>
      </c>
      <c r="E7844" s="11">
        <v>3.0539567470550537</v>
      </c>
      <c r="F7844" s="11">
        <v>2.8765428066253662</v>
      </c>
    </row>
    <row r="7845" spans="1:6" hidden="1" x14ac:dyDescent="0.3">
      <c r="A7845" s="6">
        <v>57</v>
      </c>
      <c r="B7845" s="6" t="s">
        <v>195</v>
      </c>
      <c r="C7845" s="6" t="s">
        <v>359</v>
      </c>
      <c r="D7845" s="6" t="s">
        <v>196</v>
      </c>
      <c r="E7845" s="11">
        <v>3.0014920234680176</v>
      </c>
      <c r="F7845" s="11">
        <v>2.8765428066253662</v>
      </c>
    </row>
    <row r="7846" spans="1:6" hidden="1" x14ac:dyDescent="0.3">
      <c r="A7846" s="6">
        <v>57</v>
      </c>
      <c r="B7846" s="6" t="s">
        <v>195</v>
      </c>
      <c r="C7846" s="6" t="s">
        <v>360</v>
      </c>
      <c r="D7846" s="6" t="s">
        <v>196</v>
      </c>
      <c r="E7846" s="11">
        <v>3.0951099395751953</v>
      </c>
      <c r="F7846" s="11">
        <v>2.8765428066253662</v>
      </c>
    </row>
    <row r="7847" spans="1:6" hidden="1" x14ac:dyDescent="0.3">
      <c r="A7847" s="6">
        <v>57</v>
      </c>
      <c r="B7847" s="6" t="s">
        <v>195</v>
      </c>
      <c r="C7847" s="6" t="s">
        <v>361</v>
      </c>
      <c r="D7847" s="6" t="s">
        <v>196</v>
      </c>
      <c r="E7847" s="11">
        <v>2.7846424579620361</v>
      </c>
      <c r="F7847" s="11">
        <v>2.8765428066253662</v>
      </c>
    </row>
    <row r="7848" spans="1:6" hidden="1" x14ac:dyDescent="0.3">
      <c r="A7848" s="6">
        <v>57</v>
      </c>
      <c r="B7848" s="6" t="s">
        <v>195</v>
      </c>
      <c r="C7848" s="6" t="s">
        <v>362</v>
      </c>
      <c r="D7848" s="6" t="s">
        <v>196</v>
      </c>
      <c r="E7848" s="11">
        <v>2.7469704151153564</v>
      </c>
      <c r="F7848" s="11">
        <v>2.8765428066253662</v>
      </c>
    </row>
    <row r="7849" spans="1:6" hidden="1" x14ac:dyDescent="0.3">
      <c r="A7849" s="6">
        <v>57</v>
      </c>
      <c r="B7849" s="6" t="s">
        <v>195</v>
      </c>
      <c r="C7849" s="6" t="s">
        <v>363</v>
      </c>
      <c r="D7849" s="6" t="s">
        <v>196</v>
      </c>
      <c r="E7849" s="11">
        <v>2.8078358173370361</v>
      </c>
      <c r="F7849" s="11">
        <v>2.8765428066253662</v>
      </c>
    </row>
    <row r="7850" spans="1:6" hidden="1" x14ac:dyDescent="0.3">
      <c r="A7850" s="6">
        <v>57</v>
      </c>
      <c r="B7850" s="6" t="s">
        <v>195</v>
      </c>
      <c r="C7850" s="6" t="s">
        <v>364</v>
      </c>
      <c r="D7850" s="6" t="s">
        <v>196</v>
      </c>
      <c r="E7850" s="11">
        <v>2.7560362815856934</v>
      </c>
      <c r="F7850" s="11">
        <v>2.8765428066253662</v>
      </c>
    </row>
    <row r="7851" spans="1:6" hidden="1" x14ac:dyDescent="0.3">
      <c r="A7851" s="6">
        <v>57</v>
      </c>
      <c r="B7851" s="6" t="s">
        <v>195</v>
      </c>
      <c r="C7851" s="6" t="s">
        <v>365</v>
      </c>
      <c r="D7851" s="6" t="s">
        <v>196</v>
      </c>
      <c r="E7851" s="11">
        <v>2.6212594509124756</v>
      </c>
      <c r="F7851" s="11">
        <v>2.8765428066253662</v>
      </c>
    </row>
    <row r="7852" spans="1:6" hidden="1" x14ac:dyDescent="0.3">
      <c r="A7852" s="6">
        <v>57</v>
      </c>
      <c r="B7852" s="6" t="s">
        <v>195</v>
      </c>
      <c r="C7852" s="6" t="s">
        <v>366</v>
      </c>
      <c r="D7852" s="6" t="s">
        <v>196</v>
      </c>
      <c r="E7852" s="11">
        <v>2.9605057239532471</v>
      </c>
      <c r="F7852" s="11">
        <v>2.8765428066253662</v>
      </c>
    </row>
    <row r="7853" spans="1:6" hidden="1" x14ac:dyDescent="0.3">
      <c r="A7853" s="6">
        <v>57</v>
      </c>
      <c r="B7853" s="6" t="s">
        <v>195</v>
      </c>
      <c r="C7853" s="6" t="s">
        <v>367</v>
      </c>
      <c r="D7853" s="6" t="s">
        <v>196</v>
      </c>
      <c r="E7853" s="11">
        <v>2.658111572265625</v>
      </c>
      <c r="F7853" s="11">
        <v>2.8765428066253662</v>
      </c>
    </row>
    <row r="7854" spans="1:6" hidden="1" x14ac:dyDescent="0.3">
      <c r="A7854" s="6">
        <v>57</v>
      </c>
      <c r="B7854" s="6" t="s">
        <v>195</v>
      </c>
      <c r="C7854" s="6" t="s">
        <v>368</v>
      </c>
      <c r="D7854" s="6" t="s">
        <v>196</v>
      </c>
      <c r="E7854" s="11">
        <v>2.5695450305938721</v>
      </c>
      <c r="F7854" s="11">
        <v>2.8765428066253662</v>
      </c>
    </row>
    <row r="7855" spans="1:6" hidden="1" x14ac:dyDescent="0.3">
      <c r="A7855" s="6">
        <v>57</v>
      </c>
      <c r="B7855" s="6" t="s">
        <v>195</v>
      </c>
      <c r="C7855" s="6" t="s">
        <v>369</v>
      </c>
      <c r="D7855" s="6" t="s">
        <v>196</v>
      </c>
      <c r="E7855" s="11">
        <v>2.7349903583526611</v>
      </c>
      <c r="F7855" s="11">
        <v>2.8765428066253662</v>
      </c>
    </row>
    <row r="7856" spans="1:6" hidden="1" x14ac:dyDescent="0.3">
      <c r="A7856" s="6">
        <v>57</v>
      </c>
      <c r="B7856" s="6" t="s">
        <v>195</v>
      </c>
      <c r="C7856" s="6" t="s">
        <v>370</v>
      </c>
      <c r="D7856" s="6" t="s">
        <v>196</v>
      </c>
      <c r="E7856" s="11">
        <v>2.7031667232513428</v>
      </c>
      <c r="F7856" s="11">
        <v>2.8765428066253662</v>
      </c>
    </row>
    <row r="7857" spans="1:6" hidden="1" x14ac:dyDescent="0.3">
      <c r="A7857" s="6">
        <v>57</v>
      </c>
      <c r="B7857" s="6" t="s">
        <v>195</v>
      </c>
      <c r="C7857" s="6" t="s">
        <v>371</v>
      </c>
      <c r="D7857" s="6" t="s">
        <v>196</v>
      </c>
      <c r="E7857" s="11">
        <v>2.6416683197021484</v>
      </c>
      <c r="F7857" s="11">
        <v>2.8765428066253662</v>
      </c>
    </row>
    <row r="7858" spans="1:6" hidden="1" x14ac:dyDescent="0.3">
      <c r="A7858" s="6">
        <v>57</v>
      </c>
      <c r="B7858" s="6" t="s">
        <v>195</v>
      </c>
      <c r="C7858" s="6" t="s">
        <v>372</v>
      </c>
      <c r="D7858" s="6" t="s">
        <v>196</v>
      </c>
      <c r="E7858" s="11">
        <v>3.8666424751281738</v>
      </c>
      <c r="F7858" s="11">
        <v>2.8765428066253662</v>
      </c>
    </row>
    <row r="7859" spans="1:6" hidden="1" x14ac:dyDescent="0.3">
      <c r="A7859" s="6">
        <v>57</v>
      </c>
      <c r="B7859" s="6" t="s">
        <v>195</v>
      </c>
      <c r="C7859" s="6" t="s">
        <v>373</v>
      </c>
      <c r="D7859" s="6" t="s">
        <v>196</v>
      </c>
      <c r="E7859" s="11">
        <v>2.5228114128112793</v>
      </c>
      <c r="F7859" s="11">
        <v>2.8765428066253662</v>
      </c>
    </row>
    <row r="7860" spans="1:6" hidden="1" x14ac:dyDescent="0.3">
      <c r="A7860" s="6">
        <v>57</v>
      </c>
      <c r="B7860" s="6" t="s">
        <v>195</v>
      </c>
      <c r="C7860" s="6" t="s">
        <v>374</v>
      </c>
      <c r="D7860" s="6" t="s">
        <v>196</v>
      </c>
      <c r="E7860" s="11">
        <v>3.0568013191223145</v>
      </c>
      <c r="F7860" s="11">
        <v>2.8765428066253662</v>
      </c>
    </row>
    <row r="7861" spans="1:6" hidden="1" x14ac:dyDescent="0.3">
      <c r="A7861" s="6">
        <v>57</v>
      </c>
      <c r="B7861" s="6" t="s">
        <v>195</v>
      </c>
      <c r="C7861" s="6" t="s">
        <v>375</v>
      </c>
      <c r="D7861" s="6" t="s">
        <v>196</v>
      </c>
      <c r="E7861" s="11">
        <v>3.0691452026367188</v>
      </c>
      <c r="F7861" s="11">
        <v>2.8765428066253662</v>
      </c>
    </row>
    <row r="7862" spans="1:6" hidden="1" x14ac:dyDescent="0.3">
      <c r="A7862" s="6">
        <v>57</v>
      </c>
      <c r="B7862" s="6" t="s">
        <v>195</v>
      </c>
      <c r="C7862" s="6" t="s">
        <v>376</v>
      </c>
      <c r="D7862" s="6" t="s">
        <v>196</v>
      </c>
      <c r="E7862" s="11">
        <v>3.0222306251525879</v>
      </c>
      <c r="F7862" s="11">
        <v>2.8765428066253662</v>
      </c>
    </row>
    <row r="7863" spans="1:6" hidden="1" x14ac:dyDescent="0.3">
      <c r="A7863" s="6">
        <v>57</v>
      </c>
      <c r="B7863" s="6" t="s">
        <v>195</v>
      </c>
      <c r="C7863" s="6" t="s">
        <v>377</v>
      </c>
      <c r="D7863" s="6" t="s">
        <v>196</v>
      </c>
      <c r="E7863" s="11">
        <v>2.9648971557617188</v>
      </c>
      <c r="F7863" s="11">
        <v>2.8765428066253662</v>
      </c>
    </row>
    <row r="7864" spans="1:6" hidden="1" x14ac:dyDescent="0.3">
      <c r="A7864" s="6">
        <v>57</v>
      </c>
      <c r="B7864" s="6" t="s">
        <v>195</v>
      </c>
      <c r="C7864" s="6" t="s">
        <v>378</v>
      </c>
      <c r="D7864" s="6" t="s">
        <v>196</v>
      </c>
      <c r="E7864" s="11">
        <v>2.9551138877868652</v>
      </c>
      <c r="F7864" s="11">
        <v>2.8765428066253662</v>
      </c>
    </row>
    <row r="7865" spans="1:6" hidden="1" x14ac:dyDescent="0.3">
      <c r="A7865" s="6">
        <v>57</v>
      </c>
      <c r="B7865" s="6" t="s">
        <v>195</v>
      </c>
      <c r="C7865" s="6" t="s">
        <v>379</v>
      </c>
      <c r="D7865" s="6" t="s">
        <v>196</v>
      </c>
      <c r="E7865" s="11">
        <v>2.7183554172515869</v>
      </c>
      <c r="F7865" s="11">
        <v>2.8765428066253662</v>
      </c>
    </row>
    <row r="7866" spans="1:6" hidden="1" x14ac:dyDescent="0.3">
      <c r="A7866" s="6">
        <v>57</v>
      </c>
      <c r="B7866" s="6" t="s">
        <v>195</v>
      </c>
      <c r="C7866" s="6" t="s">
        <v>380</v>
      </c>
      <c r="D7866" s="6" t="s">
        <v>196</v>
      </c>
      <c r="E7866" s="11">
        <v>2.7397441864013672</v>
      </c>
      <c r="F7866" s="11">
        <v>2.8765428066253662</v>
      </c>
    </row>
    <row r="7867" spans="1:6" hidden="1" x14ac:dyDescent="0.3">
      <c r="A7867" s="6">
        <v>57</v>
      </c>
      <c r="B7867" s="6" t="s">
        <v>195</v>
      </c>
      <c r="C7867" s="6" t="s">
        <v>381</v>
      </c>
      <c r="D7867" s="6" t="s">
        <v>196</v>
      </c>
      <c r="E7867" s="11">
        <v>2.7903516292572021</v>
      </c>
      <c r="F7867" s="11">
        <v>2.8765428066253662</v>
      </c>
    </row>
    <row r="7868" spans="1:6" hidden="1" x14ac:dyDescent="0.3">
      <c r="A7868" s="6">
        <v>57</v>
      </c>
      <c r="B7868" s="6" t="s">
        <v>195</v>
      </c>
      <c r="C7868" s="6" t="s">
        <v>382</v>
      </c>
      <c r="D7868" s="6" t="s">
        <v>196</v>
      </c>
      <c r="E7868" s="11">
        <v>2.9821124076843262</v>
      </c>
      <c r="F7868" s="11">
        <v>2.8765428066253662</v>
      </c>
    </row>
    <row r="7869" spans="1:6" hidden="1" x14ac:dyDescent="0.3">
      <c r="A7869" s="6">
        <v>57</v>
      </c>
      <c r="B7869" s="6" t="s">
        <v>195</v>
      </c>
      <c r="C7869" s="6" t="s">
        <v>383</v>
      </c>
      <c r="D7869" s="6" t="s">
        <v>196</v>
      </c>
      <c r="E7869" s="11">
        <v>2.9742453098297119</v>
      </c>
      <c r="F7869" s="11">
        <v>2.8765428066253662</v>
      </c>
    </row>
    <row r="7870" spans="1:6" hidden="1" x14ac:dyDescent="0.3">
      <c r="A7870" s="6">
        <v>57</v>
      </c>
      <c r="B7870" s="6" t="s">
        <v>195</v>
      </c>
      <c r="C7870" s="6" t="s">
        <v>384</v>
      </c>
      <c r="D7870" s="6" t="s">
        <v>196</v>
      </c>
      <c r="E7870" s="11">
        <v>2.7219641208648682</v>
      </c>
      <c r="F7870" s="11">
        <v>2.8765428066253662</v>
      </c>
    </row>
    <row r="7871" spans="1:6" hidden="1" x14ac:dyDescent="0.3">
      <c r="A7871" s="6">
        <v>57</v>
      </c>
      <c r="B7871" s="6" t="s">
        <v>195</v>
      </c>
      <c r="C7871" s="6" t="s">
        <v>385</v>
      </c>
      <c r="D7871" s="6" t="s">
        <v>196</v>
      </c>
      <c r="E7871" s="11">
        <v>2.8983495235443115</v>
      </c>
      <c r="F7871" s="11">
        <v>2.8765428066253662</v>
      </c>
    </row>
    <row r="7872" spans="1:6" hidden="1" x14ac:dyDescent="0.3">
      <c r="A7872" s="6">
        <v>57</v>
      </c>
      <c r="B7872" s="6" t="s">
        <v>195</v>
      </c>
      <c r="C7872" s="6" t="s">
        <v>386</v>
      </c>
      <c r="D7872" s="6" t="s">
        <v>196</v>
      </c>
      <c r="E7872" s="11">
        <v>2.6248884201049805</v>
      </c>
      <c r="F7872" s="11">
        <v>2.8765428066253662</v>
      </c>
    </row>
    <row r="7873" spans="1:6" hidden="1" x14ac:dyDescent="0.3">
      <c r="A7873" s="6">
        <v>57</v>
      </c>
      <c r="B7873" s="6" t="s">
        <v>195</v>
      </c>
      <c r="C7873" s="6" t="s">
        <v>387</v>
      </c>
      <c r="D7873" s="6" t="s">
        <v>196</v>
      </c>
      <c r="E7873" s="11">
        <v>2.956498384475708</v>
      </c>
      <c r="F7873" s="11">
        <v>2.8765428066253662</v>
      </c>
    </row>
    <row r="7874" spans="1:6" hidden="1" x14ac:dyDescent="0.3">
      <c r="A7874" s="6">
        <v>57</v>
      </c>
      <c r="B7874" s="6" t="s">
        <v>195</v>
      </c>
      <c r="C7874" s="6" t="s">
        <v>388</v>
      </c>
      <c r="D7874" s="6" t="s">
        <v>196</v>
      </c>
      <c r="E7874" s="11">
        <v>2.6420483589172363</v>
      </c>
      <c r="F7874" s="11">
        <v>2.8765428066253662</v>
      </c>
    </row>
    <row r="7875" spans="1:6" hidden="1" x14ac:dyDescent="0.3">
      <c r="A7875" s="6">
        <v>57</v>
      </c>
      <c r="B7875" s="6" t="s">
        <v>195</v>
      </c>
      <c r="C7875" s="6" t="s">
        <v>389</v>
      </c>
      <c r="D7875" s="6" t="s">
        <v>196</v>
      </c>
      <c r="E7875" s="11">
        <v>2.9155426025390625</v>
      </c>
      <c r="F7875" s="11">
        <v>2.8765428066253662</v>
      </c>
    </row>
    <row r="7876" spans="1:6" hidden="1" x14ac:dyDescent="0.3">
      <c r="A7876" s="6">
        <v>57</v>
      </c>
      <c r="B7876" s="6" t="s">
        <v>195</v>
      </c>
      <c r="C7876" s="6" t="s">
        <v>390</v>
      </c>
      <c r="D7876" s="6" t="s">
        <v>196</v>
      </c>
      <c r="E7876" s="11">
        <v>2.7208406925201416</v>
      </c>
      <c r="F7876" s="11">
        <v>2.8765428066253662</v>
      </c>
    </row>
    <row r="7877" spans="1:6" hidden="1" x14ac:dyDescent="0.3">
      <c r="A7877" s="6">
        <v>57</v>
      </c>
      <c r="B7877" s="6" t="s">
        <v>195</v>
      </c>
      <c r="C7877" s="6" t="s">
        <v>391</v>
      </c>
      <c r="D7877" s="6" t="s">
        <v>196</v>
      </c>
      <c r="E7877" s="11">
        <v>2.5405521392822266</v>
      </c>
      <c r="F7877" s="11">
        <v>2.8765428066253662</v>
      </c>
    </row>
    <row r="7878" spans="1:6" hidden="1" x14ac:dyDescent="0.3">
      <c r="A7878" s="6">
        <v>57</v>
      </c>
      <c r="B7878" s="6" t="s">
        <v>195</v>
      </c>
      <c r="C7878" s="6" t="s">
        <v>392</v>
      </c>
      <c r="D7878" s="6" t="s">
        <v>196</v>
      </c>
      <c r="E7878" s="11">
        <v>2.8670933246612549</v>
      </c>
      <c r="F7878" s="11">
        <v>2.8765428066253662</v>
      </c>
    </row>
    <row r="7879" spans="1:6" hidden="1" x14ac:dyDescent="0.3">
      <c r="A7879" s="6">
        <v>57</v>
      </c>
      <c r="B7879" s="6" t="s">
        <v>195</v>
      </c>
      <c r="C7879" s="6" t="s">
        <v>393</v>
      </c>
      <c r="D7879" s="6" t="s">
        <v>196</v>
      </c>
      <c r="E7879" s="11">
        <v>2.7566800117492676</v>
      </c>
      <c r="F7879" s="11">
        <v>2.8765428066253662</v>
      </c>
    </row>
    <row r="7880" spans="1:6" hidden="1" x14ac:dyDescent="0.3">
      <c r="A7880" s="6">
        <v>57</v>
      </c>
      <c r="B7880" s="6" t="s">
        <v>195</v>
      </c>
      <c r="C7880" s="6" t="s">
        <v>394</v>
      </c>
      <c r="D7880" s="6" t="s">
        <v>196</v>
      </c>
      <c r="E7880" s="11">
        <v>2.7839701175689697</v>
      </c>
      <c r="F7880" s="11">
        <v>2.8765428066253662</v>
      </c>
    </row>
    <row r="7881" spans="1:6" hidden="1" x14ac:dyDescent="0.3">
      <c r="A7881" s="6">
        <v>57</v>
      </c>
      <c r="B7881" s="6" t="s">
        <v>195</v>
      </c>
      <c r="C7881" s="6" t="s">
        <v>395</v>
      </c>
      <c r="D7881" s="6" t="s">
        <v>196</v>
      </c>
      <c r="E7881" s="11">
        <v>3.0120296478271484</v>
      </c>
      <c r="F7881" s="11">
        <v>2.8765428066253662</v>
      </c>
    </row>
    <row r="7882" spans="1:6" hidden="1" x14ac:dyDescent="0.3">
      <c r="A7882" s="6">
        <v>57</v>
      </c>
      <c r="B7882" s="6" t="s">
        <v>195</v>
      </c>
      <c r="C7882" s="6" t="s">
        <v>396</v>
      </c>
      <c r="D7882" s="6" t="s">
        <v>196</v>
      </c>
      <c r="E7882" s="11">
        <v>3.3096323013305664</v>
      </c>
      <c r="F7882" s="11">
        <v>2.8765428066253662</v>
      </c>
    </row>
    <row r="7883" spans="1:6" hidden="1" x14ac:dyDescent="0.3">
      <c r="A7883" s="6">
        <v>57</v>
      </c>
      <c r="B7883" s="6" t="s">
        <v>195</v>
      </c>
      <c r="C7883" s="6" t="s">
        <v>397</v>
      </c>
      <c r="D7883" s="6" t="s">
        <v>196</v>
      </c>
      <c r="E7883" s="11">
        <v>2.575390100479126</v>
      </c>
      <c r="F7883" s="11">
        <v>2.8765428066253662</v>
      </c>
    </row>
    <row r="7884" spans="1:6" hidden="1" x14ac:dyDescent="0.3">
      <c r="A7884" s="6">
        <v>57</v>
      </c>
      <c r="B7884" s="6" t="s">
        <v>195</v>
      </c>
      <c r="C7884" s="6" t="s">
        <v>398</v>
      </c>
      <c r="D7884" s="6" t="s">
        <v>196</v>
      </c>
      <c r="E7884" s="11">
        <v>2.6447162628173828</v>
      </c>
      <c r="F7884" s="11">
        <v>2.8765428066253662</v>
      </c>
    </row>
    <row r="7885" spans="1:6" hidden="1" x14ac:dyDescent="0.3">
      <c r="A7885" s="6">
        <v>57</v>
      </c>
      <c r="B7885" s="6" t="s">
        <v>195</v>
      </c>
      <c r="C7885" s="6" t="s">
        <v>399</v>
      </c>
      <c r="D7885" s="6" t="s">
        <v>196</v>
      </c>
      <c r="E7885" s="11">
        <v>2.6615974903106689</v>
      </c>
      <c r="F7885" s="11">
        <v>2.8765428066253662</v>
      </c>
    </row>
    <row r="7886" spans="1:6" hidden="1" x14ac:dyDescent="0.3">
      <c r="A7886" s="6">
        <v>57</v>
      </c>
      <c r="B7886" s="6" t="s">
        <v>195</v>
      </c>
      <c r="C7886" s="6" t="s">
        <v>400</v>
      </c>
      <c r="D7886" s="6" t="s">
        <v>196</v>
      </c>
      <c r="E7886" s="11">
        <v>2.7232785224914551</v>
      </c>
      <c r="F7886" s="11">
        <v>2.8765428066253662</v>
      </c>
    </row>
    <row r="7887" spans="1:6" hidden="1" x14ac:dyDescent="0.3">
      <c r="A7887" s="6">
        <v>57</v>
      </c>
      <c r="B7887" s="6" t="s">
        <v>195</v>
      </c>
      <c r="C7887" s="6" t="s">
        <v>401</v>
      </c>
      <c r="D7887" s="6" t="s">
        <v>196</v>
      </c>
      <c r="E7887" s="11">
        <v>2.6442842483520508</v>
      </c>
      <c r="F7887" s="11">
        <v>2.8765428066253662</v>
      </c>
    </row>
    <row r="7888" spans="1:6" hidden="1" x14ac:dyDescent="0.3">
      <c r="A7888" s="6">
        <v>57</v>
      </c>
      <c r="B7888" s="6" t="s">
        <v>195</v>
      </c>
      <c r="C7888" s="6" t="s">
        <v>402</v>
      </c>
      <c r="D7888" s="6" t="s">
        <v>196</v>
      </c>
      <c r="E7888" s="11">
        <v>2.7304947376251221</v>
      </c>
      <c r="F7888" s="11">
        <v>2.8765428066253662</v>
      </c>
    </row>
    <row r="7889" spans="1:6" hidden="1" x14ac:dyDescent="0.3">
      <c r="A7889" s="6">
        <v>57</v>
      </c>
      <c r="B7889" s="6" t="s">
        <v>195</v>
      </c>
      <c r="C7889" s="6" t="s">
        <v>403</v>
      </c>
      <c r="D7889" s="6" t="s">
        <v>196</v>
      </c>
      <c r="E7889" s="11">
        <v>2.6542623043060303</v>
      </c>
      <c r="F7889" s="11">
        <v>2.8765428066253662</v>
      </c>
    </row>
    <row r="7890" spans="1:6" hidden="1" x14ac:dyDescent="0.3">
      <c r="A7890" s="6">
        <v>57</v>
      </c>
      <c r="B7890" s="6" t="s">
        <v>195</v>
      </c>
      <c r="C7890" s="6" t="s">
        <v>404</v>
      </c>
      <c r="D7890" s="6" t="s">
        <v>196</v>
      </c>
      <c r="E7890" s="11">
        <v>2.5920851230621338</v>
      </c>
      <c r="F7890" s="11">
        <v>2.8765428066253662</v>
      </c>
    </row>
    <row r="7891" spans="1:6" hidden="1" x14ac:dyDescent="0.3">
      <c r="A7891" s="6">
        <v>57</v>
      </c>
      <c r="B7891" s="6" t="s">
        <v>195</v>
      </c>
      <c r="C7891" s="6" t="s">
        <v>405</v>
      </c>
      <c r="D7891" s="6" t="s">
        <v>196</v>
      </c>
      <c r="E7891" s="11">
        <v>2.6136071681976318</v>
      </c>
      <c r="F7891" s="11">
        <v>2.8765428066253662</v>
      </c>
    </row>
    <row r="7892" spans="1:6" hidden="1" x14ac:dyDescent="0.3">
      <c r="A7892" s="6">
        <v>57</v>
      </c>
      <c r="B7892" s="6" t="s">
        <v>195</v>
      </c>
      <c r="C7892" s="6" t="s">
        <v>406</v>
      </c>
      <c r="D7892" s="6" t="s">
        <v>196</v>
      </c>
      <c r="E7892" s="11">
        <v>2.82871413230896</v>
      </c>
      <c r="F7892" s="11">
        <v>2.8765428066253662</v>
      </c>
    </row>
    <row r="7893" spans="1:6" hidden="1" x14ac:dyDescent="0.3">
      <c r="A7893" s="6">
        <v>57</v>
      </c>
      <c r="B7893" s="6" t="s">
        <v>195</v>
      </c>
      <c r="C7893" s="6" t="s">
        <v>407</v>
      </c>
      <c r="D7893" s="6" t="s">
        <v>196</v>
      </c>
      <c r="E7893" s="11">
        <v>2.6992576122283936</v>
      </c>
      <c r="F7893" s="11">
        <v>2.8765428066253662</v>
      </c>
    </row>
    <row r="7894" spans="1:6" hidden="1" x14ac:dyDescent="0.3">
      <c r="A7894" s="6">
        <v>57</v>
      </c>
      <c r="B7894" s="6" t="s">
        <v>195</v>
      </c>
      <c r="C7894" s="6" t="s">
        <v>408</v>
      </c>
      <c r="D7894" s="6" t="s">
        <v>196</v>
      </c>
      <c r="E7894" s="11">
        <v>2.8464157581329346</v>
      </c>
      <c r="F7894" s="11">
        <v>2.8765428066253662</v>
      </c>
    </row>
    <row r="7895" spans="1:6" hidden="1" x14ac:dyDescent="0.3">
      <c r="A7895" s="6">
        <v>57</v>
      </c>
      <c r="B7895" s="6" t="s">
        <v>195</v>
      </c>
      <c r="C7895" s="6" t="s">
        <v>409</v>
      </c>
      <c r="D7895" s="6" t="s">
        <v>196</v>
      </c>
      <c r="E7895" s="11">
        <v>2.6529490947723389</v>
      </c>
      <c r="F7895" s="11">
        <v>2.8765428066253662</v>
      </c>
    </row>
    <row r="7896" spans="1:6" hidden="1" x14ac:dyDescent="0.3">
      <c r="A7896" s="6">
        <v>57</v>
      </c>
      <c r="B7896" s="6" t="s">
        <v>195</v>
      </c>
      <c r="C7896" s="6" t="s">
        <v>410</v>
      </c>
      <c r="D7896" s="6" t="s">
        <v>196</v>
      </c>
      <c r="E7896" s="11">
        <v>3.2181031703948975</v>
      </c>
      <c r="F7896" s="11">
        <v>2.8765428066253662</v>
      </c>
    </row>
    <row r="7897" spans="1:6" hidden="1" x14ac:dyDescent="0.3">
      <c r="A7897" s="6">
        <v>57</v>
      </c>
      <c r="B7897" s="6" t="s">
        <v>195</v>
      </c>
      <c r="C7897" s="6" t="s">
        <v>411</v>
      </c>
      <c r="D7897" s="6" t="s">
        <v>196</v>
      </c>
      <c r="E7897" s="11">
        <v>3.0541470050811768</v>
      </c>
      <c r="F7897" s="11">
        <v>2.8765428066253662</v>
      </c>
    </row>
    <row r="7898" spans="1:6" hidden="1" x14ac:dyDescent="0.3">
      <c r="A7898" s="6">
        <v>57</v>
      </c>
      <c r="B7898" s="6" t="s">
        <v>195</v>
      </c>
      <c r="C7898" s="6" t="s">
        <v>412</v>
      </c>
      <c r="D7898" s="6" t="s">
        <v>196</v>
      </c>
      <c r="E7898" s="11">
        <v>2.8384621143341064</v>
      </c>
      <c r="F7898" s="11">
        <v>2.8765428066253662</v>
      </c>
    </row>
    <row r="7899" spans="1:6" hidden="1" x14ac:dyDescent="0.3">
      <c r="A7899" s="6">
        <v>57</v>
      </c>
      <c r="B7899" s="6" t="s">
        <v>195</v>
      </c>
      <c r="C7899" s="6" t="s">
        <v>413</v>
      </c>
      <c r="D7899" s="6" t="s">
        <v>196</v>
      </c>
      <c r="E7899" s="11">
        <v>5.3610997200012207</v>
      </c>
      <c r="F7899" s="11">
        <v>2.8765428066253662</v>
      </c>
    </row>
    <row r="7900" spans="1:6" hidden="1" x14ac:dyDescent="0.3">
      <c r="A7900" s="6">
        <v>57</v>
      </c>
      <c r="B7900" s="6" t="s">
        <v>195</v>
      </c>
      <c r="C7900" s="6" t="s">
        <v>414</v>
      </c>
      <c r="D7900" s="6" t="s">
        <v>196</v>
      </c>
      <c r="E7900" s="11">
        <v>2.610203742980957</v>
      </c>
      <c r="F7900" s="11">
        <v>2.8765428066253662</v>
      </c>
    </row>
    <row r="7901" spans="1:6" hidden="1" x14ac:dyDescent="0.3">
      <c r="A7901" s="6">
        <v>57</v>
      </c>
      <c r="B7901" s="6" t="s">
        <v>195</v>
      </c>
      <c r="C7901" s="6" t="s">
        <v>415</v>
      </c>
      <c r="D7901" s="6" t="s">
        <v>196</v>
      </c>
      <c r="E7901" s="11">
        <v>2.7186777591705322</v>
      </c>
      <c r="F7901" s="11">
        <v>2.8765428066253662</v>
      </c>
    </row>
    <row r="7902" spans="1:6" hidden="1" x14ac:dyDescent="0.3">
      <c r="A7902" s="6">
        <v>57</v>
      </c>
      <c r="B7902" s="6" t="s">
        <v>195</v>
      </c>
      <c r="C7902" s="6" t="s">
        <v>416</v>
      </c>
      <c r="D7902" s="6" t="s">
        <v>196</v>
      </c>
      <c r="E7902" s="11">
        <v>2.7378160953521729</v>
      </c>
      <c r="F7902" s="11">
        <v>2.8765428066253662</v>
      </c>
    </row>
    <row r="7903" spans="1:6" hidden="1" x14ac:dyDescent="0.3">
      <c r="A7903" s="6">
        <v>57</v>
      </c>
      <c r="B7903" s="6" t="s">
        <v>195</v>
      </c>
      <c r="C7903" s="6" t="s">
        <v>417</v>
      </c>
      <c r="D7903" s="6" t="s">
        <v>196</v>
      </c>
      <c r="E7903" s="11">
        <v>2.8906338214874268</v>
      </c>
      <c r="F7903" s="11">
        <v>2.8765428066253662</v>
      </c>
    </row>
    <row r="7904" spans="1:6" hidden="1" x14ac:dyDescent="0.3">
      <c r="A7904" s="6">
        <v>57</v>
      </c>
      <c r="B7904" s="6" t="s">
        <v>195</v>
      </c>
      <c r="C7904" s="6" t="s">
        <v>418</v>
      </c>
      <c r="D7904" s="6" t="s">
        <v>196</v>
      </c>
      <c r="E7904" s="11">
        <v>2.5680551528930664</v>
      </c>
      <c r="F7904" s="11">
        <v>2.8765428066253662</v>
      </c>
    </row>
    <row r="7905" spans="1:6" hidden="1" x14ac:dyDescent="0.3">
      <c r="A7905" s="6">
        <v>57</v>
      </c>
      <c r="B7905" s="6" t="s">
        <v>195</v>
      </c>
      <c r="C7905" s="6" t="s">
        <v>419</v>
      </c>
      <c r="D7905" s="6" t="s">
        <v>196</v>
      </c>
      <c r="E7905" s="11">
        <v>2.7515966892242432</v>
      </c>
      <c r="F7905" s="11">
        <v>2.8765428066253662</v>
      </c>
    </row>
    <row r="7906" spans="1:6" hidden="1" x14ac:dyDescent="0.3">
      <c r="A7906" s="6">
        <v>57</v>
      </c>
      <c r="B7906" s="6" t="s">
        <v>195</v>
      </c>
      <c r="C7906" s="6" t="s">
        <v>420</v>
      </c>
      <c r="D7906" s="6" t="s">
        <v>196</v>
      </c>
      <c r="E7906" s="11">
        <v>2.9065732955932617</v>
      </c>
      <c r="F7906" s="11">
        <v>2.8765428066253662</v>
      </c>
    </row>
    <row r="7907" spans="1:6" hidden="1" x14ac:dyDescent="0.3">
      <c r="A7907" s="6">
        <v>57</v>
      </c>
      <c r="B7907" s="6" t="s">
        <v>195</v>
      </c>
      <c r="C7907" s="6" t="s">
        <v>421</v>
      </c>
      <c r="D7907" s="6" t="s">
        <v>196</v>
      </c>
      <c r="E7907" s="11">
        <v>2.5757486820220947</v>
      </c>
      <c r="F7907" s="11">
        <v>2.8765428066253662</v>
      </c>
    </row>
    <row r="7908" spans="1:6" hidden="1" x14ac:dyDescent="0.3">
      <c r="A7908" s="6">
        <v>57</v>
      </c>
      <c r="B7908" s="6" t="s">
        <v>195</v>
      </c>
      <c r="C7908" s="6" t="s">
        <v>422</v>
      </c>
      <c r="D7908" s="6" t="s">
        <v>196</v>
      </c>
      <c r="E7908" s="11">
        <v>2.9165031909942627</v>
      </c>
      <c r="F7908" s="11">
        <v>2.8765428066253662</v>
      </c>
    </row>
    <row r="7909" spans="1:6" hidden="1" x14ac:dyDescent="0.3">
      <c r="A7909" s="6">
        <v>57</v>
      </c>
      <c r="B7909" s="6" t="s">
        <v>195</v>
      </c>
      <c r="C7909" s="6" t="s">
        <v>423</v>
      </c>
      <c r="D7909" s="6" t="s">
        <v>196</v>
      </c>
      <c r="E7909" s="11">
        <v>3.2215046882629395</v>
      </c>
      <c r="F7909" s="11">
        <v>2.8765428066253662</v>
      </c>
    </row>
    <row r="7910" spans="1:6" hidden="1" x14ac:dyDescent="0.3">
      <c r="A7910" s="6">
        <v>57</v>
      </c>
      <c r="B7910" s="6" t="s">
        <v>195</v>
      </c>
      <c r="C7910" s="6" t="s">
        <v>424</v>
      </c>
      <c r="D7910" s="6" t="s">
        <v>196</v>
      </c>
      <c r="E7910" s="11">
        <v>2.605064868927002</v>
      </c>
      <c r="F7910" s="11">
        <v>2.8765428066253662</v>
      </c>
    </row>
    <row r="7911" spans="1:6" hidden="1" x14ac:dyDescent="0.3">
      <c r="A7911" s="6">
        <v>57</v>
      </c>
      <c r="B7911" s="6" t="s">
        <v>195</v>
      </c>
      <c r="C7911" s="6" t="s">
        <v>425</v>
      </c>
      <c r="D7911" s="6" t="s">
        <v>196</v>
      </c>
      <c r="E7911" s="11">
        <v>3.0293059349060059</v>
      </c>
      <c r="F7911" s="11">
        <v>2.8765428066253662</v>
      </c>
    </row>
    <row r="7912" spans="1:6" hidden="1" x14ac:dyDescent="0.3">
      <c r="A7912" s="6">
        <v>57</v>
      </c>
      <c r="B7912" s="6" t="s">
        <v>195</v>
      </c>
      <c r="C7912" s="6" t="s">
        <v>426</v>
      </c>
      <c r="D7912" s="6" t="s">
        <v>196</v>
      </c>
      <c r="E7912" s="11">
        <v>2.5701251029968262</v>
      </c>
      <c r="F7912" s="11">
        <v>2.8765428066253662</v>
      </c>
    </row>
    <row r="7913" spans="1:6" hidden="1" x14ac:dyDescent="0.3">
      <c r="A7913" s="6">
        <v>57</v>
      </c>
      <c r="B7913" s="6" t="s">
        <v>195</v>
      </c>
      <c r="C7913" s="6" t="s">
        <v>427</v>
      </c>
      <c r="D7913" s="6" t="s">
        <v>196</v>
      </c>
      <c r="E7913" s="11">
        <v>2.7154383659362793</v>
      </c>
      <c r="F7913" s="11">
        <v>2.8765428066253662</v>
      </c>
    </row>
    <row r="7914" spans="1:6" hidden="1" x14ac:dyDescent="0.3">
      <c r="A7914" s="6">
        <v>57</v>
      </c>
      <c r="B7914" s="6" t="s">
        <v>195</v>
      </c>
      <c r="C7914" s="6" t="s">
        <v>428</v>
      </c>
      <c r="D7914" s="6" t="s">
        <v>196</v>
      </c>
      <c r="E7914" s="11">
        <v>3.065025806427002</v>
      </c>
      <c r="F7914" s="11">
        <v>2.8765428066253662</v>
      </c>
    </row>
    <row r="7915" spans="1:6" hidden="1" x14ac:dyDescent="0.3">
      <c r="A7915" s="6">
        <v>57</v>
      </c>
      <c r="B7915" s="6" t="s">
        <v>195</v>
      </c>
      <c r="C7915" s="6" t="s">
        <v>429</v>
      </c>
      <c r="D7915" s="6" t="s">
        <v>196</v>
      </c>
      <c r="E7915" s="11">
        <v>2.7011620998382568</v>
      </c>
      <c r="F7915" s="11">
        <v>2.8765428066253662</v>
      </c>
    </row>
    <row r="7916" spans="1:6" hidden="1" x14ac:dyDescent="0.3">
      <c r="A7916" s="6">
        <v>57</v>
      </c>
      <c r="B7916" s="6" t="s">
        <v>195</v>
      </c>
      <c r="C7916" s="6" t="s">
        <v>430</v>
      </c>
      <c r="D7916" s="6" t="s">
        <v>196</v>
      </c>
      <c r="E7916" s="11">
        <v>2.918510913848877</v>
      </c>
      <c r="F7916" s="11">
        <v>2.8765428066253662</v>
      </c>
    </row>
    <row r="7917" spans="1:6" hidden="1" x14ac:dyDescent="0.3">
      <c r="A7917" s="6">
        <v>57</v>
      </c>
      <c r="B7917" s="6" t="s">
        <v>195</v>
      </c>
      <c r="C7917" s="6" t="s">
        <v>431</v>
      </c>
      <c r="D7917" s="6" t="s">
        <v>196</v>
      </c>
      <c r="E7917" s="11">
        <v>3.0260865688323975</v>
      </c>
      <c r="F7917" s="11">
        <v>2.8765428066253662</v>
      </c>
    </row>
    <row r="7918" spans="1:6" hidden="1" x14ac:dyDescent="0.3">
      <c r="A7918" s="6">
        <v>57</v>
      </c>
      <c r="B7918" s="6" t="s">
        <v>195</v>
      </c>
      <c r="C7918" s="6" t="s">
        <v>432</v>
      </c>
      <c r="D7918" s="6" t="s">
        <v>196</v>
      </c>
      <c r="E7918" s="11">
        <v>3.2302887439727783</v>
      </c>
      <c r="F7918" s="11">
        <v>2.8765428066253662</v>
      </c>
    </row>
    <row r="7919" spans="1:6" hidden="1" x14ac:dyDescent="0.3">
      <c r="A7919" s="6">
        <v>57</v>
      </c>
      <c r="B7919" s="6" t="s">
        <v>195</v>
      </c>
      <c r="C7919" s="6" t="s">
        <v>433</v>
      </c>
      <c r="D7919" s="6" t="s">
        <v>196</v>
      </c>
      <c r="E7919" s="11">
        <v>2.5696041584014893</v>
      </c>
      <c r="F7919" s="11">
        <v>2.8765428066253662</v>
      </c>
    </row>
    <row r="7920" spans="1:6" hidden="1" x14ac:dyDescent="0.3">
      <c r="A7920" s="6">
        <v>57</v>
      </c>
      <c r="B7920" s="6" t="s">
        <v>195</v>
      </c>
      <c r="C7920" s="6" t="s">
        <v>434</v>
      </c>
      <c r="D7920" s="6" t="s">
        <v>196</v>
      </c>
      <c r="E7920" s="11">
        <v>3.1098678112030029</v>
      </c>
      <c r="F7920" s="11">
        <v>2.8765428066253662</v>
      </c>
    </row>
    <row r="7921" spans="1:6" hidden="1" x14ac:dyDescent="0.3">
      <c r="A7921" s="6">
        <v>57</v>
      </c>
      <c r="B7921" s="6" t="s">
        <v>195</v>
      </c>
      <c r="C7921" s="6" t="s">
        <v>435</v>
      </c>
      <c r="D7921" s="6" t="s">
        <v>196</v>
      </c>
      <c r="E7921" s="11">
        <v>2.7963218688964844</v>
      </c>
      <c r="F7921" s="11">
        <v>2.8765428066253662</v>
      </c>
    </row>
    <row r="7922" spans="1:6" hidden="1" x14ac:dyDescent="0.3">
      <c r="A7922" s="6">
        <v>57</v>
      </c>
      <c r="B7922" s="6" t="s">
        <v>195</v>
      </c>
      <c r="C7922" s="6" t="s">
        <v>436</v>
      </c>
      <c r="D7922" s="6" t="s">
        <v>196</v>
      </c>
      <c r="E7922" s="11">
        <v>2.839759349822998</v>
      </c>
      <c r="F7922" s="11">
        <v>2.8765428066253662</v>
      </c>
    </row>
    <row r="7923" spans="1:6" hidden="1" x14ac:dyDescent="0.3">
      <c r="A7923" s="6">
        <v>57</v>
      </c>
      <c r="B7923" s="6" t="s">
        <v>195</v>
      </c>
      <c r="C7923" s="6" t="s">
        <v>437</v>
      </c>
      <c r="D7923" s="6" t="s">
        <v>196</v>
      </c>
      <c r="E7923" s="11">
        <v>3.0399520397186279</v>
      </c>
      <c r="F7923" s="11">
        <v>2.8765428066253662</v>
      </c>
    </row>
    <row r="7924" spans="1:6" hidden="1" x14ac:dyDescent="0.3">
      <c r="A7924" s="6">
        <v>57</v>
      </c>
      <c r="B7924" s="6" t="s">
        <v>195</v>
      </c>
      <c r="C7924" s="6" t="s">
        <v>438</v>
      </c>
      <c r="D7924" s="6" t="s">
        <v>196</v>
      </c>
      <c r="E7924" s="11">
        <v>2.8158938884735107</v>
      </c>
      <c r="F7924" s="11">
        <v>2.8765428066253662</v>
      </c>
    </row>
    <row r="7925" spans="1:6" hidden="1" x14ac:dyDescent="0.3">
      <c r="A7925" s="6">
        <v>57</v>
      </c>
      <c r="B7925" s="6" t="s">
        <v>195</v>
      </c>
      <c r="C7925" s="6" t="s">
        <v>439</v>
      </c>
      <c r="D7925" s="6" t="s">
        <v>196</v>
      </c>
      <c r="E7925" s="11">
        <v>3.2836260795593262</v>
      </c>
      <c r="F7925" s="11">
        <v>2.8765428066253662</v>
      </c>
    </row>
    <row r="7926" spans="1:6" hidden="1" x14ac:dyDescent="0.3">
      <c r="A7926" s="6">
        <v>57</v>
      </c>
      <c r="B7926" s="6" t="s">
        <v>195</v>
      </c>
      <c r="C7926" s="6" t="s">
        <v>440</v>
      </c>
      <c r="D7926" s="6" t="s">
        <v>196</v>
      </c>
      <c r="E7926" s="11">
        <v>2.5692205429077148</v>
      </c>
      <c r="F7926" s="11">
        <v>2.8765428066253662</v>
      </c>
    </row>
    <row r="7927" spans="1:6" hidden="1" x14ac:dyDescent="0.3">
      <c r="A7927" s="6">
        <v>57</v>
      </c>
      <c r="B7927" s="6" t="s">
        <v>195</v>
      </c>
      <c r="C7927" s="6" t="s">
        <v>441</v>
      </c>
      <c r="D7927" s="6" t="s">
        <v>196</v>
      </c>
      <c r="E7927" s="11">
        <v>2.8204367160797119</v>
      </c>
      <c r="F7927" s="11">
        <v>2.8765428066253662</v>
      </c>
    </row>
    <row r="7928" spans="1:6" hidden="1" x14ac:dyDescent="0.3">
      <c r="A7928" s="6">
        <v>57</v>
      </c>
      <c r="B7928" s="6" t="s">
        <v>195</v>
      </c>
      <c r="C7928" s="6" t="s">
        <v>442</v>
      </c>
      <c r="D7928" s="6" t="s">
        <v>196</v>
      </c>
      <c r="E7928" s="11">
        <v>2.6775941848754883</v>
      </c>
      <c r="F7928" s="11">
        <v>2.8765428066253662</v>
      </c>
    </row>
    <row r="7929" spans="1:6" hidden="1" x14ac:dyDescent="0.3">
      <c r="A7929" s="6">
        <v>57</v>
      </c>
      <c r="B7929" s="6" t="s">
        <v>195</v>
      </c>
      <c r="C7929" s="6" t="s">
        <v>443</v>
      </c>
      <c r="D7929" s="6" t="s">
        <v>196</v>
      </c>
      <c r="E7929" s="11">
        <v>2.9986376762390137</v>
      </c>
      <c r="F7929" s="11">
        <v>2.8765428066253662</v>
      </c>
    </row>
    <row r="7930" spans="1:6" hidden="1" x14ac:dyDescent="0.3">
      <c r="A7930" s="6">
        <v>57</v>
      </c>
      <c r="B7930" s="6" t="s">
        <v>195</v>
      </c>
      <c r="C7930" s="6" t="s">
        <v>444</v>
      </c>
      <c r="D7930" s="6" t="s">
        <v>196</v>
      </c>
      <c r="E7930" s="11">
        <v>2.5983695983886719</v>
      </c>
      <c r="F7930" s="11">
        <v>2.8765428066253662</v>
      </c>
    </row>
    <row r="7931" spans="1:6" hidden="1" x14ac:dyDescent="0.3">
      <c r="A7931" s="6">
        <v>57</v>
      </c>
      <c r="B7931" s="6" t="s">
        <v>195</v>
      </c>
      <c r="C7931" s="6" t="s">
        <v>445</v>
      </c>
      <c r="D7931" s="6" t="s">
        <v>196</v>
      </c>
      <c r="E7931" s="11">
        <v>2.8115527629852295</v>
      </c>
      <c r="F7931" s="11">
        <v>2.8765428066253662</v>
      </c>
    </row>
    <row r="7932" spans="1:6" hidden="1" x14ac:dyDescent="0.3">
      <c r="A7932" s="6">
        <v>57</v>
      </c>
      <c r="B7932" s="6" t="s">
        <v>195</v>
      </c>
      <c r="C7932" s="6" t="s">
        <v>446</v>
      </c>
      <c r="D7932" s="6" t="s">
        <v>196</v>
      </c>
      <c r="E7932" s="11">
        <v>3.2071981430053711</v>
      </c>
      <c r="F7932" s="11">
        <v>2.8765428066253662</v>
      </c>
    </row>
    <row r="7933" spans="1:6" hidden="1" x14ac:dyDescent="0.3">
      <c r="A7933" s="6">
        <v>57</v>
      </c>
      <c r="B7933" s="6" t="s">
        <v>195</v>
      </c>
      <c r="C7933" s="6" t="s">
        <v>447</v>
      </c>
      <c r="D7933" s="6" t="s">
        <v>196</v>
      </c>
      <c r="E7933" s="11">
        <v>2.7261772155761719</v>
      </c>
      <c r="F7933" s="11">
        <v>2.8765428066253662</v>
      </c>
    </row>
    <row r="7934" spans="1:6" hidden="1" x14ac:dyDescent="0.3">
      <c r="A7934" s="6">
        <v>57</v>
      </c>
      <c r="B7934" s="6" t="s">
        <v>195</v>
      </c>
      <c r="C7934" s="6" t="s">
        <v>448</v>
      </c>
      <c r="D7934" s="6" t="s">
        <v>196</v>
      </c>
      <c r="E7934" s="11">
        <v>2.7046093940734863</v>
      </c>
      <c r="F7934" s="11">
        <v>2.8765428066253662</v>
      </c>
    </row>
    <row r="7935" spans="1:6" hidden="1" x14ac:dyDescent="0.3">
      <c r="A7935" s="6">
        <v>57</v>
      </c>
      <c r="B7935" s="6" t="s">
        <v>195</v>
      </c>
      <c r="C7935" s="6" t="s">
        <v>449</v>
      </c>
      <c r="D7935" s="6" t="s">
        <v>196</v>
      </c>
      <c r="E7935" s="11">
        <v>2.5955295562744141</v>
      </c>
      <c r="F7935" s="11">
        <v>2.8765428066253662</v>
      </c>
    </row>
    <row r="7936" spans="1:6" hidden="1" x14ac:dyDescent="0.3">
      <c r="A7936" s="6">
        <v>57</v>
      </c>
      <c r="B7936" s="6" t="s">
        <v>195</v>
      </c>
      <c r="C7936" s="6" t="s">
        <v>450</v>
      </c>
      <c r="D7936" s="6" t="s">
        <v>196</v>
      </c>
      <c r="E7936" s="11">
        <v>2.8340818881988525</v>
      </c>
      <c r="F7936" s="11">
        <v>2.8765428066253662</v>
      </c>
    </row>
    <row r="7937" spans="1:6" hidden="1" x14ac:dyDescent="0.3">
      <c r="A7937" s="6">
        <v>57</v>
      </c>
      <c r="B7937" s="6" t="s">
        <v>195</v>
      </c>
      <c r="C7937" s="6" t="s">
        <v>451</v>
      </c>
      <c r="D7937" s="6" t="s">
        <v>196</v>
      </c>
      <c r="E7937" s="11">
        <v>4.9643526077270508</v>
      </c>
      <c r="F7937" s="11">
        <v>2.8765428066253662</v>
      </c>
    </row>
    <row r="7938" spans="1:6" hidden="1" x14ac:dyDescent="0.3">
      <c r="A7938" s="6">
        <v>57</v>
      </c>
      <c r="B7938" s="6" t="s">
        <v>195</v>
      </c>
      <c r="C7938" s="6" t="s">
        <v>452</v>
      </c>
      <c r="D7938" s="6" t="s">
        <v>196</v>
      </c>
      <c r="E7938" s="11">
        <v>2.8114163875579834</v>
      </c>
      <c r="F7938" s="11">
        <v>2.8765428066253662</v>
      </c>
    </row>
    <row r="7939" spans="1:6" hidden="1" x14ac:dyDescent="0.3">
      <c r="A7939" s="6">
        <v>57</v>
      </c>
      <c r="B7939" s="6" t="s">
        <v>195</v>
      </c>
      <c r="C7939" s="6" t="s">
        <v>453</v>
      </c>
      <c r="D7939" s="6" t="s">
        <v>196</v>
      </c>
      <c r="E7939" s="11">
        <v>2.5942771434783936</v>
      </c>
      <c r="F7939" s="11">
        <v>2.8765428066253662</v>
      </c>
    </row>
    <row r="7940" spans="1:6" hidden="1" x14ac:dyDescent="0.3">
      <c r="A7940" s="6">
        <v>57</v>
      </c>
      <c r="B7940" s="6" t="s">
        <v>195</v>
      </c>
      <c r="C7940" s="6" t="s">
        <v>454</v>
      </c>
      <c r="D7940" s="6" t="s">
        <v>196</v>
      </c>
      <c r="E7940" s="11">
        <v>7.6930313110351563</v>
      </c>
      <c r="F7940" s="11">
        <v>2.8765428066253662</v>
      </c>
    </row>
    <row r="7941" spans="1:6" hidden="1" x14ac:dyDescent="0.3">
      <c r="A7941" s="6">
        <v>57</v>
      </c>
      <c r="B7941" s="6" t="s">
        <v>195</v>
      </c>
      <c r="C7941" s="6" t="s">
        <v>455</v>
      </c>
      <c r="D7941" s="6" t="s">
        <v>196</v>
      </c>
      <c r="E7941" s="11">
        <v>3.0696444511413574</v>
      </c>
      <c r="F7941" s="11">
        <v>2.8765428066253662</v>
      </c>
    </row>
    <row r="7942" spans="1:6" hidden="1" x14ac:dyDescent="0.3">
      <c r="A7942" s="6">
        <v>57</v>
      </c>
      <c r="B7942" s="6" t="s">
        <v>195</v>
      </c>
      <c r="C7942" s="6" t="s">
        <v>456</v>
      </c>
      <c r="D7942" s="6" t="s">
        <v>196</v>
      </c>
      <c r="E7942" s="11">
        <v>2.5690841674804688</v>
      </c>
      <c r="F7942" s="11">
        <v>2.8765428066253662</v>
      </c>
    </row>
    <row r="7943" spans="1:6" hidden="1" x14ac:dyDescent="0.3">
      <c r="A7943" s="6">
        <v>57</v>
      </c>
      <c r="B7943" s="6" t="s">
        <v>195</v>
      </c>
      <c r="C7943" s="6" t="s">
        <v>457</v>
      </c>
      <c r="D7943" s="6" t="s">
        <v>196</v>
      </c>
      <c r="E7943" s="11">
        <v>2.7547030448913574</v>
      </c>
      <c r="F7943" s="11">
        <v>2.8765428066253662</v>
      </c>
    </row>
    <row r="7944" spans="1:6" hidden="1" x14ac:dyDescent="0.3">
      <c r="A7944" s="6">
        <v>57</v>
      </c>
      <c r="B7944" s="6" t="s">
        <v>195</v>
      </c>
      <c r="C7944" s="6" t="s">
        <v>458</v>
      </c>
      <c r="D7944" s="6" t="s">
        <v>196</v>
      </c>
      <c r="E7944" s="11">
        <v>2.8527665138244629</v>
      </c>
      <c r="F7944" s="11">
        <v>2.8765428066253662</v>
      </c>
    </row>
    <row r="7945" spans="1:6" hidden="1" x14ac:dyDescent="0.3">
      <c r="A7945" s="6">
        <v>57</v>
      </c>
      <c r="B7945" s="6" t="s">
        <v>195</v>
      </c>
      <c r="C7945" s="6" t="s">
        <v>459</v>
      </c>
      <c r="D7945" s="6" t="s">
        <v>196</v>
      </c>
      <c r="E7945" s="11">
        <v>2.8505127429962158</v>
      </c>
      <c r="F7945" s="11">
        <v>2.8765428066253662</v>
      </c>
    </row>
    <row r="7946" spans="1:6" hidden="1" x14ac:dyDescent="0.3">
      <c r="A7946" s="6">
        <v>57</v>
      </c>
      <c r="B7946" s="6" t="s">
        <v>195</v>
      </c>
      <c r="C7946" s="6" t="s">
        <v>460</v>
      </c>
      <c r="D7946" s="6" t="s">
        <v>196</v>
      </c>
      <c r="E7946" s="11">
        <v>2.6998748779296875</v>
      </c>
      <c r="F7946" s="11">
        <v>2.8765428066253662</v>
      </c>
    </row>
    <row r="7947" spans="1:6" hidden="1" x14ac:dyDescent="0.3">
      <c r="A7947" s="6">
        <v>57</v>
      </c>
      <c r="B7947" s="6" t="s">
        <v>195</v>
      </c>
      <c r="C7947" s="6" t="s">
        <v>461</v>
      </c>
      <c r="D7947" s="6" t="s">
        <v>196</v>
      </c>
      <c r="E7947" s="11">
        <v>2.5926070213317871</v>
      </c>
      <c r="F7947" s="11">
        <v>2.8765428066253662</v>
      </c>
    </row>
    <row r="7948" spans="1:6" hidden="1" x14ac:dyDescent="0.3">
      <c r="A7948" s="6">
        <v>57</v>
      </c>
      <c r="B7948" s="6" t="s">
        <v>195</v>
      </c>
      <c r="C7948" s="6" t="s">
        <v>462</v>
      </c>
      <c r="D7948" s="6" t="s">
        <v>196</v>
      </c>
      <c r="E7948" s="11">
        <v>3.1770830154418945</v>
      </c>
      <c r="F7948" s="11">
        <v>2.8765428066253662</v>
      </c>
    </row>
    <row r="7949" spans="1:6" hidden="1" x14ac:dyDescent="0.3">
      <c r="A7949" s="6">
        <v>57</v>
      </c>
      <c r="B7949" s="6" t="s">
        <v>195</v>
      </c>
      <c r="C7949" s="6" t="s">
        <v>463</v>
      </c>
      <c r="D7949" s="6" t="s">
        <v>196</v>
      </c>
      <c r="E7949" s="11">
        <v>4.3440952301025391</v>
      </c>
      <c r="F7949" s="11">
        <v>2.8765428066253662</v>
      </c>
    </row>
    <row r="7950" spans="1:6" hidden="1" x14ac:dyDescent="0.3">
      <c r="A7950" s="6">
        <v>57</v>
      </c>
      <c r="B7950" s="6" t="s">
        <v>195</v>
      </c>
      <c r="C7950" s="6" t="s">
        <v>464</v>
      </c>
      <c r="D7950" s="6" t="s">
        <v>196</v>
      </c>
      <c r="E7950" s="11">
        <v>2.7516345977783203</v>
      </c>
      <c r="F7950" s="11">
        <v>2.8765428066253662</v>
      </c>
    </row>
    <row r="7951" spans="1:6" hidden="1" x14ac:dyDescent="0.3">
      <c r="A7951" s="6">
        <v>57</v>
      </c>
      <c r="B7951" s="6" t="s">
        <v>195</v>
      </c>
      <c r="C7951" s="6" t="s">
        <v>465</v>
      </c>
      <c r="D7951" s="6" t="s">
        <v>196</v>
      </c>
      <c r="E7951" s="11">
        <v>2.8411040306091309</v>
      </c>
      <c r="F7951" s="11">
        <v>2.8765428066253662</v>
      </c>
    </row>
    <row r="7952" spans="1:6" hidden="1" x14ac:dyDescent="0.3">
      <c r="A7952" s="6">
        <v>57</v>
      </c>
      <c r="B7952" s="6" t="s">
        <v>195</v>
      </c>
      <c r="C7952" s="6" t="s">
        <v>466</v>
      </c>
      <c r="D7952" s="6" t="s">
        <v>196</v>
      </c>
      <c r="E7952" s="11">
        <v>7.7098946571350098</v>
      </c>
      <c r="F7952" s="11">
        <v>2.8765428066253662</v>
      </c>
    </row>
    <row r="7953" spans="1:6" hidden="1" x14ac:dyDescent="0.3">
      <c r="A7953" s="6">
        <v>57</v>
      </c>
      <c r="B7953" s="6" t="s">
        <v>195</v>
      </c>
      <c r="C7953" s="6" t="s">
        <v>467</v>
      </c>
      <c r="D7953" s="6" t="s">
        <v>196</v>
      </c>
      <c r="E7953" s="11">
        <v>2.7323849201202393</v>
      </c>
      <c r="F7953" s="11">
        <v>2.8765428066253662</v>
      </c>
    </row>
    <row r="7954" spans="1:6" hidden="1" x14ac:dyDescent="0.3">
      <c r="A7954" s="6">
        <v>57</v>
      </c>
      <c r="B7954" s="6" t="s">
        <v>195</v>
      </c>
      <c r="C7954" s="6" t="s">
        <v>468</v>
      </c>
      <c r="D7954" s="6" t="s">
        <v>196</v>
      </c>
      <c r="E7954" s="11">
        <v>3.0455327033996582</v>
      </c>
      <c r="F7954" s="11">
        <v>2.8765428066253662</v>
      </c>
    </row>
    <row r="7955" spans="1:6" hidden="1" x14ac:dyDescent="0.3">
      <c r="A7955" s="6">
        <v>57</v>
      </c>
      <c r="B7955" s="6" t="s">
        <v>195</v>
      </c>
      <c r="C7955" s="6" t="s">
        <v>469</v>
      </c>
      <c r="D7955" s="6" t="s">
        <v>196</v>
      </c>
      <c r="E7955" s="11">
        <v>2.9660489559173584</v>
      </c>
      <c r="F7955" s="11">
        <v>2.8765428066253662</v>
      </c>
    </row>
    <row r="7956" spans="1:6" hidden="1" x14ac:dyDescent="0.3">
      <c r="A7956" s="6">
        <v>57</v>
      </c>
      <c r="B7956" s="6" t="s">
        <v>195</v>
      </c>
      <c r="C7956" s="6" t="s">
        <v>470</v>
      </c>
      <c r="D7956" s="6" t="s">
        <v>196</v>
      </c>
      <c r="E7956" s="11">
        <v>3.0653033256530762</v>
      </c>
      <c r="F7956" s="11">
        <v>2.8765428066253662</v>
      </c>
    </row>
    <row r="7957" spans="1:6" hidden="1" x14ac:dyDescent="0.3">
      <c r="A7957" s="6">
        <v>57</v>
      </c>
      <c r="B7957" s="6" t="s">
        <v>195</v>
      </c>
      <c r="C7957" s="6" t="s">
        <v>471</v>
      </c>
      <c r="D7957" s="6" t="s">
        <v>196</v>
      </c>
      <c r="E7957" s="11">
        <v>2.6642723083496094</v>
      </c>
      <c r="F7957" s="11">
        <v>2.8765428066253662</v>
      </c>
    </row>
    <row r="7958" spans="1:6" hidden="1" x14ac:dyDescent="0.3">
      <c r="A7958" s="6">
        <v>57</v>
      </c>
      <c r="B7958" s="6" t="s">
        <v>195</v>
      </c>
      <c r="C7958" s="6" t="s">
        <v>472</v>
      </c>
      <c r="D7958" s="6" t="s">
        <v>196</v>
      </c>
      <c r="E7958" s="11">
        <v>2.6893377304077148</v>
      </c>
      <c r="F7958" s="11">
        <v>2.8765428066253662</v>
      </c>
    </row>
    <row r="7959" spans="1:6" hidden="1" x14ac:dyDescent="0.3">
      <c r="A7959" s="6">
        <v>57</v>
      </c>
      <c r="B7959" s="6" t="s">
        <v>195</v>
      </c>
      <c r="C7959" s="6" t="s">
        <v>473</v>
      </c>
      <c r="D7959" s="6" t="s">
        <v>196</v>
      </c>
      <c r="E7959" s="11">
        <v>2.6154525279998779</v>
      </c>
      <c r="F7959" s="11">
        <v>2.8765428066253662</v>
      </c>
    </row>
    <row r="7960" spans="1:6" hidden="1" x14ac:dyDescent="0.3">
      <c r="A7960" s="6">
        <v>57</v>
      </c>
      <c r="B7960" s="6" t="s">
        <v>195</v>
      </c>
      <c r="C7960" s="6" t="s">
        <v>474</v>
      </c>
      <c r="D7960" s="6" t="s">
        <v>196</v>
      </c>
      <c r="E7960" s="11">
        <v>2.9296731948852539</v>
      </c>
      <c r="F7960" s="11">
        <v>2.8765428066253662</v>
      </c>
    </row>
    <row r="7961" spans="1:6" hidden="1" x14ac:dyDescent="0.3">
      <c r="A7961" s="6">
        <v>57</v>
      </c>
      <c r="B7961" s="6" t="s">
        <v>195</v>
      </c>
      <c r="C7961" s="6" t="s">
        <v>475</v>
      </c>
      <c r="D7961" s="6" t="s">
        <v>196</v>
      </c>
      <c r="E7961" s="11">
        <v>3.1837358474731445</v>
      </c>
      <c r="F7961" s="11">
        <v>2.8765428066253662</v>
      </c>
    </row>
    <row r="7962" spans="1:6" hidden="1" x14ac:dyDescent="0.3">
      <c r="A7962" s="6">
        <v>57</v>
      </c>
      <c r="B7962" s="6" t="s">
        <v>195</v>
      </c>
      <c r="C7962" s="6" t="s">
        <v>476</v>
      </c>
      <c r="D7962" s="6" t="s">
        <v>196</v>
      </c>
      <c r="E7962" s="11">
        <v>2.60807204246521</v>
      </c>
      <c r="F7962" s="11">
        <v>2.8765428066253662</v>
      </c>
    </row>
    <row r="7963" spans="1:6" hidden="1" x14ac:dyDescent="0.3">
      <c r="A7963" s="6">
        <v>57</v>
      </c>
      <c r="B7963" s="6" t="s">
        <v>195</v>
      </c>
      <c r="C7963" s="6" t="s">
        <v>477</v>
      </c>
      <c r="D7963" s="6" t="s">
        <v>196</v>
      </c>
      <c r="E7963" s="11">
        <v>2.8536686897277832</v>
      </c>
      <c r="F7963" s="11">
        <v>2.8765428066253662</v>
      </c>
    </row>
    <row r="7964" spans="1:6" hidden="1" x14ac:dyDescent="0.3">
      <c r="A7964" s="6">
        <v>57</v>
      </c>
      <c r="B7964" s="6" t="s">
        <v>195</v>
      </c>
      <c r="C7964" s="6" t="s">
        <v>478</v>
      </c>
      <c r="D7964" s="6" t="s">
        <v>196</v>
      </c>
      <c r="E7964" s="11">
        <v>2.8710286617279053</v>
      </c>
      <c r="F7964" s="11">
        <v>2.8765428066253662</v>
      </c>
    </row>
    <row r="7965" spans="1:6" hidden="1" x14ac:dyDescent="0.3">
      <c r="A7965" s="6">
        <v>57</v>
      </c>
      <c r="B7965" s="6" t="s">
        <v>195</v>
      </c>
      <c r="C7965" s="6" t="s">
        <v>479</v>
      </c>
      <c r="D7965" s="6" t="s">
        <v>196</v>
      </c>
      <c r="E7965" s="11">
        <v>3.0744290351867676</v>
      </c>
      <c r="F7965" s="11">
        <v>2.8765428066253662</v>
      </c>
    </row>
    <row r="7966" spans="1:6" hidden="1" x14ac:dyDescent="0.3">
      <c r="A7966" s="6">
        <v>57</v>
      </c>
      <c r="B7966" s="6" t="s">
        <v>195</v>
      </c>
      <c r="C7966" s="6" t="s">
        <v>480</v>
      </c>
      <c r="D7966" s="6" t="s">
        <v>196</v>
      </c>
      <c r="E7966" s="11">
        <v>2.8711960315704346</v>
      </c>
      <c r="F7966" s="11">
        <v>2.8765428066253662</v>
      </c>
    </row>
    <row r="7967" spans="1:6" hidden="1" x14ac:dyDescent="0.3">
      <c r="A7967" s="6">
        <v>57</v>
      </c>
      <c r="B7967" s="6" t="s">
        <v>195</v>
      </c>
      <c r="C7967" s="6" t="s">
        <v>481</v>
      </c>
      <c r="D7967" s="6" t="s">
        <v>196</v>
      </c>
      <c r="E7967" s="11">
        <v>2.6665401458740234</v>
      </c>
      <c r="F7967" s="11">
        <v>2.8765428066253662</v>
      </c>
    </row>
    <row r="7968" spans="1:6" hidden="1" x14ac:dyDescent="0.3">
      <c r="A7968" s="6">
        <v>57</v>
      </c>
      <c r="B7968" s="6" t="s">
        <v>195</v>
      </c>
      <c r="C7968" s="6" t="s">
        <v>482</v>
      </c>
      <c r="D7968" s="6" t="s">
        <v>196</v>
      </c>
      <c r="E7968" s="11">
        <v>3.0328438282012939</v>
      </c>
      <c r="F7968" s="11">
        <v>2.8765428066253662</v>
      </c>
    </row>
    <row r="7969" spans="1:6" hidden="1" x14ac:dyDescent="0.3">
      <c r="A7969" s="6">
        <v>57</v>
      </c>
      <c r="B7969" s="6" t="s">
        <v>195</v>
      </c>
      <c r="C7969" s="6" t="s">
        <v>483</v>
      </c>
      <c r="D7969" s="6" t="s">
        <v>196</v>
      </c>
      <c r="E7969" s="11">
        <v>3.3793892860412598</v>
      </c>
      <c r="F7969" s="11">
        <v>2.8765428066253662</v>
      </c>
    </row>
    <row r="7970" spans="1:6" hidden="1" x14ac:dyDescent="0.3">
      <c r="A7970" s="6">
        <v>57</v>
      </c>
      <c r="B7970" s="6" t="s">
        <v>195</v>
      </c>
      <c r="C7970" s="6" t="s">
        <v>484</v>
      </c>
      <c r="D7970" s="6" t="s">
        <v>196</v>
      </c>
      <c r="E7970" s="11">
        <v>3.3776721954345703</v>
      </c>
      <c r="F7970" s="11">
        <v>2.8765428066253662</v>
      </c>
    </row>
    <row r="7971" spans="1:6" hidden="1" x14ac:dyDescent="0.3">
      <c r="A7971" s="6">
        <v>57</v>
      </c>
      <c r="B7971" s="6" t="s">
        <v>195</v>
      </c>
      <c r="C7971" s="6" t="s">
        <v>485</v>
      </c>
      <c r="D7971" s="6" t="s">
        <v>196</v>
      </c>
      <c r="E7971" s="11">
        <v>2.7985267639160156</v>
      </c>
      <c r="F7971" s="11">
        <v>2.8765428066253662</v>
      </c>
    </row>
    <row r="7972" spans="1:6" hidden="1" x14ac:dyDescent="0.3">
      <c r="A7972" s="6">
        <v>57</v>
      </c>
      <c r="B7972" s="6" t="s">
        <v>195</v>
      </c>
      <c r="C7972" s="6" t="s">
        <v>486</v>
      </c>
      <c r="D7972" s="6" t="s">
        <v>196</v>
      </c>
      <c r="E7972" s="11">
        <v>2.5706467628479004</v>
      </c>
      <c r="F7972" s="11">
        <v>2.8765428066253662</v>
      </c>
    </row>
    <row r="7973" spans="1:6" hidden="1" x14ac:dyDescent="0.3">
      <c r="A7973" s="6">
        <v>57</v>
      </c>
      <c r="B7973" s="6" t="s">
        <v>195</v>
      </c>
      <c r="C7973" s="6" t="s">
        <v>487</v>
      </c>
      <c r="D7973" s="6" t="s">
        <v>196</v>
      </c>
      <c r="E7973" s="11">
        <v>2.7478890419006348</v>
      </c>
      <c r="F7973" s="11">
        <v>2.8765428066253662</v>
      </c>
    </row>
    <row r="7974" spans="1:6" hidden="1" x14ac:dyDescent="0.3">
      <c r="A7974" s="6">
        <v>57</v>
      </c>
      <c r="B7974" s="6" t="s">
        <v>195</v>
      </c>
      <c r="C7974" s="6" t="s">
        <v>488</v>
      </c>
      <c r="D7974" s="6" t="s">
        <v>196</v>
      </c>
      <c r="E7974" s="11">
        <v>2.7760565280914307</v>
      </c>
      <c r="F7974" s="11">
        <v>2.8765428066253662</v>
      </c>
    </row>
    <row r="7975" spans="1:6" hidden="1" x14ac:dyDescent="0.3">
      <c r="A7975" s="6">
        <v>57</v>
      </c>
      <c r="B7975" s="6" t="s">
        <v>195</v>
      </c>
      <c r="C7975" s="6" t="s">
        <v>489</v>
      </c>
      <c r="D7975" s="6" t="s">
        <v>196</v>
      </c>
      <c r="E7975" s="11">
        <v>5.8760299682617188</v>
      </c>
      <c r="F7975" s="11">
        <v>2.8765428066253662</v>
      </c>
    </row>
    <row r="7976" spans="1:6" hidden="1" x14ac:dyDescent="0.3">
      <c r="A7976" s="6">
        <v>57</v>
      </c>
      <c r="B7976" s="6" t="s">
        <v>195</v>
      </c>
      <c r="C7976" s="6" t="s">
        <v>490</v>
      </c>
      <c r="D7976" s="6" t="s">
        <v>196</v>
      </c>
      <c r="E7976" s="11">
        <v>3.2530722618103027</v>
      </c>
      <c r="F7976" s="11">
        <v>2.8765428066253662</v>
      </c>
    </row>
    <row r="7977" spans="1:6" hidden="1" x14ac:dyDescent="0.3">
      <c r="A7977" s="6">
        <v>57</v>
      </c>
      <c r="B7977" s="6" t="s">
        <v>195</v>
      </c>
      <c r="C7977" s="6" t="s">
        <v>491</v>
      </c>
      <c r="D7977" s="6" t="s">
        <v>196</v>
      </c>
      <c r="E7977" s="11">
        <v>2.7694206237792969</v>
      </c>
      <c r="F7977" s="11">
        <v>2.8765428066253662</v>
      </c>
    </row>
    <row r="7978" spans="1:6" hidden="1" x14ac:dyDescent="0.3">
      <c r="A7978" s="6">
        <v>57</v>
      </c>
      <c r="B7978" s="6" t="s">
        <v>195</v>
      </c>
      <c r="C7978" s="6" t="s">
        <v>492</v>
      </c>
      <c r="D7978" s="6" t="s">
        <v>196</v>
      </c>
      <c r="E7978" s="11">
        <v>2.9703884124755859</v>
      </c>
      <c r="F7978" s="11">
        <v>2.8765428066253662</v>
      </c>
    </row>
    <row r="7979" spans="1:6" hidden="1" x14ac:dyDescent="0.3">
      <c r="A7979" s="6">
        <v>57</v>
      </c>
      <c r="B7979" s="6" t="s">
        <v>195</v>
      </c>
      <c r="C7979" s="6" t="s">
        <v>493</v>
      </c>
      <c r="D7979" s="6" t="s">
        <v>196</v>
      </c>
      <c r="E7979" s="11">
        <v>2.553231954574585</v>
      </c>
      <c r="F7979" s="11">
        <v>2.8765428066253662</v>
      </c>
    </row>
    <row r="7980" spans="1:6" hidden="1" x14ac:dyDescent="0.3">
      <c r="A7980" s="6">
        <v>57</v>
      </c>
      <c r="B7980" s="6" t="s">
        <v>195</v>
      </c>
      <c r="C7980" s="6" t="s">
        <v>494</v>
      </c>
      <c r="D7980" s="6" t="s">
        <v>196</v>
      </c>
      <c r="E7980" s="11">
        <v>3.8910436630249023</v>
      </c>
      <c r="F7980" s="11">
        <v>2.8765428066253662</v>
      </c>
    </row>
    <row r="7981" spans="1:6" hidden="1" x14ac:dyDescent="0.3">
      <c r="A7981" s="6">
        <v>57</v>
      </c>
      <c r="B7981" s="6" t="s">
        <v>195</v>
      </c>
      <c r="C7981" s="6" t="s">
        <v>495</v>
      </c>
      <c r="D7981" s="6" t="s">
        <v>196</v>
      </c>
      <c r="E7981" s="11">
        <v>2.7481663227081299</v>
      </c>
      <c r="F7981" s="11">
        <v>2.8765428066253662</v>
      </c>
    </row>
  </sheetData>
  <autoFilter ref="A1:F7981">
    <filterColumn colId="3">
      <filters>
        <filter val="Овощи и фрукты"/>
      </filters>
    </filterColumn>
  </autoFilter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34"/>
  <sheetViews>
    <sheetView topLeftCell="A28" workbookViewId="0">
      <selection activeCell="D29" sqref="D29"/>
    </sheetView>
  </sheetViews>
  <sheetFormatPr defaultRowHeight="14.4" x14ac:dyDescent="0.3"/>
  <cols>
    <col min="1" max="1" width="55.6640625" bestFit="1" customWidth="1"/>
    <col min="2" max="2" width="12.6640625" bestFit="1" customWidth="1"/>
    <col min="3" max="4" width="31.44140625" style="17" customWidth="1"/>
    <col min="5" max="5" width="40.6640625" style="17" customWidth="1"/>
    <col min="6" max="6" width="36.33203125" style="17" customWidth="1"/>
  </cols>
  <sheetData>
    <row r="1" spans="1:6" x14ac:dyDescent="0.3">
      <c r="A1" s="6" t="s">
        <v>30</v>
      </c>
      <c r="C1" s="23" t="s">
        <v>59</v>
      </c>
      <c r="D1" s="23" t="s">
        <v>60</v>
      </c>
      <c r="E1" s="23"/>
    </row>
    <row r="2" spans="1:6" x14ac:dyDescent="0.3">
      <c r="A2" s="6"/>
      <c r="B2" s="6" t="s">
        <v>5</v>
      </c>
    </row>
    <row r="3" spans="1:6" s="17" customFormat="1" ht="86.4" x14ac:dyDescent="0.3">
      <c r="A3" s="14" t="s">
        <v>25</v>
      </c>
      <c r="B3" s="15" t="s">
        <v>22</v>
      </c>
      <c r="C3" s="16" t="s">
        <v>46</v>
      </c>
      <c r="D3" s="26" t="s">
        <v>47</v>
      </c>
      <c r="E3" s="22"/>
    </row>
    <row r="4" spans="1:6" x14ac:dyDescent="0.3">
      <c r="A4" s="6"/>
      <c r="B4" s="10"/>
      <c r="D4" s="18"/>
    </row>
    <row r="5" spans="1:6" ht="43.2" x14ac:dyDescent="0.3">
      <c r="A5" s="6" t="s">
        <v>27</v>
      </c>
      <c r="B5" s="10" t="s">
        <v>26</v>
      </c>
      <c r="C5" s="35" t="s">
        <v>48</v>
      </c>
      <c r="D5" s="26" t="s">
        <v>49</v>
      </c>
      <c r="E5" s="36"/>
    </row>
    <row r="6" spans="1:6" x14ac:dyDescent="0.3">
      <c r="A6" s="6"/>
      <c r="B6" s="10"/>
      <c r="D6" s="24"/>
    </row>
    <row r="7" spans="1:6" ht="28.8" x14ac:dyDescent="0.3">
      <c r="A7" s="6" t="s">
        <v>42</v>
      </c>
      <c r="B7" s="10" t="s">
        <v>38</v>
      </c>
      <c r="C7" s="34" t="s">
        <v>61</v>
      </c>
      <c r="D7" s="34" t="s">
        <v>50</v>
      </c>
      <c r="E7" s="25"/>
    </row>
    <row r="8" spans="1:6" ht="43.2" x14ac:dyDescent="0.3">
      <c r="A8" s="6" t="s">
        <v>41</v>
      </c>
      <c r="B8" s="10" t="s">
        <v>39</v>
      </c>
      <c r="C8" s="34" t="s">
        <v>69</v>
      </c>
      <c r="D8" s="33" t="s">
        <v>71</v>
      </c>
      <c r="E8" s="37"/>
    </row>
    <row r="9" spans="1:6" ht="43.2" x14ac:dyDescent="0.3">
      <c r="A9" s="6" t="s">
        <v>43</v>
      </c>
      <c r="B9" s="10" t="s">
        <v>40</v>
      </c>
      <c r="C9" s="35" t="s">
        <v>51</v>
      </c>
      <c r="D9" s="34" t="s">
        <v>52</v>
      </c>
      <c r="E9" s="36"/>
    </row>
    <row r="10" spans="1:6" x14ac:dyDescent="0.3">
      <c r="A10" s="6" t="s">
        <v>18</v>
      </c>
      <c r="B10" s="10" t="s">
        <v>19</v>
      </c>
      <c r="C10" s="26">
        <v>0.1</v>
      </c>
      <c r="D10" s="26">
        <v>0</v>
      </c>
      <c r="E10" s="24"/>
    </row>
    <row r="11" spans="1:6" x14ac:dyDescent="0.3">
      <c r="A11" s="5" t="s">
        <v>45</v>
      </c>
      <c r="B11" s="9" t="s">
        <v>44</v>
      </c>
      <c r="C11" s="26">
        <v>0.15</v>
      </c>
      <c r="D11" s="26">
        <v>0.15</v>
      </c>
      <c r="E11" s="24"/>
    </row>
    <row r="12" spans="1:6" ht="43.2" x14ac:dyDescent="0.3">
      <c r="A12" s="5" t="s">
        <v>20</v>
      </c>
      <c r="B12" s="9" t="s">
        <v>21</v>
      </c>
      <c r="C12" s="26" t="s">
        <v>57</v>
      </c>
      <c r="D12" s="26" t="s">
        <v>58</v>
      </c>
      <c r="E12" s="24"/>
    </row>
    <row r="13" spans="1:6" x14ac:dyDescent="0.3">
      <c r="A13" s="2"/>
      <c r="B13" s="2"/>
      <c r="C13" s="27"/>
      <c r="D13" s="27"/>
      <c r="E13" s="27"/>
      <c r="F13" s="27"/>
    </row>
    <row r="14" spans="1:6" x14ac:dyDescent="0.3">
      <c r="A14" s="6"/>
      <c r="B14" s="6"/>
      <c r="C14" s="25" t="s">
        <v>0</v>
      </c>
      <c r="D14" s="25"/>
      <c r="E14" s="25"/>
      <c r="F14" s="25"/>
    </row>
    <row r="15" spans="1:6" x14ac:dyDescent="0.3">
      <c r="A15" s="6" t="s">
        <v>4</v>
      </c>
      <c r="B15" s="6" t="s">
        <v>5</v>
      </c>
      <c r="C15" s="25" t="s">
        <v>2</v>
      </c>
      <c r="D15" s="25"/>
      <c r="E15" s="25" t="s">
        <v>3</v>
      </c>
    </row>
    <row r="16" spans="1:6" ht="72" x14ac:dyDescent="0.3">
      <c r="A16" s="6" t="s">
        <v>35</v>
      </c>
      <c r="B16" s="6" t="s">
        <v>36</v>
      </c>
      <c r="C16" s="28" t="s">
        <v>66</v>
      </c>
      <c r="D16" s="30" t="s">
        <v>67</v>
      </c>
      <c r="E16" s="28" t="s">
        <v>55</v>
      </c>
      <c r="F16" s="38" t="s">
        <v>63</v>
      </c>
    </row>
    <row r="17" spans="1:6" ht="28.8" x14ac:dyDescent="0.3">
      <c r="A17" s="6" t="s">
        <v>37</v>
      </c>
      <c r="B17" s="6" t="s">
        <v>34</v>
      </c>
      <c r="C17" s="29"/>
      <c r="D17" s="29"/>
      <c r="E17" s="30" t="s">
        <v>56</v>
      </c>
      <c r="F17" s="38" t="s">
        <v>62</v>
      </c>
    </row>
    <row r="18" spans="1:6" x14ac:dyDescent="0.3">
      <c r="A18" s="6"/>
      <c r="B18" s="6"/>
      <c r="C18" s="29"/>
      <c r="D18" s="29"/>
      <c r="E18" s="29"/>
    </row>
    <row r="19" spans="1:6" x14ac:dyDescent="0.3">
      <c r="A19" s="6"/>
      <c r="B19" s="6"/>
      <c r="C19" s="29"/>
      <c r="D19" s="29"/>
      <c r="E19" s="29"/>
    </row>
    <row r="20" spans="1:6" x14ac:dyDescent="0.3">
      <c r="A20" s="6"/>
      <c r="B20" s="6"/>
      <c r="C20" s="29"/>
      <c r="D20" s="29"/>
      <c r="E20" s="29"/>
    </row>
    <row r="21" spans="1:6" ht="129.6" x14ac:dyDescent="0.3">
      <c r="A21" s="6" t="s">
        <v>8</v>
      </c>
      <c r="B21" s="6" t="s">
        <v>31</v>
      </c>
      <c r="C21" s="30" t="s">
        <v>64</v>
      </c>
      <c r="D21" s="30" t="s">
        <v>65</v>
      </c>
      <c r="E21" s="38" t="s">
        <v>64</v>
      </c>
      <c r="F21" s="30" t="s">
        <v>68</v>
      </c>
    </row>
    <row r="22" spans="1:6" x14ac:dyDescent="0.3">
      <c r="A22" s="6"/>
      <c r="B22" s="6"/>
      <c r="C22" s="29"/>
      <c r="D22" s="29"/>
      <c r="E22" s="29"/>
    </row>
    <row r="23" spans="1:6" ht="57.6" x14ac:dyDescent="0.3">
      <c r="A23" s="6" t="s">
        <v>9</v>
      </c>
      <c r="B23" s="6" t="s">
        <v>12</v>
      </c>
      <c r="C23" s="29"/>
      <c r="D23" s="29"/>
      <c r="E23" s="30" t="s">
        <v>69</v>
      </c>
      <c r="F23" s="38" t="s">
        <v>70</v>
      </c>
    </row>
    <row r="24" spans="1:6" x14ac:dyDescent="0.3">
      <c r="A24" s="6" t="s">
        <v>10</v>
      </c>
      <c r="B24" s="6" t="s">
        <v>13</v>
      </c>
      <c r="C24" s="29"/>
      <c r="D24" s="29"/>
      <c r="E24" s="29"/>
    </row>
    <row r="25" spans="1:6" ht="72" x14ac:dyDescent="0.3">
      <c r="A25" s="6" t="s">
        <v>11</v>
      </c>
      <c r="B25" s="6" t="s">
        <v>32</v>
      </c>
      <c r="C25" s="30" t="s">
        <v>53</v>
      </c>
      <c r="D25" s="30"/>
      <c r="E25" s="30" t="s">
        <v>54</v>
      </c>
      <c r="F25" s="38"/>
    </row>
    <row r="26" spans="1:6" x14ac:dyDescent="0.3">
      <c r="A26" s="6"/>
      <c r="B26" s="6"/>
      <c r="C26" s="29"/>
      <c r="D26" s="29"/>
      <c r="E26" s="29"/>
    </row>
    <row r="27" spans="1:6" x14ac:dyDescent="0.3">
      <c r="A27" s="6"/>
      <c r="B27" s="6"/>
      <c r="C27" s="29"/>
      <c r="D27" s="29"/>
      <c r="E27" s="29"/>
    </row>
    <row r="28" spans="1:6" x14ac:dyDescent="0.3">
      <c r="A28" s="6"/>
      <c r="B28" s="6"/>
      <c r="C28" s="29"/>
      <c r="D28" s="29"/>
      <c r="E28" s="29"/>
    </row>
    <row r="29" spans="1:6" ht="28.8" x14ac:dyDescent="0.3">
      <c r="A29" s="6" t="s">
        <v>23</v>
      </c>
      <c r="B29" s="6" t="s">
        <v>24</v>
      </c>
      <c r="C29" s="29"/>
      <c r="D29" s="29"/>
      <c r="E29" s="34" t="s">
        <v>69</v>
      </c>
      <c r="F29" s="33" t="s">
        <v>71</v>
      </c>
    </row>
    <row r="30" spans="1:6" x14ac:dyDescent="0.3">
      <c r="A30" s="6"/>
      <c r="B30" s="6"/>
      <c r="C30" s="29"/>
      <c r="D30" s="29"/>
      <c r="E30" s="29"/>
    </row>
    <row r="31" spans="1:6" x14ac:dyDescent="0.3">
      <c r="A31" s="6"/>
      <c r="B31" s="6"/>
      <c r="C31" s="29"/>
      <c r="D31" s="29"/>
      <c r="E31" s="29"/>
    </row>
    <row r="32" spans="1:6" ht="49.2" customHeight="1" x14ac:dyDescent="0.3">
      <c r="A32" s="6" t="s">
        <v>14</v>
      </c>
      <c r="B32" s="6" t="s">
        <v>33</v>
      </c>
      <c r="C32" s="31" t="s">
        <v>75</v>
      </c>
      <c r="D32" s="31" t="s">
        <v>74</v>
      </c>
      <c r="E32" s="28" t="s">
        <v>72</v>
      </c>
      <c r="F32" s="31" t="s">
        <v>73</v>
      </c>
    </row>
    <row r="33" spans="1:6" x14ac:dyDescent="0.3">
      <c r="A33" s="6"/>
      <c r="B33" s="6"/>
      <c r="C33" s="32"/>
      <c r="D33" s="32"/>
      <c r="E33" s="29"/>
      <c r="F33" s="39"/>
    </row>
    <row r="34" spans="1:6" ht="57.6" x14ac:dyDescent="0.3">
      <c r="A34" s="6" t="s">
        <v>15</v>
      </c>
      <c r="B34" s="6" t="s">
        <v>16</v>
      </c>
      <c r="C34" s="31" t="s">
        <v>75</v>
      </c>
      <c r="D34" s="31" t="s">
        <v>77</v>
      </c>
      <c r="E34" s="31" t="s">
        <v>75</v>
      </c>
      <c r="F34" s="40" t="s">
        <v>76</v>
      </c>
    </row>
  </sheetData>
  <hyperlinks>
    <hyperlink ref="C3" r:id="rId1" location="a_71520"/>
    <hyperlink ref="C5" r:id="rId2"/>
    <hyperlink ref="C9" r:id="rId3"/>
    <hyperlink ref="E16" r:id="rId4"/>
    <hyperlink ref="E32" r:id="rId5" display="https://www2.deloitte.com/content/dam/Deloitte/ru/Documents/research-center/%D0%9E%D0%B1%D0%B7%D0%BE%D1%80%20%D1%80%D1%8B%D0%BD%D0%BA%D0%B0%20%D1%87%D0%B5%D1%80%D0%BD%D0%BE%D0%B9%20%D0%BC%D0%B5%D1%82%D0%B0%D0%BB%D0%BB%D1%83%D1%80%D0%B3%D0%B8%D0%B8%202020.pdf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12"/>
  <sheetViews>
    <sheetView workbookViewId="0">
      <selection activeCell="B3" sqref="B3"/>
    </sheetView>
  </sheetViews>
  <sheetFormatPr defaultRowHeight="14.4" x14ac:dyDescent="0.3"/>
  <sheetData>
    <row r="1" spans="1:3" x14ac:dyDescent="0.3">
      <c r="A1">
        <v>2021</v>
      </c>
      <c r="B1" s="54">
        <v>74.278044202898585</v>
      </c>
    </row>
    <row r="2" spans="1:3" x14ac:dyDescent="0.3">
      <c r="A2">
        <v>2020</v>
      </c>
      <c r="B2" s="54">
        <v>72.323002057613195</v>
      </c>
    </row>
    <row r="3" spans="1:3" x14ac:dyDescent="0.3">
      <c r="A3">
        <v>2019</v>
      </c>
      <c r="B3" s="54">
        <v>64.618432113821129</v>
      </c>
      <c r="C3">
        <f>B3/B4</f>
        <v>1.0268892376360561</v>
      </c>
    </row>
    <row r="4" spans="1:3" x14ac:dyDescent="0.3">
      <c r="A4">
        <v>2018</v>
      </c>
      <c r="B4" s="54">
        <v>62.926389473684218</v>
      </c>
    </row>
    <row r="5" spans="1:3" x14ac:dyDescent="0.3">
      <c r="A5">
        <v>2017</v>
      </c>
      <c r="B5" s="54">
        <v>58.298184615384642</v>
      </c>
    </row>
    <row r="6" spans="1:3" x14ac:dyDescent="0.3">
      <c r="A6">
        <v>2016</v>
      </c>
      <c r="B6" s="54">
        <v>66.833471774193583</v>
      </c>
    </row>
    <row r="7" spans="1:3" x14ac:dyDescent="0.3">
      <c r="A7">
        <v>2015</v>
      </c>
      <c r="B7" s="54">
        <v>61.319434817813779</v>
      </c>
    </row>
    <row r="8" spans="1:3" x14ac:dyDescent="0.3">
      <c r="A8">
        <v>2014</v>
      </c>
      <c r="B8" s="54">
        <v>38.602468016194365</v>
      </c>
    </row>
    <row r="9" spans="1:3" x14ac:dyDescent="0.3">
      <c r="A9">
        <v>2013</v>
      </c>
      <c r="B9" s="54">
        <v>31.906305284552847</v>
      </c>
    </row>
    <row r="10" spans="1:3" x14ac:dyDescent="0.3">
      <c r="A10">
        <v>2012</v>
      </c>
      <c r="B10" s="54">
        <v>31.074171887550214</v>
      </c>
    </row>
    <row r="11" spans="1:3" x14ac:dyDescent="0.3">
      <c r="A11">
        <v>2011</v>
      </c>
      <c r="B11" s="54">
        <v>29.394827710843373</v>
      </c>
    </row>
    <row r="12" spans="1:3" x14ac:dyDescent="0.3">
      <c r="A12">
        <v>2010</v>
      </c>
      <c r="B12" s="54">
        <v>30.376541365461843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Z42"/>
  <sheetViews>
    <sheetView workbookViewId="0">
      <selection activeCell="A20" sqref="A20"/>
    </sheetView>
  </sheetViews>
  <sheetFormatPr defaultRowHeight="16.95" customHeight="1" x14ac:dyDescent="0.3"/>
  <cols>
    <col min="1" max="1" width="52.6640625" customWidth="1"/>
    <col min="2" max="2" width="4" customWidth="1"/>
    <col min="3" max="3" width="11.33203125" customWidth="1"/>
    <col min="4" max="4" width="12.6640625" customWidth="1"/>
    <col min="5" max="5" width="26.5546875" customWidth="1"/>
    <col min="6" max="8" width="14.6640625" customWidth="1"/>
  </cols>
  <sheetData>
    <row r="1" spans="1:26" ht="16.95" customHeight="1" x14ac:dyDescent="0.3">
      <c r="A1" s="80" t="s">
        <v>197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</row>
    <row r="2" spans="1:26" ht="16.95" customHeight="1" x14ac:dyDescent="0.3">
      <c r="A2" t="s">
        <v>198</v>
      </c>
    </row>
    <row r="3" spans="1:26" ht="16.95" customHeight="1" x14ac:dyDescent="0.3">
      <c r="A3" s="42" t="s">
        <v>199</v>
      </c>
      <c r="B3" s="42" t="s">
        <v>200</v>
      </c>
      <c r="C3" s="42" t="s">
        <v>201</v>
      </c>
      <c r="D3" s="42" t="s">
        <v>202</v>
      </c>
      <c r="E3" s="42" t="s">
        <v>203</v>
      </c>
      <c r="F3" s="42" t="s">
        <v>204</v>
      </c>
      <c r="G3" s="42" t="s">
        <v>205</v>
      </c>
      <c r="H3" s="42" t="s">
        <v>206</v>
      </c>
      <c r="I3" s="42" t="s">
        <v>207</v>
      </c>
      <c r="J3" s="42" t="s">
        <v>208</v>
      </c>
    </row>
    <row r="4" spans="1:26" ht="16.95" customHeight="1" x14ac:dyDescent="0.3">
      <c r="A4" s="42" t="s">
        <v>209</v>
      </c>
      <c r="B4" s="42" t="s">
        <v>210</v>
      </c>
      <c r="C4" s="42" t="s">
        <v>211</v>
      </c>
      <c r="D4" s="42" t="s">
        <v>212</v>
      </c>
      <c r="E4" s="42" t="s">
        <v>213</v>
      </c>
      <c r="F4" s="43">
        <v>422522444</v>
      </c>
      <c r="G4" s="44">
        <v>519083395.91000003</v>
      </c>
      <c r="H4" s="44">
        <v>593571825.83000004</v>
      </c>
      <c r="I4" t="s">
        <v>198</v>
      </c>
      <c r="J4" t="s">
        <v>198</v>
      </c>
    </row>
    <row r="5" spans="1:26" ht="16.95" customHeight="1" x14ac:dyDescent="0.3">
      <c r="A5" s="42" t="s">
        <v>209</v>
      </c>
      <c r="B5" s="42" t="s">
        <v>210</v>
      </c>
      <c r="C5" s="42" t="s">
        <v>211</v>
      </c>
      <c r="D5" s="42" t="s">
        <v>212</v>
      </c>
      <c r="E5" s="42" t="s">
        <v>214</v>
      </c>
      <c r="F5" s="43">
        <v>421964542</v>
      </c>
      <c r="G5" s="44">
        <v>518690653.80000001</v>
      </c>
      <c r="H5" s="44">
        <v>592298118.39999998</v>
      </c>
      <c r="I5" t="s">
        <v>198</v>
      </c>
      <c r="J5" t="s">
        <v>198</v>
      </c>
    </row>
    <row r="6" spans="1:26" ht="16.95" customHeight="1" x14ac:dyDescent="0.3">
      <c r="A6" s="42" t="s">
        <v>215</v>
      </c>
      <c r="B6" s="42" t="s">
        <v>210</v>
      </c>
      <c r="C6" s="42" t="s">
        <v>211</v>
      </c>
      <c r="D6" s="42" t="s">
        <v>212</v>
      </c>
      <c r="E6" s="42" t="s">
        <v>214</v>
      </c>
      <c r="F6" s="43">
        <v>421964542</v>
      </c>
      <c r="G6" s="44">
        <v>518690653.80000001</v>
      </c>
      <c r="H6" s="44">
        <v>592298118.39999998</v>
      </c>
      <c r="I6" t="s">
        <v>198</v>
      </c>
      <c r="J6" t="s">
        <v>198</v>
      </c>
    </row>
    <row r="7" spans="1:26" ht="16.95" customHeight="1" x14ac:dyDescent="0.3">
      <c r="A7" s="42" t="s">
        <v>216</v>
      </c>
      <c r="B7" s="42" t="s">
        <v>210</v>
      </c>
      <c r="C7" s="42" t="s">
        <v>211</v>
      </c>
      <c r="D7" s="42" t="s">
        <v>212</v>
      </c>
      <c r="E7" s="42" t="s">
        <v>214</v>
      </c>
      <c r="F7" s="43">
        <v>12377937</v>
      </c>
      <c r="G7" s="44">
        <v>17559388.399999999</v>
      </c>
      <c r="H7" s="44">
        <v>18475076.399999999</v>
      </c>
      <c r="I7" t="s">
        <v>198</v>
      </c>
      <c r="J7" t="s">
        <v>198</v>
      </c>
    </row>
    <row r="8" spans="1:26" ht="16.95" customHeight="1" x14ac:dyDescent="0.3">
      <c r="A8" s="42" t="s">
        <v>217</v>
      </c>
      <c r="B8" s="42" t="s">
        <v>210</v>
      </c>
      <c r="C8" s="42" t="s">
        <v>211</v>
      </c>
      <c r="D8" s="42" t="s">
        <v>212</v>
      </c>
      <c r="E8" s="42" t="s">
        <v>214</v>
      </c>
      <c r="F8" s="43">
        <v>225395542</v>
      </c>
      <c r="G8" s="44">
        <v>284380388.39999998</v>
      </c>
      <c r="H8" s="44">
        <v>178968844.5</v>
      </c>
      <c r="I8" t="s">
        <v>198</v>
      </c>
      <c r="J8" t="s">
        <v>198</v>
      </c>
    </row>
    <row r="9" spans="1:26" ht="16.95" customHeight="1" x14ac:dyDescent="0.3">
      <c r="A9" s="42" t="s">
        <v>218</v>
      </c>
      <c r="B9" s="42" t="s">
        <v>210</v>
      </c>
      <c r="C9" s="42" t="s">
        <v>211</v>
      </c>
      <c r="D9" s="42" t="s">
        <v>212</v>
      </c>
      <c r="E9" s="42" t="s">
        <v>214</v>
      </c>
      <c r="F9" s="43">
        <v>184191063</v>
      </c>
      <c r="G9" s="43">
        <v>216699490</v>
      </c>
      <c r="H9" s="44">
        <v>394854197.5</v>
      </c>
      <c r="I9" t="s">
        <v>198</v>
      </c>
      <c r="J9" t="s">
        <v>198</v>
      </c>
    </row>
    <row r="10" spans="1:26" ht="16.95" customHeight="1" x14ac:dyDescent="0.3">
      <c r="A10" s="42" t="s">
        <v>219</v>
      </c>
      <c r="B10" s="42" t="s">
        <v>210</v>
      </c>
      <c r="C10" s="42" t="s">
        <v>211</v>
      </c>
      <c r="D10" s="42" t="s">
        <v>212</v>
      </c>
      <c r="E10" s="42" t="s">
        <v>214</v>
      </c>
      <c r="F10" s="43">
        <v>136091395</v>
      </c>
      <c r="G10" s="44">
        <v>192812323.69999999</v>
      </c>
      <c r="H10" s="44">
        <v>177779059.90000001</v>
      </c>
      <c r="I10" t="s">
        <v>198</v>
      </c>
      <c r="J10" t="s">
        <v>198</v>
      </c>
    </row>
    <row r="11" spans="1:26" ht="16.95" customHeight="1" x14ac:dyDescent="0.3">
      <c r="A11" s="42" t="s">
        <v>220</v>
      </c>
      <c r="B11" s="42" t="s">
        <v>210</v>
      </c>
      <c r="C11" s="42" t="s">
        <v>211</v>
      </c>
      <c r="D11" s="42" t="s">
        <v>212</v>
      </c>
      <c r="E11" s="42" t="s">
        <v>213</v>
      </c>
      <c r="F11" s="43">
        <v>5018788450</v>
      </c>
      <c r="G11" s="44">
        <v>6044549069.54</v>
      </c>
      <c r="H11" s="44">
        <v>6307631997.8299999</v>
      </c>
      <c r="I11" t="s">
        <v>198</v>
      </c>
      <c r="J11" t="s">
        <v>198</v>
      </c>
    </row>
    <row r="12" spans="1:26" ht="16.95" customHeight="1" x14ac:dyDescent="0.3">
      <c r="A12" s="42" t="s">
        <v>220</v>
      </c>
      <c r="B12" s="42" t="s">
        <v>210</v>
      </c>
      <c r="C12" s="42" t="s">
        <v>211</v>
      </c>
      <c r="D12" s="42" t="s">
        <v>212</v>
      </c>
      <c r="E12" s="42" t="s">
        <v>214</v>
      </c>
      <c r="F12" s="43">
        <v>4963224998</v>
      </c>
      <c r="G12" s="44">
        <v>5938850797.8999996</v>
      </c>
      <c r="H12" s="44">
        <v>6205897628.6000004</v>
      </c>
      <c r="I12" t="s">
        <v>198</v>
      </c>
      <c r="J12" t="s">
        <v>198</v>
      </c>
    </row>
    <row r="13" spans="1:26" ht="16.95" customHeight="1" x14ac:dyDescent="0.3">
      <c r="A13" s="42" t="s">
        <v>221</v>
      </c>
      <c r="B13" s="42" t="s">
        <v>210</v>
      </c>
      <c r="C13" s="42" t="s">
        <v>211</v>
      </c>
      <c r="D13" s="42" t="s">
        <v>212</v>
      </c>
      <c r="E13" s="42" t="s">
        <v>213</v>
      </c>
      <c r="F13" s="43">
        <v>2268389448</v>
      </c>
      <c r="G13" s="44">
        <v>2787071525.9400001</v>
      </c>
      <c r="H13" s="44">
        <v>2600907174.52</v>
      </c>
      <c r="I13" t="s">
        <v>198</v>
      </c>
      <c r="J13" t="s">
        <v>198</v>
      </c>
    </row>
    <row r="14" spans="1:26" ht="16.95" customHeight="1" x14ac:dyDescent="0.3">
      <c r="A14" s="42" t="s">
        <v>221</v>
      </c>
      <c r="B14" s="42" t="s">
        <v>210</v>
      </c>
      <c r="C14" s="42" t="s">
        <v>211</v>
      </c>
      <c r="D14" s="42" t="s">
        <v>212</v>
      </c>
      <c r="E14" s="42" t="s">
        <v>214</v>
      </c>
      <c r="F14" s="43">
        <v>2254428248</v>
      </c>
      <c r="G14" s="43">
        <v>2757553934</v>
      </c>
      <c r="H14" s="44">
        <v>2582604410.0999999</v>
      </c>
      <c r="I14" t="s">
        <v>198</v>
      </c>
      <c r="J14" t="s">
        <v>198</v>
      </c>
    </row>
    <row r="15" spans="1:26" ht="16.95" customHeight="1" x14ac:dyDescent="0.3">
      <c r="A15" s="42" t="s">
        <v>222</v>
      </c>
      <c r="B15" s="42" t="s">
        <v>210</v>
      </c>
      <c r="C15" s="42" t="s">
        <v>211</v>
      </c>
      <c r="D15" s="42" t="s">
        <v>212</v>
      </c>
      <c r="E15" s="42" t="s">
        <v>214</v>
      </c>
      <c r="F15" s="43">
        <v>2254428248</v>
      </c>
      <c r="G15" s="43">
        <v>2757553934</v>
      </c>
      <c r="H15" s="44">
        <v>2582604410.0999999</v>
      </c>
      <c r="I15" t="s">
        <v>198</v>
      </c>
      <c r="J15" t="s">
        <v>198</v>
      </c>
    </row>
    <row r="16" spans="1:26" ht="16.95" customHeight="1" x14ac:dyDescent="0.3">
      <c r="A16" s="42" t="s">
        <v>223</v>
      </c>
      <c r="B16" s="42" t="s">
        <v>210</v>
      </c>
      <c r="C16" s="42" t="s">
        <v>211</v>
      </c>
      <c r="D16" s="42" t="s">
        <v>212</v>
      </c>
      <c r="E16" s="42" t="s">
        <v>214</v>
      </c>
      <c r="F16" s="43">
        <v>59566103</v>
      </c>
      <c r="G16" s="43">
        <v>75820449</v>
      </c>
      <c r="H16" s="44">
        <v>128196280.7</v>
      </c>
      <c r="I16" t="s">
        <v>198</v>
      </c>
      <c r="J16" t="s">
        <v>198</v>
      </c>
    </row>
    <row r="17" spans="1:10" ht="16.95" customHeight="1" x14ac:dyDescent="0.3">
      <c r="A17" s="42" t="s">
        <v>224</v>
      </c>
      <c r="B17" s="42" t="s">
        <v>210</v>
      </c>
      <c r="C17" s="42" t="s">
        <v>211</v>
      </c>
      <c r="D17" s="42" t="s">
        <v>212</v>
      </c>
      <c r="E17" s="42" t="s">
        <v>214</v>
      </c>
      <c r="F17" s="43">
        <v>737825430</v>
      </c>
      <c r="G17" s="44">
        <v>528911012.30000001</v>
      </c>
      <c r="H17" s="44">
        <v>505107019.60000002</v>
      </c>
      <c r="I17" t="s">
        <v>198</v>
      </c>
      <c r="J17" t="s">
        <v>198</v>
      </c>
    </row>
    <row r="18" spans="1:10" ht="16.95" customHeight="1" x14ac:dyDescent="0.3">
      <c r="A18" s="42" t="s">
        <v>225</v>
      </c>
      <c r="B18" s="42" t="s">
        <v>210</v>
      </c>
      <c r="C18" s="42" t="s">
        <v>211</v>
      </c>
      <c r="D18" s="42" t="s">
        <v>212</v>
      </c>
      <c r="E18" s="42" t="s">
        <v>214</v>
      </c>
      <c r="F18" s="43">
        <v>411316054</v>
      </c>
      <c r="G18" s="44">
        <v>507752073.89999998</v>
      </c>
      <c r="H18" s="44">
        <v>446010561.5</v>
      </c>
      <c r="I18" t="s">
        <v>198</v>
      </c>
      <c r="J18" t="s">
        <v>198</v>
      </c>
    </row>
    <row r="19" spans="1:10" ht="16.95" customHeight="1" x14ac:dyDescent="0.3">
      <c r="A19" s="42" t="s">
        <v>226</v>
      </c>
      <c r="B19" s="42" t="s">
        <v>210</v>
      </c>
      <c r="C19" s="42" t="s">
        <v>211</v>
      </c>
      <c r="D19" s="42" t="s">
        <v>212</v>
      </c>
      <c r="E19" s="42" t="s">
        <v>214</v>
      </c>
      <c r="F19" s="43">
        <v>20684420</v>
      </c>
      <c r="G19" s="44">
        <v>32746295.699999999</v>
      </c>
      <c r="H19" s="44">
        <v>17933051.699999999</v>
      </c>
      <c r="I19" t="s">
        <v>198</v>
      </c>
      <c r="J19" t="s">
        <v>198</v>
      </c>
    </row>
    <row r="20" spans="1:10" ht="16.95" customHeight="1" x14ac:dyDescent="0.3">
      <c r="A20" s="42" t="s">
        <v>227</v>
      </c>
      <c r="B20" s="42" t="s">
        <v>210</v>
      </c>
      <c r="C20" s="42" t="s">
        <v>211</v>
      </c>
      <c r="D20" s="42" t="s">
        <v>212</v>
      </c>
      <c r="E20" s="42" t="s">
        <v>214</v>
      </c>
      <c r="F20" s="43">
        <v>693407420</v>
      </c>
      <c r="G20" s="44">
        <v>656398982.10000002</v>
      </c>
      <c r="H20" s="44">
        <v>598080227.10000002</v>
      </c>
      <c r="I20" t="s">
        <v>198</v>
      </c>
      <c r="J20" t="s">
        <v>198</v>
      </c>
    </row>
    <row r="21" spans="1:10" ht="16.95" customHeight="1" x14ac:dyDescent="0.3">
      <c r="A21" s="42" t="s">
        <v>228</v>
      </c>
      <c r="B21" s="42" t="s">
        <v>210</v>
      </c>
      <c r="C21" s="42" t="s">
        <v>211</v>
      </c>
      <c r="D21" s="42" t="s">
        <v>212</v>
      </c>
      <c r="E21" s="42" t="s">
        <v>214</v>
      </c>
      <c r="F21" s="43">
        <v>53529000</v>
      </c>
      <c r="G21" s="44">
        <v>590157904.20000005</v>
      </c>
      <c r="H21" s="44">
        <v>587675740.20000005</v>
      </c>
      <c r="I21" t="s">
        <v>198</v>
      </c>
      <c r="J21" t="s">
        <v>198</v>
      </c>
    </row>
    <row r="22" spans="1:10" ht="16.95" customHeight="1" x14ac:dyDescent="0.3">
      <c r="A22" s="42" t="s">
        <v>229</v>
      </c>
      <c r="B22" s="42" t="s">
        <v>210</v>
      </c>
      <c r="C22" s="42" t="s">
        <v>211</v>
      </c>
      <c r="D22" s="42" t="s">
        <v>212</v>
      </c>
      <c r="E22" s="42" t="s">
        <v>213</v>
      </c>
      <c r="F22" s="43">
        <v>638948260</v>
      </c>
      <c r="G22" s="44">
        <v>696824303.69000006</v>
      </c>
      <c r="H22" s="44">
        <v>788110021.36000001</v>
      </c>
      <c r="I22" t="s">
        <v>198</v>
      </c>
      <c r="J22" t="s">
        <v>198</v>
      </c>
    </row>
    <row r="23" spans="1:10" ht="16.95" customHeight="1" x14ac:dyDescent="0.3">
      <c r="A23" s="42" t="s">
        <v>229</v>
      </c>
      <c r="B23" s="42" t="s">
        <v>210</v>
      </c>
      <c r="C23" s="42" t="s">
        <v>211</v>
      </c>
      <c r="D23" s="42" t="s">
        <v>212</v>
      </c>
      <c r="E23" s="42" t="s">
        <v>214</v>
      </c>
      <c r="F23" s="43">
        <v>634181879</v>
      </c>
      <c r="G23" s="44">
        <v>688118783.39999998</v>
      </c>
      <c r="H23" s="44">
        <v>774442603.60000002</v>
      </c>
      <c r="I23" t="s">
        <v>198</v>
      </c>
      <c r="J23" t="s">
        <v>198</v>
      </c>
    </row>
    <row r="24" spans="1:10" ht="16.95" customHeight="1" x14ac:dyDescent="0.3">
      <c r="A24" s="42" t="s">
        <v>230</v>
      </c>
      <c r="B24" s="42" t="s">
        <v>210</v>
      </c>
      <c r="C24" s="42" t="s">
        <v>211</v>
      </c>
      <c r="D24" s="42" t="s">
        <v>212</v>
      </c>
      <c r="E24" s="42" t="s">
        <v>213</v>
      </c>
      <c r="F24" s="43">
        <v>58397899</v>
      </c>
      <c r="G24" s="44">
        <v>80634806.769999996</v>
      </c>
      <c r="H24" s="44">
        <v>72891160.540000007</v>
      </c>
      <c r="I24" t="s">
        <v>198</v>
      </c>
      <c r="J24" t="s">
        <v>198</v>
      </c>
    </row>
    <row r="25" spans="1:10" ht="16.95" customHeight="1" x14ac:dyDescent="0.3">
      <c r="A25" s="42" t="s">
        <v>230</v>
      </c>
      <c r="B25" s="42" t="s">
        <v>210</v>
      </c>
      <c r="C25" s="42" t="s">
        <v>211</v>
      </c>
      <c r="D25" s="42" t="s">
        <v>212</v>
      </c>
      <c r="E25" s="42" t="s">
        <v>214</v>
      </c>
      <c r="F25" s="43">
        <v>49408376</v>
      </c>
      <c r="G25" s="44">
        <v>63655222.899999999</v>
      </c>
      <c r="H25" s="44">
        <v>58729225.200000003</v>
      </c>
      <c r="I25" t="s">
        <v>198</v>
      </c>
      <c r="J25" t="s">
        <v>198</v>
      </c>
    </row>
    <row r="26" spans="1:10" ht="16.95" customHeight="1" x14ac:dyDescent="0.3">
      <c r="A26" s="42" t="s">
        <v>231</v>
      </c>
      <c r="B26" s="42" t="s">
        <v>210</v>
      </c>
      <c r="C26" s="42" t="s">
        <v>211</v>
      </c>
      <c r="D26" s="42" t="s">
        <v>212</v>
      </c>
      <c r="E26" s="42" t="s">
        <v>214</v>
      </c>
      <c r="F26" s="43">
        <v>23916279</v>
      </c>
      <c r="G26" s="44">
        <v>29730343.100000001</v>
      </c>
      <c r="H26" s="44">
        <v>26066556.399999999</v>
      </c>
      <c r="I26" t="s">
        <v>198</v>
      </c>
      <c r="J26" t="s">
        <v>198</v>
      </c>
    </row>
    <row r="27" spans="1:10" ht="16.95" customHeight="1" x14ac:dyDescent="0.3">
      <c r="A27" s="42" t="s">
        <v>232</v>
      </c>
      <c r="B27" s="42" t="s">
        <v>210</v>
      </c>
      <c r="C27" s="42" t="s">
        <v>211</v>
      </c>
      <c r="D27" s="42" t="s">
        <v>212</v>
      </c>
      <c r="E27" s="42" t="s">
        <v>214</v>
      </c>
      <c r="F27" s="43">
        <v>22265309</v>
      </c>
      <c r="G27" s="44">
        <v>30206114.600000001</v>
      </c>
      <c r="H27" s="44">
        <v>31715503.699999999</v>
      </c>
      <c r="I27" t="s">
        <v>198</v>
      </c>
      <c r="J27" t="s">
        <v>198</v>
      </c>
    </row>
    <row r="28" spans="1:10" ht="16.95" customHeight="1" x14ac:dyDescent="0.3">
      <c r="A28" s="42" t="s">
        <v>233</v>
      </c>
      <c r="B28" s="42" t="s">
        <v>210</v>
      </c>
      <c r="C28" s="42" t="s">
        <v>211</v>
      </c>
      <c r="D28" s="42" t="s">
        <v>212</v>
      </c>
      <c r="E28" s="42" t="s">
        <v>213</v>
      </c>
      <c r="F28" s="43">
        <v>1852163754</v>
      </c>
      <c r="G28" s="44">
        <v>1997529798.0699999</v>
      </c>
      <c r="H28" s="44">
        <v>2524697054.6500001</v>
      </c>
      <c r="I28" t="s">
        <v>198</v>
      </c>
      <c r="J28" t="s">
        <v>198</v>
      </c>
    </row>
    <row r="29" spans="1:10" ht="16.95" customHeight="1" x14ac:dyDescent="0.3">
      <c r="A29" s="42" t="s">
        <v>233</v>
      </c>
      <c r="B29" s="42" t="s">
        <v>210</v>
      </c>
      <c r="C29" s="42" t="s">
        <v>211</v>
      </c>
      <c r="D29" s="42" t="s">
        <v>212</v>
      </c>
      <c r="E29" s="42" t="s">
        <v>214</v>
      </c>
      <c r="F29" s="43">
        <v>1458294905</v>
      </c>
      <c r="G29" s="44">
        <v>1557706747.5999999</v>
      </c>
      <c r="H29" s="43">
        <v>1990464821</v>
      </c>
      <c r="I29" t="s">
        <v>198</v>
      </c>
      <c r="J29" t="s">
        <v>198</v>
      </c>
    </row>
    <row r="33" spans="1:10" ht="16.95" customHeight="1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</row>
    <row r="34" spans="1:10" ht="16.95" customHeight="1" x14ac:dyDescent="0.3">
      <c r="A34" s="42"/>
      <c r="B34" s="42"/>
      <c r="C34" s="42"/>
      <c r="D34" s="42"/>
      <c r="E34" s="42"/>
      <c r="F34" s="43"/>
      <c r="G34" s="44"/>
      <c r="H34" s="44"/>
      <c r="I34" s="44"/>
    </row>
    <row r="35" spans="1:10" ht="16.95" customHeight="1" x14ac:dyDescent="0.3">
      <c r="A35" s="42"/>
      <c r="B35" s="42"/>
      <c r="C35" s="42"/>
      <c r="D35" s="42"/>
      <c r="E35" s="42"/>
      <c r="F35" s="43"/>
      <c r="G35" s="44"/>
      <c r="H35" s="44"/>
      <c r="I35" s="44"/>
    </row>
    <row r="36" spans="1:10" ht="16.95" customHeight="1" x14ac:dyDescent="0.3">
      <c r="A36" s="42"/>
      <c r="B36" s="42"/>
      <c r="C36" s="42"/>
      <c r="D36" s="42"/>
      <c r="E36" s="42"/>
      <c r="F36" s="43"/>
      <c r="G36" s="44"/>
      <c r="H36" s="44"/>
      <c r="I36" s="44"/>
    </row>
    <row r="37" spans="1:10" ht="16.95" customHeight="1" x14ac:dyDescent="0.3">
      <c r="A37" s="42"/>
      <c r="B37" s="42"/>
      <c r="C37" s="42"/>
      <c r="D37" s="42"/>
      <c r="E37" s="42"/>
      <c r="F37" s="43"/>
      <c r="G37" s="43"/>
      <c r="H37" s="43"/>
      <c r="I37" s="44"/>
    </row>
    <row r="38" spans="1:10" ht="16.95" customHeight="1" x14ac:dyDescent="0.3">
      <c r="A38" s="42"/>
      <c r="B38" s="42"/>
      <c r="C38" s="42"/>
      <c r="D38" s="42"/>
      <c r="E38" s="42"/>
      <c r="F38" s="43"/>
      <c r="G38" s="44"/>
      <c r="H38" s="44"/>
      <c r="I38" s="44"/>
    </row>
    <row r="39" spans="1:10" ht="16.95" customHeight="1" x14ac:dyDescent="0.3">
      <c r="A39" s="42"/>
      <c r="B39" s="42"/>
      <c r="C39" s="42"/>
      <c r="D39" s="42"/>
      <c r="E39" s="42"/>
      <c r="F39" s="43"/>
      <c r="G39" s="44"/>
      <c r="H39" s="44"/>
      <c r="I39" s="44"/>
    </row>
    <row r="40" spans="1:10" ht="16.95" customHeight="1" x14ac:dyDescent="0.3">
      <c r="A40" s="42"/>
      <c r="B40" s="42"/>
      <c r="C40" s="42"/>
      <c r="D40" s="42"/>
      <c r="E40" s="42"/>
      <c r="F40" s="43"/>
      <c r="G40" s="44"/>
      <c r="H40" s="44"/>
      <c r="I40" s="44"/>
    </row>
    <row r="41" spans="1:10" ht="16.95" customHeight="1" x14ac:dyDescent="0.3">
      <c r="A41" s="42"/>
      <c r="B41" s="42"/>
      <c r="C41" s="42"/>
      <c r="D41" s="42"/>
      <c r="E41" s="42"/>
      <c r="F41" s="43"/>
      <c r="G41" s="44"/>
      <c r="H41" s="44"/>
      <c r="I41" s="44"/>
    </row>
    <row r="42" spans="1:10" ht="16.95" customHeight="1" x14ac:dyDescent="0.3">
      <c r="A42" s="42"/>
      <c r="B42" s="42"/>
      <c r="C42" s="42"/>
      <c r="D42" s="42"/>
      <c r="E42" s="42"/>
      <c r="F42" s="43"/>
      <c r="G42" s="44"/>
      <c r="H42" s="44"/>
      <c r="I42" s="43"/>
    </row>
  </sheetData>
  <mergeCells count="1">
    <mergeCell ref="A1:Z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 filterMode="1"/>
  <dimension ref="A1:Z1311"/>
  <sheetViews>
    <sheetView topLeftCell="A124" workbookViewId="0">
      <selection activeCell="I646" sqref="I646:I657"/>
    </sheetView>
  </sheetViews>
  <sheetFormatPr defaultColWidth="8.88671875" defaultRowHeight="16.95" customHeight="1" x14ac:dyDescent="0.3"/>
  <cols>
    <col min="1" max="1" width="19.109375" customWidth="1"/>
    <col min="2" max="2" width="4" customWidth="1"/>
    <col min="3" max="3" width="5" customWidth="1"/>
    <col min="4" max="4" width="38.33203125" customWidth="1"/>
    <col min="5" max="5" width="26.5546875" customWidth="1"/>
    <col min="6" max="9" width="10.88671875" customWidth="1"/>
  </cols>
  <sheetData>
    <row r="1" spans="1:26" ht="16.95" customHeight="1" x14ac:dyDescent="0.3">
      <c r="A1" s="80" t="s">
        <v>234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</row>
    <row r="2" spans="1:26" ht="16.95" customHeight="1" x14ac:dyDescent="0.3">
      <c r="A2" t="s">
        <v>198</v>
      </c>
    </row>
    <row r="3" spans="1:26" ht="16.95" customHeight="1" x14ac:dyDescent="0.3">
      <c r="A3" s="42" t="s">
        <v>235</v>
      </c>
      <c r="B3" s="42" t="s">
        <v>236</v>
      </c>
      <c r="C3" s="42" t="s">
        <v>200</v>
      </c>
      <c r="D3" s="42" t="s">
        <v>237</v>
      </c>
      <c r="E3" s="42" t="s">
        <v>201</v>
      </c>
      <c r="F3" s="42" t="s">
        <v>202</v>
      </c>
      <c r="G3" s="42" t="s">
        <v>204</v>
      </c>
      <c r="H3" s="42" t="s">
        <v>205</v>
      </c>
      <c r="I3" s="42" t="s">
        <v>206</v>
      </c>
      <c r="J3" s="42" t="s">
        <v>207</v>
      </c>
      <c r="K3" s="42" t="s">
        <v>208</v>
      </c>
      <c r="L3" s="42"/>
    </row>
    <row r="4" spans="1:26" ht="16.95" hidden="1" customHeight="1" x14ac:dyDescent="0.3">
      <c r="A4" s="42" t="s">
        <v>238</v>
      </c>
      <c r="B4" s="42" t="s">
        <v>239</v>
      </c>
      <c r="C4" s="42" t="s">
        <v>210</v>
      </c>
      <c r="D4" s="42" t="s">
        <v>240</v>
      </c>
      <c r="E4" s="42" t="s">
        <v>241</v>
      </c>
      <c r="F4" s="42" t="s">
        <v>242</v>
      </c>
      <c r="G4" s="44">
        <v>1252.31</v>
      </c>
      <c r="H4" s="44">
        <v>2014.29</v>
      </c>
      <c r="I4" s="44">
        <v>1966.8</v>
      </c>
      <c r="J4" s="44">
        <v>2229.35</v>
      </c>
      <c r="K4" s="44">
        <v>3231.68</v>
      </c>
    </row>
    <row r="5" spans="1:26" ht="16.95" hidden="1" customHeight="1" x14ac:dyDescent="0.3">
      <c r="A5" s="42" t="s">
        <v>238</v>
      </c>
      <c r="B5" s="42" t="s">
        <v>239</v>
      </c>
      <c r="C5" s="42" t="s">
        <v>210</v>
      </c>
      <c r="D5" s="42" t="s">
        <v>240</v>
      </c>
      <c r="E5" s="42" t="s">
        <v>241</v>
      </c>
      <c r="F5" s="42" t="s">
        <v>243</v>
      </c>
      <c r="G5" s="44">
        <v>1636.15</v>
      </c>
      <c r="H5" s="44">
        <v>2494.96</v>
      </c>
      <c r="I5" s="44">
        <v>1953.05</v>
      </c>
      <c r="J5" s="44">
        <v>2268.36</v>
      </c>
      <c r="K5" s="44">
        <v>3608.78</v>
      </c>
    </row>
    <row r="6" spans="1:26" ht="16.95" hidden="1" customHeight="1" x14ac:dyDescent="0.3">
      <c r="A6" s="42" t="s">
        <v>238</v>
      </c>
      <c r="B6" s="42" t="s">
        <v>239</v>
      </c>
      <c r="C6" s="42" t="s">
        <v>210</v>
      </c>
      <c r="D6" s="42" t="s">
        <v>240</v>
      </c>
      <c r="E6" s="42" t="s">
        <v>241</v>
      </c>
      <c r="F6" s="42" t="s">
        <v>244</v>
      </c>
      <c r="G6" s="44">
        <v>1726.28</v>
      </c>
      <c r="H6" s="44">
        <v>2716.43</v>
      </c>
      <c r="I6" s="44">
        <v>2063.33</v>
      </c>
      <c r="J6" s="44">
        <v>2261.63</v>
      </c>
      <c r="K6" s="44">
        <v>3537.14</v>
      </c>
    </row>
    <row r="7" spans="1:26" ht="16.95" hidden="1" customHeight="1" x14ac:dyDescent="0.3">
      <c r="A7" s="42" t="s">
        <v>238</v>
      </c>
      <c r="B7" s="42" t="s">
        <v>239</v>
      </c>
      <c r="C7" s="42" t="s">
        <v>210</v>
      </c>
      <c r="D7" s="42" t="s">
        <v>240</v>
      </c>
      <c r="E7" s="42" t="s">
        <v>241</v>
      </c>
      <c r="F7" s="42" t="s">
        <v>245</v>
      </c>
      <c r="G7" s="44">
        <v>1809.72</v>
      </c>
      <c r="H7" s="44">
        <v>2688.47</v>
      </c>
      <c r="I7" s="44">
        <v>2197.79</v>
      </c>
      <c r="J7" s="44">
        <v>2257.09</v>
      </c>
      <c r="K7" t="s">
        <v>198</v>
      </c>
    </row>
    <row r="8" spans="1:26" ht="16.95" hidden="1" customHeight="1" x14ac:dyDescent="0.3">
      <c r="A8" s="42" t="s">
        <v>238</v>
      </c>
      <c r="B8" s="42" t="s">
        <v>239</v>
      </c>
      <c r="C8" s="42" t="s">
        <v>210</v>
      </c>
      <c r="D8" s="42" t="s">
        <v>240</v>
      </c>
      <c r="E8" s="42" t="s">
        <v>241</v>
      </c>
      <c r="F8" s="42" t="s">
        <v>246</v>
      </c>
      <c r="G8" s="44">
        <v>1851.88</v>
      </c>
      <c r="H8" s="44">
        <v>2102.5500000000002</v>
      </c>
      <c r="I8" s="44">
        <v>2305.27</v>
      </c>
      <c r="J8" s="44">
        <v>2245.37</v>
      </c>
      <c r="K8" t="s">
        <v>198</v>
      </c>
    </row>
    <row r="9" spans="1:26" ht="16.95" hidden="1" customHeight="1" x14ac:dyDescent="0.3">
      <c r="A9" s="42" t="s">
        <v>238</v>
      </c>
      <c r="B9" s="42" t="s">
        <v>239</v>
      </c>
      <c r="C9" s="42" t="s">
        <v>210</v>
      </c>
      <c r="D9" s="42" t="s">
        <v>240</v>
      </c>
      <c r="E9" s="42" t="s">
        <v>241</v>
      </c>
      <c r="F9" s="42" t="s">
        <v>247</v>
      </c>
      <c r="G9" s="44">
        <v>1776.54</v>
      </c>
      <c r="H9" s="44">
        <v>2348.67</v>
      </c>
      <c r="I9" s="44">
        <v>2642.37</v>
      </c>
      <c r="J9" s="44">
        <v>2235.6</v>
      </c>
      <c r="K9" t="s">
        <v>198</v>
      </c>
    </row>
    <row r="10" spans="1:26" ht="16.95" hidden="1" customHeight="1" x14ac:dyDescent="0.3">
      <c r="A10" s="42" t="s">
        <v>238</v>
      </c>
      <c r="B10" s="42" t="s">
        <v>239</v>
      </c>
      <c r="C10" s="42" t="s">
        <v>210</v>
      </c>
      <c r="D10" s="42" t="s">
        <v>240</v>
      </c>
      <c r="E10" s="42" t="s">
        <v>241</v>
      </c>
      <c r="F10" s="42" t="s">
        <v>248</v>
      </c>
      <c r="G10" s="44">
        <v>1605.03</v>
      </c>
      <c r="H10" s="44">
        <v>2433.04</v>
      </c>
      <c r="I10" s="44">
        <v>2680.4</v>
      </c>
      <c r="J10" s="44">
        <v>2408.14</v>
      </c>
      <c r="K10" t="s">
        <v>198</v>
      </c>
    </row>
    <row r="11" spans="1:26" ht="16.95" hidden="1" customHeight="1" x14ac:dyDescent="0.3">
      <c r="A11" s="42" t="s">
        <v>238</v>
      </c>
      <c r="B11" s="42" t="s">
        <v>239</v>
      </c>
      <c r="C11" s="42" t="s">
        <v>210</v>
      </c>
      <c r="D11" s="42" t="s">
        <v>240</v>
      </c>
      <c r="E11" s="42" t="s">
        <v>241</v>
      </c>
      <c r="F11" s="42" t="s">
        <v>249</v>
      </c>
      <c r="G11" s="44">
        <v>1678.37</v>
      </c>
      <c r="H11" s="44">
        <v>2341.14</v>
      </c>
      <c r="I11" s="44">
        <v>2958.53</v>
      </c>
      <c r="J11" s="44">
        <v>2503.39</v>
      </c>
      <c r="K11" t="s">
        <v>198</v>
      </c>
    </row>
    <row r="12" spans="1:26" ht="16.95" hidden="1" customHeight="1" x14ac:dyDescent="0.3">
      <c r="A12" s="42" t="s">
        <v>238</v>
      </c>
      <c r="B12" s="42" t="s">
        <v>239</v>
      </c>
      <c r="C12" s="42" t="s">
        <v>210</v>
      </c>
      <c r="D12" s="42" t="s">
        <v>240</v>
      </c>
      <c r="E12" s="42" t="s">
        <v>241</v>
      </c>
      <c r="F12" s="42" t="s">
        <v>250</v>
      </c>
      <c r="G12" s="44">
        <v>1750.5</v>
      </c>
      <c r="H12" s="44">
        <v>2265.65</v>
      </c>
      <c r="I12" s="44">
        <v>2925.44</v>
      </c>
      <c r="J12" s="44">
        <v>2634.03</v>
      </c>
      <c r="K12" t="s">
        <v>198</v>
      </c>
    </row>
    <row r="13" spans="1:26" ht="16.95" hidden="1" customHeight="1" x14ac:dyDescent="0.3">
      <c r="A13" s="42" t="s">
        <v>238</v>
      </c>
      <c r="B13" s="42" t="s">
        <v>239</v>
      </c>
      <c r="C13" s="42" t="s">
        <v>210</v>
      </c>
      <c r="D13" s="42" t="s">
        <v>240</v>
      </c>
      <c r="E13" s="42" t="s">
        <v>241</v>
      </c>
      <c r="F13" s="42" t="s">
        <v>251</v>
      </c>
      <c r="G13" s="44">
        <v>1856.06</v>
      </c>
      <c r="H13" s="44">
        <v>2097.4899999999998</v>
      </c>
      <c r="I13" s="44">
        <v>2723.76</v>
      </c>
      <c r="J13" s="44">
        <v>2773.96</v>
      </c>
      <c r="K13" t="s">
        <v>198</v>
      </c>
    </row>
    <row r="14" spans="1:26" ht="16.95" hidden="1" customHeight="1" x14ac:dyDescent="0.3">
      <c r="A14" s="42" t="s">
        <v>238</v>
      </c>
      <c r="B14" s="42" t="s">
        <v>239</v>
      </c>
      <c r="C14" s="42" t="s">
        <v>210</v>
      </c>
      <c r="D14" s="42" t="s">
        <v>240</v>
      </c>
      <c r="E14" s="42" t="s">
        <v>241</v>
      </c>
      <c r="F14" s="42" t="s">
        <v>252</v>
      </c>
      <c r="G14" s="44">
        <v>1726.37</v>
      </c>
      <c r="H14" s="44">
        <v>2482.5700000000002</v>
      </c>
      <c r="I14" s="44">
        <v>2473.65</v>
      </c>
      <c r="J14" s="44">
        <v>3034.64</v>
      </c>
      <c r="K14" t="s">
        <v>198</v>
      </c>
    </row>
    <row r="15" spans="1:26" ht="16.95" hidden="1" customHeight="1" x14ac:dyDescent="0.3">
      <c r="A15" s="42" t="s">
        <v>238</v>
      </c>
      <c r="B15" s="42" t="s">
        <v>239</v>
      </c>
      <c r="C15" s="42" t="s">
        <v>210</v>
      </c>
      <c r="D15" s="42" t="s">
        <v>240</v>
      </c>
      <c r="E15" s="42" t="s">
        <v>241</v>
      </c>
      <c r="F15" s="42" t="s">
        <v>253</v>
      </c>
      <c r="G15" s="44">
        <v>1763.01</v>
      </c>
      <c r="H15" s="44">
        <v>2739.34</v>
      </c>
      <c r="I15" s="44">
        <v>2265.89</v>
      </c>
      <c r="J15" s="44">
        <v>2994.59</v>
      </c>
      <c r="K15" t="s">
        <v>198</v>
      </c>
    </row>
    <row r="16" spans="1:26" ht="16.95" hidden="1" customHeight="1" x14ac:dyDescent="0.3">
      <c r="A16" s="42" t="s">
        <v>238</v>
      </c>
      <c r="B16" s="42" t="s">
        <v>239</v>
      </c>
      <c r="C16" s="42" t="s">
        <v>210</v>
      </c>
      <c r="D16" s="42" t="s">
        <v>254</v>
      </c>
      <c r="E16" s="42" t="s">
        <v>241</v>
      </c>
      <c r="F16" s="42" t="s">
        <v>242</v>
      </c>
      <c r="G16" s="44">
        <v>3179.48</v>
      </c>
      <c r="H16" s="44">
        <v>3253.08</v>
      </c>
      <c r="I16" s="44">
        <v>3781.92</v>
      </c>
      <c r="J16" s="44">
        <v>3832.51</v>
      </c>
      <c r="K16" s="44">
        <v>7235.55</v>
      </c>
    </row>
    <row r="17" spans="1:11" ht="16.95" hidden="1" customHeight="1" x14ac:dyDescent="0.3">
      <c r="A17" s="42" t="s">
        <v>238</v>
      </c>
      <c r="B17" s="42" t="s">
        <v>239</v>
      </c>
      <c r="C17" s="42" t="s">
        <v>210</v>
      </c>
      <c r="D17" s="42" t="s">
        <v>254</v>
      </c>
      <c r="E17" s="42" t="s">
        <v>241</v>
      </c>
      <c r="F17" s="42" t="s">
        <v>243</v>
      </c>
      <c r="G17" s="44">
        <v>3320.04</v>
      </c>
      <c r="H17" s="44">
        <v>3509.18</v>
      </c>
      <c r="I17" s="44">
        <v>4086.83</v>
      </c>
      <c r="J17" s="44">
        <v>3826.49</v>
      </c>
      <c r="K17" s="44">
        <v>8732.51</v>
      </c>
    </row>
    <row r="18" spans="1:11" ht="16.95" hidden="1" customHeight="1" x14ac:dyDescent="0.3">
      <c r="A18" s="42" t="s">
        <v>238</v>
      </c>
      <c r="B18" s="42" t="s">
        <v>239</v>
      </c>
      <c r="C18" s="42" t="s">
        <v>210</v>
      </c>
      <c r="D18" s="42" t="s">
        <v>254</v>
      </c>
      <c r="E18" s="42" t="s">
        <v>241</v>
      </c>
      <c r="F18" s="42" t="s">
        <v>244</v>
      </c>
      <c r="G18" s="44">
        <v>3470.24</v>
      </c>
      <c r="H18" s="44">
        <v>3664.47</v>
      </c>
      <c r="I18" s="44">
        <v>4539.5</v>
      </c>
      <c r="J18" s="44">
        <v>3632.63</v>
      </c>
      <c r="K18" s="44">
        <v>9077.85</v>
      </c>
    </row>
    <row r="19" spans="1:11" ht="16.95" hidden="1" customHeight="1" x14ac:dyDescent="0.3">
      <c r="A19" s="42" t="s">
        <v>238</v>
      </c>
      <c r="B19" s="42" t="s">
        <v>239</v>
      </c>
      <c r="C19" s="42" t="s">
        <v>210</v>
      </c>
      <c r="D19" s="42" t="s">
        <v>254</v>
      </c>
      <c r="E19" s="42" t="s">
        <v>241</v>
      </c>
      <c r="F19" s="42" t="s">
        <v>245</v>
      </c>
      <c r="G19" s="44">
        <v>3577.17</v>
      </c>
      <c r="H19" s="44">
        <v>3680.07</v>
      </c>
      <c r="I19" s="44">
        <v>4621.1000000000004</v>
      </c>
      <c r="J19" s="44">
        <v>3981.13</v>
      </c>
      <c r="K19" t="s">
        <v>198</v>
      </c>
    </row>
    <row r="20" spans="1:11" ht="16.95" hidden="1" customHeight="1" x14ac:dyDescent="0.3">
      <c r="A20" s="42" t="s">
        <v>238</v>
      </c>
      <c r="B20" s="42" t="s">
        <v>239</v>
      </c>
      <c r="C20" s="42" t="s">
        <v>210</v>
      </c>
      <c r="D20" s="42" t="s">
        <v>254</v>
      </c>
      <c r="E20" s="42" t="s">
        <v>241</v>
      </c>
      <c r="F20" s="42" t="s">
        <v>246</v>
      </c>
      <c r="G20" s="44">
        <v>3314.78</v>
      </c>
      <c r="H20" s="44">
        <v>3422.76</v>
      </c>
      <c r="I20" s="44">
        <v>4830.92</v>
      </c>
      <c r="J20" s="44">
        <v>4013.97</v>
      </c>
      <c r="K20" t="s">
        <v>198</v>
      </c>
    </row>
    <row r="21" spans="1:11" ht="16.95" hidden="1" customHeight="1" x14ac:dyDescent="0.3">
      <c r="A21" s="42" t="s">
        <v>238</v>
      </c>
      <c r="B21" s="42" t="s">
        <v>239</v>
      </c>
      <c r="C21" s="42" t="s">
        <v>210</v>
      </c>
      <c r="D21" s="42" t="s">
        <v>254</v>
      </c>
      <c r="E21" s="42" t="s">
        <v>241</v>
      </c>
      <c r="F21" s="42" t="s">
        <v>247</v>
      </c>
      <c r="G21" s="44">
        <v>2791.19</v>
      </c>
      <c r="H21" s="44">
        <v>3648.35</v>
      </c>
      <c r="I21" s="44">
        <v>5049.8500000000004</v>
      </c>
      <c r="J21" s="44">
        <v>4090.78</v>
      </c>
      <c r="K21" t="s">
        <v>198</v>
      </c>
    </row>
    <row r="22" spans="1:11" ht="16.95" hidden="1" customHeight="1" x14ac:dyDescent="0.3">
      <c r="A22" s="42" t="s">
        <v>238</v>
      </c>
      <c r="B22" s="42" t="s">
        <v>239</v>
      </c>
      <c r="C22" s="42" t="s">
        <v>210</v>
      </c>
      <c r="D22" s="42" t="s">
        <v>254</v>
      </c>
      <c r="E22" s="42" t="s">
        <v>241</v>
      </c>
      <c r="F22" s="42" t="s">
        <v>248</v>
      </c>
      <c r="G22" s="44">
        <v>2367.48</v>
      </c>
      <c r="H22" s="44">
        <v>3730.4</v>
      </c>
      <c r="I22" s="44">
        <v>4991.91</v>
      </c>
      <c r="J22" s="44">
        <v>4517.53</v>
      </c>
      <c r="K22" t="s">
        <v>198</v>
      </c>
    </row>
    <row r="23" spans="1:11" ht="16.95" hidden="1" customHeight="1" x14ac:dyDescent="0.3">
      <c r="A23" s="42" t="s">
        <v>238</v>
      </c>
      <c r="B23" s="42" t="s">
        <v>239</v>
      </c>
      <c r="C23" s="42" t="s">
        <v>210</v>
      </c>
      <c r="D23" s="42" t="s">
        <v>254</v>
      </c>
      <c r="E23" s="42" t="s">
        <v>241</v>
      </c>
      <c r="F23" s="42" t="s">
        <v>249</v>
      </c>
      <c r="G23" s="44">
        <v>2719.89</v>
      </c>
      <c r="H23" s="44">
        <v>3820.67</v>
      </c>
      <c r="I23" s="44">
        <v>5641.79</v>
      </c>
      <c r="J23" s="44">
        <v>4852.6099999999997</v>
      </c>
      <c r="K23" t="s">
        <v>198</v>
      </c>
    </row>
    <row r="24" spans="1:11" ht="16.95" hidden="1" customHeight="1" x14ac:dyDescent="0.3">
      <c r="A24" s="42" t="s">
        <v>238</v>
      </c>
      <c r="B24" s="42" t="s">
        <v>239</v>
      </c>
      <c r="C24" s="42" t="s">
        <v>210</v>
      </c>
      <c r="D24" s="42" t="s">
        <v>254</v>
      </c>
      <c r="E24" s="42" t="s">
        <v>241</v>
      </c>
      <c r="F24" s="42" t="s">
        <v>250</v>
      </c>
      <c r="G24" s="44">
        <v>3169.63</v>
      </c>
      <c r="H24" s="44">
        <v>3642.27</v>
      </c>
      <c r="I24" s="44">
        <v>4972.1899999999996</v>
      </c>
      <c r="J24" s="44">
        <v>5511.6</v>
      </c>
      <c r="K24" t="s">
        <v>198</v>
      </c>
    </row>
    <row r="25" spans="1:11" ht="16.95" hidden="1" customHeight="1" x14ac:dyDescent="0.3">
      <c r="A25" s="42" t="s">
        <v>238</v>
      </c>
      <c r="B25" s="42" t="s">
        <v>239</v>
      </c>
      <c r="C25" s="42" t="s">
        <v>210</v>
      </c>
      <c r="D25" s="42" t="s">
        <v>254</v>
      </c>
      <c r="E25" s="42" t="s">
        <v>241</v>
      </c>
      <c r="F25" s="42" t="s">
        <v>251</v>
      </c>
      <c r="G25" s="44">
        <v>3217.92</v>
      </c>
      <c r="H25" s="44">
        <v>3892.96</v>
      </c>
      <c r="I25" s="43">
        <v>4031</v>
      </c>
      <c r="J25" s="44">
        <v>5981.82</v>
      </c>
      <c r="K25" t="s">
        <v>198</v>
      </c>
    </row>
    <row r="26" spans="1:11" ht="16.95" hidden="1" customHeight="1" x14ac:dyDescent="0.3">
      <c r="A26" s="42" t="s">
        <v>238</v>
      </c>
      <c r="B26" s="42" t="s">
        <v>239</v>
      </c>
      <c r="C26" s="42" t="s">
        <v>210</v>
      </c>
      <c r="D26" s="42" t="s">
        <v>254</v>
      </c>
      <c r="E26" s="42" t="s">
        <v>241</v>
      </c>
      <c r="F26" s="42" t="s">
        <v>252</v>
      </c>
      <c r="G26" s="44">
        <v>2925.98</v>
      </c>
      <c r="H26" s="44">
        <v>3832.48</v>
      </c>
      <c r="I26" s="44">
        <v>3919.37</v>
      </c>
      <c r="J26" s="44">
        <v>6182.17</v>
      </c>
      <c r="K26" t="s">
        <v>198</v>
      </c>
    </row>
    <row r="27" spans="1:11" ht="16.95" hidden="1" customHeight="1" x14ac:dyDescent="0.3">
      <c r="A27" s="42" t="s">
        <v>238</v>
      </c>
      <c r="B27" s="42" t="s">
        <v>239</v>
      </c>
      <c r="C27" s="42" t="s">
        <v>210</v>
      </c>
      <c r="D27" s="42" t="s">
        <v>254</v>
      </c>
      <c r="E27" s="42" t="s">
        <v>241</v>
      </c>
      <c r="F27" s="42" t="s">
        <v>253</v>
      </c>
      <c r="G27" s="44">
        <v>2853.8</v>
      </c>
      <c r="H27" s="44">
        <v>4144.72</v>
      </c>
      <c r="I27" s="44">
        <v>3643.21</v>
      </c>
      <c r="J27" s="44">
        <v>6304.95</v>
      </c>
      <c r="K27" t="s">
        <v>198</v>
      </c>
    </row>
    <row r="28" spans="1:11" ht="16.95" hidden="1" customHeight="1" x14ac:dyDescent="0.3">
      <c r="A28" s="42" t="s">
        <v>238</v>
      </c>
      <c r="B28" s="42" t="s">
        <v>239</v>
      </c>
      <c r="C28" s="42" t="s">
        <v>210</v>
      </c>
      <c r="D28" s="42" t="s">
        <v>255</v>
      </c>
      <c r="E28" s="42" t="s">
        <v>241</v>
      </c>
      <c r="F28" s="42" t="s">
        <v>242</v>
      </c>
      <c r="G28" s="44">
        <v>3102.69</v>
      </c>
      <c r="H28" t="s">
        <v>198</v>
      </c>
      <c r="I28" t="s">
        <v>198</v>
      </c>
      <c r="J28" t="s">
        <v>198</v>
      </c>
      <c r="K28" t="s">
        <v>198</v>
      </c>
    </row>
    <row r="29" spans="1:11" ht="16.95" hidden="1" customHeight="1" x14ac:dyDescent="0.3">
      <c r="A29" s="42" t="s">
        <v>238</v>
      </c>
      <c r="B29" s="42" t="s">
        <v>239</v>
      </c>
      <c r="C29" s="42" t="s">
        <v>210</v>
      </c>
      <c r="D29" s="42" t="s">
        <v>255</v>
      </c>
      <c r="E29" s="42" t="s">
        <v>241</v>
      </c>
      <c r="F29" s="42" t="s">
        <v>243</v>
      </c>
      <c r="G29" s="44">
        <v>3091.88</v>
      </c>
      <c r="H29" t="s">
        <v>198</v>
      </c>
      <c r="I29" t="s">
        <v>198</v>
      </c>
      <c r="J29" t="s">
        <v>198</v>
      </c>
      <c r="K29" t="s">
        <v>198</v>
      </c>
    </row>
    <row r="30" spans="1:11" ht="16.95" hidden="1" customHeight="1" x14ac:dyDescent="0.3">
      <c r="A30" s="42" t="s">
        <v>238</v>
      </c>
      <c r="B30" s="42" t="s">
        <v>239</v>
      </c>
      <c r="C30" s="42" t="s">
        <v>210</v>
      </c>
      <c r="D30" s="42" t="s">
        <v>255</v>
      </c>
      <c r="E30" s="42" t="s">
        <v>241</v>
      </c>
      <c r="F30" s="42" t="s">
        <v>244</v>
      </c>
      <c r="G30" s="44">
        <v>3108.72</v>
      </c>
      <c r="H30" t="s">
        <v>198</v>
      </c>
      <c r="I30" t="s">
        <v>198</v>
      </c>
      <c r="J30" t="s">
        <v>198</v>
      </c>
      <c r="K30" t="s">
        <v>198</v>
      </c>
    </row>
    <row r="31" spans="1:11" ht="16.95" hidden="1" customHeight="1" x14ac:dyDescent="0.3">
      <c r="A31" s="42" t="s">
        <v>238</v>
      </c>
      <c r="B31" s="42" t="s">
        <v>239</v>
      </c>
      <c r="C31" s="42" t="s">
        <v>210</v>
      </c>
      <c r="D31" s="42" t="s">
        <v>255</v>
      </c>
      <c r="E31" s="42" t="s">
        <v>241</v>
      </c>
      <c r="F31" s="42" t="s">
        <v>245</v>
      </c>
      <c r="G31" s="44">
        <v>3632.39</v>
      </c>
      <c r="H31" t="s">
        <v>198</v>
      </c>
      <c r="I31" t="s">
        <v>198</v>
      </c>
      <c r="J31" t="s">
        <v>198</v>
      </c>
      <c r="K31" t="s">
        <v>198</v>
      </c>
    </row>
    <row r="32" spans="1:11" ht="16.95" hidden="1" customHeight="1" x14ac:dyDescent="0.3">
      <c r="A32" s="42" t="s">
        <v>238</v>
      </c>
      <c r="B32" s="42" t="s">
        <v>239</v>
      </c>
      <c r="C32" s="42" t="s">
        <v>210</v>
      </c>
      <c r="D32" s="42" t="s">
        <v>255</v>
      </c>
      <c r="E32" s="42" t="s">
        <v>241</v>
      </c>
      <c r="F32" s="42" t="s">
        <v>246</v>
      </c>
      <c r="G32" s="44">
        <v>3667.22</v>
      </c>
      <c r="H32" t="s">
        <v>198</v>
      </c>
      <c r="I32" t="s">
        <v>198</v>
      </c>
      <c r="J32" t="s">
        <v>198</v>
      </c>
      <c r="K32" t="s">
        <v>198</v>
      </c>
    </row>
    <row r="33" spans="1:11" ht="16.95" hidden="1" customHeight="1" x14ac:dyDescent="0.3">
      <c r="A33" s="42" t="s">
        <v>238</v>
      </c>
      <c r="B33" s="42" t="s">
        <v>239</v>
      </c>
      <c r="C33" s="42" t="s">
        <v>210</v>
      </c>
      <c r="D33" s="42" t="s">
        <v>255</v>
      </c>
      <c r="E33" s="42" t="s">
        <v>241</v>
      </c>
      <c r="F33" s="42" t="s">
        <v>247</v>
      </c>
      <c r="G33" s="44">
        <v>3267.03</v>
      </c>
      <c r="H33" t="s">
        <v>198</v>
      </c>
      <c r="I33" t="s">
        <v>198</v>
      </c>
      <c r="J33" t="s">
        <v>198</v>
      </c>
      <c r="K33" t="s">
        <v>198</v>
      </c>
    </row>
    <row r="34" spans="1:11" ht="16.95" hidden="1" customHeight="1" x14ac:dyDescent="0.3">
      <c r="A34" s="42" t="s">
        <v>238</v>
      </c>
      <c r="B34" s="42" t="s">
        <v>239</v>
      </c>
      <c r="C34" s="42" t="s">
        <v>210</v>
      </c>
      <c r="D34" s="42" t="s">
        <v>255</v>
      </c>
      <c r="E34" s="42" t="s">
        <v>241</v>
      </c>
      <c r="F34" s="42" t="s">
        <v>248</v>
      </c>
      <c r="G34" s="44">
        <v>2762.78</v>
      </c>
      <c r="H34" t="s">
        <v>198</v>
      </c>
      <c r="I34" t="s">
        <v>198</v>
      </c>
      <c r="J34" t="s">
        <v>198</v>
      </c>
      <c r="K34" t="s">
        <v>198</v>
      </c>
    </row>
    <row r="35" spans="1:11" ht="16.95" hidden="1" customHeight="1" x14ac:dyDescent="0.3">
      <c r="A35" s="42" t="s">
        <v>238</v>
      </c>
      <c r="B35" s="42" t="s">
        <v>239</v>
      </c>
      <c r="C35" s="42" t="s">
        <v>210</v>
      </c>
      <c r="D35" s="42" t="s">
        <v>255</v>
      </c>
      <c r="E35" s="42" t="s">
        <v>241</v>
      </c>
      <c r="F35" s="42" t="s">
        <v>249</v>
      </c>
      <c r="G35" s="44">
        <v>2911.66</v>
      </c>
      <c r="H35" t="s">
        <v>198</v>
      </c>
      <c r="I35" t="s">
        <v>198</v>
      </c>
      <c r="J35" t="s">
        <v>198</v>
      </c>
      <c r="K35" t="s">
        <v>198</v>
      </c>
    </row>
    <row r="36" spans="1:11" ht="16.95" hidden="1" customHeight="1" x14ac:dyDescent="0.3">
      <c r="A36" s="42" t="s">
        <v>238</v>
      </c>
      <c r="B36" s="42" t="s">
        <v>239</v>
      </c>
      <c r="C36" s="42" t="s">
        <v>210</v>
      </c>
      <c r="D36" s="42" t="s">
        <v>255</v>
      </c>
      <c r="E36" s="42" t="s">
        <v>241</v>
      </c>
      <c r="F36" s="42" t="s">
        <v>250</v>
      </c>
      <c r="G36" s="44">
        <v>3065.81</v>
      </c>
      <c r="H36" t="s">
        <v>198</v>
      </c>
      <c r="I36" t="s">
        <v>198</v>
      </c>
      <c r="J36" t="s">
        <v>198</v>
      </c>
      <c r="K36" t="s">
        <v>198</v>
      </c>
    </row>
    <row r="37" spans="1:11" ht="16.95" hidden="1" customHeight="1" x14ac:dyDescent="0.3">
      <c r="A37" s="42" t="s">
        <v>238</v>
      </c>
      <c r="B37" s="42" t="s">
        <v>239</v>
      </c>
      <c r="C37" s="42" t="s">
        <v>210</v>
      </c>
      <c r="D37" s="42" t="s">
        <v>255</v>
      </c>
      <c r="E37" s="42" t="s">
        <v>241</v>
      </c>
      <c r="F37" s="42" t="s">
        <v>251</v>
      </c>
      <c r="G37" s="44">
        <v>3315.38</v>
      </c>
      <c r="H37" t="s">
        <v>198</v>
      </c>
      <c r="I37" t="s">
        <v>198</v>
      </c>
      <c r="J37" t="s">
        <v>198</v>
      </c>
      <c r="K37" t="s">
        <v>198</v>
      </c>
    </row>
    <row r="38" spans="1:11" ht="16.95" hidden="1" customHeight="1" x14ac:dyDescent="0.3">
      <c r="A38" s="42" t="s">
        <v>238</v>
      </c>
      <c r="B38" s="42" t="s">
        <v>239</v>
      </c>
      <c r="C38" s="42" t="s">
        <v>210</v>
      </c>
      <c r="D38" s="42" t="s">
        <v>255</v>
      </c>
      <c r="E38" s="42" t="s">
        <v>241</v>
      </c>
      <c r="F38" s="42" t="s">
        <v>252</v>
      </c>
      <c r="G38" s="44">
        <v>2858.73</v>
      </c>
      <c r="H38" t="s">
        <v>198</v>
      </c>
      <c r="I38" t="s">
        <v>198</v>
      </c>
      <c r="J38" t="s">
        <v>198</v>
      </c>
      <c r="K38" t="s">
        <v>198</v>
      </c>
    </row>
    <row r="39" spans="1:11" ht="16.95" hidden="1" customHeight="1" x14ac:dyDescent="0.3">
      <c r="A39" s="42" t="s">
        <v>238</v>
      </c>
      <c r="B39" s="42" t="s">
        <v>239</v>
      </c>
      <c r="C39" s="42" t="s">
        <v>210</v>
      </c>
      <c r="D39" s="42" t="s">
        <v>255</v>
      </c>
      <c r="E39" s="42" t="s">
        <v>241</v>
      </c>
      <c r="F39" s="42" t="s">
        <v>253</v>
      </c>
      <c r="G39" s="44">
        <v>2564.2199999999998</v>
      </c>
      <c r="H39" t="s">
        <v>198</v>
      </c>
      <c r="I39" t="s">
        <v>198</v>
      </c>
      <c r="J39" t="s">
        <v>198</v>
      </c>
      <c r="K39" t="s">
        <v>198</v>
      </c>
    </row>
    <row r="40" spans="1:11" ht="16.95" hidden="1" customHeight="1" x14ac:dyDescent="0.3">
      <c r="A40" s="42" t="s">
        <v>238</v>
      </c>
      <c r="B40" s="42" t="s">
        <v>239</v>
      </c>
      <c r="C40" s="42" t="s">
        <v>210</v>
      </c>
      <c r="D40" s="42" t="s">
        <v>256</v>
      </c>
      <c r="E40" s="42" t="s">
        <v>241</v>
      </c>
      <c r="F40" s="42" t="s">
        <v>242</v>
      </c>
      <c r="G40" s="44">
        <v>4631.96</v>
      </c>
      <c r="H40" s="44">
        <v>4270.3599999999997</v>
      </c>
      <c r="I40" s="44">
        <v>5815.05</v>
      </c>
      <c r="J40" s="44">
        <v>4931.71</v>
      </c>
      <c r="K40" s="43">
        <v>9628</v>
      </c>
    </row>
    <row r="41" spans="1:11" ht="16.95" hidden="1" customHeight="1" x14ac:dyDescent="0.3">
      <c r="A41" s="42" t="s">
        <v>238</v>
      </c>
      <c r="B41" s="42" t="s">
        <v>239</v>
      </c>
      <c r="C41" s="42" t="s">
        <v>210</v>
      </c>
      <c r="D41" s="42" t="s">
        <v>256</v>
      </c>
      <c r="E41" s="42" t="s">
        <v>241</v>
      </c>
      <c r="F41" s="42" t="s">
        <v>243</v>
      </c>
      <c r="G41" s="44">
        <v>4729.51</v>
      </c>
      <c r="H41" s="44">
        <v>4842.4799999999996</v>
      </c>
      <c r="I41" s="44">
        <v>6222.76</v>
      </c>
      <c r="J41" s="44">
        <v>4936.3100000000004</v>
      </c>
      <c r="K41" s="44">
        <v>10548.4</v>
      </c>
    </row>
    <row r="42" spans="1:11" ht="16.95" hidden="1" customHeight="1" x14ac:dyDescent="0.3">
      <c r="A42" s="42" t="s">
        <v>238</v>
      </c>
      <c r="B42" s="42" t="s">
        <v>239</v>
      </c>
      <c r="C42" s="42" t="s">
        <v>210</v>
      </c>
      <c r="D42" s="42" t="s">
        <v>256</v>
      </c>
      <c r="E42" s="42" t="s">
        <v>241</v>
      </c>
      <c r="F42" s="42" t="s">
        <v>244</v>
      </c>
      <c r="G42" s="44">
        <v>4722.1499999999996</v>
      </c>
      <c r="H42" s="44">
        <v>4772.7700000000004</v>
      </c>
      <c r="I42" s="44">
        <v>6621.59</v>
      </c>
      <c r="J42" s="44">
        <v>4619.6499999999996</v>
      </c>
      <c r="K42" s="44">
        <v>10529.24</v>
      </c>
    </row>
    <row r="43" spans="1:11" ht="16.95" hidden="1" customHeight="1" x14ac:dyDescent="0.3">
      <c r="A43" s="42" t="s">
        <v>238</v>
      </c>
      <c r="B43" s="42" t="s">
        <v>239</v>
      </c>
      <c r="C43" s="42" t="s">
        <v>210</v>
      </c>
      <c r="D43" s="42" t="s">
        <v>256</v>
      </c>
      <c r="E43" s="42" t="s">
        <v>241</v>
      </c>
      <c r="F43" s="42" t="s">
        <v>245</v>
      </c>
      <c r="G43" s="44">
        <v>5449.76</v>
      </c>
      <c r="H43" s="44">
        <v>4739.47</v>
      </c>
      <c r="I43" s="44">
        <v>7073.7</v>
      </c>
      <c r="J43" s="44">
        <v>5239.47</v>
      </c>
      <c r="K43" t="s">
        <v>198</v>
      </c>
    </row>
    <row r="44" spans="1:11" ht="16.95" hidden="1" customHeight="1" x14ac:dyDescent="0.3">
      <c r="A44" s="42" t="s">
        <v>238</v>
      </c>
      <c r="B44" s="42" t="s">
        <v>239</v>
      </c>
      <c r="C44" s="42" t="s">
        <v>210</v>
      </c>
      <c r="D44" s="42" t="s">
        <v>256</v>
      </c>
      <c r="E44" s="42" t="s">
        <v>241</v>
      </c>
      <c r="F44" s="42" t="s">
        <v>246</v>
      </c>
      <c r="G44" s="44">
        <v>4700.5200000000004</v>
      </c>
      <c r="H44" s="44">
        <v>4271.1499999999996</v>
      </c>
      <c r="I44" s="44">
        <v>7288.61</v>
      </c>
      <c r="J44" s="44">
        <v>5417.93</v>
      </c>
      <c r="K44" t="s">
        <v>198</v>
      </c>
    </row>
    <row r="45" spans="1:11" ht="16.95" hidden="1" customHeight="1" x14ac:dyDescent="0.3">
      <c r="A45" s="42" t="s">
        <v>238</v>
      </c>
      <c r="B45" s="42" t="s">
        <v>239</v>
      </c>
      <c r="C45" s="42" t="s">
        <v>210</v>
      </c>
      <c r="D45" s="42" t="s">
        <v>256</v>
      </c>
      <c r="E45" s="42" t="s">
        <v>241</v>
      </c>
      <c r="F45" s="42" t="s">
        <v>247</v>
      </c>
      <c r="G45" s="44">
        <v>3946.9</v>
      </c>
      <c r="H45" s="44">
        <v>4516.97</v>
      </c>
      <c r="I45" s="44">
        <v>7469.71</v>
      </c>
      <c r="J45" s="44">
        <v>5512.11</v>
      </c>
      <c r="K45" t="s">
        <v>198</v>
      </c>
    </row>
    <row r="46" spans="1:11" ht="16.95" hidden="1" customHeight="1" x14ac:dyDescent="0.3">
      <c r="A46" s="42" t="s">
        <v>238</v>
      </c>
      <c r="B46" s="42" t="s">
        <v>239</v>
      </c>
      <c r="C46" s="42" t="s">
        <v>210</v>
      </c>
      <c r="D46" s="42" t="s">
        <v>256</v>
      </c>
      <c r="E46" s="42" t="s">
        <v>241</v>
      </c>
      <c r="F46" s="42" t="s">
        <v>248</v>
      </c>
      <c r="G46" s="44">
        <v>3558.55</v>
      </c>
      <c r="H46" s="44">
        <v>4931.95</v>
      </c>
      <c r="I46" s="44">
        <v>7315.12</v>
      </c>
      <c r="J46" s="44">
        <v>6054.69</v>
      </c>
      <c r="K46" t="s">
        <v>198</v>
      </c>
    </row>
    <row r="47" spans="1:11" ht="16.95" hidden="1" customHeight="1" x14ac:dyDescent="0.3">
      <c r="A47" s="42" t="s">
        <v>238</v>
      </c>
      <c r="B47" s="42" t="s">
        <v>239</v>
      </c>
      <c r="C47" s="42" t="s">
        <v>210</v>
      </c>
      <c r="D47" s="42" t="s">
        <v>256</v>
      </c>
      <c r="E47" s="42" t="s">
        <v>241</v>
      </c>
      <c r="F47" s="42" t="s">
        <v>249</v>
      </c>
      <c r="G47" s="44">
        <v>3754.34</v>
      </c>
      <c r="H47" s="44">
        <v>5174.0200000000004</v>
      </c>
      <c r="I47" s="44">
        <v>7684.82</v>
      </c>
      <c r="J47" s="44">
        <v>6414.55</v>
      </c>
      <c r="K47" t="s">
        <v>198</v>
      </c>
    </row>
    <row r="48" spans="1:11" ht="16.95" hidden="1" customHeight="1" x14ac:dyDescent="0.3">
      <c r="A48" s="42" t="s">
        <v>238</v>
      </c>
      <c r="B48" s="42" t="s">
        <v>239</v>
      </c>
      <c r="C48" s="42" t="s">
        <v>210</v>
      </c>
      <c r="D48" s="42" t="s">
        <v>256</v>
      </c>
      <c r="E48" s="42" t="s">
        <v>241</v>
      </c>
      <c r="F48" s="42" t="s">
        <v>250</v>
      </c>
      <c r="G48" s="44">
        <v>4319.6099999999997</v>
      </c>
      <c r="H48" s="44">
        <v>5211.1499999999996</v>
      </c>
      <c r="I48" s="44">
        <v>7095.93</v>
      </c>
      <c r="J48" s="44">
        <v>7042.27</v>
      </c>
      <c r="K48" t="s">
        <v>198</v>
      </c>
    </row>
    <row r="49" spans="1:11" ht="16.95" hidden="1" customHeight="1" x14ac:dyDescent="0.3">
      <c r="A49" s="42" t="s">
        <v>238</v>
      </c>
      <c r="B49" s="42" t="s">
        <v>239</v>
      </c>
      <c r="C49" s="42" t="s">
        <v>210</v>
      </c>
      <c r="D49" s="42" t="s">
        <v>256</v>
      </c>
      <c r="E49" s="42" t="s">
        <v>241</v>
      </c>
      <c r="F49" s="42" t="s">
        <v>251</v>
      </c>
      <c r="G49" s="44">
        <v>4505.08</v>
      </c>
      <c r="H49" s="43">
        <v>5804</v>
      </c>
      <c r="I49" s="44">
        <v>6169.07</v>
      </c>
      <c r="J49" s="44">
        <v>7874.02</v>
      </c>
      <c r="K49" t="s">
        <v>198</v>
      </c>
    </row>
    <row r="50" spans="1:11" ht="16.95" hidden="1" customHeight="1" x14ac:dyDescent="0.3">
      <c r="A50" s="42" t="s">
        <v>238</v>
      </c>
      <c r="B50" s="42" t="s">
        <v>239</v>
      </c>
      <c r="C50" s="42" t="s">
        <v>210</v>
      </c>
      <c r="D50" s="42" t="s">
        <v>256</v>
      </c>
      <c r="E50" s="42" t="s">
        <v>241</v>
      </c>
      <c r="F50" s="42" t="s">
        <v>252</v>
      </c>
      <c r="G50" s="44">
        <v>3770.95</v>
      </c>
      <c r="H50" s="44">
        <v>5811.28</v>
      </c>
      <c r="I50" s="44">
        <v>5703.61</v>
      </c>
      <c r="J50" s="44">
        <v>7919.35</v>
      </c>
      <c r="K50" t="s">
        <v>198</v>
      </c>
    </row>
    <row r="51" spans="1:11" ht="16.95" hidden="1" customHeight="1" x14ac:dyDescent="0.3">
      <c r="A51" s="42" t="s">
        <v>238</v>
      </c>
      <c r="B51" s="42" t="s">
        <v>239</v>
      </c>
      <c r="C51" s="42" t="s">
        <v>210</v>
      </c>
      <c r="D51" s="42" t="s">
        <v>256</v>
      </c>
      <c r="E51" s="42" t="s">
        <v>241</v>
      </c>
      <c r="F51" s="42" t="s">
        <v>253</v>
      </c>
      <c r="G51" s="44">
        <v>3669.89</v>
      </c>
      <c r="H51" s="44">
        <v>6204.82</v>
      </c>
      <c r="I51" s="44">
        <v>4913.43</v>
      </c>
      <c r="J51" s="44">
        <v>7770.24</v>
      </c>
      <c r="K51" t="s">
        <v>198</v>
      </c>
    </row>
    <row r="52" spans="1:11" ht="16.95" hidden="1" customHeight="1" x14ac:dyDescent="0.3">
      <c r="A52" s="42" t="s">
        <v>238</v>
      </c>
      <c r="B52" s="42" t="s">
        <v>257</v>
      </c>
      <c r="C52" s="42" t="s">
        <v>210</v>
      </c>
      <c r="D52" s="42" t="s">
        <v>258</v>
      </c>
      <c r="E52" s="42" t="s">
        <v>241</v>
      </c>
      <c r="F52" s="42" t="s">
        <v>242</v>
      </c>
      <c r="G52" s="44">
        <v>1372.01</v>
      </c>
      <c r="H52" s="44">
        <v>1461.82</v>
      </c>
      <c r="I52" s="44">
        <v>1483.12</v>
      </c>
      <c r="J52" s="44">
        <v>1644.54</v>
      </c>
      <c r="K52" s="44">
        <v>1628.38</v>
      </c>
    </row>
    <row r="53" spans="1:11" ht="16.95" hidden="1" customHeight="1" x14ac:dyDescent="0.3">
      <c r="A53" s="42" t="s">
        <v>238</v>
      </c>
      <c r="B53" s="42" t="s">
        <v>257</v>
      </c>
      <c r="C53" s="42" t="s">
        <v>210</v>
      </c>
      <c r="D53" s="42" t="s">
        <v>258</v>
      </c>
      <c r="E53" s="42" t="s">
        <v>241</v>
      </c>
      <c r="F53" s="42" t="s">
        <v>243</v>
      </c>
      <c r="G53" s="44">
        <v>1356.27</v>
      </c>
      <c r="H53" s="44">
        <v>1423.06</v>
      </c>
      <c r="I53" s="44">
        <v>1545.7</v>
      </c>
      <c r="J53" s="44">
        <v>1644.02</v>
      </c>
      <c r="K53" s="44">
        <v>1720.39</v>
      </c>
    </row>
    <row r="54" spans="1:11" ht="16.95" hidden="1" customHeight="1" x14ac:dyDescent="0.3">
      <c r="A54" s="42" t="s">
        <v>238</v>
      </c>
      <c r="B54" s="42" t="s">
        <v>257</v>
      </c>
      <c r="C54" s="42" t="s">
        <v>210</v>
      </c>
      <c r="D54" s="42" t="s">
        <v>258</v>
      </c>
      <c r="E54" s="42" t="s">
        <v>241</v>
      </c>
      <c r="F54" s="42" t="s">
        <v>244</v>
      </c>
      <c r="G54" s="44">
        <v>1419.71</v>
      </c>
      <c r="H54" s="44">
        <v>1395.52</v>
      </c>
      <c r="I54" s="44">
        <v>1616.57</v>
      </c>
      <c r="J54" s="44">
        <v>1561.11</v>
      </c>
      <c r="K54" s="44">
        <v>1932.86</v>
      </c>
    </row>
    <row r="55" spans="1:11" ht="16.95" hidden="1" customHeight="1" x14ac:dyDescent="0.3">
      <c r="A55" s="42" t="s">
        <v>238</v>
      </c>
      <c r="B55" s="42" t="s">
        <v>257</v>
      </c>
      <c r="C55" s="42" t="s">
        <v>210</v>
      </c>
      <c r="D55" s="42" t="s">
        <v>258</v>
      </c>
      <c r="E55" s="42" t="s">
        <v>241</v>
      </c>
      <c r="F55" s="42" t="s">
        <v>245</v>
      </c>
      <c r="G55" s="44">
        <v>1374.39</v>
      </c>
      <c r="H55" s="44">
        <v>1384.58</v>
      </c>
      <c r="I55" s="44">
        <v>1698.01</v>
      </c>
      <c r="J55" s="44">
        <v>1719.95</v>
      </c>
      <c r="K55" t="s">
        <v>198</v>
      </c>
    </row>
    <row r="56" spans="1:11" ht="16.95" hidden="1" customHeight="1" x14ac:dyDescent="0.3">
      <c r="A56" s="42" t="s">
        <v>238</v>
      </c>
      <c r="B56" s="42" t="s">
        <v>257</v>
      </c>
      <c r="C56" s="42" t="s">
        <v>210</v>
      </c>
      <c r="D56" s="42" t="s">
        <v>258</v>
      </c>
      <c r="E56" s="42" t="s">
        <v>241</v>
      </c>
      <c r="F56" s="42" t="s">
        <v>246</v>
      </c>
      <c r="G56" s="44">
        <v>1399.99</v>
      </c>
      <c r="H56" s="44">
        <v>1393.89</v>
      </c>
      <c r="I56" s="44">
        <v>1607.53</v>
      </c>
      <c r="J56" s="44">
        <v>1703.78</v>
      </c>
      <c r="K56" t="s">
        <v>198</v>
      </c>
    </row>
    <row r="57" spans="1:11" ht="16.95" hidden="1" customHeight="1" x14ac:dyDescent="0.3">
      <c r="A57" s="42" t="s">
        <v>238</v>
      </c>
      <c r="B57" s="42" t="s">
        <v>257</v>
      </c>
      <c r="C57" s="42" t="s">
        <v>210</v>
      </c>
      <c r="D57" s="42" t="s">
        <v>258</v>
      </c>
      <c r="E57" s="42" t="s">
        <v>241</v>
      </c>
      <c r="F57" s="42" t="s">
        <v>247</v>
      </c>
      <c r="G57" s="44">
        <v>1424.26</v>
      </c>
      <c r="H57" s="44">
        <v>1411.97</v>
      </c>
      <c r="I57" s="44">
        <v>1656.45</v>
      </c>
      <c r="J57" s="44">
        <v>1692.79</v>
      </c>
      <c r="K57" t="s">
        <v>198</v>
      </c>
    </row>
    <row r="58" spans="1:11" ht="16.95" hidden="1" customHeight="1" x14ac:dyDescent="0.3">
      <c r="A58" s="42" t="s">
        <v>238</v>
      </c>
      <c r="B58" s="42" t="s">
        <v>257</v>
      </c>
      <c r="C58" s="42" t="s">
        <v>210</v>
      </c>
      <c r="D58" s="42" t="s">
        <v>258</v>
      </c>
      <c r="E58" s="42" t="s">
        <v>241</v>
      </c>
      <c r="F58" s="42" t="s">
        <v>248</v>
      </c>
      <c r="G58" s="44">
        <v>1463.34</v>
      </c>
      <c r="H58" s="44">
        <v>1387.49</v>
      </c>
      <c r="I58" s="44">
        <v>1636.18</v>
      </c>
      <c r="J58" s="44">
        <v>1667.26</v>
      </c>
      <c r="K58" t="s">
        <v>198</v>
      </c>
    </row>
    <row r="59" spans="1:11" ht="16.95" hidden="1" customHeight="1" x14ac:dyDescent="0.3">
      <c r="A59" s="42" t="s">
        <v>238</v>
      </c>
      <c r="B59" s="42" t="s">
        <v>257</v>
      </c>
      <c r="C59" s="42" t="s">
        <v>210</v>
      </c>
      <c r="D59" s="42" t="s">
        <v>258</v>
      </c>
      <c r="E59" s="42" t="s">
        <v>241</v>
      </c>
      <c r="F59" s="42" t="s">
        <v>249</v>
      </c>
      <c r="G59" s="44">
        <v>1442.29</v>
      </c>
      <c r="H59" s="44">
        <v>1416.68</v>
      </c>
      <c r="I59" s="44">
        <v>1627.36</v>
      </c>
      <c r="J59" s="44">
        <v>1698.96</v>
      </c>
      <c r="K59" t="s">
        <v>198</v>
      </c>
    </row>
    <row r="60" spans="1:11" ht="16.95" hidden="1" customHeight="1" x14ac:dyDescent="0.3">
      <c r="A60" s="42" t="s">
        <v>238</v>
      </c>
      <c r="B60" s="42" t="s">
        <v>257</v>
      </c>
      <c r="C60" s="42" t="s">
        <v>210</v>
      </c>
      <c r="D60" s="42" t="s">
        <v>258</v>
      </c>
      <c r="E60" s="42" t="s">
        <v>241</v>
      </c>
      <c r="F60" s="42" t="s">
        <v>250</v>
      </c>
      <c r="G60" s="44">
        <v>1471.92</v>
      </c>
      <c r="H60" s="44">
        <v>1465.36</v>
      </c>
      <c r="I60" s="44">
        <v>1587.67</v>
      </c>
      <c r="J60" s="44">
        <v>1684.38</v>
      </c>
      <c r="K60" t="s">
        <v>198</v>
      </c>
    </row>
    <row r="61" spans="1:11" ht="16.95" hidden="1" customHeight="1" x14ac:dyDescent="0.3">
      <c r="A61" s="42" t="s">
        <v>238</v>
      </c>
      <c r="B61" s="42" t="s">
        <v>257</v>
      </c>
      <c r="C61" s="42" t="s">
        <v>210</v>
      </c>
      <c r="D61" s="42" t="s">
        <v>258</v>
      </c>
      <c r="E61" s="42" t="s">
        <v>241</v>
      </c>
      <c r="F61" s="42" t="s">
        <v>251</v>
      </c>
      <c r="G61" s="44">
        <v>1465.47</v>
      </c>
      <c r="H61" s="44">
        <v>1464.19</v>
      </c>
      <c r="I61" s="44">
        <v>1699.68</v>
      </c>
      <c r="J61" s="44">
        <v>1757.71</v>
      </c>
      <c r="K61" t="s">
        <v>198</v>
      </c>
    </row>
    <row r="62" spans="1:11" ht="16.95" hidden="1" customHeight="1" x14ac:dyDescent="0.3">
      <c r="A62" s="42" t="s">
        <v>238</v>
      </c>
      <c r="B62" s="42" t="s">
        <v>257</v>
      </c>
      <c r="C62" s="42" t="s">
        <v>210</v>
      </c>
      <c r="D62" s="42" t="s">
        <v>258</v>
      </c>
      <c r="E62" s="42" t="s">
        <v>241</v>
      </c>
      <c r="F62" s="42" t="s">
        <v>252</v>
      </c>
      <c r="G62" s="44">
        <v>1429.37</v>
      </c>
      <c r="H62" s="44">
        <v>1405.21</v>
      </c>
      <c r="I62" s="44">
        <v>1702.82</v>
      </c>
      <c r="J62" s="44">
        <v>1803.32</v>
      </c>
      <c r="K62" t="s">
        <v>198</v>
      </c>
    </row>
    <row r="63" spans="1:11" ht="16.95" hidden="1" customHeight="1" x14ac:dyDescent="0.3">
      <c r="A63" s="42" t="s">
        <v>238</v>
      </c>
      <c r="B63" s="42" t="s">
        <v>257</v>
      </c>
      <c r="C63" s="42" t="s">
        <v>210</v>
      </c>
      <c r="D63" s="42" t="s">
        <v>258</v>
      </c>
      <c r="E63" s="42" t="s">
        <v>241</v>
      </c>
      <c r="F63" s="42" t="s">
        <v>253</v>
      </c>
      <c r="G63" s="44">
        <v>1436.1</v>
      </c>
      <c r="H63" s="44">
        <v>1401.81</v>
      </c>
      <c r="I63" s="44">
        <v>1614.31</v>
      </c>
      <c r="J63" s="44">
        <v>1849.86</v>
      </c>
      <c r="K63" t="s">
        <v>198</v>
      </c>
    </row>
    <row r="64" spans="1:11" ht="16.95" hidden="1" customHeight="1" x14ac:dyDescent="0.3">
      <c r="A64" s="42" t="s">
        <v>238</v>
      </c>
      <c r="B64" s="42" t="s">
        <v>257</v>
      </c>
      <c r="C64" s="42" t="s">
        <v>210</v>
      </c>
      <c r="D64" s="42" t="s">
        <v>259</v>
      </c>
      <c r="E64" s="42" t="s">
        <v>241</v>
      </c>
      <c r="F64" s="42" t="s">
        <v>242</v>
      </c>
      <c r="G64" t="s">
        <v>198</v>
      </c>
      <c r="H64" s="44">
        <v>317.60000000000002</v>
      </c>
      <c r="I64" s="44">
        <v>342.71</v>
      </c>
      <c r="J64" s="44">
        <v>396.11</v>
      </c>
      <c r="K64" s="44">
        <v>625.63</v>
      </c>
    </row>
    <row r="65" spans="1:11" ht="16.95" hidden="1" customHeight="1" x14ac:dyDescent="0.3">
      <c r="A65" s="42" t="s">
        <v>238</v>
      </c>
      <c r="B65" s="42" t="s">
        <v>257</v>
      </c>
      <c r="C65" s="42" t="s">
        <v>210</v>
      </c>
      <c r="D65" s="42" t="s">
        <v>259</v>
      </c>
      <c r="E65" s="42" t="s">
        <v>241</v>
      </c>
      <c r="F65" s="42" t="s">
        <v>243</v>
      </c>
      <c r="G65" t="s">
        <v>198</v>
      </c>
      <c r="H65" s="44">
        <v>241.9</v>
      </c>
      <c r="I65" s="44">
        <v>255.82</v>
      </c>
      <c r="J65" s="44">
        <v>376.01</v>
      </c>
      <c r="K65" s="44">
        <v>625.83000000000004</v>
      </c>
    </row>
    <row r="66" spans="1:11" ht="16.95" hidden="1" customHeight="1" x14ac:dyDescent="0.3">
      <c r="A66" s="42" t="s">
        <v>238</v>
      </c>
      <c r="B66" s="42" t="s">
        <v>257</v>
      </c>
      <c r="C66" s="42" t="s">
        <v>210</v>
      </c>
      <c r="D66" s="42" t="s">
        <v>259</v>
      </c>
      <c r="E66" s="42" t="s">
        <v>241</v>
      </c>
      <c r="F66" s="42" t="s">
        <v>244</v>
      </c>
      <c r="G66" t="s">
        <v>198</v>
      </c>
      <c r="H66" s="44">
        <v>209.27</v>
      </c>
      <c r="I66" s="44">
        <v>275.68</v>
      </c>
      <c r="J66" s="44">
        <v>365.84</v>
      </c>
      <c r="K66" s="44">
        <v>661.49</v>
      </c>
    </row>
    <row r="67" spans="1:11" ht="16.95" hidden="1" customHeight="1" x14ac:dyDescent="0.3">
      <c r="A67" s="42" t="s">
        <v>238</v>
      </c>
      <c r="B67" s="42" t="s">
        <v>257</v>
      </c>
      <c r="C67" s="42" t="s">
        <v>210</v>
      </c>
      <c r="D67" s="42" t="s">
        <v>259</v>
      </c>
      <c r="E67" s="42" t="s">
        <v>241</v>
      </c>
      <c r="F67" s="42" t="s">
        <v>245</v>
      </c>
      <c r="G67" t="s">
        <v>198</v>
      </c>
      <c r="H67" s="44">
        <v>278.04000000000002</v>
      </c>
      <c r="I67" s="44">
        <v>291.73</v>
      </c>
      <c r="J67" s="44">
        <v>319.17</v>
      </c>
      <c r="K67" t="s">
        <v>198</v>
      </c>
    </row>
    <row r="68" spans="1:11" ht="16.95" hidden="1" customHeight="1" x14ac:dyDescent="0.3">
      <c r="A68" s="42" t="s">
        <v>238</v>
      </c>
      <c r="B68" s="42" t="s">
        <v>257</v>
      </c>
      <c r="C68" s="42" t="s">
        <v>210</v>
      </c>
      <c r="D68" s="42" t="s">
        <v>259</v>
      </c>
      <c r="E68" s="42" t="s">
        <v>241</v>
      </c>
      <c r="F68" s="42" t="s">
        <v>246</v>
      </c>
      <c r="G68" t="s">
        <v>198</v>
      </c>
      <c r="H68" s="44">
        <v>279.48</v>
      </c>
      <c r="I68" s="44">
        <v>329.55</v>
      </c>
      <c r="J68" s="44">
        <v>306.98</v>
      </c>
      <c r="K68" t="s">
        <v>198</v>
      </c>
    </row>
    <row r="69" spans="1:11" ht="16.95" hidden="1" customHeight="1" x14ac:dyDescent="0.3">
      <c r="A69" s="42" t="s">
        <v>238</v>
      </c>
      <c r="B69" s="42" t="s">
        <v>257</v>
      </c>
      <c r="C69" s="42" t="s">
        <v>210</v>
      </c>
      <c r="D69" s="42" t="s">
        <v>259</v>
      </c>
      <c r="E69" s="42" t="s">
        <v>241</v>
      </c>
      <c r="F69" s="42" t="s">
        <v>247</v>
      </c>
      <c r="G69" t="s">
        <v>198</v>
      </c>
      <c r="H69" s="44">
        <v>279.62</v>
      </c>
      <c r="I69" s="44">
        <v>285.11</v>
      </c>
      <c r="J69" s="44">
        <v>311.67</v>
      </c>
      <c r="K69" t="s">
        <v>198</v>
      </c>
    </row>
    <row r="70" spans="1:11" ht="16.95" hidden="1" customHeight="1" x14ac:dyDescent="0.3">
      <c r="A70" s="42" t="s">
        <v>238</v>
      </c>
      <c r="B70" s="42" t="s">
        <v>257</v>
      </c>
      <c r="C70" s="42" t="s">
        <v>210</v>
      </c>
      <c r="D70" s="42" t="s">
        <v>259</v>
      </c>
      <c r="E70" s="42" t="s">
        <v>241</v>
      </c>
      <c r="F70" s="42" t="s">
        <v>248</v>
      </c>
      <c r="G70" t="s">
        <v>198</v>
      </c>
      <c r="H70" s="44">
        <v>253.71</v>
      </c>
      <c r="I70" s="44">
        <v>295.7</v>
      </c>
      <c r="J70" s="44">
        <v>285.58</v>
      </c>
      <c r="K70" t="s">
        <v>198</v>
      </c>
    </row>
    <row r="71" spans="1:11" ht="16.95" hidden="1" customHeight="1" x14ac:dyDescent="0.3">
      <c r="A71" s="42" t="s">
        <v>238</v>
      </c>
      <c r="B71" s="42" t="s">
        <v>257</v>
      </c>
      <c r="C71" s="42" t="s">
        <v>210</v>
      </c>
      <c r="D71" s="42" t="s">
        <v>259</v>
      </c>
      <c r="E71" s="42" t="s">
        <v>241</v>
      </c>
      <c r="F71" s="42" t="s">
        <v>249</v>
      </c>
      <c r="G71" t="s">
        <v>198</v>
      </c>
      <c r="H71" s="44">
        <v>272.39999999999998</v>
      </c>
      <c r="I71" s="44">
        <v>323.07</v>
      </c>
      <c r="J71" s="44">
        <v>306.43</v>
      </c>
      <c r="K71" t="s">
        <v>198</v>
      </c>
    </row>
    <row r="72" spans="1:11" ht="16.95" hidden="1" customHeight="1" x14ac:dyDescent="0.3">
      <c r="A72" s="42" t="s">
        <v>238</v>
      </c>
      <c r="B72" s="42" t="s">
        <v>257</v>
      </c>
      <c r="C72" s="42" t="s">
        <v>210</v>
      </c>
      <c r="D72" s="42" t="s">
        <v>259</v>
      </c>
      <c r="E72" s="42" t="s">
        <v>241</v>
      </c>
      <c r="F72" s="42" t="s">
        <v>250</v>
      </c>
      <c r="G72" t="s">
        <v>198</v>
      </c>
      <c r="H72" s="44">
        <v>273.43</v>
      </c>
      <c r="I72" s="44">
        <v>318.44</v>
      </c>
      <c r="J72" s="44">
        <v>334.95</v>
      </c>
      <c r="K72" t="s">
        <v>198</v>
      </c>
    </row>
    <row r="73" spans="1:11" ht="16.95" hidden="1" customHeight="1" x14ac:dyDescent="0.3">
      <c r="A73" s="42" t="s">
        <v>238</v>
      </c>
      <c r="B73" s="42" t="s">
        <v>257</v>
      </c>
      <c r="C73" s="42" t="s">
        <v>210</v>
      </c>
      <c r="D73" s="42" t="s">
        <v>259</v>
      </c>
      <c r="E73" s="42" t="s">
        <v>241</v>
      </c>
      <c r="F73" s="42" t="s">
        <v>251</v>
      </c>
      <c r="G73" t="s">
        <v>198</v>
      </c>
      <c r="H73" s="44">
        <v>270.82</v>
      </c>
      <c r="I73" s="44">
        <v>310.64</v>
      </c>
      <c r="J73" s="44">
        <v>332.61</v>
      </c>
      <c r="K73" t="s">
        <v>198</v>
      </c>
    </row>
    <row r="74" spans="1:11" ht="16.95" hidden="1" customHeight="1" x14ac:dyDescent="0.3">
      <c r="A74" s="42" t="s">
        <v>238</v>
      </c>
      <c r="B74" s="42" t="s">
        <v>257</v>
      </c>
      <c r="C74" s="42" t="s">
        <v>210</v>
      </c>
      <c r="D74" s="42" t="s">
        <v>259</v>
      </c>
      <c r="E74" s="42" t="s">
        <v>241</v>
      </c>
      <c r="F74" s="42" t="s">
        <v>252</v>
      </c>
      <c r="G74" t="s">
        <v>198</v>
      </c>
      <c r="H74" s="44">
        <v>284.29000000000002</v>
      </c>
      <c r="I74" s="44">
        <v>301.33999999999997</v>
      </c>
      <c r="J74" s="44">
        <v>344.49</v>
      </c>
      <c r="K74" t="s">
        <v>198</v>
      </c>
    </row>
    <row r="75" spans="1:11" ht="16.95" hidden="1" customHeight="1" x14ac:dyDescent="0.3">
      <c r="A75" s="42" t="s">
        <v>238</v>
      </c>
      <c r="B75" s="42" t="s">
        <v>257</v>
      </c>
      <c r="C75" s="42" t="s">
        <v>210</v>
      </c>
      <c r="D75" s="42" t="s">
        <v>259</v>
      </c>
      <c r="E75" s="42" t="s">
        <v>241</v>
      </c>
      <c r="F75" s="42" t="s">
        <v>253</v>
      </c>
      <c r="G75" t="s">
        <v>198</v>
      </c>
      <c r="H75" s="44">
        <v>333.15</v>
      </c>
      <c r="I75" s="44">
        <v>345.58</v>
      </c>
      <c r="J75" s="44">
        <v>425.06</v>
      </c>
      <c r="K75" t="s">
        <v>198</v>
      </c>
    </row>
    <row r="76" spans="1:11" ht="16.95" hidden="1" customHeight="1" x14ac:dyDescent="0.3">
      <c r="A76" s="42" t="s">
        <v>238</v>
      </c>
      <c r="B76" s="42" t="s">
        <v>239</v>
      </c>
      <c r="C76" s="42" t="s">
        <v>210</v>
      </c>
      <c r="D76" s="42" t="s">
        <v>260</v>
      </c>
      <c r="E76" s="42" t="s">
        <v>241</v>
      </c>
      <c r="F76" s="42" t="s">
        <v>242</v>
      </c>
      <c r="G76" s="44">
        <v>18662.16</v>
      </c>
      <c r="H76" s="44">
        <v>19885.8</v>
      </c>
      <c r="I76" s="44">
        <v>22950.12</v>
      </c>
      <c r="J76" s="44">
        <v>18686.16</v>
      </c>
      <c r="K76" s="44">
        <v>28166.080000000002</v>
      </c>
    </row>
    <row r="77" spans="1:11" ht="16.95" hidden="1" customHeight="1" x14ac:dyDescent="0.3">
      <c r="A77" s="42" t="s">
        <v>238</v>
      </c>
      <c r="B77" s="42" t="s">
        <v>239</v>
      </c>
      <c r="C77" s="42" t="s">
        <v>210</v>
      </c>
      <c r="D77" s="42" t="s">
        <v>260</v>
      </c>
      <c r="E77" s="42" t="s">
        <v>241</v>
      </c>
      <c r="F77" s="42" t="s">
        <v>243</v>
      </c>
      <c r="G77" s="44">
        <v>17310.919999999998</v>
      </c>
      <c r="H77" s="44">
        <v>19408.89</v>
      </c>
      <c r="I77" s="44">
        <v>23167.86</v>
      </c>
      <c r="J77" s="44">
        <v>20109.759999999998</v>
      </c>
      <c r="K77" s="44">
        <v>29285.02</v>
      </c>
    </row>
    <row r="78" spans="1:11" ht="16.95" hidden="1" customHeight="1" x14ac:dyDescent="0.3">
      <c r="A78" s="42" t="s">
        <v>238</v>
      </c>
      <c r="B78" s="42" t="s">
        <v>239</v>
      </c>
      <c r="C78" s="42" t="s">
        <v>210</v>
      </c>
      <c r="D78" s="42" t="s">
        <v>260</v>
      </c>
      <c r="E78" s="42" t="s">
        <v>241</v>
      </c>
      <c r="F78" s="42" t="s">
        <v>244</v>
      </c>
      <c r="G78" s="44">
        <v>17188.900000000001</v>
      </c>
      <c r="H78" s="44">
        <v>19923.91</v>
      </c>
      <c r="I78" s="44">
        <v>23013.39</v>
      </c>
      <c r="J78" s="44">
        <v>19000.560000000001</v>
      </c>
      <c r="K78" s="44">
        <v>29185.39</v>
      </c>
    </row>
    <row r="79" spans="1:11" ht="16.95" hidden="1" customHeight="1" x14ac:dyDescent="0.3">
      <c r="A79" s="42" t="s">
        <v>238</v>
      </c>
      <c r="B79" s="42" t="s">
        <v>239</v>
      </c>
      <c r="C79" s="42" t="s">
        <v>210</v>
      </c>
      <c r="D79" s="42" t="s">
        <v>260</v>
      </c>
      <c r="E79" s="42" t="s">
        <v>241</v>
      </c>
      <c r="F79" s="42" t="s">
        <v>245</v>
      </c>
      <c r="G79" s="44">
        <v>18294.759999999998</v>
      </c>
      <c r="H79" s="44">
        <v>19652.57</v>
      </c>
      <c r="I79" s="44">
        <v>22638.09</v>
      </c>
      <c r="J79" s="44">
        <v>19761.27</v>
      </c>
      <c r="K79" t="s">
        <v>198</v>
      </c>
    </row>
    <row r="80" spans="1:11" ht="16.95" hidden="1" customHeight="1" x14ac:dyDescent="0.3">
      <c r="A80" s="42" t="s">
        <v>238</v>
      </c>
      <c r="B80" s="42" t="s">
        <v>239</v>
      </c>
      <c r="C80" s="42" t="s">
        <v>210</v>
      </c>
      <c r="D80" s="42" t="s">
        <v>260</v>
      </c>
      <c r="E80" s="42" t="s">
        <v>241</v>
      </c>
      <c r="F80" s="42" t="s">
        <v>246</v>
      </c>
      <c r="G80" s="44">
        <v>17894.43</v>
      </c>
      <c r="H80" s="44">
        <v>20750.07</v>
      </c>
      <c r="I80" s="44">
        <v>21876.01</v>
      </c>
      <c r="J80" s="44">
        <v>21196.18</v>
      </c>
      <c r="K80" t="s">
        <v>198</v>
      </c>
    </row>
    <row r="81" spans="1:11" ht="16.95" hidden="1" customHeight="1" x14ac:dyDescent="0.3">
      <c r="A81" s="42" t="s">
        <v>238</v>
      </c>
      <c r="B81" s="42" t="s">
        <v>239</v>
      </c>
      <c r="C81" s="42" t="s">
        <v>210</v>
      </c>
      <c r="D81" s="42" t="s">
        <v>260</v>
      </c>
      <c r="E81" s="42" t="s">
        <v>241</v>
      </c>
      <c r="F81" s="42" t="s">
        <v>247</v>
      </c>
      <c r="G81" s="44">
        <v>18402.34</v>
      </c>
      <c r="H81" s="44">
        <v>20224.32</v>
      </c>
      <c r="I81" s="44">
        <v>22165.119999999999</v>
      </c>
      <c r="J81" s="44">
        <v>20356.509999999998</v>
      </c>
      <c r="K81" t="s">
        <v>198</v>
      </c>
    </row>
    <row r="82" spans="1:11" ht="16.95" hidden="1" customHeight="1" x14ac:dyDescent="0.3">
      <c r="A82" s="42" t="s">
        <v>238</v>
      </c>
      <c r="B82" s="42" t="s">
        <v>239</v>
      </c>
      <c r="C82" s="42" t="s">
        <v>210</v>
      </c>
      <c r="D82" s="42" t="s">
        <v>260</v>
      </c>
      <c r="E82" s="42" t="s">
        <v>241</v>
      </c>
      <c r="F82" s="42" t="s">
        <v>248</v>
      </c>
      <c r="G82" s="44">
        <v>18278.27</v>
      </c>
      <c r="H82" s="44">
        <v>21721.69</v>
      </c>
      <c r="I82" s="43">
        <v>22498</v>
      </c>
      <c r="J82" s="44">
        <v>20650.62</v>
      </c>
      <c r="K82" t="s">
        <v>198</v>
      </c>
    </row>
    <row r="83" spans="1:11" ht="16.95" hidden="1" customHeight="1" x14ac:dyDescent="0.3">
      <c r="A83" s="42" t="s">
        <v>238</v>
      </c>
      <c r="B83" s="42" t="s">
        <v>239</v>
      </c>
      <c r="C83" s="42" t="s">
        <v>210</v>
      </c>
      <c r="D83" s="42" t="s">
        <v>260</v>
      </c>
      <c r="E83" s="42" t="s">
        <v>241</v>
      </c>
      <c r="F83" s="42" t="s">
        <v>249</v>
      </c>
      <c r="G83" s="44">
        <v>18340.38</v>
      </c>
      <c r="H83" s="44">
        <v>22140.99</v>
      </c>
      <c r="I83" s="44">
        <v>22061.01</v>
      </c>
      <c r="J83" s="44">
        <v>19776.16</v>
      </c>
      <c r="K83" t="s">
        <v>198</v>
      </c>
    </row>
    <row r="84" spans="1:11" ht="16.95" hidden="1" customHeight="1" x14ac:dyDescent="0.3">
      <c r="A84" s="42" t="s">
        <v>238</v>
      </c>
      <c r="B84" s="42" t="s">
        <v>239</v>
      </c>
      <c r="C84" s="42" t="s">
        <v>210</v>
      </c>
      <c r="D84" s="42" t="s">
        <v>260</v>
      </c>
      <c r="E84" s="42" t="s">
        <v>241</v>
      </c>
      <c r="F84" s="42" t="s">
        <v>250</v>
      </c>
      <c r="G84" s="44">
        <v>18909.740000000002</v>
      </c>
      <c r="H84" s="44">
        <v>22581.35</v>
      </c>
      <c r="I84" s="44">
        <v>22168.34</v>
      </c>
      <c r="J84" s="44">
        <v>20833.509999999998</v>
      </c>
      <c r="K84" t="s">
        <v>198</v>
      </c>
    </row>
    <row r="85" spans="1:11" ht="16.95" hidden="1" customHeight="1" x14ac:dyDescent="0.3">
      <c r="A85" s="42" t="s">
        <v>238</v>
      </c>
      <c r="B85" s="42" t="s">
        <v>239</v>
      </c>
      <c r="C85" s="42" t="s">
        <v>210</v>
      </c>
      <c r="D85" s="42" t="s">
        <v>260</v>
      </c>
      <c r="E85" s="42" t="s">
        <v>241</v>
      </c>
      <c r="F85" s="42" t="s">
        <v>251</v>
      </c>
      <c r="G85" s="44">
        <v>19848.43</v>
      </c>
      <c r="H85" s="44">
        <v>22714.04</v>
      </c>
      <c r="I85" s="44">
        <v>21022.19</v>
      </c>
      <c r="J85" s="44">
        <v>23144.59</v>
      </c>
      <c r="K85" t="s">
        <v>198</v>
      </c>
    </row>
    <row r="86" spans="1:11" ht="16.95" hidden="1" customHeight="1" x14ac:dyDescent="0.3">
      <c r="A86" s="42" t="s">
        <v>238</v>
      </c>
      <c r="B86" s="42" t="s">
        <v>239</v>
      </c>
      <c r="C86" s="42" t="s">
        <v>210</v>
      </c>
      <c r="D86" s="42" t="s">
        <v>260</v>
      </c>
      <c r="E86" s="42" t="s">
        <v>241</v>
      </c>
      <c r="F86" s="42" t="s">
        <v>252</v>
      </c>
      <c r="G86" s="44">
        <v>19839.63</v>
      </c>
      <c r="H86" s="44">
        <v>22582.2</v>
      </c>
      <c r="I86" s="44">
        <v>20093.990000000002</v>
      </c>
      <c r="J86" s="44">
        <v>23722.14</v>
      </c>
      <c r="K86" t="s">
        <v>198</v>
      </c>
    </row>
    <row r="87" spans="1:11" ht="16.95" hidden="1" customHeight="1" x14ac:dyDescent="0.3">
      <c r="A87" s="42" t="s">
        <v>238</v>
      </c>
      <c r="B87" s="42" t="s">
        <v>239</v>
      </c>
      <c r="C87" s="42" t="s">
        <v>210</v>
      </c>
      <c r="D87" s="42" t="s">
        <v>260</v>
      </c>
      <c r="E87" s="42" t="s">
        <v>241</v>
      </c>
      <c r="F87" s="42" t="s">
        <v>253</v>
      </c>
      <c r="G87" s="44">
        <v>19627.45</v>
      </c>
      <c r="H87" s="44">
        <v>22787.84</v>
      </c>
      <c r="I87" s="44">
        <v>20077.75</v>
      </c>
      <c r="J87" s="44">
        <v>26508.27</v>
      </c>
      <c r="K87" t="s">
        <v>198</v>
      </c>
    </row>
    <row r="88" spans="1:11" ht="16.95" hidden="1" customHeight="1" x14ac:dyDescent="0.3">
      <c r="A88" s="42" t="s">
        <v>238</v>
      </c>
      <c r="B88" s="42" t="s">
        <v>239</v>
      </c>
      <c r="C88" s="42" t="s">
        <v>210</v>
      </c>
      <c r="D88" s="42" t="s">
        <v>261</v>
      </c>
      <c r="E88" s="42" t="s">
        <v>241</v>
      </c>
      <c r="F88" s="42" t="s">
        <v>242</v>
      </c>
      <c r="G88" s="44">
        <v>47227.02</v>
      </c>
      <c r="H88" s="44">
        <v>62130.22</v>
      </c>
      <c r="I88" s="44">
        <v>74159.570000000007</v>
      </c>
      <c r="J88" s="44">
        <v>49053.99</v>
      </c>
      <c r="K88" s="44">
        <v>66355.679999999993</v>
      </c>
    </row>
    <row r="89" spans="1:11" ht="16.95" hidden="1" customHeight="1" x14ac:dyDescent="0.3">
      <c r="A89" s="42" t="s">
        <v>238</v>
      </c>
      <c r="B89" s="42" t="s">
        <v>239</v>
      </c>
      <c r="C89" s="42" t="s">
        <v>210</v>
      </c>
      <c r="D89" s="42" t="s">
        <v>261</v>
      </c>
      <c r="E89" s="42" t="s">
        <v>241</v>
      </c>
      <c r="F89" s="42" t="s">
        <v>243</v>
      </c>
      <c r="G89" s="44">
        <v>47293.18</v>
      </c>
      <c r="H89" s="44">
        <v>67037.34</v>
      </c>
      <c r="I89" s="44">
        <v>67497.42</v>
      </c>
      <c r="J89" s="44">
        <v>50860.39</v>
      </c>
      <c r="K89" s="44">
        <v>72915.210000000006</v>
      </c>
    </row>
    <row r="90" spans="1:11" ht="16.95" hidden="1" customHeight="1" x14ac:dyDescent="0.3">
      <c r="A90" s="42" t="s">
        <v>238</v>
      </c>
      <c r="B90" s="42" t="s">
        <v>239</v>
      </c>
      <c r="C90" s="42" t="s">
        <v>210</v>
      </c>
      <c r="D90" s="42" t="s">
        <v>261</v>
      </c>
      <c r="E90" s="42" t="s">
        <v>241</v>
      </c>
      <c r="F90" s="42" t="s">
        <v>244</v>
      </c>
      <c r="G90" s="44">
        <v>44888.94</v>
      </c>
      <c r="H90" s="44">
        <v>65088.61</v>
      </c>
      <c r="I90" s="44">
        <v>65957.61</v>
      </c>
      <c r="J90" s="44">
        <v>51338.77</v>
      </c>
      <c r="K90" s="44">
        <v>75122.429999999993</v>
      </c>
    </row>
    <row r="91" spans="1:11" ht="16.95" hidden="1" customHeight="1" x14ac:dyDescent="0.3">
      <c r="A91" s="42" t="s">
        <v>238</v>
      </c>
      <c r="B91" s="42" t="s">
        <v>239</v>
      </c>
      <c r="C91" s="42" t="s">
        <v>210</v>
      </c>
      <c r="D91" s="42" t="s">
        <v>261</v>
      </c>
      <c r="E91" s="42" t="s">
        <v>241</v>
      </c>
      <c r="F91" s="42" t="s">
        <v>245</v>
      </c>
      <c r="G91" s="44">
        <v>45019.97</v>
      </c>
      <c r="H91" s="44">
        <v>69876.679999999993</v>
      </c>
      <c r="I91" s="44">
        <v>62973.67</v>
      </c>
      <c r="J91" s="44">
        <v>59116.56</v>
      </c>
      <c r="K91" t="s">
        <v>198</v>
      </c>
    </row>
    <row r="92" spans="1:11" ht="16.95" hidden="1" customHeight="1" x14ac:dyDescent="0.3">
      <c r="A92" s="42" t="s">
        <v>238</v>
      </c>
      <c r="B92" s="42" t="s">
        <v>239</v>
      </c>
      <c r="C92" s="42" t="s">
        <v>210</v>
      </c>
      <c r="D92" s="42" t="s">
        <v>261</v>
      </c>
      <c r="E92" s="42" t="s">
        <v>241</v>
      </c>
      <c r="F92" s="42" t="s">
        <v>246</v>
      </c>
      <c r="G92" s="44">
        <v>46295.07</v>
      </c>
      <c r="H92" s="44">
        <v>70263.61</v>
      </c>
      <c r="I92" s="44">
        <v>59673.3</v>
      </c>
      <c r="J92" s="44">
        <v>60788.46</v>
      </c>
      <c r="K92" t="s">
        <v>198</v>
      </c>
    </row>
    <row r="93" spans="1:11" ht="16.95" hidden="1" customHeight="1" x14ac:dyDescent="0.3">
      <c r="A93" s="42" t="s">
        <v>238</v>
      </c>
      <c r="B93" s="42" t="s">
        <v>239</v>
      </c>
      <c r="C93" s="42" t="s">
        <v>210</v>
      </c>
      <c r="D93" s="42" t="s">
        <v>261</v>
      </c>
      <c r="E93" s="42" t="s">
        <v>241</v>
      </c>
      <c r="F93" s="42" t="s">
        <v>247</v>
      </c>
      <c r="G93" s="44">
        <v>49159.14</v>
      </c>
      <c r="H93" s="44">
        <v>72773.95</v>
      </c>
      <c r="I93" s="44">
        <v>57926.76</v>
      </c>
      <c r="J93" s="44">
        <v>58398.49</v>
      </c>
      <c r="K93" t="s">
        <v>198</v>
      </c>
    </row>
    <row r="94" spans="1:11" ht="16.95" hidden="1" customHeight="1" x14ac:dyDescent="0.3">
      <c r="A94" s="42" t="s">
        <v>238</v>
      </c>
      <c r="B94" s="42" t="s">
        <v>239</v>
      </c>
      <c r="C94" s="42" t="s">
        <v>210</v>
      </c>
      <c r="D94" s="42" t="s">
        <v>261</v>
      </c>
      <c r="E94" s="42" t="s">
        <v>241</v>
      </c>
      <c r="F94" s="42" t="s">
        <v>248</v>
      </c>
      <c r="G94" s="44">
        <v>51240.62</v>
      </c>
      <c r="H94" s="44">
        <v>72207.05</v>
      </c>
      <c r="I94" s="44">
        <v>56377.95</v>
      </c>
      <c r="J94" s="44">
        <v>57320.94</v>
      </c>
      <c r="K94" t="s">
        <v>198</v>
      </c>
    </row>
    <row r="95" spans="1:11" ht="16.95" hidden="1" customHeight="1" x14ac:dyDescent="0.3">
      <c r="A95" s="42" t="s">
        <v>238</v>
      </c>
      <c r="B95" s="42" t="s">
        <v>239</v>
      </c>
      <c r="C95" s="42" t="s">
        <v>210</v>
      </c>
      <c r="D95" s="42" t="s">
        <v>261</v>
      </c>
      <c r="E95" s="42" t="s">
        <v>241</v>
      </c>
      <c r="F95" s="42" t="s">
        <v>249</v>
      </c>
      <c r="G95" s="44">
        <v>50927.69</v>
      </c>
      <c r="H95" s="44">
        <v>71264.59</v>
      </c>
      <c r="I95" s="44">
        <v>52005.37</v>
      </c>
      <c r="J95" s="44">
        <v>57654.58</v>
      </c>
      <c r="K95" t="s">
        <v>198</v>
      </c>
    </row>
    <row r="96" spans="1:11" ht="16.95" hidden="1" customHeight="1" x14ac:dyDescent="0.3">
      <c r="A96" s="42" t="s">
        <v>238</v>
      </c>
      <c r="B96" s="42" t="s">
        <v>239</v>
      </c>
      <c r="C96" s="42" t="s">
        <v>210</v>
      </c>
      <c r="D96" s="42" t="s">
        <v>261</v>
      </c>
      <c r="E96" s="42" t="s">
        <v>241</v>
      </c>
      <c r="F96" s="42" t="s">
        <v>250</v>
      </c>
      <c r="G96" s="44">
        <v>57770.66</v>
      </c>
      <c r="H96" s="44">
        <v>74376.98</v>
      </c>
      <c r="I96" s="44">
        <v>52456.42</v>
      </c>
      <c r="J96" s="44">
        <v>60607.97</v>
      </c>
      <c r="K96" t="s">
        <v>198</v>
      </c>
    </row>
    <row r="97" spans="1:11" ht="16.95" hidden="1" customHeight="1" x14ac:dyDescent="0.3">
      <c r="A97" s="42" t="s">
        <v>238</v>
      </c>
      <c r="B97" s="42" t="s">
        <v>239</v>
      </c>
      <c r="C97" s="42" t="s">
        <v>210</v>
      </c>
      <c r="D97" s="42" t="s">
        <v>261</v>
      </c>
      <c r="E97" s="42" t="s">
        <v>241</v>
      </c>
      <c r="F97" s="42" t="s">
        <v>251</v>
      </c>
      <c r="G97" s="44">
        <v>62282.26</v>
      </c>
      <c r="H97" s="44">
        <v>75048.990000000005</v>
      </c>
      <c r="I97" s="44">
        <v>50417.07</v>
      </c>
      <c r="J97" s="44">
        <v>66254.820000000007</v>
      </c>
      <c r="K97" t="s">
        <v>198</v>
      </c>
    </row>
    <row r="98" spans="1:11" ht="16.95" hidden="1" customHeight="1" x14ac:dyDescent="0.3">
      <c r="A98" s="42" t="s">
        <v>238</v>
      </c>
      <c r="B98" s="42" t="s">
        <v>239</v>
      </c>
      <c r="C98" s="42" t="s">
        <v>210</v>
      </c>
      <c r="D98" s="42" t="s">
        <v>261</v>
      </c>
      <c r="E98" s="42" t="s">
        <v>241</v>
      </c>
      <c r="F98" s="42" t="s">
        <v>252</v>
      </c>
      <c r="G98" s="44">
        <v>61294.58</v>
      </c>
      <c r="H98" s="44">
        <v>73575.31</v>
      </c>
      <c r="I98" s="44">
        <v>48364.02</v>
      </c>
      <c r="J98" s="44">
        <v>66588.78</v>
      </c>
      <c r="K98" t="s">
        <v>198</v>
      </c>
    </row>
    <row r="99" spans="1:11" ht="16.95" hidden="1" customHeight="1" x14ac:dyDescent="0.3">
      <c r="A99" s="42" t="s">
        <v>238</v>
      </c>
      <c r="B99" s="42" t="s">
        <v>239</v>
      </c>
      <c r="C99" s="42" t="s">
        <v>210</v>
      </c>
      <c r="D99" s="42" t="s">
        <v>261</v>
      </c>
      <c r="E99" s="42" t="s">
        <v>241</v>
      </c>
      <c r="F99" s="42" t="s">
        <v>253</v>
      </c>
      <c r="G99" s="44">
        <v>60580.08</v>
      </c>
      <c r="H99" s="44">
        <v>72494.92</v>
      </c>
      <c r="I99" s="44">
        <v>48695.54</v>
      </c>
      <c r="J99" s="44">
        <v>66847.100000000006</v>
      </c>
      <c r="K99" t="s">
        <v>198</v>
      </c>
    </row>
    <row r="100" spans="1:11" ht="16.95" hidden="1" customHeight="1" x14ac:dyDescent="0.3">
      <c r="A100" s="42" t="s">
        <v>238</v>
      </c>
      <c r="B100" s="42" t="s">
        <v>239</v>
      </c>
      <c r="C100" s="42" t="s">
        <v>210</v>
      </c>
      <c r="D100" s="42" t="s">
        <v>262</v>
      </c>
      <c r="E100" s="42" t="s">
        <v>241</v>
      </c>
      <c r="F100" s="42" t="s">
        <v>242</v>
      </c>
      <c r="G100" s="44">
        <v>716309.34</v>
      </c>
      <c r="H100" t="s">
        <v>198</v>
      </c>
      <c r="I100" t="s">
        <v>198</v>
      </c>
      <c r="J100" t="s">
        <v>198</v>
      </c>
      <c r="K100" t="s">
        <v>198</v>
      </c>
    </row>
    <row r="101" spans="1:11" ht="16.95" hidden="1" customHeight="1" x14ac:dyDescent="0.3">
      <c r="A101" s="42" t="s">
        <v>238</v>
      </c>
      <c r="B101" s="42" t="s">
        <v>239</v>
      </c>
      <c r="C101" s="42" t="s">
        <v>210</v>
      </c>
      <c r="D101" s="42" t="s">
        <v>262</v>
      </c>
      <c r="E101" s="42" t="s">
        <v>241</v>
      </c>
      <c r="F101" s="42" t="s">
        <v>243</v>
      </c>
      <c r="G101" s="43">
        <v>600000</v>
      </c>
      <c r="H101" t="s">
        <v>198</v>
      </c>
      <c r="I101" t="s">
        <v>198</v>
      </c>
      <c r="J101" t="s">
        <v>198</v>
      </c>
      <c r="K101" t="s">
        <v>198</v>
      </c>
    </row>
    <row r="102" spans="1:11" ht="16.95" hidden="1" customHeight="1" x14ac:dyDescent="0.3">
      <c r="A102" s="42" t="s">
        <v>238</v>
      </c>
      <c r="B102" s="42" t="s">
        <v>239</v>
      </c>
      <c r="C102" s="42" t="s">
        <v>210</v>
      </c>
      <c r="D102" s="42" t="s">
        <v>262</v>
      </c>
      <c r="E102" s="42" t="s">
        <v>241</v>
      </c>
      <c r="F102" s="42" t="s">
        <v>244</v>
      </c>
      <c r="G102" s="44">
        <v>708694.35</v>
      </c>
      <c r="H102" t="s">
        <v>198</v>
      </c>
      <c r="I102" t="s">
        <v>198</v>
      </c>
      <c r="J102" t="s">
        <v>198</v>
      </c>
      <c r="K102" t="s">
        <v>198</v>
      </c>
    </row>
    <row r="103" spans="1:11" ht="16.95" hidden="1" customHeight="1" x14ac:dyDescent="0.3">
      <c r="A103" s="42" t="s">
        <v>238</v>
      </c>
      <c r="B103" s="42" t="s">
        <v>239</v>
      </c>
      <c r="C103" s="42" t="s">
        <v>210</v>
      </c>
      <c r="D103" s="42" t="s">
        <v>262</v>
      </c>
      <c r="E103" s="42" t="s">
        <v>241</v>
      </c>
      <c r="F103" s="42" t="s">
        <v>245</v>
      </c>
      <c r="G103" s="44">
        <v>743707.67</v>
      </c>
      <c r="H103" t="s">
        <v>198</v>
      </c>
      <c r="I103" t="s">
        <v>198</v>
      </c>
      <c r="J103" t="s">
        <v>198</v>
      </c>
      <c r="K103" t="s">
        <v>198</v>
      </c>
    </row>
    <row r="104" spans="1:11" ht="16.95" hidden="1" customHeight="1" x14ac:dyDescent="0.3">
      <c r="A104" s="42" t="s">
        <v>238</v>
      </c>
      <c r="B104" s="42" t="s">
        <v>239</v>
      </c>
      <c r="C104" s="42" t="s">
        <v>210</v>
      </c>
      <c r="D104" s="42" t="s">
        <v>262</v>
      </c>
      <c r="E104" s="42" t="s">
        <v>241</v>
      </c>
      <c r="F104" s="42" t="s">
        <v>246</v>
      </c>
      <c r="G104" s="44">
        <v>793677.28</v>
      </c>
      <c r="H104" t="s">
        <v>198</v>
      </c>
      <c r="I104" t="s">
        <v>198</v>
      </c>
      <c r="J104" t="s">
        <v>198</v>
      </c>
      <c r="K104" t="s">
        <v>198</v>
      </c>
    </row>
    <row r="105" spans="1:11" ht="16.95" hidden="1" customHeight="1" x14ac:dyDescent="0.3">
      <c r="A105" s="42" t="s">
        <v>238</v>
      </c>
      <c r="B105" s="42" t="s">
        <v>239</v>
      </c>
      <c r="C105" s="42" t="s">
        <v>210</v>
      </c>
      <c r="D105" s="42" t="s">
        <v>262</v>
      </c>
      <c r="E105" s="42" t="s">
        <v>241</v>
      </c>
      <c r="F105" s="42" t="s">
        <v>247</v>
      </c>
      <c r="G105" s="44">
        <v>777932.02</v>
      </c>
      <c r="H105" t="s">
        <v>198</v>
      </c>
      <c r="I105" t="s">
        <v>198</v>
      </c>
      <c r="J105" t="s">
        <v>198</v>
      </c>
      <c r="K105" t="s">
        <v>198</v>
      </c>
    </row>
    <row r="106" spans="1:11" ht="16.95" hidden="1" customHeight="1" x14ac:dyDescent="0.3">
      <c r="A106" s="42" t="s">
        <v>238</v>
      </c>
      <c r="B106" s="42" t="s">
        <v>239</v>
      </c>
      <c r="C106" s="42" t="s">
        <v>210</v>
      </c>
      <c r="D106" s="42" t="s">
        <v>262</v>
      </c>
      <c r="E106" s="42" t="s">
        <v>241</v>
      </c>
      <c r="F106" s="42" t="s">
        <v>248</v>
      </c>
      <c r="G106" s="44">
        <v>733605.01</v>
      </c>
      <c r="H106" t="s">
        <v>198</v>
      </c>
      <c r="I106" t="s">
        <v>198</v>
      </c>
      <c r="J106" t="s">
        <v>198</v>
      </c>
      <c r="K106" t="s">
        <v>198</v>
      </c>
    </row>
    <row r="107" spans="1:11" ht="16.95" hidden="1" customHeight="1" x14ac:dyDescent="0.3">
      <c r="A107" s="42" t="s">
        <v>238</v>
      </c>
      <c r="B107" s="42" t="s">
        <v>239</v>
      </c>
      <c r="C107" s="42" t="s">
        <v>210</v>
      </c>
      <c r="D107" s="42" t="s">
        <v>262</v>
      </c>
      <c r="E107" s="42" t="s">
        <v>241</v>
      </c>
      <c r="F107" s="42" t="s">
        <v>249</v>
      </c>
      <c r="G107" s="44">
        <v>726761.42</v>
      </c>
      <c r="H107" t="s">
        <v>198</v>
      </c>
      <c r="I107" t="s">
        <v>198</v>
      </c>
      <c r="J107" t="s">
        <v>198</v>
      </c>
      <c r="K107" t="s">
        <v>198</v>
      </c>
    </row>
    <row r="108" spans="1:11" ht="16.95" hidden="1" customHeight="1" x14ac:dyDescent="0.3">
      <c r="A108" s="42" t="s">
        <v>238</v>
      </c>
      <c r="B108" s="42" t="s">
        <v>239</v>
      </c>
      <c r="C108" s="42" t="s">
        <v>210</v>
      </c>
      <c r="D108" s="42" t="s">
        <v>262</v>
      </c>
      <c r="E108" s="42" t="s">
        <v>241</v>
      </c>
      <c r="F108" s="42" t="s">
        <v>250</v>
      </c>
      <c r="G108" s="44">
        <v>729743.01</v>
      </c>
      <c r="H108" t="s">
        <v>198</v>
      </c>
      <c r="I108" t="s">
        <v>198</v>
      </c>
      <c r="J108" t="s">
        <v>198</v>
      </c>
      <c r="K108" t="s">
        <v>198</v>
      </c>
    </row>
    <row r="109" spans="1:11" ht="16.95" hidden="1" customHeight="1" x14ac:dyDescent="0.3">
      <c r="A109" s="42" t="s">
        <v>238</v>
      </c>
      <c r="B109" s="42" t="s">
        <v>239</v>
      </c>
      <c r="C109" s="42" t="s">
        <v>210</v>
      </c>
      <c r="D109" s="42" t="s">
        <v>262</v>
      </c>
      <c r="E109" s="42" t="s">
        <v>241</v>
      </c>
      <c r="F109" s="42" t="s">
        <v>251</v>
      </c>
      <c r="G109" s="44">
        <v>996293.03</v>
      </c>
      <c r="H109" t="s">
        <v>198</v>
      </c>
      <c r="I109" t="s">
        <v>198</v>
      </c>
      <c r="J109" t="s">
        <v>198</v>
      </c>
      <c r="K109" t="s">
        <v>198</v>
      </c>
    </row>
    <row r="110" spans="1:11" ht="16.95" hidden="1" customHeight="1" x14ac:dyDescent="0.3">
      <c r="A110" s="42" t="s">
        <v>238</v>
      </c>
      <c r="B110" s="42" t="s">
        <v>239</v>
      </c>
      <c r="C110" s="42" t="s">
        <v>210</v>
      </c>
      <c r="D110" s="42" t="s">
        <v>262</v>
      </c>
      <c r="E110" s="42" t="s">
        <v>241</v>
      </c>
      <c r="F110" s="42" t="s">
        <v>252</v>
      </c>
      <c r="G110" s="43">
        <v>804014</v>
      </c>
      <c r="H110" t="s">
        <v>198</v>
      </c>
      <c r="I110" t="s">
        <v>198</v>
      </c>
      <c r="J110" t="s">
        <v>198</v>
      </c>
      <c r="K110" t="s">
        <v>198</v>
      </c>
    </row>
    <row r="111" spans="1:11" ht="16.95" hidden="1" customHeight="1" x14ac:dyDescent="0.3">
      <c r="A111" s="42" t="s">
        <v>238</v>
      </c>
      <c r="B111" s="42" t="s">
        <v>239</v>
      </c>
      <c r="C111" s="42" t="s">
        <v>210</v>
      </c>
      <c r="D111" s="42" t="s">
        <v>262</v>
      </c>
      <c r="E111" s="42" t="s">
        <v>241</v>
      </c>
      <c r="F111" s="42" t="s">
        <v>253</v>
      </c>
      <c r="G111" s="44">
        <v>833204.97</v>
      </c>
      <c r="H111" t="s">
        <v>198</v>
      </c>
      <c r="I111" t="s">
        <v>198</v>
      </c>
      <c r="J111" t="s">
        <v>198</v>
      </c>
      <c r="K111" t="s">
        <v>198</v>
      </c>
    </row>
    <row r="112" spans="1:11" ht="16.95" hidden="1" customHeight="1" x14ac:dyDescent="0.3">
      <c r="A112" s="42" t="s">
        <v>238</v>
      </c>
      <c r="B112" s="42" t="s">
        <v>239</v>
      </c>
      <c r="C112" s="42" t="s">
        <v>210</v>
      </c>
      <c r="D112" s="42" t="s">
        <v>263</v>
      </c>
      <c r="E112" s="42" t="s">
        <v>241</v>
      </c>
      <c r="F112" s="42" t="s">
        <v>242</v>
      </c>
      <c r="G112" s="44">
        <v>137736.39000000001</v>
      </c>
      <c r="H112" s="44">
        <v>107538.28</v>
      </c>
      <c r="I112" s="44">
        <v>119092.04</v>
      </c>
      <c r="J112" s="44">
        <v>103806.57</v>
      </c>
      <c r="K112" s="44">
        <v>95445.61</v>
      </c>
    </row>
    <row r="113" spans="1:11" ht="16.95" hidden="1" customHeight="1" x14ac:dyDescent="0.3">
      <c r="A113" s="42" t="s">
        <v>238</v>
      </c>
      <c r="B113" s="42" t="s">
        <v>239</v>
      </c>
      <c r="C113" s="42" t="s">
        <v>210</v>
      </c>
      <c r="D113" s="42" t="s">
        <v>263</v>
      </c>
      <c r="E113" s="42" t="s">
        <v>241</v>
      </c>
      <c r="F113" s="42" t="s">
        <v>243</v>
      </c>
      <c r="G113" s="44">
        <v>136395.6</v>
      </c>
      <c r="H113" s="44">
        <v>117283.71</v>
      </c>
      <c r="I113" s="44">
        <v>116861.17</v>
      </c>
      <c r="J113" s="44">
        <v>99060.44</v>
      </c>
      <c r="K113" s="44">
        <v>101252.63</v>
      </c>
    </row>
    <row r="114" spans="1:11" ht="16.95" hidden="1" customHeight="1" x14ac:dyDescent="0.3">
      <c r="A114" s="42" t="s">
        <v>238</v>
      </c>
      <c r="B114" s="42" t="s">
        <v>239</v>
      </c>
      <c r="C114" s="42" t="s">
        <v>210</v>
      </c>
      <c r="D114" s="42" t="s">
        <v>263</v>
      </c>
      <c r="E114" s="42" t="s">
        <v>241</v>
      </c>
      <c r="F114" s="42" t="s">
        <v>244</v>
      </c>
      <c r="G114" s="44">
        <v>116778.27</v>
      </c>
      <c r="H114" s="44">
        <v>114744.13</v>
      </c>
      <c r="I114" s="44">
        <v>116369.81</v>
      </c>
      <c r="J114" s="44">
        <v>105523.87</v>
      </c>
      <c r="K114" s="44">
        <v>110949.17</v>
      </c>
    </row>
    <row r="115" spans="1:11" ht="16.95" hidden="1" customHeight="1" x14ac:dyDescent="0.3">
      <c r="A115" s="42" t="s">
        <v>238</v>
      </c>
      <c r="B115" s="42" t="s">
        <v>239</v>
      </c>
      <c r="C115" s="42" t="s">
        <v>210</v>
      </c>
      <c r="D115" s="42" t="s">
        <v>263</v>
      </c>
      <c r="E115" s="42" t="s">
        <v>241</v>
      </c>
      <c r="F115" s="42" t="s">
        <v>245</v>
      </c>
      <c r="G115" s="44">
        <v>134961.57</v>
      </c>
      <c r="H115" s="44">
        <v>112093.1</v>
      </c>
      <c r="I115" s="44">
        <v>105495.77</v>
      </c>
      <c r="J115" s="44">
        <v>109783.4</v>
      </c>
      <c r="K115" t="s">
        <v>198</v>
      </c>
    </row>
    <row r="116" spans="1:11" ht="16.95" hidden="1" customHeight="1" x14ac:dyDescent="0.3">
      <c r="A116" s="42" t="s">
        <v>238</v>
      </c>
      <c r="B116" s="42" t="s">
        <v>239</v>
      </c>
      <c r="C116" s="42" t="s">
        <v>210</v>
      </c>
      <c r="D116" s="42" t="s">
        <v>263</v>
      </c>
      <c r="E116" s="42" t="s">
        <v>241</v>
      </c>
      <c r="F116" s="42" t="s">
        <v>246</v>
      </c>
      <c r="G116" s="44">
        <v>139319.56</v>
      </c>
      <c r="H116" s="44">
        <v>122859.93</v>
      </c>
      <c r="I116" s="44">
        <v>99480.99</v>
      </c>
      <c r="J116" s="44">
        <v>101614.67</v>
      </c>
      <c r="K116" t="s">
        <v>198</v>
      </c>
    </row>
    <row r="117" spans="1:11" ht="16.95" hidden="1" customHeight="1" x14ac:dyDescent="0.3">
      <c r="A117" s="42" t="s">
        <v>238</v>
      </c>
      <c r="B117" s="42" t="s">
        <v>239</v>
      </c>
      <c r="C117" s="42" t="s">
        <v>210</v>
      </c>
      <c r="D117" s="42" t="s">
        <v>263</v>
      </c>
      <c r="E117" s="42" t="s">
        <v>241</v>
      </c>
      <c r="F117" s="42" t="s">
        <v>247</v>
      </c>
      <c r="G117" s="44">
        <v>129672.54</v>
      </c>
      <c r="H117" s="44">
        <v>114925.22</v>
      </c>
      <c r="I117" s="44">
        <v>95897.81</v>
      </c>
      <c r="J117" s="44">
        <v>103541.98</v>
      </c>
      <c r="K117" t="s">
        <v>198</v>
      </c>
    </row>
    <row r="118" spans="1:11" ht="16.95" hidden="1" customHeight="1" x14ac:dyDescent="0.3">
      <c r="A118" s="42" t="s">
        <v>238</v>
      </c>
      <c r="B118" s="42" t="s">
        <v>239</v>
      </c>
      <c r="C118" s="42" t="s">
        <v>210</v>
      </c>
      <c r="D118" s="42" t="s">
        <v>263</v>
      </c>
      <c r="E118" s="42" t="s">
        <v>241</v>
      </c>
      <c r="F118" s="42" t="s">
        <v>248</v>
      </c>
      <c r="G118" s="44">
        <v>123623.85</v>
      </c>
      <c r="H118" s="44">
        <v>119425.88</v>
      </c>
      <c r="I118" s="44">
        <v>106185.45</v>
      </c>
      <c r="J118" s="44">
        <v>106560.95</v>
      </c>
      <c r="K118" t="s">
        <v>198</v>
      </c>
    </row>
    <row r="119" spans="1:11" ht="16.95" hidden="1" customHeight="1" x14ac:dyDescent="0.3">
      <c r="A119" s="42" t="s">
        <v>238</v>
      </c>
      <c r="B119" s="42" t="s">
        <v>239</v>
      </c>
      <c r="C119" s="42" t="s">
        <v>210</v>
      </c>
      <c r="D119" s="42" t="s">
        <v>263</v>
      </c>
      <c r="E119" s="42" t="s">
        <v>241</v>
      </c>
      <c r="F119" s="42" t="s">
        <v>249</v>
      </c>
      <c r="G119" s="44">
        <v>106857.19</v>
      </c>
      <c r="H119" s="44">
        <v>122823.45</v>
      </c>
      <c r="I119" s="44">
        <v>95288.27</v>
      </c>
      <c r="J119" s="44">
        <v>129394.92</v>
      </c>
      <c r="K119" t="s">
        <v>198</v>
      </c>
    </row>
    <row r="120" spans="1:11" ht="16.95" hidden="1" customHeight="1" x14ac:dyDescent="0.3">
      <c r="A120" s="42" t="s">
        <v>238</v>
      </c>
      <c r="B120" s="42" t="s">
        <v>239</v>
      </c>
      <c r="C120" s="42" t="s">
        <v>210</v>
      </c>
      <c r="D120" s="42" t="s">
        <v>263</v>
      </c>
      <c r="E120" s="42" t="s">
        <v>241</v>
      </c>
      <c r="F120" s="42" t="s">
        <v>250</v>
      </c>
      <c r="G120" s="44">
        <v>104578.38</v>
      </c>
      <c r="H120" s="44">
        <v>119463.4</v>
      </c>
      <c r="I120" s="44">
        <v>98834.33</v>
      </c>
      <c r="J120" s="44">
        <v>120092.53</v>
      </c>
      <c r="K120" t="s">
        <v>198</v>
      </c>
    </row>
    <row r="121" spans="1:11" ht="16.95" hidden="1" customHeight="1" x14ac:dyDescent="0.3">
      <c r="A121" s="42" t="s">
        <v>238</v>
      </c>
      <c r="B121" s="42" t="s">
        <v>239</v>
      </c>
      <c r="C121" s="42" t="s">
        <v>210</v>
      </c>
      <c r="D121" s="42" t="s">
        <v>263</v>
      </c>
      <c r="E121" s="42" t="s">
        <v>241</v>
      </c>
      <c r="F121" s="42" t="s">
        <v>251</v>
      </c>
      <c r="G121" s="44">
        <v>121929.22</v>
      </c>
      <c r="H121" s="44">
        <v>117057.95</v>
      </c>
      <c r="I121" s="44">
        <v>99380.09</v>
      </c>
      <c r="J121" s="44">
        <v>129884.26</v>
      </c>
      <c r="K121" t="s">
        <v>198</v>
      </c>
    </row>
    <row r="122" spans="1:11" ht="16.95" hidden="1" customHeight="1" x14ac:dyDescent="0.3">
      <c r="A122" s="42" t="s">
        <v>238</v>
      </c>
      <c r="B122" s="42" t="s">
        <v>239</v>
      </c>
      <c r="C122" s="42" t="s">
        <v>210</v>
      </c>
      <c r="D122" s="42" t="s">
        <v>263</v>
      </c>
      <c r="E122" s="42" t="s">
        <v>241</v>
      </c>
      <c r="F122" s="42" t="s">
        <v>252</v>
      </c>
      <c r="G122" s="44">
        <v>134989.6</v>
      </c>
      <c r="H122" s="44">
        <v>119186.85</v>
      </c>
      <c r="I122" s="44">
        <v>96637.17</v>
      </c>
      <c r="J122" s="44">
        <v>115283.22</v>
      </c>
      <c r="K122" t="s">
        <v>198</v>
      </c>
    </row>
    <row r="123" spans="1:11" ht="16.95" hidden="1" customHeight="1" x14ac:dyDescent="0.3">
      <c r="A123" s="42" t="s">
        <v>238</v>
      </c>
      <c r="B123" s="42" t="s">
        <v>239</v>
      </c>
      <c r="C123" s="42" t="s">
        <v>210</v>
      </c>
      <c r="D123" s="42" t="s">
        <v>263</v>
      </c>
      <c r="E123" s="42" t="s">
        <v>241</v>
      </c>
      <c r="F123" s="42" t="s">
        <v>253</v>
      </c>
      <c r="G123" s="44">
        <v>125178.7</v>
      </c>
      <c r="H123" s="44">
        <v>118390.56</v>
      </c>
      <c r="I123" s="44">
        <v>93399.32</v>
      </c>
      <c r="J123" s="44">
        <v>111181.15</v>
      </c>
      <c r="K123" t="s">
        <v>198</v>
      </c>
    </row>
    <row r="124" spans="1:11" ht="16.95" customHeight="1" x14ac:dyDescent="0.3">
      <c r="A124" s="42" t="s">
        <v>238</v>
      </c>
      <c r="B124" s="42" t="s">
        <v>239</v>
      </c>
      <c r="C124" s="42" t="s">
        <v>210</v>
      </c>
      <c r="D124" s="42" t="s">
        <v>264</v>
      </c>
      <c r="E124" s="42" t="s">
        <v>241</v>
      </c>
      <c r="F124" s="42" t="s">
        <v>242</v>
      </c>
      <c r="G124" s="44">
        <v>13417.6</v>
      </c>
      <c r="H124" s="44">
        <v>16791.580000000002</v>
      </c>
      <c r="I124" s="44">
        <v>27277.81</v>
      </c>
      <c r="J124" s="44">
        <v>35448.660000000003</v>
      </c>
      <c r="K124" s="44">
        <v>30444.36</v>
      </c>
    </row>
    <row r="125" spans="1:11" ht="16.95" customHeight="1" x14ac:dyDescent="0.3">
      <c r="A125" s="42" t="s">
        <v>238</v>
      </c>
      <c r="B125" s="42" t="s">
        <v>239</v>
      </c>
      <c r="C125" s="42" t="s">
        <v>210</v>
      </c>
      <c r="D125" s="42" t="s">
        <v>264</v>
      </c>
      <c r="E125" s="42" t="s">
        <v>241</v>
      </c>
      <c r="F125" s="42" t="s">
        <v>243</v>
      </c>
      <c r="G125" s="44">
        <v>24245.05</v>
      </c>
      <c r="H125" s="44">
        <v>15881.1</v>
      </c>
      <c r="I125" s="44">
        <v>23370.77</v>
      </c>
      <c r="J125" s="44">
        <v>44235.9</v>
      </c>
      <c r="K125" s="44">
        <v>28784.46</v>
      </c>
    </row>
    <row r="126" spans="1:11" ht="16.95" customHeight="1" x14ac:dyDescent="0.3">
      <c r="A126" s="42" t="s">
        <v>238</v>
      </c>
      <c r="B126" s="42" t="s">
        <v>239</v>
      </c>
      <c r="C126" s="42" t="s">
        <v>210</v>
      </c>
      <c r="D126" s="42" t="s">
        <v>264</v>
      </c>
      <c r="E126" s="42" t="s">
        <v>241</v>
      </c>
      <c r="F126" s="42" t="s">
        <v>244</v>
      </c>
      <c r="G126" s="44">
        <v>15616.35</v>
      </c>
      <c r="H126" s="44">
        <v>15029.89</v>
      </c>
      <c r="I126" s="44">
        <v>21184.12</v>
      </c>
      <c r="J126" s="44">
        <v>39026.230000000003</v>
      </c>
      <c r="K126" s="44">
        <v>60767.76</v>
      </c>
    </row>
    <row r="127" spans="1:11" ht="16.95" customHeight="1" x14ac:dyDescent="0.3">
      <c r="A127" s="42" t="s">
        <v>238</v>
      </c>
      <c r="B127" s="42" t="s">
        <v>239</v>
      </c>
      <c r="C127" s="42" t="s">
        <v>210</v>
      </c>
      <c r="D127" s="42" t="s">
        <v>264</v>
      </c>
      <c r="E127" s="42" t="s">
        <v>241</v>
      </c>
      <c r="F127" s="42" t="s">
        <v>245</v>
      </c>
      <c r="G127" s="44">
        <v>15848.76</v>
      </c>
      <c r="H127" s="44">
        <v>16288.49</v>
      </c>
      <c r="I127" s="44">
        <v>23590.03</v>
      </c>
      <c r="J127" s="44">
        <v>40523.919999999998</v>
      </c>
      <c r="K127" t="s">
        <v>198</v>
      </c>
    </row>
    <row r="128" spans="1:11" ht="16.95" customHeight="1" x14ac:dyDescent="0.3">
      <c r="A128" s="42" t="s">
        <v>238</v>
      </c>
      <c r="B128" s="42" t="s">
        <v>239</v>
      </c>
      <c r="C128" s="42" t="s">
        <v>210</v>
      </c>
      <c r="D128" s="42" t="s">
        <v>264</v>
      </c>
      <c r="E128" s="42" t="s">
        <v>241</v>
      </c>
      <c r="F128" s="42" t="s">
        <v>246</v>
      </c>
      <c r="G128" s="44">
        <v>13828.91</v>
      </c>
      <c r="H128" s="44">
        <v>15060.75</v>
      </c>
      <c r="I128" s="44">
        <v>25391.07</v>
      </c>
      <c r="J128" s="44">
        <v>33522.910000000003</v>
      </c>
      <c r="K128" t="s">
        <v>198</v>
      </c>
    </row>
    <row r="129" spans="1:11" ht="16.95" customHeight="1" x14ac:dyDescent="0.3">
      <c r="A129" s="42" t="s">
        <v>238</v>
      </c>
      <c r="B129" s="42" t="s">
        <v>239</v>
      </c>
      <c r="C129" s="42" t="s">
        <v>210</v>
      </c>
      <c r="D129" s="42" t="s">
        <v>264</v>
      </c>
      <c r="E129" s="42" t="s">
        <v>241</v>
      </c>
      <c r="F129" s="42" t="s">
        <v>247</v>
      </c>
      <c r="G129" s="44">
        <v>13690.51</v>
      </c>
      <c r="H129" s="44">
        <v>14985.31</v>
      </c>
      <c r="I129" s="44">
        <v>25919.87</v>
      </c>
      <c r="J129" s="44">
        <v>33181.96</v>
      </c>
      <c r="K129" t="s">
        <v>198</v>
      </c>
    </row>
    <row r="130" spans="1:11" ht="16.95" customHeight="1" x14ac:dyDescent="0.3">
      <c r="A130" s="42" t="s">
        <v>238</v>
      </c>
      <c r="B130" s="42" t="s">
        <v>239</v>
      </c>
      <c r="C130" s="42" t="s">
        <v>210</v>
      </c>
      <c r="D130" s="42" t="s">
        <v>264</v>
      </c>
      <c r="E130" s="42" t="s">
        <v>241</v>
      </c>
      <c r="F130" s="42" t="s">
        <v>248</v>
      </c>
      <c r="G130" s="44">
        <v>13294.99</v>
      </c>
      <c r="H130" s="44">
        <v>16892.79</v>
      </c>
      <c r="I130" s="44">
        <v>23226.01</v>
      </c>
      <c r="J130" s="44">
        <v>33368.269999999997</v>
      </c>
      <c r="K130" t="s">
        <v>198</v>
      </c>
    </row>
    <row r="131" spans="1:11" ht="16.95" customHeight="1" x14ac:dyDescent="0.3">
      <c r="A131" s="42" t="s">
        <v>238</v>
      </c>
      <c r="B131" s="42" t="s">
        <v>239</v>
      </c>
      <c r="C131" s="42" t="s">
        <v>210</v>
      </c>
      <c r="D131" s="42" t="s">
        <v>264</v>
      </c>
      <c r="E131" s="42" t="s">
        <v>241</v>
      </c>
      <c r="F131" s="42" t="s">
        <v>249</v>
      </c>
      <c r="G131" s="44">
        <v>12944.98</v>
      </c>
      <c r="H131" s="44">
        <v>16145.01</v>
      </c>
      <c r="I131" s="44">
        <v>21453.64</v>
      </c>
      <c r="J131" s="44">
        <v>32380.81</v>
      </c>
      <c r="K131" t="s">
        <v>198</v>
      </c>
    </row>
    <row r="132" spans="1:11" ht="16.95" customHeight="1" x14ac:dyDescent="0.3">
      <c r="A132" s="42" t="s">
        <v>238</v>
      </c>
      <c r="B132" s="42" t="s">
        <v>239</v>
      </c>
      <c r="C132" s="42" t="s">
        <v>210</v>
      </c>
      <c r="D132" s="42" t="s">
        <v>264</v>
      </c>
      <c r="E132" s="42" t="s">
        <v>241</v>
      </c>
      <c r="F132" s="42" t="s">
        <v>250</v>
      </c>
      <c r="G132" s="44">
        <v>15353.61</v>
      </c>
      <c r="H132" s="44">
        <v>15701.81</v>
      </c>
      <c r="I132" s="44">
        <v>21538.639999999999</v>
      </c>
      <c r="J132" s="44">
        <v>36469.910000000003</v>
      </c>
      <c r="K132" t="s">
        <v>198</v>
      </c>
    </row>
    <row r="133" spans="1:11" ht="16.95" customHeight="1" x14ac:dyDescent="0.3">
      <c r="A133" s="42" t="s">
        <v>238</v>
      </c>
      <c r="B133" s="42" t="s">
        <v>239</v>
      </c>
      <c r="C133" s="42" t="s">
        <v>210</v>
      </c>
      <c r="D133" s="42" t="s">
        <v>264</v>
      </c>
      <c r="E133" s="42" t="s">
        <v>241</v>
      </c>
      <c r="F133" s="42" t="s">
        <v>251</v>
      </c>
      <c r="G133" s="44">
        <v>16387.810000000001</v>
      </c>
      <c r="H133" s="44">
        <v>16938.3</v>
      </c>
      <c r="I133" s="44">
        <v>21679.040000000001</v>
      </c>
      <c r="J133" s="44">
        <v>51193.42</v>
      </c>
      <c r="K133" t="s">
        <v>198</v>
      </c>
    </row>
    <row r="134" spans="1:11" ht="16.95" customHeight="1" x14ac:dyDescent="0.3">
      <c r="A134" s="42" t="s">
        <v>238</v>
      </c>
      <c r="B134" s="42" t="s">
        <v>239</v>
      </c>
      <c r="C134" s="42" t="s">
        <v>210</v>
      </c>
      <c r="D134" s="42" t="s">
        <v>264</v>
      </c>
      <c r="E134" s="42" t="s">
        <v>241</v>
      </c>
      <c r="F134" s="42" t="s">
        <v>252</v>
      </c>
      <c r="G134" s="44">
        <v>13280.55</v>
      </c>
      <c r="H134" s="44">
        <v>15989.73</v>
      </c>
      <c r="I134" s="44">
        <v>18148.07</v>
      </c>
      <c r="J134" s="44">
        <v>39555.120000000003</v>
      </c>
      <c r="K134" t="s">
        <v>198</v>
      </c>
    </row>
    <row r="135" spans="1:11" ht="16.95" customHeight="1" x14ac:dyDescent="0.3">
      <c r="A135" s="42" t="s">
        <v>238</v>
      </c>
      <c r="B135" s="42" t="s">
        <v>239</v>
      </c>
      <c r="C135" s="42" t="s">
        <v>210</v>
      </c>
      <c r="D135" s="42" t="s">
        <v>264</v>
      </c>
      <c r="E135" s="42" t="s">
        <v>241</v>
      </c>
      <c r="F135" s="42" t="s">
        <v>253</v>
      </c>
      <c r="G135" s="44">
        <v>14523.02</v>
      </c>
      <c r="H135" s="44">
        <v>16969.61</v>
      </c>
      <c r="I135" s="44">
        <v>19025.84</v>
      </c>
      <c r="J135" s="44">
        <v>36669.39</v>
      </c>
      <c r="K135" t="s">
        <v>198</v>
      </c>
    </row>
    <row r="136" spans="1:11" ht="16.95" hidden="1" customHeight="1" x14ac:dyDescent="0.3">
      <c r="A136" s="42" t="s">
        <v>238</v>
      </c>
      <c r="B136" s="42" t="s">
        <v>239</v>
      </c>
      <c r="C136" s="42" t="s">
        <v>210</v>
      </c>
      <c r="D136" s="42" t="s">
        <v>265</v>
      </c>
      <c r="E136" s="42" t="s">
        <v>241</v>
      </c>
      <c r="F136" s="42" t="s">
        <v>242</v>
      </c>
      <c r="G136" s="44">
        <v>32845.43</v>
      </c>
      <c r="H136" s="44">
        <v>105418.29</v>
      </c>
      <c r="I136" s="44">
        <v>97954.81</v>
      </c>
      <c r="J136" s="44">
        <v>70460.479999999996</v>
      </c>
      <c r="K136" s="44">
        <v>133436.1</v>
      </c>
    </row>
    <row r="137" spans="1:11" ht="16.95" hidden="1" customHeight="1" x14ac:dyDescent="0.3">
      <c r="A137" s="42" t="s">
        <v>238</v>
      </c>
      <c r="B137" s="42" t="s">
        <v>239</v>
      </c>
      <c r="C137" s="42" t="s">
        <v>210</v>
      </c>
      <c r="D137" s="42" t="s">
        <v>265</v>
      </c>
      <c r="E137" s="42" t="s">
        <v>241</v>
      </c>
      <c r="F137" s="42" t="s">
        <v>243</v>
      </c>
      <c r="G137" s="44">
        <v>32607.040000000001</v>
      </c>
      <c r="H137" s="44">
        <v>129819.5</v>
      </c>
      <c r="I137" s="44">
        <v>99992.320000000007</v>
      </c>
      <c r="J137" s="44">
        <v>105282.8</v>
      </c>
      <c r="K137" s="44">
        <v>151309.32</v>
      </c>
    </row>
    <row r="138" spans="1:11" ht="16.95" hidden="1" customHeight="1" x14ac:dyDescent="0.3">
      <c r="A138" s="42" t="s">
        <v>238</v>
      </c>
      <c r="B138" s="42" t="s">
        <v>239</v>
      </c>
      <c r="C138" s="42" t="s">
        <v>210</v>
      </c>
      <c r="D138" s="42" t="s">
        <v>265</v>
      </c>
      <c r="E138" s="42" t="s">
        <v>241</v>
      </c>
      <c r="F138" s="42" t="s">
        <v>244</v>
      </c>
      <c r="G138" s="44">
        <v>26318.89</v>
      </c>
      <c r="H138" s="44">
        <v>147198.51999999999</v>
      </c>
      <c r="I138" s="44">
        <v>102002.21</v>
      </c>
      <c r="J138" s="44">
        <v>75227.199999999997</v>
      </c>
      <c r="K138" s="44">
        <v>149815.54</v>
      </c>
    </row>
    <row r="139" spans="1:11" ht="16.95" hidden="1" customHeight="1" x14ac:dyDescent="0.3">
      <c r="A139" s="42" t="s">
        <v>238</v>
      </c>
      <c r="B139" s="42" t="s">
        <v>239</v>
      </c>
      <c r="C139" s="42" t="s">
        <v>210</v>
      </c>
      <c r="D139" s="42" t="s">
        <v>265</v>
      </c>
      <c r="E139" s="42" t="s">
        <v>241</v>
      </c>
      <c r="F139" s="42" t="s">
        <v>245</v>
      </c>
      <c r="G139" s="44">
        <v>32150.86</v>
      </c>
      <c r="H139" s="44">
        <v>95853.91</v>
      </c>
      <c r="I139" s="44">
        <v>62515.83</v>
      </c>
      <c r="J139" s="44">
        <v>80410.45</v>
      </c>
      <c r="K139" t="s">
        <v>198</v>
      </c>
    </row>
    <row r="140" spans="1:11" ht="16.95" hidden="1" customHeight="1" x14ac:dyDescent="0.3">
      <c r="A140" s="42" t="s">
        <v>238</v>
      </c>
      <c r="B140" s="42" t="s">
        <v>239</v>
      </c>
      <c r="C140" s="42" t="s">
        <v>210</v>
      </c>
      <c r="D140" s="42" t="s">
        <v>265</v>
      </c>
      <c r="E140" s="42" t="s">
        <v>241</v>
      </c>
      <c r="F140" s="42" t="s">
        <v>246</v>
      </c>
      <c r="G140" s="44">
        <v>31216.240000000002</v>
      </c>
      <c r="H140" s="44">
        <v>85725.15</v>
      </c>
      <c r="I140" s="44">
        <v>90434.9</v>
      </c>
      <c r="J140" s="44">
        <v>133862.35999999999</v>
      </c>
      <c r="K140" t="s">
        <v>198</v>
      </c>
    </row>
    <row r="141" spans="1:11" ht="16.95" hidden="1" customHeight="1" x14ac:dyDescent="0.3">
      <c r="A141" s="42" t="s">
        <v>238</v>
      </c>
      <c r="B141" s="42" t="s">
        <v>239</v>
      </c>
      <c r="C141" s="42" t="s">
        <v>210</v>
      </c>
      <c r="D141" s="42" t="s">
        <v>265</v>
      </c>
      <c r="E141" s="42" t="s">
        <v>241</v>
      </c>
      <c r="F141" s="42" t="s">
        <v>247</v>
      </c>
      <c r="G141" s="44">
        <v>28530.86</v>
      </c>
      <c r="H141" s="44">
        <v>73465.990000000005</v>
      </c>
      <c r="I141" s="44">
        <v>49110.48</v>
      </c>
      <c r="J141" s="44">
        <v>122478.82</v>
      </c>
      <c r="K141" t="s">
        <v>198</v>
      </c>
    </row>
    <row r="142" spans="1:11" ht="16.95" hidden="1" customHeight="1" x14ac:dyDescent="0.3">
      <c r="A142" s="42" t="s">
        <v>238</v>
      </c>
      <c r="B142" s="42" t="s">
        <v>239</v>
      </c>
      <c r="C142" s="42" t="s">
        <v>210</v>
      </c>
      <c r="D142" s="42" t="s">
        <v>265</v>
      </c>
      <c r="E142" s="42" t="s">
        <v>241</v>
      </c>
      <c r="F142" s="42" t="s">
        <v>248</v>
      </c>
      <c r="G142" s="44">
        <v>28788.17</v>
      </c>
      <c r="H142" s="44">
        <v>81397.649999999994</v>
      </c>
      <c r="I142" s="44">
        <v>56747.47</v>
      </c>
      <c r="J142" s="44">
        <v>93761.43</v>
      </c>
      <c r="K142" t="s">
        <v>198</v>
      </c>
    </row>
    <row r="143" spans="1:11" ht="16.95" hidden="1" customHeight="1" x14ac:dyDescent="0.3">
      <c r="A143" s="42" t="s">
        <v>238</v>
      </c>
      <c r="B143" s="42" t="s">
        <v>239</v>
      </c>
      <c r="C143" s="42" t="s">
        <v>210</v>
      </c>
      <c r="D143" s="42" t="s">
        <v>265</v>
      </c>
      <c r="E143" s="42" t="s">
        <v>241</v>
      </c>
      <c r="F143" s="42" t="s">
        <v>249</v>
      </c>
      <c r="G143" s="44">
        <v>29379.78</v>
      </c>
      <c r="H143" s="44">
        <v>130464.69</v>
      </c>
      <c r="I143" s="44">
        <v>108477.99</v>
      </c>
      <c r="J143" s="44">
        <v>175183.79</v>
      </c>
      <c r="K143" t="s">
        <v>198</v>
      </c>
    </row>
    <row r="144" spans="1:11" ht="16.95" hidden="1" customHeight="1" x14ac:dyDescent="0.3">
      <c r="A144" s="42" t="s">
        <v>238</v>
      </c>
      <c r="B144" s="42" t="s">
        <v>239</v>
      </c>
      <c r="C144" s="42" t="s">
        <v>210</v>
      </c>
      <c r="D144" s="42" t="s">
        <v>265</v>
      </c>
      <c r="E144" s="42" t="s">
        <v>241</v>
      </c>
      <c r="F144" s="42" t="s">
        <v>250</v>
      </c>
      <c r="G144" s="44">
        <v>81860.06</v>
      </c>
      <c r="H144" s="44">
        <v>149557.88</v>
      </c>
      <c r="I144" s="44">
        <v>80324.05</v>
      </c>
      <c r="J144" s="44">
        <v>96947.53</v>
      </c>
      <c r="K144" t="s">
        <v>198</v>
      </c>
    </row>
    <row r="145" spans="1:11" ht="16.95" hidden="1" customHeight="1" x14ac:dyDescent="0.3">
      <c r="A145" s="42" t="s">
        <v>238</v>
      </c>
      <c r="B145" s="42" t="s">
        <v>239</v>
      </c>
      <c r="C145" s="42" t="s">
        <v>210</v>
      </c>
      <c r="D145" s="42" t="s">
        <v>265</v>
      </c>
      <c r="E145" s="42" t="s">
        <v>241</v>
      </c>
      <c r="F145" s="42" t="s">
        <v>251</v>
      </c>
      <c r="G145" s="44">
        <v>120385.60000000001</v>
      </c>
      <c r="H145" s="44">
        <v>154319.57</v>
      </c>
      <c r="I145" s="44">
        <v>72521.16</v>
      </c>
      <c r="J145" s="44">
        <v>137025.85999999999</v>
      </c>
      <c r="K145" t="s">
        <v>198</v>
      </c>
    </row>
    <row r="146" spans="1:11" ht="16.95" hidden="1" customHeight="1" x14ac:dyDescent="0.3">
      <c r="A146" s="42" t="s">
        <v>238</v>
      </c>
      <c r="B146" s="42" t="s">
        <v>239</v>
      </c>
      <c r="C146" s="42" t="s">
        <v>210</v>
      </c>
      <c r="D146" s="42" t="s">
        <v>265</v>
      </c>
      <c r="E146" s="42" t="s">
        <v>241</v>
      </c>
      <c r="F146" s="42" t="s">
        <v>252</v>
      </c>
      <c r="G146" s="44">
        <v>33022.35</v>
      </c>
      <c r="H146" s="44">
        <v>158988.26999999999</v>
      </c>
      <c r="I146" s="44">
        <v>85502.36</v>
      </c>
      <c r="J146" s="44">
        <v>106024.53</v>
      </c>
      <c r="K146" t="s">
        <v>198</v>
      </c>
    </row>
    <row r="147" spans="1:11" ht="16.95" hidden="1" customHeight="1" x14ac:dyDescent="0.3">
      <c r="A147" s="42" t="s">
        <v>238</v>
      </c>
      <c r="B147" s="42" t="s">
        <v>239</v>
      </c>
      <c r="C147" s="42" t="s">
        <v>210</v>
      </c>
      <c r="D147" s="42" t="s">
        <v>265</v>
      </c>
      <c r="E147" s="42" t="s">
        <v>241</v>
      </c>
      <c r="F147" s="42" t="s">
        <v>253</v>
      </c>
      <c r="G147" s="44">
        <v>32890.800000000003</v>
      </c>
      <c r="H147" s="44">
        <v>68701.87</v>
      </c>
      <c r="I147" s="44">
        <v>86846.18</v>
      </c>
      <c r="J147" s="44">
        <v>179591.23</v>
      </c>
      <c r="K147" t="s">
        <v>198</v>
      </c>
    </row>
    <row r="148" spans="1:11" ht="16.95" hidden="1" customHeight="1" x14ac:dyDescent="0.3">
      <c r="A148" s="42" t="s">
        <v>238</v>
      </c>
      <c r="B148" s="42" t="s">
        <v>239</v>
      </c>
      <c r="C148" s="42" t="s">
        <v>210</v>
      </c>
      <c r="D148" s="42" t="s">
        <v>266</v>
      </c>
      <c r="E148" s="42" t="s">
        <v>241</v>
      </c>
      <c r="F148" s="42" t="s">
        <v>242</v>
      </c>
      <c r="G148" s="44">
        <v>18624.02</v>
      </c>
      <c r="H148" s="44">
        <v>25437.91</v>
      </c>
      <c r="I148" s="44">
        <v>37640.57</v>
      </c>
      <c r="J148" s="44">
        <v>32028.38</v>
      </c>
      <c r="K148" s="44">
        <v>52349.17</v>
      </c>
    </row>
    <row r="149" spans="1:11" ht="16.95" hidden="1" customHeight="1" x14ac:dyDescent="0.3">
      <c r="A149" s="42" t="s">
        <v>238</v>
      </c>
      <c r="B149" s="42" t="s">
        <v>239</v>
      </c>
      <c r="C149" s="42" t="s">
        <v>210</v>
      </c>
      <c r="D149" s="42" t="s">
        <v>266</v>
      </c>
      <c r="E149" s="42" t="s">
        <v>241</v>
      </c>
      <c r="F149" s="42" t="s">
        <v>243</v>
      </c>
      <c r="G149" s="44">
        <v>29696.19</v>
      </c>
      <c r="H149" s="44">
        <v>28393.88</v>
      </c>
      <c r="I149" s="44">
        <v>26944.39</v>
      </c>
      <c r="J149" s="44">
        <v>35476.75</v>
      </c>
      <c r="K149" s="44">
        <v>59657.59</v>
      </c>
    </row>
    <row r="150" spans="1:11" ht="16.95" hidden="1" customHeight="1" x14ac:dyDescent="0.3">
      <c r="A150" s="42" t="s">
        <v>238</v>
      </c>
      <c r="B150" s="42" t="s">
        <v>239</v>
      </c>
      <c r="C150" s="42" t="s">
        <v>210</v>
      </c>
      <c r="D150" s="42" t="s">
        <v>266</v>
      </c>
      <c r="E150" s="42" t="s">
        <v>241</v>
      </c>
      <c r="F150" s="42" t="s">
        <v>244</v>
      </c>
      <c r="G150" s="44">
        <v>24511.63</v>
      </c>
      <c r="H150" s="44">
        <v>25516.560000000001</v>
      </c>
      <c r="I150" s="44">
        <v>29844.53</v>
      </c>
      <c r="J150" s="44">
        <v>36148.42</v>
      </c>
      <c r="K150" s="44">
        <v>58405.46</v>
      </c>
    </row>
    <row r="151" spans="1:11" ht="16.95" hidden="1" customHeight="1" x14ac:dyDescent="0.3">
      <c r="A151" s="42" t="s">
        <v>238</v>
      </c>
      <c r="B151" s="42" t="s">
        <v>239</v>
      </c>
      <c r="C151" s="42" t="s">
        <v>210</v>
      </c>
      <c r="D151" s="42" t="s">
        <v>266</v>
      </c>
      <c r="E151" s="42" t="s">
        <v>241</v>
      </c>
      <c r="F151" s="42" t="s">
        <v>245</v>
      </c>
      <c r="G151" s="44">
        <v>24665.02</v>
      </c>
      <c r="H151" s="44">
        <v>28013.85</v>
      </c>
      <c r="I151" s="44">
        <v>29600.1</v>
      </c>
      <c r="J151" s="44">
        <v>40028.67</v>
      </c>
      <c r="K151" t="s">
        <v>198</v>
      </c>
    </row>
    <row r="152" spans="1:11" ht="16.95" hidden="1" customHeight="1" x14ac:dyDescent="0.3">
      <c r="A152" s="42" t="s">
        <v>238</v>
      </c>
      <c r="B152" s="42" t="s">
        <v>239</v>
      </c>
      <c r="C152" s="42" t="s">
        <v>210</v>
      </c>
      <c r="D152" s="42" t="s">
        <v>266</v>
      </c>
      <c r="E152" s="42" t="s">
        <v>241</v>
      </c>
      <c r="F152" s="42" t="s">
        <v>246</v>
      </c>
      <c r="G152" s="44">
        <v>24366.92</v>
      </c>
      <c r="H152" s="44">
        <v>26250.57</v>
      </c>
      <c r="I152" s="44">
        <v>26359.08</v>
      </c>
      <c r="J152" s="44">
        <v>31986.07</v>
      </c>
      <c r="K152" t="s">
        <v>198</v>
      </c>
    </row>
    <row r="153" spans="1:11" ht="16.95" hidden="1" customHeight="1" x14ac:dyDescent="0.3">
      <c r="A153" s="42" t="s">
        <v>238</v>
      </c>
      <c r="B153" s="42" t="s">
        <v>239</v>
      </c>
      <c r="C153" s="42" t="s">
        <v>210</v>
      </c>
      <c r="D153" s="42" t="s">
        <v>266</v>
      </c>
      <c r="E153" s="42" t="s">
        <v>241</v>
      </c>
      <c r="F153" s="42" t="s">
        <v>247</v>
      </c>
      <c r="G153" s="44">
        <v>21972.49</v>
      </c>
      <c r="H153" s="44">
        <v>29727.63</v>
      </c>
      <c r="I153" s="44">
        <v>28125.7</v>
      </c>
      <c r="J153" s="44">
        <v>31298.54</v>
      </c>
      <c r="K153" t="s">
        <v>198</v>
      </c>
    </row>
    <row r="154" spans="1:11" ht="16.95" hidden="1" customHeight="1" x14ac:dyDescent="0.3">
      <c r="A154" s="42" t="s">
        <v>238</v>
      </c>
      <c r="B154" s="42" t="s">
        <v>239</v>
      </c>
      <c r="C154" s="42" t="s">
        <v>210</v>
      </c>
      <c r="D154" s="42" t="s">
        <v>266</v>
      </c>
      <c r="E154" s="42" t="s">
        <v>241</v>
      </c>
      <c r="F154" s="42" t="s">
        <v>248</v>
      </c>
      <c r="G154" s="44">
        <v>23110.5</v>
      </c>
      <c r="H154" s="44">
        <v>29754.38</v>
      </c>
      <c r="I154" s="44">
        <v>26211.24</v>
      </c>
      <c r="J154" s="44">
        <v>34065.56</v>
      </c>
      <c r="K154" t="s">
        <v>198</v>
      </c>
    </row>
    <row r="155" spans="1:11" ht="16.95" hidden="1" customHeight="1" x14ac:dyDescent="0.3">
      <c r="A155" s="42" t="s">
        <v>238</v>
      </c>
      <c r="B155" s="42" t="s">
        <v>239</v>
      </c>
      <c r="C155" s="42" t="s">
        <v>210</v>
      </c>
      <c r="D155" s="42" t="s">
        <v>266</v>
      </c>
      <c r="E155" s="42" t="s">
        <v>241</v>
      </c>
      <c r="F155" s="42" t="s">
        <v>249</v>
      </c>
      <c r="G155" s="44">
        <v>27668.6</v>
      </c>
      <c r="H155" s="44">
        <v>30758.67</v>
      </c>
      <c r="I155" s="44">
        <v>31302.17</v>
      </c>
      <c r="J155" s="44">
        <v>32639.360000000001</v>
      </c>
      <c r="K155" t="s">
        <v>198</v>
      </c>
    </row>
    <row r="156" spans="1:11" ht="16.95" hidden="1" customHeight="1" x14ac:dyDescent="0.3">
      <c r="A156" s="42" t="s">
        <v>238</v>
      </c>
      <c r="B156" s="42" t="s">
        <v>239</v>
      </c>
      <c r="C156" s="42" t="s">
        <v>210</v>
      </c>
      <c r="D156" s="42" t="s">
        <v>266</v>
      </c>
      <c r="E156" s="42" t="s">
        <v>241</v>
      </c>
      <c r="F156" s="42" t="s">
        <v>250</v>
      </c>
      <c r="G156" s="44">
        <v>24900.97</v>
      </c>
      <c r="H156" s="44">
        <v>30079.07</v>
      </c>
      <c r="I156" s="44">
        <v>28189.02</v>
      </c>
      <c r="J156" s="44">
        <v>38116.69</v>
      </c>
      <c r="K156" t="s">
        <v>198</v>
      </c>
    </row>
    <row r="157" spans="1:11" ht="16.95" hidden="1" customHeight="1" x14ac:dyDescent="0.3">
      <c r="A157" s="42" t="s">
        <v>238</v>
      </c>
      <c r="B157" s="42" t="s">
        <v>239</v>
      </c>
      <c r="C157" s="42" t="s">
        <v>210</v>
      </c>
      <c r="D157" s="42" t="s">
        <v>266</v>
      </c>
      <c r="E157" s="42" t="s">
        <v>241</v>
      </c>
      <c r="F157" s="42" t="s">
        <v>251</v>
      </c>
      <c r="G157" s="44">
        <v>26442.23</v>
      </c>
      <c r="H157" s="44">
        <v>30539.07</v>
      </c>
      <c r="I157" s="44">
        <v>28056.85</v>
      </c>
      <c r="J157" s="44">
        <v>40501.1</v>
      </c>
      <c r="K157" t="s">
        <v>198</v>
      </c>
    </row>
    <row r="158" spans="1:11" ht="16.95" hidden="1" customHeight="1" x14ac:dyDescent="0.3">
      <c r="A158" s="42" t="s">
        <v>238</v>
      </c>
      <c r="B158" s="42" t="s">
        <v>239</v>
      </c>
      <c r="C158" s="42" t="s">
        <v>210</v>
      </c>
      <c r="D158" s="42" t="s">
        <v>266</v>
      </c>
      <c r="E158" s="42" t="s">
        <v>241</v>
      </c>
      <c r="F158" s="42" t="s">
        <v>252</v>
      </c>
      <c r="G158" s="44">
        <v>25628.93</v>
      </c>
      <c r="H158" s="44">
        <v>26393.9</v>
      </c>
      <c r="I158" s="44">
        <v>25538.53</v>
      </c>
      <c r="J158" s="44">
        <v>41791.11</v>
      </c>
      <c r="K158" t="s">
        <v>198</v>
      </c>
    </row>
    <row r="159" spans="1:11" ht="16.95" hidden="1" customHeight="1" x14ac:dyDescent="0.3">
      <c r="A159" s="42" t="s">
        <v>238</v>
      </c>
      <c r="B159" s="42" t="s">
        <v>239</v>
      </c>
      <c r="C159" s="42" t="s">
        <v>210</v>
      </c>
      <c r="D159" s="42" t="s">
        <v>266</v>
      </c>
      <c r="E159" s="42" t="s">
        <v>241</v>
      </c>
      <c r="F159" s="42" t="s">
        <v>253</v>
      </c>
      <c r="G159" s="44">
        <v>26697.56</v>
      </c>
      <c r="H159" s="44">
        <v>31821.52</v>
      </c>
      <c r="I159" s="44">
        <v>31081.49</v>
      </c>
      <c r="J159" s="44">
        <v>42221.36</v>
      </c>
      <c r="K159" t="s">
        <v>198</v>
      </c>
    </row>
    <row r="160" spans="1:11" ht="16.95" hidden="1" customHeight="1" x14ac:dyDescent="0.3">
      <c r="A160" s="42" t="s">
        <v>238</v>
      </c>
      <c r="B160" s="42" t="s">
        <v>239</v>
      </c>
      <c r="C160" s="42" t="s">
        <v>210</v>
      </c>
      <c r="D160" s="42" t="s">
        <v>267</v>
      </c>
      <c r="E160" s="42" t="s">
        <v>241</v>
      </c>
      <c r="F160" s="42" t="s">
        <v>242</v>
      </c>
      <c r="G160" s="44">
        <v>34380.35</v>
      </c>
      <c r="H160" s="44">
        <v>34903.160000000003</v>
      </c>
      <c r="I160" s="44">
        <v>35911.47</v>
      </c>
      <c r="J160" s="44">
        <v>34667.75</v>
      </c>
      <c r="K160" s="44">
        <v>47216.38</v>
      </c>
    </row>
    <row r="161" spans="1:11" ht="16.95" hidden="1" customHeight="1" x14ac:dyDescent="0.3">
      <c r="A161" s="42" t="s">
        <v>238</v>
      </c>
      <c r="B161" s="42" t="s">
        <v>239</v>
      </c>
      <c r="C161" s="42" t="s">
        <v>210</v>
      </c>
      <c r="D161" s="42" t="s">
        <v>267</v>
      </c>
      <c r="E161" s="42" t="s">
        <v>241</v>
      </c>
      <c r="F161" s="42" t="s">
        <v>243</v>
      </c>
      <c r="G161" s="44">
        <v>34707.760000000002</v>
      </c>
      <c r="H161" s="44">
        <v>36888.93</v>
      </c>
      <c r="I161" s="44">
        <v>35600.71</v>
      </c>
      <c r="J161" s="44">
        <v>35509.769999999997</v>
      </c>
      <c r="K161" s="44">
        <v>55314.61</v>
      </c>
    </row>
    <row r="162" spans="1:11" ht="16.95" hidden="1" customHeight="1" x14ac:dyDescent="0.3">
      <c r="A162" s="42" t="s">
        <v>238</v>
      </c>
      <c r="B162" s="42" t="s">
        <v>239</v>
      </c>
      <c r="C162" s="42" t="s">
        <v>210</v>
      </c>
      <c r="D162" s="42" t="s">
        <v>267</v>
      </c>
      <c r="E162" s="42" t="s">
        <v>241</v>
      </c>
      <c r="F162" s="42" t="s">
        <v>244</v>
      </c>
      <c r="G162" s="44">
        <v>35017.519999999997</v>
      </c>
      <c r="H162" s="44">
        <v>37516.239999999998</v>
      </c>
      <c r="I162" s="44">
        <v>37027.660000000003</v>
      </c>
      <c r="J162" s="44">
        <v>36707.339999999997</v>
      </c>
      <c r="K162" s="44">
        <v>55591.18</v>
      </c>
    </row>
    <row r="163" spans="1:11" ht="16.95" hidden="1" customHeight="1" x14ac:dyDescent="0.3">
      <c r="A163" s="42" t="s">
        <v>238</v>
      </c>
      <c r="B163" s="42" t="s">
        <v>239</v>
      </c>
      <c r="C163" s="42" t="s">
        <v>210</v>
      </c>
      <c r="D163" s="42" t="s">
        <v>267</v>
      </c>
      <c r="E163" s="42" t="s">
        <v>241</v>
      </c>
      <c r="F163" s="42" t="s">
        <v>245</v>
      </c>
      <c r="G163" s="44">
        <v>33482.870000000003</v>
      </c>
      <c r="H163" s="44">
        <v>39229.879999999997</v>
      </c>
      <c r="I163" s="44">
        <v>38304.9</v>
      </c>
      <c r="J163" s="44">
        <v>38439.199999999997</v>
      </c>
      <c r="K163" t="s">
        <v>198</v>
      </c>
    </row>
    <row r="164" spans="1:11" ht="16.95" hidden="1" customHeight="1" x14ac:dyDescent="0.3">
      <c r="A164" s="42" t="s">
        <v>238</v>
      </c>
      <c r="B164" s="42" t="s">
        <v>239</v>
      </c>
      <c r="C164" s="42" t="s">
        <v>210</v>
      </c>
      <c r="D164" s="42" t="s">
        <v>267</v>
      </c>
      <c r="E164" s="42" t="s">
        <v>241</v>
      </c>
      <c r="F164" s="42" t="s">
        <v>246</v>
      </c>
      <c r="G164" s="44">
        <v>33247.440000000002</v>
      </c>
      <c r="H164" s="44">
        <v>40514.69</v>
      </c>
      <c r="I164" s="44">
        <v>38545.629999999997</v>
      </c>
      <c r="J164" s="44">
        <v>35976.81</v>
      </c>
      <c r="K164" t="s">
        <v>198</v>
      </c>
    </row>
    <row r="165" spans="1:11" ht="16.95" hidden="1" customHeight="1" x14ac:dyDescent="0.3">
      <c r="A165" s="42" t="s">
        <v>238</v>
      </c>
      <c r="B165" s="42" t="s">
        <v>239</v>
      </c>
      <c r="C165" s="42" t="s">
        <v>210</v>
      </c>
      <c r="D165" s="42" t="s">
        <v>267</v>
      </c>
      <c r="E165" s="42" t="s">
        <v>241</v>
      </c>
      <c r="F165" s="42" t="s">
        <v>247</v>
      </c>
      <c r="G165" s="44">
        <v>31059.75</v>
      </c>
      <c r="H165" s="44">
        <v>41365.019999999997</v>
      </c>
      <c r="I165" s="44">
        <v>38390.49</v>
      </c>
      <c r="J165" s="44">
        <v>35004.93</v>
      </c>
      <c r="K165" t="s">
        <v>198</v>
      </c>
    </row>
    <row r="166" spans="1:11" ht="16.95" hidden="1" customHeight="1" x14ac:dyDescent="0.3">
      <c r="A166" s="42" t="s">
        <v>238</v>
      </c>
      <c r="B166" s="42" t="s">
        <v>239</v>
      </c>
      <c r="C166" s="42" t="s">
        <v>210</v>
      </c>
      <c r="D166" s="42" t="s">
        <v>267</v>
      </c>
      <c r="E166" s="42" t="s">
        <v>241</v>
      </c>
      <c r="F166" s="42" t="s">
        <v>248</v>
      </c>
      <c r="G166" s="44">
        <v>28831.98</v>
      </c>
      <c r="H166" s="44">
        <v>38665.230000000003</v>
      </c>
      <c r="I166" s="44">
        <v>38404.67</v>
      </c>
      <c r="J166" s="44">
        <v>34397.699999999997</v>
      </c>
      <c r="K166" t="s">
        <v>198</v>
      </c>
    </row>
    <row r="167" spans="1:11" ht="16.95" hidden="1" customHeight="1" x14ac:dyDescent="0.3">
      <c r="A167" s="42" t="s">
        <v>238</v>
      </c>
      <c r="B167" s="42" t="s">
        <v>239</v>
      </c>
      <c r="C167" s="42" t="s">
        <v>210</v>
      </c>
      <c r="D167" s="42" t="s">
        <v>267</v>
      </c>
      <c r="E167" s="42" t="s">
        <v>241</v>
      </c>
      <c r="F167" s="42" t="s">
        <v>249</v>
      </c>
      <c r="G167" s="44">
        <v>30199.14</v>
      </c>
      <c r="H167" s="44">
        <v>38405.129999999997</v>
      </c>
      <c r="I167" s="44">
        <v>39010.39</v>
      </c>
      <c r="J167" s="44">
        <v>34840.89</v>
      </c>
      <c r="K167" t="s">
        <v>198</v>
      </c>
    </row>
    <row r="168" spans="1:11" ht="16.95" hidden="1" customHeight="1" x14ac:dyDescent="0.3">
      <c r="A168" s="42" t="s">
        <v>238</v>
      </c>
      <c r="B168" s="42" t="s">
        <v>239</v>
      </c>
      <c r="C168" s="42" t="s">
        <v>210</v>
      </c>
      <c r="D168" s="42" t="s">
        <v>267</v>
      </c>
      <c r="E168" s="42" t="s">
        <v>241</v>
      </c>
      <c r="F168" s="42" t="s">
        <v>250</v>
      </c>
      <c r="G168" s="44">
        <v>33390.75</v>
      </c>
      <c r="H168" s="44">
        <v>39929.879999999997</v>
      </c>
      <c r="I168" s="44">
        <v>38258.81</v>
      </c>
      <c r="J168" s="44">
        <v>35807.550000000003</v>
      </c>
      <c r="K168" t="s">
        <v>198</v>
      </c>
    </row>
    <row r="169" spans="1:11" ht="16.95" hidden="1" customHeight="1" x14ac:dyDescent="0.3">
      <c r="A169" s="42" t="s">
        <v>238</v>
      </c>
      <c r="B169" s="42" t="s">
        <v>239</v>
      </c>
      <c r="C169" s="42" t="s">
        <v>210</v>
      </c>
      <c r="D169" s="42" t="s">
        <v>267</v>
      </c>
      <c r="E169" s="42" t="s">
        <v>241</v>
      </c>
      <c r="F169" s="42" t="s">
        <v>251</v>
      </c>
      <c r="G169" s="44">
        <v>36842.82</v>
      </c>
      <c r="H169" s="44">
        <v>37480.870000000003</v>
      </c>
      <c r="I169" s="44">
        <v>37443.67</v>
      </c>
      <c r="J169" s="44">
        <v>36458.769999999997</v>
      </c>
      <c r="K169" t="s">
        <v>198</v>
      </c>
    </row>
    <row r="170" spans="1:11" ht="16.95" hidden="1" customHeight="1" x14ac:dyDescent="0.3">
      <c r="A170" s="42" t="s">
        <v>238</v>
      </c>
      <c r="B170" s="42" t="s">
        <v>239</v>
      </c>
      <c r="C170" s="42" t="s">
        <v>210</v>
      </c>
      <c r="D170" s="42" t="s">
        <v>267</v>
      </c>
      <c r="E170" s="42" t="s">
        <v>241</v>
      </c>
      <c r="F170" s="42" t="s">
        <v>252</v>
      </c>
      <c r="G170" s="44">
        <v>35810.480000000003</v>
      </c>
      <c r="H170" s="44">
        <v>37174.22</v>
      </c>
      <c r="I170" s="44">
        <v>36244.29</v>
      </c>
      <c r="J170" s="44">
        <v>37602.339999999997</v>
      </c>
      <c r="K170" t="s">
        <v>198</v>
      </c>
    </row>
    <row r="171" spans="1:11" ht="16.95" hidden="1" customHeight="1" x14ac:dyDescent="0.3">
      <c r="A171" s="42" t="s">
        <v>238</v>
      </c>
      <c r="B171" s="42" t="s">
        <v>239</v>
      </c>
      <c r="C171" s="42" t="s">
        <v>210</v>
      </c>
      <c r="D171" s="42" t="s">
        <v>267</v>
      </c>
      <c r="E171" s="42" t="s">
        <v>241</v>
      </c>
      <c r="F171" s="42" t="s">
        <v>253</v>
      </c>
      <c r="G171" s="44">
        <v>34675.43</v>
      </c>
      <c r="H171" s="44">
        <v>36108.35</v>
      </c>
      <c r="I171" s="44">
        <v>33400.949999999997</v>
      </c>
      <c r="J171" s="44">
        <v>40328.49</v>
      </c>
      <c r="K171" t="s">
        <v>198</v>
      </c>
    </row>
    <row r="172" spans="1:11" ht="16.95" hidden="1" customHeight="1" x14ac:dyDescent="0.3">
      <c r="A172" s="42" t="s">
        <v>238</v>
      </c>
      <c r="B172" s="42" t="s">
        <v>239</v>
      </c>
      <c r="C172" s="42" t="s">
        <v>210</v>
      </c>
      <c r="D172" s="42" t="s">
        <v>268</v>
      </c>
      <c r="E172" s="42" t="s">
        <v>241</v>
      </c>
      <c r="F172" s="42" t="s">
        <v>242</v>
      </c>
      <c r="G172" s="44">
        <v>27256.16</v>
      </c>
      <c r="H172" s="44">
        <v>26359.61</v>
      </c>
      <c r="I172" s="44">
        <v>30323.02</v>
      </c>
      <c r="J172" s="44">
        <v>28243.42</v>
      </c>
      <c r="K172" s="44">
        <v>39110.699999999997</v>
      </c>
    </row>
    <row r="173" spans="1:11" ht="16.95" hidden="1" customHeight="1" x14ac:dyDescent="0.3">
      <c r="A173" s="42" t="s">
        <v>238</v>
      </c>
      <c r="B173" s="42" t="s">
        <v>239</v>
      </c>
      <c r="C173" s="42" t="s">
        <v>210</v>
      </c>
      <c r="D173" s="42" t="s">
        <v>268</v>
      </c>
      <c r="E173" s="42" t="s">
        <v>241</v>
      </c>
      <c r="F173" s="42" t="s">
        <v>243</v>
      </c>
      <c r="G173" s="44">
        <v>26827.040000000001</v>
      </c>
      <c r="H173" s="44">
        <v>26971.55</v>
      </c>
      <c r="I173" s="44">
        <v>28102.58</v>
      </c>
      <c r="J173" s="44">
        <v>28751.83</v>
      </c>
      <c r="K173" s="44">
        <v>41450.25</v>
      </c>
    </row>
    <row r="174" spans="1:11" ht="16.95" hidden="1" customHeight="1" x14ac:dyDescent="0.3">
      <c r="A174" s="42" t="s">
        <v>238</v>
      </c>
      <c r="B174" s="42" t="s">
        <v>239</v>
      </c>
      <c r="C174" s="42" t="s">
        <v>210</v>
      </c>
      <c r="D174" s="42" t="s">
        <v>268</v>
      </c>
      <c r="E174" s="42" t="s">
        <v>241</v>
      </c>
      <c r="F174" s="42" t="s">
        <v>244</v>
      </c>
      <c r="G174" s="44">
        <v>26334.16</v>
      </c>
      <c r="H174" s="44">
        <v>27873.05</v>
      </c>
      <c r="I174" s="44">
        <v>29247.37</v>
      </c>
      <c r="J174" s="44">
        <v>27846.9</v>
      </c>
      <c r="K174" s="44">
        <v>42070.44</v>
      </c>
    </row>
    <row r="175" spans="1:11" ht="16.95" hidden="1" customHeight="1" x14ac:dyDescent="0.3">
      <c r="A175" s="42" t="s">
        <v>238</v>
      </c>
      <c r="B175" s="42" t="s">
        <v>239</v>
      </c>
      <c r="C175" s="42" t="s">
        <v>210</v>
      </c>
      <c r="D175" s="42" t="s">
        <v>268</v>
      </c>
      <c r="E175" s="42" t="s">
        <v>241</v>
      </c>
      <c r="F175" s="42" t="s">
        <v>245</v>
      </c>
      <c r="G175" s="44">
        <v>24743.65</v>
      </c>
      <c r="H175" s="44">
        <v>28229.96</v>
      </c>
      <c r="I175" s="44">
        <v>29604.52</v>
      </c>
      <c r="J175" s="44">
        <v>29423.599999999999</v>
      </c>
      <c r="K175" t="s">
        <v>198</v>
      </c>
    </row>
    <row r="176" spans="1:11" ht="16.95" hidden="1" customHeight="1" x14ac:dyDescent="0.3">
      <c r="A176" s="42" t="s">
        <v>238</v>
      </c>
      <c r="B176" s="42" t="s">
        <v>239</v>
      </c>
      <c r="C176" s="42" t="s">
        <v>210</v>
      </c>
      <c r="D176" s="42" t="s">
        <v>268</v>
      </c>
      <c r="E176" s="42" t="s">
        <v>241</v>
      </c>
      <c r="F176" s="42" t="s">
        <v>246</v>
      </c>
      <c r="G176" s="44">
        <v>23525.06</v>
      </c>
      <c r="H176" s="44">
        <v>29518.67</v>
      </c>
      <c r="I176" s="44">
        <v>30627.56</v>
      </c>
      <c r="J176" s="44">
        <v>28638.71</v>
      </c>
      <c r="K176" t="s">
        <v>198</v>
      </c>
    </row>
    <row r="177" spans="1:11" ht="16.95" hidden="1" customHeight="1" x14ac:dyDescent="0.3">
      <c r="A177" s="42" t="s">
        <v>238</v>
      </c>
      <c r="B177" s="42" t="s">
        <v>239</v>
      </c>
      <c r="C177" s="42" t="s">
        <v>210</v>
      </c>
      <c r="D177" s="42" t="s">
        <v>268</v>
      </c>
      <c r="E177" s="42" t="s">
        <v>241</v>
      </c>
      <c r="F177" s="42" t="s">
        <v>247</v>
      </c>
      <c r="G177" s="44">
        <v>22223.33</v>
      </c>
      <c r="H177" s="44">
        <v>30656.86</v>
      </c>
      <c r="I177" s="44">
        <v>30688.63</v>
      </c>
      <c r="J177" s="44">
        <v>28102.98</v>
      </c>
      <c r="K177" t="s">
        <v>198</v>
      </c>
    </row>
    <row r="178" spans="1:11" ht="16.95" hidden="1" customHeight="1" x14ac:dyDescent="0.3">
      <c r="A178" s="42" t="s">
        <v>238</v>
      </c>
      <c r="B178" s="42" t="s">
        <v>239</v>
      </c>
      <c r="C178" s="42" t="s">
        <v>210</v>
      </c>
      <c r="D178" s="42" t="s">
        <v>268</v>
      </c>
      <c r="E178" s="42" t="s">
        <v>241</v>
      </c>
      <c r="F178" s="42" t="s">
        <v>248</v>
      </c>
      <c r="G178" s="44">
        <v>22755.119999999999</v>
      </c>
      <c r="H178" s="44">
        <v>30116.71</v>
      </c>
      <c r="I178" s="44">
        <v>31321.33</v>
      </c>
      <c r="J178" s="44">
        <v>28351.84</v>
      </c>
      <c r="K178" t="s">
        <v>198</v>
      </c>
    </row>
    <row r="179" spans="1:11" ht="16.95" hidden="1" customHeight="1" x14ac:dyDescent="0.3">
      <c r="A179" s="42" t="s">
        <v>238</v>
      </c>
      <c r="B179" s="42" t="s">
        <v>239</v>
      </c>
      <c r="C179" s="42" t="s">
        <v>210</v>
      </c>
      <c r="D179" s="42" t="s">
        <v>268</v>
      </c>
      <c r="E179" s="42" t="s">
        <v>241</v>
      </c>
      <c r="F179" s="42" t="s">
        <v>249</v>
      </c>
      <c r="G179" s="44">
        <v>23970.28</v>
      </c>
      <c r="H179" s="44">
        <v>31550.77</v>
      </c>
      <c r="I179" s="44">
        <v>31311.33</v>
      </c>
      <c r="J179" s="44">
        <v>29613.17</v>
      </c>
      <c r="K179" t="s">
        <v>198</v>
      </c>
    </row>
    <row r="180" spans="1:11" ht="16.95" hidden="1" customHeight="1" x14ac:dyDescent="0.3">
      <c r="A180" s="42" t="s">
        <v>238</v>
      </c>
      <c r="B180" s="42" t="s">
        <v>239</v>
      </c>
      <c r="C180" s="42" t="s">
        <v>210</v>
      </c>
      <c r="D180" s="42" t="s">
        <v>268</v>
      </c>
      <c r="E180" s="42" t="s">
        <v>241</v>
      </c>
      <c r="F180" s="42" t="s">
        <v>250</v>
      </c>
      <c r="G180" s="44">
        <v>26687.73</v>
      </c>
      <c r="H180" s="44">
        <v>32292.959999999999</v>
      </c>
      <c r="I180" s="44">
        <v>29499.54</v>
      </c>
      <c r="J180" s="44">
        <v>30886.97</v>
      </c>
      <c r="K180" t="s">
        <v>198</v>
      </c>
    </row>
    <row r="181" spans="1:11" ht="16.95" hidden="1" customHeight="1" x14ac:dyDescent="0.3">
      <c r="A181" s="42" t="s">
        <v>238</v>
      </c>
      <c r="B181" s="42" t="s">
        <v>239</v>
      </c>
      <c r="C181" s="42" t="s">
        <v>210</v>
      </c>
      <c r="D181" s="42" t="s">
        <v>268</v>
      </c>
      <c r="E181" s="42" t="s">
        <v>241</v>
      </c>
      <c r="F181" s="42" t="s">
        <v>251</v>
      </c>
      <c r="G181" s="44">
        <v>27975.57</v>
      </c>
      <c r="H181" s="44">
        <v>31830.400000000001</v>
      </c>
      <c r="I181" s="44">
        <v>28311.72</v>
      </c>
      <c r="J181" s="44">
        <v>32756.3</v>
      </c>
      <c r="K181" t="s">
        <v>198</v>
      </c>
    </row>
    <row r="182" spans="1:11" ht="16.95" hidden="1" customHeight="1" x14ac:dyDescent="0.3">
      <c r="A182" s="42" t="s">
        <v>238</v>
      </c>
      <c r="B182" s="42" t="s">
        <v>239</v>
      </c>
      <c r="C182" s="42" t="s">
        <v>210</v>
      </c>
      <c r="D182" s="42" t="s">
        <v>268</v>
      </c>
      <c r="E182" s="42" t="s">
        <v>241</v>
      </c>
      <c r="F182" s="42" t="s">
        <v>252</v>
      </c>
      <c r="G182" s="44">
        <v>27573.34</v>
      </c>
      <c r="H182" s="44">
        <v>30507.9</v>
      </c>
      <c r="I182" s="44">
        <v>27141.78</v>
      </c>
      <c r="J182" s="44">
        <v>34071.07</v>
      </c>
      <c r="K182" t="s">
        <v>198</v>
      </c>
    </row>
    <row r="183" spans="1:11" ht="16.95" hidden="1" customHeight="1" x14ac:dyDescent="0.3">
      <c r="A183" s="42" t="s">
        <v>238</v>
      </c>
      <c r="B183" s="42" t="s">
        <v>239</v>
      </c>
      <c r="C183" s="42" t="s">
        <v>210</v>
      </c>
      <c r="D183" s="42" t="s">
        <v>268</v>
      </c>
      <c r="E183" s="42" t="s">
        <v>241</v>
      </c>
      <c r="F183" s="42" t="s">
        <v>253</v>
      </c>
      <c r="G183" s="44">
        <v>26938.34</v>
      </c>
      <c r="H183" s="44">
        <v>29891.9</v>
      </c>
      <c r="I183" s="44">
        <v>26137.48</v>
      </c>
      <c r="J183" s="44">
        <v>34524.129999999997</v>
      </c>
      <c r="K183" t="s">
        <v>198</v>
      </c>
    </row>
    <row r="184" spans="1:11" ht="16.95" hidden="1" customHeight="1" x14ac:dyDescent="0.3">
      <c r="A184" s="42" t="s">
        <v>238</v>
      </c>
      <c r="B184" s="42" t="s">
        <v>239</v>
      </c>
      <c r="C184" s="42" t="s">
        <v>210</v>
      </c>
      <c r="D184" s="42" t="s">
        <v>269</v>
      </c>
      <c r="E184" s="42" t="s">
        <v>241</v>
      </c>
      <c r="F184" s="42" t="s">
        <v>242</v>
      </c>
      <c r="G184" t="s">
        <v>198</v>
      </c>
      <c r="H184" t="s">
        <v>198</v>
      </c>
      <c r="I184" s="44">
        <v>40856.65</v>
      </c>
      <c r="J184" t="s">
        <v>198</v>
      </c>
      <c r="K184" t="s">
        <v>198</v>
      </c>
    </row>
    <row r="185" spans="1:11" ht="16.95" hidden="1" customHeight="1" x14ac:dyDescent="0.3">
      <c r="A185" s="42" t="s">
        <v>238</v>
      </c>
      <c r="B185" s="42" t="s">
        <v>239</v>
      </c>
      <c r="C185" s="42" t="s">
        <v>210</v>
      </c>
      <c r="D185" s="42" t="s">
        <v>269</v>
      </c>
      <c r="E185" s="42" t="s">
        <v>241</v>
      </c>
      <c r="F185" s="42" t="s">
        <v>243</v>
      </c>
      <c r="G185" t="s">
        <v>198</v>
      </c>
      <c r="H185" t="s">
        <v>198</v>
      </c>
      <c r="I185" s="44">
        <v>36626.269999999997</v>
      </c>
      <c r="J185" t="s">
        <v>198</v>
      </c>
      <c r="K185" t="s">
        <v>198</v>
      </c>
    </row>
    <row r="186" spans="1:11" ht="16.95" hidden="1" customHeight="1" x14ac:dyDescent="0.3">
      <c r="A186" s="42" t="s">
        <v>238</v>
      </c>
      <c r="B186" s="42" t="s">
        <v>239</v>
      </c>
      <c r="C186" s="42" t="s">
        <v>210</v>
      </c>
      <c r="D186" s="42" t="s">
        <v>269</v>
      </c>
      <c r="E186" s="42" t="s">
        <v>241</v>
      </c>
      <c r="F186" s="42" t="s">
        <v>244</v>
      </c>
      <c r="G186" t="s">
        <v>198</v>
      </c>
      <c r="H186" t="s">
        <v>198</v>
      </c>
      <c r="I186" s="44">
        <v>38441.65</v>
      </c>
      <c r="J186" t="s">
        <v>198</v>
      </c>
      <c r="K186" t="s">
        <v>198</v>
      </c>
    </row>
    <row r="187" spans="1:11" ht="16.95" hidden="1" customHeight="1" x14ac:dyDescent="0.3">
      <c r="A187" s="42" t="s">
        <v>238</v>
      </c>
      <c r="B187" s="42" t="s">
        <v>239</v>
      </c>
      <c r="C187" s="42" t="s">
        <v>210</v>
      </c>
      <c r="D187" s="42" t="s">
        <v>269</v>
      </c>
      <c r="E187" s="42" t="s">
        <v>241</v>
      </c>
      <c r="F187" s="42" t="s">
        <v>245</v>
      </c>
      <c r="G187" t="s">
        <v>198</v>
      </c>
      <c r="H187" t="s">
        <v>198</v>
      </c>
      <c r="I187" s="44">
        <v>38174.01</v>
      </c>
      <c r="J187" t="s">
        <v>198</v>
      </c>
      <c r="K187" t="s">
        <v>198</v>
      </c>
    </row>
    <row r="188" spans="1:11" ht="16.95" hidden="1" customHeight="1" x14ac:dyDescent="0.3">
      <c r="A188" s="42" t="s">
        <v>238</v>
      </c>
      <c r="B188" s="42" t="s">
        <v>239</v>
      </c>
      <c r="C188" s="42" t="s">
        <v>210</v>
      </c>
      <c r="D188" s="42" t="s">
        <v>269</v>
      </c>
      <c r="E188" s="42" t="s">
        <v>241</v>
      </c>
      <c r="F188" s="42" t="s">
        <v>246</v>
      </c>
      <c r="G188" t="s">
        <v>198</v>
      </c>
      <c r="H188" t="s">
        <v>198</v>
      </c>
      <c r="I188" s="43">
        <v>40902</v>
      </c>
      <c r="J188" t="s">
        <v>198</v>
      </c>
      <c r="K188" t="s">
        <v>198</v>
      </c>
    </row>
    <row r="189" spans="1:11" ht="16.95" hidden="1" customHeight="1" x14ac:dyDescent="0.3">
      <c r="A189" s="42" t="s">
        <v>238</v>
      </c>
      <c r="B189" s="42" t="s">
        <v>239</v>
      </c>
      <c r="C189" s="42" t="s">
        <v>210</v>
      </c>
      <c r="D189" s="42" t="s">
        <v>269</v>
      </c>
      <c r="E189" s="42" t="s">
        <v>241</v>
      </c>
      <c r="F189" s="42" t="s">
        <v>247</v>
      </c>
      <c r="G189" t="s">
        <v>198</v>
      </c>
      <c r="H189" t="s">
        <v>198</v>
      </c>
      <c r="I189" s="44">
        <v>38611.14</v>
      </c>
      <c r="J189" t="s">
        <v>198</v>
      </c>
      <c r="K189" t="s">
        <v>198</v>
      </c>
    </row>
    <row r="190" spans="1:11" ht="16.95" hidden="1" customHeight="1" x14ac:dyDescent="0.3">
      <c r="A190" s="42" t="s">
        <v>238</v>
      </c>
      <c r="B190" s="42" t="s">
        <v>239</v>
      </c>
      <c r="C190" s="42" t="s">
        <v>210</v>
      </c>
      <c r="D190" s="42" t="s">
        <v>269</v>
      </c>
      <c r="E190" s="42" t="s">
        <v>241</v>
      </c>
      <c r="F190" s="42" t="s">
        <v>248</v>
      </c>
      <c r="G190" t="s">
        <v>198</v>
      </c>
      <c r="H190" t="s">
        <v>198</v>
      </c>
      <c r="I190" s="44">
        <v>39349.97</v>
      </c>
      <c r="J190" t="s">
        <v>198</v>
      </c>
      <c r="K190" t="s">
        <v>198</v>
      </c>
    </row>
    <row r="191" spans="1:11" ht="16.95" hidden="1" customHeight="1" x14ac:dyDescent="0.3">
      <c r="A191" s="42" t="s">
        <v>238</v>
      </c>
      <c r="B191" s="42" t="s">
        <v>239</v>
      </c>
      <c r="C191" s="42" t="s">
        <v>210</v>
      </c>
      <c r="D191" s="42" t="s">
        <v>269</v>
      </c>
      <c r="E191" s="42" t="s">
        <v>241</v>
      </c>
      <c r="F191" s="42" t="s">
        <v>249</v>
      </c>
      <c r="G191" t="s">
        <v>198</v>
      </c>
      <c r="H191" t="s">
        <v>198</v>
      </c>
      <c r="I191" s="44">
        <v>39366.160000000003</v>
      </c>
      <c r="J191" t="s">
        <v>198</v>
      </c>
      <c r="K191" t="s">
        <v>198</v>
      </c>
    </row>
    <row r="192" spans="1:11" ht="16.95" hidden="1" customHeight="1" x14ac:dyDescent="0.3">
      <c r="A192" s="42" t="s">
        <v>238</v>
      </c>
      <c r="B192" s="42" t="s">
        <v>239</v>
      </c>
      <c r="C192" s="42" t="s">
        <v>210</v>
      </c>
      <c r="D192" s="42" t="s">
        <v>269</v>
      </c>
      <c r="E192" s="42" t="s">
        <v>241</v>
      </c>
      <c r="F192" s="42" t="s">
        <v>250</v>
      </c>
      <c r="G192" t="s">
        <v>198</v>
      </c>
      <c r="H192" t="s">
        <v>198</v>
      </c>
      <c r="I192" s="44">
        <v>39242.61</v>
      </c>
      <c r="J192" t="s">
        <v>198</v>
      </c>
      <c r="K192" t="s">
        <v>198</v>
      </c>
    </row>
    <row r="193" spans="1:11" ht="16.95" hidden="1" customHeight="1" x14ac:dyDescent="0.3">
      <c r="A193" s="42" t="s">
        <v>238</v>
      </c>
      <c r="B193" s="42" t="s">
        <v>239</v>
      </c>
      <c r="C193" s="42" t="s">
        <v>210</v>
      </c>
      <c r="D193" s="42" t="s">
        <v>269</v>
      </c>
      <c r="E193" s="42" t="s">
        <v>241</v>
      </c>
      <c r="F193" s="42" t="s">
        <v>251</v>
      </c>
      <c r="G193" t="s">
        <v>198</v>
      </c>
      <c r="H193" t="s">
        <v>198</v>
      </c>
      <c r="I193" s="44">
        <v>36620.14</v>
      </c>
      <c r="J193" t="s">
        <v>198</v>
      </c>
      <c r="K193" t="s">
        <v>198</v>
      </c>
    </row>
    <row r="194" spans="1:11" ht="16.95" hidden="1" customHeight="1" x14ac:dyDescent="0.3">
      <c r="A194" s="42" t="s">
        <v>238</v>
      </c>
      <c r="B194" s="42" t="s">
        <v>239</v>
      </c>
      <c r="C194" s="42" t="s">
        <v>210</v>
      </c>
      <c r="D194" s="42" t="s">
        <v>269</v>
      </c>
      <c r="E194" s="42" t="s">
        <v>241</v>
      </c>
      <c r="F194" s="42" t="s">
        <v>252</v>
      </c>
      <c r="G194" t="s">
        <v>198</v>
      </c>
      <c r="H194" t="s">
        <v>198</v>
      </c>
      <c r="I194" s="44">
        <v>36278.51</v>
      </c>
      <c r="J194" t="s">
        <v>198</v>
      </c>
      <c r="K194" t="s">
        <v>198</v>
      </c>
    </row>
    <row r="195" spans="1:11" ht="16.95" hidden="1" customHeight="1" x14ac:dyDescent="0.3">
      <c r="A195" s="42" t="s">
        <v>238</v>
      </c>
      <c r="B195" s="42" t="s">
        <v>239</v>
      </c>
      <c r="C195" s="42" t="s">
        <v>210</v>
      </c>
      <c r="D195" s="42" t="s">
        <v>269</v>
      </c>
      <c r="E195" s="42" t="s">
        <v>241</v>
      </c>
      <c r="F195" s="42" t="s">
        <v>253</v>
      </c>
      <c r="G195" t="s">
        <v>198</v>
      </c>
      <c r="H195" t="s">
        <v>198</v>
      </c>
      <c r="I195" s="44">
        <v>34563.1</v>
      </c>
      <c r="J195" t="s">
        <v>198</v>
      </c>
      <c r="K195" t="s">
        <v>198</v>
      </c>
    </row>
    <row r="196" spans="1:11" ht="16.95" hidden="1" customHeight="1" x14ac:dyDescent="0.3">
      <c r="A196" s="42" t="s">
        <v>238</v>
      </c>
      <c r="B196" s="42" t="s">
        <v>239</v>
      </c>
      <c r="C196" s="42" t="s">
        <v>210</v>
      </c>
      <c r="D196" s="42" t="s">
        <v>270</v>
      </c>
      <c r="E196" s="42" t="s">
        <v>241</v>
      </c>
      <c r="F196" s="42" t="s">
        <v>242</v>
      </c>
      <c r="G196" s="44">
        <v>42101.83</v>
      </c>
      <c r="H196" s="44">
        <v>41828.050000000003</v>
      </c>
      <c r="I196" s="44">
        <v>48399.64</v>
      </c>
      <c r="J196" s="44">
        <v>41471.54</v>
      </c>
      <c r="K196" s="44">
        <v>47932.35</v>
      </c>
    </row>
    <row r="197" spans="1:11" ht="16.95" hidden="1" customHeight="1" x14ac:dyDescent="0.3">
      <c r="A197" s="42" t="s">
        <v>238</v>
      </c>
      <c r="B197" s="42" t="s">
        <v>239</v>
      </c>
      <c r="C197" s="42" t="s">
        <v>210</v>
      </c>
      <c r="D197" s="42" t="s">
        <v>270</v>
      </c>
      <c r="E197" s="42" t="s">
        <v>241</v>
      </c>
      <c r="F197" s="42" t="s">
        <v>243</v>
      </c>
      <c r="G197" s="44">
        <v>38398.76</v>
      </c>
      <c r="H197" s="44">
        <v>42302.92</v>
      </c>
      <c r="I197" s="44">
        <v>47118.69</v>
      </c>
      <c r="J197" s="44">
        <v>37867.26</v>
      </c>
      <c r="K197" s="44">
        <v>51544.56</v>
      </c>
    </row>
    <row r="198" spans="1:11" ht="16.95" hidden="1" customHeight="1" x14ac:dyDescent="0.3">
      <c r="A198" s="42" t="s">
        <v>238</v>
      </c>
      <c r="B198" s="42" t="s">
        <v>239</v>
      </c>
      <c r="C198" s="42" t="s">
        <v>210</v>
      </c>
      <c r="D198" s="42" t="s">
        <v>270</v>
      </c>
      <c r="E198" s="42" t="s">
        <v>241</v>
      </c>
      <c r="F198" s="42" t="s">
        <v>244</v>
      </c>
      <c r="G198" s="44">
        <v>41470.35</v>
      </c>
      <c r="H198" s="44">
        <v>46802.11</v>
      </c>
      <c r="I198" s="44">
        <v>46600.76</v>
      </c>
      <c r="J198" s="44">
        <v>40695.89</v>
      </c>
      <c r="K198" s="44">
        <v>55011.7</v>
      </c>
    </row>
    <row r="199" spans="1:11" ht="16.95" hidden="1" customHeight="1" x14ac:dyDescent="0.3">
      <c r="A199" s="42" t="s">
        <v>238</v>
      </c>
      <c r="B199" s="42" t="s">
        <v>239</v>
      </c>
      <c r="C199" s="42" t="s">
        <v>210</v>
      </c>
      <c r="D199" s="42" t="s">
        <v>270</v>
      </c>
      <c r="E199" s="42" t="s">
        <v>241</v>
      </c>
      <c r="F199" s="42" t="s">
        <v>245</v>
      </c>
      <c r="G199" s="44">
        <v>43155.38</v>
      </c>
      <c r="H199" s="44">
        <v>46821.03</v>
      </c>
      <c r="I199" s="44">
        <v>48271.35</v>
      </c>
      <c r="J199" s="44">
        <v>43406.55</v>
      </c>
      <c r="K199" t="s">
        <v>198</v>
      </c>
    </row>
    <row r="200" spans="1:11" ht="16.95" hidden="1" customHeight="1" x14ac:dyDescent="0.3">
      <c r="A200" s="42" t="s">
        <v>238</v>
      </c>
      <c r="B200" s="42" t="s">
        <v>239</v>
      </c>
      <c r="C200" s="42" t="s">
        <v>210</v>
      </c>
      <c r="D200" s="42" t="s">
        <v>270</v>
      </c>
      <c r="E200" s="42" t="s">
        <v>241</v>
      </c>
      <c r="F200" s="42" t="s">
        <v>246</v>
      </c>
      <c r="G200" s="44">
        <v>44653.34</v>
      </c>
      <c r="H200" s="44">
        <v>47250.84</v>
      </c>
      <c r="I200" s="44">
        <v>50364.3</v>
      </c>
      <c r="J200" s="44">
        <v>42521.75</v>
      </c>
      <c r="K200" t="s">
        <v>198</v>
      </c>
    </row>
    <row r="201" spans="1:11" ht="16.95" hidden="1" customHeight="1" x14ac:dyDescent="0.3">
      <c r="A201" s="42" t="s">
        <v>238</v>
      </c>
      <c r="B201" s="42" t="s">
        <v>239</v>
      </c>
      <c r="C201" s="42" t="s">
        <v>210</v>
      </c>
      <c r="D201" s="42" t="s">
        <v>270</v>
      </c>
      <c r="E201" s="42" t="s">
        <v>241</v>
      </c>
      <c r="F201" s="42" t="s">
        <v>247</v>
      </c>
      <c r="G201" s="44">
        <v>41632.93</v>
      </c>
      <c r="H201" s="44">
        <v>48978.39</v>
      </c>
      <c r="I201" s="44">
        <v>51215.59</v>
      </c>
      <c r="J201" s="44">
        <v>40392.76</v>
      </c>
      <c r="K201" t="s">
        <v>198</v>
      </c>
    </row>
    <row r="202" spans="1:11" ht="16.95" hidden="1" customHeight="1" x14ac:dyDescent="0.3">
      <c r="A202" s="42" t="s">
        <v>238</v>
      </c>
      <c r="B202" s="42" t="s">
        <v>239</v>
      </c>
      <c r="C202" s="42" t="s">
        <v>210</v>
      </c>
      <c r="D202" s="42" t="s">
        <v>270</v>
      </c>
      <c r="E202" s="42" t="s">
        <v>241</v>
      </c>
      <c r="F202" s="42" t="s">
        <v>248</v>
      </c>
      <c r="G202" s="44">
        <v>42753.97</v>
      </c>
      <c r="H202" s="44">
        <v>51063.71</v>
      </c>
      <c r="I202" s="44">
        <v>50361.62</v>
      </c>
      <c r="J202" s="44">
        <v>41425.769999999997</v>
      </c>
      <c r="K202" t="s">
        <v>198</v>
      </c>
    </row>
    <row r="203" spans="1:11" ht="16.95" hidden="1" customHeight="1" x14ac:dyDescent="0.3">
      <c r="A203" s="42" t="s">
        <v>238</v>
      </c>
      <c r="B203" s="42" t="s">
        <v>239</v>
      </c>
      <c r="C203" s="42" t="s">
        <v>210</v>
      </c>
      <c r="D203" s="42" t="s">
        <v>270</v>
      </c>
      <c r="E203" s="42" t="s">
        <v>241</v>
      </c>
      <c r="F203" s="42" t="s">
        <v>249</v>
      </c>
      <c r="G203" s="44">
        <v>41820.620000000003</v>
      </c>
      <c r="H203" s="44">
        <v>49539.64</v>
      </c>
      <c r="I203" s="44">
        <v>46856.53</v>
      </c>
      <c r="J203" s="44">
        <v>39829.54</v>
      </c>
      <c r="K203" t="s">
        <v>198</v>
      </c>
    </row>
    <row r="204" spans="1:11" ht="16.95" hidden="1" customHeight="1" x14ac:dyDescent="0.3">
      <c r="A204" s="42" t="s">
        <v>238</v>
      </c>
      <c r="B204" s="42" t="s">
        <v>239</v>
      </c>
      <c r="C204" s="42" t="s">
        <v>210</v>
      </c>
      <c r="D204" s="42" t="s">
        <v>270</v>
      </c>
      <c r="E204" s="42" t="s">
        <v>241</v>
      </c>
      <c r="F204" s="42" t="s">
        <v>250</v>
      </c>
      <c r="G204" s="44">
        <v>42121.72</v>
      </c>
      <c r="H204" s="44">
        <v>49048.51</v>
      </c>
      <c r="I204" s="44">
        <v>47641.120000000003</v>
      </c>
      <c r="J204" s="44">
        <v>40759.480000000003</v>
      </c>
      <c r="K204" t="s">
        <v>198</v>
      </c>
    </row>
    <row r="205" spans="1:11" ht="16.95" hidden="1" customHeight="1" x14ac:dyDescent="0.3">
      <c r="A205" s="42" t="s">
        <v>238</v>
      </c>
      <c r="B205" s="42" t="s">
        <v>239</v>
      </c>
      <c r="C205" s="42" t="s">
        <v>210</v>
      </c>
      <c r="D205" s="42" t="s">
        <v>270</v>
      </c>
      <c r="E205" s="42" t="s">
        <v>241</v>
      </c>
      <c r="F205" s="42" t="s">
        <v>251</v>
      </c>
      <c r="G205" s="44">
        <v>44521.48</v>
      </c>
      <c r="H205" s="44">
        <v>50172.46</v>
      </c>
      <c r="I205" s="44">
        <v>49774.97</v>
      </c>
      <c r="J205" s="44">
        <v>45888.38</v>
      </c>
      <c r="K205" t="s">
        <v>198</v>
      </c>
    </row>
    <row r="206" spans="1:11" ht="16.95" hidden="1" customHeight="1" x14ac:dyDescent="0.3">
      <c r="A206" s="42" t="s">
        <v>238</v>
      </c>
      <c r="B206" s="42" t="s">
        <v>239</v>
      </c>
      <c r="C206" s="42" t="s">
        <v>210</v>
      </c>
      <c r="D206" s="42" t="s">
        <v>270</v>
      </c>
      <c r="E206" s="42" t="s">
        <v>241</v>
      </c>
      <c r="F206" s="42" t="s">
        <v>252</v>
      </c>
      <c r="G206" s="44">
        <v>47611.07</v>
      </c>
      <c r="H206" s="44">
        <v>51522.37</v>
      </c>
      <c r="I206" s="44">
        <v>47823.27</v>
      </c>
      <c r="J206" s="44">
        <v>44334.559999999998</v>
      </c>
      <c r="K206" t="s">
        <v>198</v>
      </c>
    </row>
    <row r="207" spans="1:11" ht="16.95" hidden="1" customHeight="1" x14ac:dyDescent="0.3">
      <c r="A207" s="42" t="s">
        <v>238</v>
      </c>
      <c r="B207" s="42" t="s">
        <v>239</v>
      </c>
      <c r="C207" s="42" t="s">
        <v>210</v>
      </c>
      <c r="D207" s="42" t="s">
        <v>270</v>
      </c>
      <c r="E207" s="42" t="s">
        <v>241</v>
      </c>
      <c r="F207" s="42" t="s">
        <v>253</v>
      </c>
      <c r="G207" s="44">
        <v>49378.53</v>
      </c>
      <c r="H207" s="44">
        <v>49652.480000000003</v>
      </c>
      <c r="I207" s="44">
        <v>44612.24</v>
      </c>
      <c r="J207" s="44">
        <v>45408.12</v>
      </c>
      <c r="K207" t="s">
        <v>198</v>
      </c>
    </row>
    <row r="208" spans="1:11" ht="16.95" hidden="1" customHeight="1" x14ac:dyDescent="0.3">
      <c r="A208" s="42" t="s">
        <v>238</v>
      </c>
      <c r="B208" s="42" t="s">
        <v>239</v>
      </c>
      <c r="C208" s="42" t="s">
        <v>210</v>
      </c>
      <c r="D208" s="42" t="s">
        <v>271</v>
      </c>
      <c r="E208" s="42" t="s">
        <v>241</v>
      </c>
      <c r="F208" s="42" t="s">
        <v>242</v>
      </c>
      <c r="G208" s="43">
        <v>100000</v>
      </c>
      <c r="H208" t="s">
        <v>198</v>
      </c>
      <c r="I208" t="s">
        <v>198</v>
      </c>
      <c r="J208" t="s">
        <v>198</v>
      </c>
      <c r="K208" t="s">
        <v>198</v>
      </c>
    </row>
    <row r="209" spans="1:11" ht="16.95" hidden="1" customHeight="1" x14ac:dyDescent="0.3">
      <c r="A209" s="42" t="s">
        <v>238</v>
      </c>
      <c r="B209" s="42" t="s">
        <v>239</v>
      </c>
      <c r="C209" s="42" t="s">
        <v>210</v>
      </c>
      <c r="D209" s="42" t="s">
        <v>271</v>
      </c>
      <c r="E209" s="42" t="s">
        <v>241</v>
      </c>
      <c r="F209" s="42" t="s">
        <v>243</v>
      </c>
      <c r="G209" s="43">
        <v>100000</v>
      </c>
      <c r="H209" t="s">
        <v>198</v>
      </c>
      <c r="I209" t="s">
        <v>198</v>
      </c>
      <c r="J209" t="s">
        <v>198</v>
      </c>
      <c r="K209" t="s">
        <v>198</v>
      </c>
    </row>
    <row r="210" spans="1:11" ht="16.95" hidden="1" customHeight="1" x14ac:dyDescent="0.3">
      <c r="A210" s="42" t="s">
        <v>238</v>
      </c>
      <c r="B210" s="42" t="s">
        <v>239</v>
      </c>
      <c r="C210" s="42" t="s">
        <v>210</v>
      </c>
      <c r="D210" s="42" t="s">
        <v>271</v>
      </c>
      <c r="E210" s="42" t="s">
        <v>241</v>
      </c>
      <c r="F210" s="42" t="s">
        <v>244</v>
      </c>
      <c r="G210" s="43">
        <v>0</v>
      </c>
      <c r="H210" t="s">
        <v>198</v>
      </c>
      <c r="I210" t="s">
        <v>198</v>
      </c>
      <c r="J210" t="s">
        <v>198</v>
      </c>
      <c r="K210" t="s">
        <v>198</v>
      </c>
    </row>
    <row r="211" spans="1:11" ht="16.95" hidden="1" customHeight="1" x14ac:dyDescent="0.3">
      <c r="A211" s="42" t="s">
        <v>238</v>
      </c>
      <c r="B211" s="42" t="s">
        <v>239</v>
      </c>
      <c r="C211" s="42" t="s">
        <v>210</v>
      </c>
      <c r="D211" s="42" t="s">
        <v>271</v>
      </c>
      <c r="E211" s="42" t="s">
        <v>241</v>
      </c>
      <c r="F211" s="42" t="s">
        <v>245</v>
      </c>
      <c r="G211" s="43">
        <v>0</v>
      </c>
      <c r="H211" t="s">
        <v>198</v>
      </c>
      <c r="I211" t="s">
        <v>198</v>
      </c>
      <c r="J211" t="s">
        <v>198</v>
      </c>
      <c r="K211" t="s">
        <v>198</v>
      </c>
    </row>
    <row r="212" spans="1:11" ht="16.95" hidden="1" customHeight="1" x14ac:dyDescent="0.3">
      <c r="A212" s="42" t="s">
        <v>238</v>
      </c>
      <c r="B212" s="42" t="s">
        <v>239</v>
      </c>
      <c r="C212" s="42" t="s">
        <v>210</v>
      </c>
      <c r="D212" s="42" t="s">
        <v>271</v>
      </c>
      <c r="E212" s="42" t="s">
        <v>241</v>
      </c>
      <c r="F212" s="42" t="s">
        <v>246</v>
      </c>
      <c r="G212" s="43">
        <v>0</v>
      </c>
      <c r="H212" t="s">
        <v>198</v>
      </c>
      <c r="I212" t="s">
        <v>198</v>
      </c>
      <c r="J212" t="s">
        <v>198</v>
      </c>
      <c r="K212" t="s">
        <v>198</v>
      </c>
    </row>
    <row r="213" spans="1:11" ht="16.95" hidden="1" customHeight="1" x14ac:dyDescent="0.3">
      <c r="A213" s="42" t="s">
        <v>238</v>
      </c>
      <c r="B213" s="42" t="s">
        <v>239</v>
      </c>
      <c r="C213" s="42" t="s">
        <v>210</v>
      </c>
      <c r="D213" s="42" t="s">
        <v>271</v>
      </c>
      <c r="E213" s="42" t="s">
        <v>241</v>
      </c>
      <c r="F213" s="42" t="s">
        <v>247</v>
      </c>
      <c r="G213" s="43">
        <v>60000</v>
      </c>
      <c r="H213" t="s">
        <v>198</v>
      </c>
      <c r="I213" t="s">
        <v>198</v>
      </c>
      <c r="J213" t="s">
        <v>198</v>
      </c>
      <c r="K213" t="s">
        <v>198</v>
      </c>
    </row>
    <row r="214" spans="1:11" ht="16.95" hidden="1" customHeight="1" x14ac:dyDescent="0.3">
      <c r="A214" s="42" t="s">
        <v>238</v>
      </c>
      <c r="B214" s="42" t="s">
        <v>239</v>
      </c>
      <c r="C214" s="42" t="s">
        <v>210</v>
      </c>
      <c r="D214" s="42" t="s">
        <v>271</v>
      </c>
      <c r="E214" s="42" t="s">
        <v>241</v>
      </c>
      <c r="F214" s="42" t="s">
        <v>248</v>
      </c>
      <c r="G214" s="43">
        <v>0</v>
      </c>
      <c r="H214" t="s">
        <v>198</v>
      </c>
      <c r="I214" t="s">
        <v>198</v>
      </c>
      <c r="J214" t="s">
        <v>198</v>
      </c>
      <c r="K214" t="s">
        <v>198</v>
      </c>
    </row>
    <row r="215" spans="1:11" ht="16.95" hidden="1" customHeight="1" x14ac:dyDescent="0.3">
      <c r="A215" s="42" t="s">
        <v>238</v>
      </c>
      <c r="B215" s="42" t="s">
        <v>239</v>
      </c>
      <c r="C215" s="42" t="s">
        <v>210</v>
      </c>
      <c r="D215" s="42" t="s">
        <v>271</v>
      </c>
      <c r="E215" s="42" t="s">
        <v>241</v>
      </c>
      <c r="F215" s="42" t="s">
        <v>249</v>
      </c>
      <c r="G215" s="44">
        <v>101499.75</v>
      </c>
      <c r="H215" t="s">
        <v>198</v>
      </c>
      <c r="I215" t="s">
        <v>198</v>
      </c>
      <c r="J215" t="s">
        <v>198</v>
      </c>
      <c r="K215" t="s">
        <v>198</v>
      </c>
    </row>
    <row r="216" spans="1:11" ht="16.95" hidden="1" customHeight="1" x14ac:dyDescent="0.3">
      <c r="A216" s="42" t="s">
        <v>238</v>
      </c>
      <c r="B216" s="42" t="s">
        <v>239</v>
      </c>
      <c r="C216" s="42" t="s">
        <v>210</v>
      </c>
      <c r="D216" s="42" t="s">
        <v>271</v>
      </c>
      <c r="E216" s="42" t="s">
        <v>241</v>
      </c>
      <c r="F216" s="42" t="s">
        <v>250</v>
      </c>
      <c r="G216" s="44">
        <v>101499.14</v>
      </c>
      <c r="H216" t="s">
        <v>198</v>
      </c>
      <c r="I216" t="s">
        <v>198</v>
      </c>
      <c r="J216" t="s">
        <v>198</v>
      </c>
      <c r="K216" t="s">
        <v>198</v>
      </c>
    </row>
    <row r="217" spans="1:11" ht="16.95" hidden="1" customHeight="1" x14ac:dyDescent="0.3">
      <c r="A217" s="42" t="s">
        <v>238</v>
      </c>
      <c r="B217" s="42" t="s">
        <v>239</v>
      </c>
      <c r="C217" s="42" t="s">
        <v>210</v>
      </c>
      <c r="D217" s="42" t="s">
        <v>271</v>
      </c>
      <c r="E217" s="42" t="s">
        <v>241</v>
      </c>
      <c r="F217" s="42" t="s">
        <v>251</v>
      </c>
      <c r="G217" s="43">
        <v>101500</v>
      </c>
      <c r="H217" t="s">
        <v>198</v>
      </c>
      <c r="I217" t="s">
        <v>198</v>
      </c>
      <c r="J217" t="s">
        <v>198</v>
      </c>
      <c r="K217" t="s">
        <v>198</v>
      </c>
    </row>
    <row r="218" spans="1:11" ht="16.95" hidden="1" customHeight="1" x14ac:dyDescent="0.3">
      <c r="A218" s="42" t="s">
        <v>238</v>
      </c>
      <c r="B218" s="42" t="s">
        <v>239</v>
      </c>
      <c r="C218" s="42" t="s">
        <v>210</v>
      </c>
      <c r="D218" s="42" t="s">
        <v>271</v>
      </c>
      <c r="E218" s="42" t="s">
        <v>241</v>
      </c>
      <c r="F218" s="42" t="s">
        <v>252</v>
      </c>
      <c r="G218" s="43">
        <v>102000</v>
      </c>
      <c r="H218" t="s">
        <v>198</v>
      </c>
      <c r="I218" t="s">
        <v>198</v>
      </c>
      <c r="J218" t="s">
        <v>198</v>
      </c>
      <c r="K218" t="s">
        <v>198</v>
      </c>
    </row>
    <row r="219" spans="1:11" ht="16.95" hidden="1" customHeight="1" x14ac:dyDescent="0.3">
      <c r="A219" s="42" t="s">
        <v>238</v>
      </c>
      <c r="B219" s="42" t="s">
        <v>239</v>
      </c>
      <c r="C219" s="42" t="s">
        <v>210</v>
      </c>
      <c r="D219" s="42" t="s">
        <v>271</v>
      </c>
      <c r="E219" s="42" t="s">
        <v>241</v>
      </c>
      <c r="F219" s="42" t="s">
        <v>253</v>
      </c>
      <c r="G219" s="43">
        <v>0</v>
      </c>
      <c r="H219" t="s">
        <v>198</v>
      </c>
      <c r="I219" t="s">
        <v>198</v>
      </c>
      <c r="J219" t="s">
        <v>198</v>
      </c>
      <c r="K219" t="s">
        <v>198</v>
      </c>
    </row>
    <row r="220" spans="1:11" ht="16.95" hidden="1" customHeight="1" x14ac:dyDescent="0.3">
      <c r="A220" s="42" t="s">
        <v>238</v>
      </c>
      <c r="B220" s="42" t="s">
        <v>239</v>
      </c>
      <c r="C220" s="42" t="s">
        <v>210</v>
      </c>
      <c r="D220" s="42" t="s">
        <v>272</v>
      </c>
      <c r="E220" s="42" t="s">
        <v>241</v>
      </c>
      <c r="F220" s="42" t="s">
        <v>242</v>
      </c>
      <c r="G220" s="44">
        <v>33261.89</v>
      </c>
      <c r="H220" s="44">
        <v>44806.93</v>
      </c>
      <c r="I220" s="44">
        <v>39392.69</v>
      </c>
      <c r="J220" s="44">
        <v>32736.66</v>
      </c>
      <c r="K220" s="44">
        <v>44558.8</v>
      </c>
    </row>
    <row r="221" spans="1:11" ht="16.95" hidden="1" customHeight="1" x14ac:dyDescent="0.3">
      <c r="A221" s="42" t="s">
        <v>238</v>
      </c>
      <c r="B221" s="42" t="s">
        <v>239</v>
      </c>
      <c r="C221" s="42" t="s">
        <v>210</v>
      </c>
      <c r="D221" s="42" t="s">
        <v>272</v>
      </c>
      <c r="E221" s="42" t="s">
        <v>241</v>
      </c>
      <c r="F221" s="42" t="s">
        <v>243</v>
      </c>
      <c r="G221" s="44">
        <v>32423.8</v>
      </c>
      <c r="H221" s="44">
        <v>46059.95</v>
      </c>
      <c r="I221" s="44">
        <v>39053.5</v>
      </c>
      <c r="J221" s="44">
        <v>32688.71</v>
      </c>
      <c r="K221" s="44">
        <v>46934.19</v>
      </c>
    </row>
    <row r="222" spans="1:11" ht="16.95" hidden="1" customHeight="1" x14ac:dyDescent="0.3">
      <c r="A222" s="42" t="s">
        <v>238</v>
      </c>
      <c r="B222" s="42" t="s">
        <v>239</v>
      </c>
      <c r="C222" s="42" t="s">
        <v>210</v>
      </c>
      <c r="D222" s="42" t="s">
        <v>272</v>
      </c>
      <c r="E222" s="42" t="s">
        <v>241</v>
      </c>
      <c r="F222" s="42" t="s">
        <v>244</v>
      </c>
      <c r="G222" s="44">
        <v>31858.93</v>
      </c>
      <c r="H222" s="44">
        <v>46454.559999999998</v>
      </c>
      <c r="I222" s="44">
        <v>39159.58</v>
      </c>
      <c r="J222" s="44">
        <v>32791.72</v>
      </c>
      <c r="K222" s="44">
        <v>47994.47</v>
      </c>
    </row>
    <row r="223" spans="1:11" ht="16.95" hidden="1" customHeight="1" x14ac:dyDescent="0.3">
      <c r="A223" s="42" t="s">
        <v>238</v>
      </c>
      <c r="B223" s="42" t="s">
        <v>239</v>
      </c>
      <c r="C223" s="42" t="s">
        <v>210</v>
      </c>
      <c r="D223" s="42" t="s">
        <v>272</v>
      </c>
      <c r="E223" s="42" t="s">
        <v>241</v>
      </c>
      <c r="F223" s="42" t="s">
        <v>245</v>
      </c>
      <c r="G223" s="44">
        <v>30307.37</v>
      </c>
      <c r="H223" s="44">
        <v>45903.18</v>
      </c>
      <c r="I223" s="44">
        <v>42700.43</v>
      </c>
      <c r="J223" s="44">
        <v>34064.400000000001</v>
      </c>
      <c r="K223" t="s">
        <v>198</v>
      </c>
    </row>
    <row r="224" spans="1:11" ht="16.95" hidden="1" customHeight="1" x14ac:dyDescent="0.3">
      <c r="A224" s="42" t="s">
        <v>238</v>
      </c>
      <c r="B224" s="42" t="s">
        <v>239</v>
      </c>
      <c r="C224" s="42" t="s">
        <v>210</v>
      </c>
      <c r="D224" s="42" t="s">
        <v>272</v>
      </c>
      <c r="E224" s="42" t="s">
        <v>241</v>
      </c>
      <c r="F224" s="42" t="s">
        <v>246</v>
      </c>
      <c r="G224" s="44">
        <v>31823.4</v>
      </c>
      <c r="H224" s="44">
        <v>44817.82</v>
      </c>
      <c r="I224" s="44">
        <v>42007.03</v>
      </c>
      <c r="J224" s="44">
        <v>33245.22</v>
      </c>
      <c r="K224" t="s">
        <v>198</v>
      </c>
    </row>
    <row r="225" spans="1:11" ht="16.95" hidden="1" customHeight="1" x14ac:dyDescent="0.3">
      <c r="A225" s="42" t="s">
        <v>238</v>
      </c>
      <c r="B225" s="42" t="s">
        <v>239</v>
      </c>
      <c r="C225" s="42" t="s">
        <v>210</v>
      </c>
      <c r="D225" s="42" t="s">
        <v>272</v>
      </c>
      <c r="E225" s="42" t="s">
        <v>241</v>
      </c>
      <c r="F225" s="42" t="s">
        <v>247</v>
      </c>
      <c r="G225" s="44">
        <v>29942.84</v>
      </c>
      <c r="H225" s="44">
        <v>43119.47</v>
      </c>
      <c r="I225" s="44">
        <v>41988.13</v>
      </c>
      <c r="J225" s="44">
        <v>32934.49</v>
      </c>
      <c r="K225" t="s">
        <v>198</v>
      </c>
    </row>
    <row r="226" spans="1:11" ht="16.95" hidden="1" customHeight="1" x14ac:dyDescent="0.3">
      <c r="A226" s="42" t="s">
        <v>238</v>
      </c>
      <c r="B226" s="42" t="s">
        <v>239</v>
      </c>
      <c r="C226" s="42" t="s">
        <v>210</v>
      </c>
      <c r="D226" s="42" t="s">
        <v>272</v>
      </c>
      <c r="E226" s="42" t="s">
        <v>241</v>
      </c>
      <c r="F226" s="42" t="s">
        <v>248</v>
      </c>
      <c r="G226" s="44">
        <v>30955.5</v>
      </c>
      <c r="H226" s="44">
        <v>46465.23</v>
      </c>
      <c r="I226" s="44">
        <v>43530.44</v>
      </c>
      <c r="J226" s="44">
        <v>33819.879999999997</v>
      </c>
      <c r="K226" t="s">
        <v>198</v>
      </c>
    </row>
    <row r="227" spans="1:11" ht="16.95" hidden="1" customHeight="1" x14ac:dyDescent="0.3">
      <c r="A227" s="42" t="s">
        <v>238</v>
      </c>
      <c r="B227" s="42" t="s">
        <v>239</v>
      </c>
      <c r="C227" s="42" t="s">
        <v>210</v>
      </c>
      <c r="D227" s="42" t="s">
        <v>272</v>
      </c>
      <c r="E227" s="42" t="s">
        <v>241</v>
      </c>
      <c r="F227" s="42" t="s">
        <v>249</v>
      </c>
      <c r="G227" s="44">
        <v>32639.35</v>
      </c>
      <c r="H227" s="44">
        <v>44779.18</v>
      </c>
      <c r="I227" s="44">
        <v>44374.9</v>
      </c>
      <c r="J227" s="44">
        <v>34761.1</v>
      </c>
      <c r="K227" t="s">
        <v>198</v>
      </c>
    </row>
    <row r="228" spans="1:11" ht="16.95" hidden="1" customHeight="1" x14ac:dyDescent="0.3">
      <c r="A228" s="42" t="s">
        <v>238</v>
      </c>
      <c r="B228" s="42" t="s">
        <v>239</v>
      </c>
      <c r="C228" s="42" t="s">
        <v>210</v>
      </c>
      <c r="D228" s="42" t="s">
        <v>272</v>
      </c>
      <c r="E228" s="42" t="s">
        <v>241</v>
      </c>
      <c r="F228" s="42" t="s">
        <v>250</v>
      </c>
      <c r="G228" s="44">
        <v>34783.89</v>
      </c>
      <c r="H228" s="44">
        <v>43002.02</v>
      </c>
      <c r="I228" s="44">
        <v>39829.86</v>
      </c>
      <c r="J228" s="44">
        <v>35565.83</v>
      </c>
      <c r="K228" t="s">
        <v>198</v>
      </c>
    </row>
    <row r="229" spans="1:11" ht="16.95" hidden="1" customHeight="1" x14ac:dyDescent="0.3">
      <c r="A229" s="42" t="s">
        <v>238</v>
      </c>
      <c r="B229" s="42" t="s">
        <v>239</v>
      </c>
      <c r="C229" s="42" t="s">
        <v>210</v>
      </c>
      <c r="D229" s="42" t="s">
        <v>272</v>
      </c>
      <c r="E229" s="42" t="s">
        <v>241</v>
      </c>
      <c r="F229" s="42" t="s">
        <v>251</v>
      </c>
      <c r="G229" s="44">
        <v>35908.870000000003</v>
      </c>
      <c r="H229" s="44">
        <v>43488.93</v>
      </c>
      <c r="I229" s="44">
        <v>40110.14</v>
      </c>
      <c r="J229" s="44">
        <v>37241.08</v>
      </c>
      <c r="K229" t="s">
        <v>198</v>
      </c>
    </row>
    <row r="230" spans="1:11" ht="16.95" hidden="1" customHeight="1" x14ac:dyDescent="0.3">
      <c r="A230" s="42" t="s">
        <v>238</v>
      </c>
      <c r="B230" s="42" t="s">
        <v>239</v>
      </c>
      <c r="C230" s="42" t="s">
        <v>210</v>
      </c>
      <c r="D230" s="42" t="s">
        <v>272</v>
      </c>
      <c r="E230" s="42" t="s">
        <v>241</v>
      </c>
      <c r="F230" s="42" t="s">
        <v>252</v>
      </c>
      <c r="G230" s="44">
        <v>42217.21</v>
      </c>
      <c r="H230" s="44">
        <v>40954.29</v>
      </c>
      <c r="I230" s="44">
        <v>37088.97</v>
      </c>
      <c r="J230" s="44">
        <v>37801.589999999997</v>
      </c>
      <c r="K230" t="s">
        <v>198</v>
      </c>
    </row>
    <row r="231" spans="1:11" ht="16.95" hidden="1" customHeight="1" x14ac:dyDescent="0.3">
      <c r="A231" s="42" t="s">
        <v>238</v>
      </c>
      <c r="B231" s="42" t="s">
        <v>239</v>
      </c>
      <c r="C231" s="42" t="s">
        <v>210</v>
      </c>
      <c r="D231" s="42" t="s">
        <v>272</v>
      </c>
      <c r="E231" s="42" t="s">
        <v>241</v>
      </c>
      <c r="F231" s="42" t="s">
        <v>253</v>
      </c>
      <c r="G231" s="44">
        <v>45058.22</v>
      </c>
      <c r="H231" s="44">
        <v>40039.599999999999</v>
      </c>
      <c r="I231" s="44">
        <v>36078.129999999997</v>
      </c>
      <c r="J231" s="44">
        <v>38277.58</v>
      </c>
      <c r="K231" t="s">
        <v>198</v>
      </c>
    </row>
    <row r="232" spans="1:11" ht="16.95" hidden="1" customHeight="1" x14ac:dyDescent="0.3">
      <c r="A232" s="42" t="s">
        <v>238</v>
      </c>
      <c r="B232" s="42" t="s">
        <v>239</v>
      </c>
      <c r="C232" s="42" t="s">
        <v>210</v>
      </c>
      <c r="D232" s="42" t="s">
        <v>273</v>
      </c>
      <c r="E232" s="42" t="s">
        <v>241</v>
      </c>
      <c r="F232" s="42" t="s">
        <v>242</v>
      </c>
      <c r="G232" s="44">
        <v>34534.76</v>
      </c>
      <c r="H232" t="s">
        <v>198</v>
      </c>
      <c r="I232" s="44">
        <v>51674.19</v>
      </c>
      <c r="J232" s="44">
        <v>34911.32</v>
      </c>
      <c r="K232" s="44">
        <v>45209.2</v>
      </c>
    </row>
    <row r="233" spans="1:11" ht="16.95" hidden="1" customHeight="1" x14ac:dyDescent="0.3">
      <c r="A233" s="42" t="s">
        <v>238</v>
      </c>
      <c r="B233" s="42" t="s">
        <v>239</v>
      </c>
      <c r="C233" s="42" t="s">
        <v>210</v>
      </c>
      <c r="D233" s="42" t="s">
        <v>273</v>
      </c>
      <c r="E233" s="42" t="s">
        <v>241</v>
      </c>
      <c r="F233" s="42" t="s">
        <v>243</v>
      </c>
      <c r="G233" s="43">
        <v>0</v>
      </c>
      <c r="H233" t="s">
        <v>198</v>
      </c>
      <c r="I233" s="44">
        <v>44181.72</v>
      </c>
      <c r="J233" s="44">
        <v>35691.660000000003</v>
      </c>
      <c r="K233" s="44">
        <v>47338.54</v>
      </c>
    </row>
    <row r="234" spans="1:11" ht="16.95" hidden="1" customHeight="1" x14ac:dyDescent="0.3">
      <c r="A234" s="42" t="s">
        <v>238</v>
      </c>
      <c r="B234" s="42" t="s">
        <v>239</v>
      </c>
      <c r="C234" s="42" t="s">
        <v>210</v>
      </c>
      <c r="D234" s="42" t="s">
        <v>273</v>
      </c>
      <c r="E234" s="42" t="s">
        <v>241</v>
      </c>
      <c r="F234" s="42" t="s">
        <v>244</v>
      </c>
      <c r="G234" s="43">
        <v>0</v>
      </c>
      <c r="H234" t="s">
        <v>198</v>
      </c>
      <c r="I234" s="44">
        <v>48288.53</v>
      </c>
      <c r="J234" s="44">
        <v>43819.47</v>
      </c>
      <c r="K234" s="44">
        <v>48459.51</v>
      </c>
    </row>
    <row r="235" spans="1:11" ht="16.95" hidden="1" customHeight="1" x14ac:dyDescent="0.3">
      <c r="A235" s="42" t="s">
        <v>238</v>
      </c>
      <c r="B235" s="42" t="s">
        <v>239</v>
      </c>
      <c r="C235" s="42" t="s">
        <v>210</v>
      </c>
      <c r="D235" s="42" t="s">
        <v>273</v>
      </c>
      <c r="E235" s="42" t="s">
        <v>241</v>
      </c>
      <c r="F235" s="42" t="s">
        <v>245</v>
      </c>
      <c r="G235" s="43">
        <v>0</v>
      </c>
      <c r="H235" t="s">
        <v>198</v>
      </c>
      <c r="I235" s="44">
        <v>43051.29</v>
      </c>
      <c r="J235" s="44">
        <v>35637.019999999997</v>
      </c>
      <c r="K235" t="s">
        <v>198</v>
      </c>
    </row>
    <row r="236" spans="1:11" ht="16.95" hidden="1" customHeight="1" x14ac:dyDescent="0.3">
      <c r="A236" s="42" t="s">
        <v>238</v>
      </c>
      <c r="B236" s="42" t="s">
        <v>239</v>
      </c>
      <c r="C236" s="42" t="s">
        <v>210</v>
      </c>
      <c r="D236" s="42" t="s">
        <v>273</v>
      </c>
      <c r="E236" s="42" t="s">
        <v>241</v>
      </c>
      <c r="F236" s="42" t="s">
        <v>246</v>
      </c>
      <c r="G236" s="43">
        <v>0</v>
      </c>
      <c r="H236" t="s">
        <v>198</v>
      </c>
      <c r="I236" s="44">
        <v>44309.98</v>
      </c>
      <c r="J236" s="44">
        <v>33192.93</v>
      </c>
      <c r="K236" t="s">
        <v>198</v>
      </c>
    </row>
    <row r="237" spans="1:11" ht="16.95" hidden="1" customHeight="1" x14ac:dyDescent="0.3">
      <c r="A237" s="42" t="s">
        <v>238</v>
      </c>
      <c r="B237" s="42" t="s">
        <v>239</v>
      </c>
      <c r="C237" s="42" t="s">
        <v>210</v>
      </c>
      <c r="D237" s="42" t="s">
        <v>273</v>
      </c>
      <c r="E237" s="42" t="s">
        <v>241</v>
      </c>
      <c r="F237" s="42" t="s">
        <v>247</v>
      </c>
      <c r="G237" s="43">
        <v>0</v>
      </c>
      <c r="H237" t="s">
        <v>198</v>
      </c>
      <c r="I237" s="44">
        <v>44314.96</v>
      </c>
      <c r="J237" s="44">
        <v>36556.730000000003</v>
      </c>
      <c r="K237" t="s">
        <v>198</v>
      </c>
    </row>
    <row r="238" spans="1:11" ht="16.95" hidden="1" customHeight="1" x14ac:dyDescent="0.3">
      <c r="A238" s="42" t="s">
        <v>238</v>
      </c>
      <c r="B238" s="42" t="s">
        <v>239</v>
      </c>
      <c r="C238" s="42" t="s">
        <v>210</v>
      </c>
      <c r="D238" s="42" t="s">
        <v>273</v>
      </c>
      <c r="E238" s="42" t="s">
        <v>241</v>
      </c>
      <c r="F238" s="42" t="s">
        <v>248</v>
      </c>
      <c r="G238" s="43">
        <v>0</v>
      </c>
      <c r="H238" t="s">
        <v>198</v>
      </c>
      <c r="I238" s="44">
        <v>45687.44</v>
      </c>
      <c r="J238" s="44">
        <v>33329.370000000003</v>
      </c>
      <c r="K238" t="s">
        <v>198</v>
      </c>
    </row>
    <row r="239" spans="1:11" ht="16.95" hidden="1" customHeight="1" x14ac:dyDescent="0.3">
      <c r="A239" s="42" t="s">
        <v>238</v>
      </c>
      <c r="B239" s="42" t="s">
        <v>239</v>
      </c>
      <c r="C239" s="42" t="s">
        <v>210</v>
      </c>
      <c r="D239" s="42" t="s">
        <v>273</v>
      </c>
      <c r="E239" s="42" t="s">
        <v>241</v>
      </c>
      <c r="F239" s="42" t="s">
        <v>249</v>
      </c>
      <c r="G239" s="43">
        <v>0</v>
      </c>
      <c r="H239" t="s">
        <v>198</v>
      </c>
      <c r="I239" s="44">
        <v>50182.29</v>
      </c>
      <c r="J239" s="44">
        <v>35997.69</v>
      </c>
      <c r="K239" t="s">
        <v>198</v>
      </c>
    </row>
    <row r="240" spans="1:11" ht="16.95" hidden="1" customHeight="1" x14ac:dyDescent="0.3">
      <c r="A240" s="42" t="s">
        <v>238</v>
      </c>
      <c r="B240" s="42" t="s">
        <v>239</v>
      </c>
      <c r="C240" s="42" t="s">
        <v>210</v>
      </c>
      <c r="D240" s="42" t="s">
        <v>273</v>
      </c>
      <c r="E240" s="42" t="s">
        <v>241</v>
      </c>
      <c r="F240" s="42" t="s">
        <v>250</v>
      </c>
      <c r="G240" s="43">
        <v>0</v>
      </c>
      <c r="H240" t="s">
        <v>198</v>
      </c>
      <c r="I240" s="44">
        <v>47757.99</v>
      </c>
      <c r="J240" s="44">
        <v>35884.519999999997</v>
      </c>
      <c r="K240" t="s">
        <v>198</v>
      </c>
    </row>
    <row r="241" spans="1:11" ht="16.95" hidden="1" customHeight="1" x14ac:dyDescent="0.3">
      <c r="A241" s="42" t="s">
        <v>238</v>
      </c>
      <c r="B241" s="42" t="s">
        <v>239</v>
      </c>
      <c r="C241" s="42" t="s">
        <v>210</v>
      </c>
      <c r="D241" s="42" t="s">
        <v>273</v>
      </c>
      <c r="E241" s="42" t="s">
        <v>241</v>
      </c>
      <c r="F241" s="42" t="s">
        <v>251</v>
      </c>
      <c r="G241" s="43">
        <v>0</v>
      </c>
      <c r="H241" t="s">
        <v>198</v>
      </c>
      <c r="I241" s="44">
        <v>46692.68</v>
      </c>
      <c r="J241" s="44">
        <v>37301.51</v>
      </c>
      <c r="K241" t="s">
        <v>198</v>
      </c>
    </row>
    <row r="242" spans="1:11" ht="16.95" hidden="1" customHeight="1" x14ac:dyDescent="0.3">
      <c r="A242" s="42" t="s">
        <v>238</v>
      </c>
      <c r="B242" s="42" t="s">
        <v>239</v>
      </c>
      <c r="C242" s="42" t="s">
        <v>210</v>
      </c>
      <c r="D242" s="42" t="s">
        <v>273</v>
      </c>
      <c r="E242" s="42" t="s">
        <v>241</v>
      </c>
      <c r="F242" s="42" t="s">
        <v>252</v>
      </c>
      <c r="G242" s="43">
        <v>0</v>
      </c>
      <c r="H242" t="s">
        <v>198</v>
      </c>
      <c r="I242" s="44">
        <v>47879.38</v>
      </c>
      <c r="J242" s="44">
        <v>39114.449999999997</v>
      </c>
      <c r="K242" t="s">
        <v>198</v>
      </c>
    </row>
    <row r="243" spans="1:11" ht="16.95" hidden="1" customHeight="1" x14ac:dyDescent="0.3">
      <c r="A243" s="42" t="s">
        <v>238</v>
      </c>
      <c r="B243" s="42" t="s">
        <v>239</v>
      </c>
      <c r="C243" s="42" t="s">
        <v>210</v>
      </c>
      <c r="D243" s="42" t="s">
        <v>273</v>
      </c>
      <c r="E243" s="42" t="s">
        <v>241</v>
      </c>
      <c r="F243" s="42" t="s">
        <v>253</v>
      </c>
      <c r="G243" s="43">
        <v>0</v>
      </c>
      <c r="H243" t="s">
        <v>198</v>
      </c>
      <c r="I243" s="44">
        <v>47870.44</v>
      </c>
      <c r="J243" s="44">
        <v>42279.78</v>
      </c>
      <c r="K243" t="s">
        <v>198</v>
      </c>
    </row>
    <row r="244" spans="1:11" ht="16.95" hidden="1" customHeight="1" x14ac:dyDescent="0.3">
      <c r="A244" s="42" t="s">
        <v>238</v>
      </c>
      <c r="B244" s="42" t="s">
        <v>239</v>
      </c>
      <c r="C244" s="42" t="s">
        <v>210</v>
      </c>
      <c r="D244" s="42" t="s">
        <v>274</v>
      </c>
      <c r="E244" s="42" t="s">
        <v>241</v>
      </c>
      <c r="F244" s="42" t="s">
        <v>242</v>
      </c>
      <c r="G244" s="44">
        <v>32543.58</v>
      </c>
      <c r="H244" s="44">
        <v>33756.15</v>
      </c>
      <c r="I244" s="44">
        <v>33845.29</v>
      </c>
      <c r="J244" s="44">
        <v>39191.99</v>
      </c>
      <c r="K244" s="44">
        <v>41121.370000000003</v>
      </c>
    </row>
    <row r="245" spans="1:11" ht="16.95" hidden="1" customHeight="1" x14ac:dyDescent="0.3">
      <c r="A245" s="42" t="s">
        <v>238</v>
      </c>
      <c r="B245" s="42" t="s">
        <v>239</v>
      </c>
      <c r="C245" s="42" t="s">
        <v>210</v>
      </c>
      <c r="D245" s="42" t="s">
        <v>274</v>
      </c>
      <c r="E245" s="42" t="s">
        <v>241</v>
      </c>
      <c r="F245" s="42" t="s">
        <v>243</v>
      </c>
      <c r="G245" s="44">
        <v>34132.480000000003</v>
      </c>
      <c r="H245" s="44">
        <v>34413.339999999997</v>
      </c>
      <c r="I245" s="44">
        <v>34458.629999999997</v>
      </c>
      <c r="J245" s="44">
        <v>39718.69</v>
      </c>
      <c r="K245" t="s">
        <v>198</v>
      </c>
    </row>
    <row r="246" spans="1:11" ht="16.95" hidden="1" customHeight="1" x14ac:dyDescent="0.3">
      <c r="A246" s="42" t="s">
        <v>238</v>
      </c>
      <c r="B246" s="42" t="s">
        <v>239</v>
      </c>
      <c r="C246" s="42" t="s">
        <v>210</v>
      </c>
      <c r="D246" s="42" t="s">
        <v>274</v>
      </c>
      <c r="E246" s="42" t="s">
        <v>241</v>
      </c>
      <c r="F246" s="42" t="s">
        <v>244</v>
      </c>
      <c r="G246" s="44">
        <v>34217.71</v>
      </c>
      <c r="H246" s="44">
        <v>32277.66</v>
      </c>
      <c r="I246" s="44">
        <v>35508.550000000003</v>
      </c>
      <c r="J246" s="44">
        <v>39930.769999999997</v>
      </c>
      <c r="K246" s="44">
        <v>40944.36</v>
      </c>
    </row>
    <row r="247" spans="1:11" ht="16.95" hidden="1" customHeight="1" x14ac:dyDescent="0.3">
      <c r="A247" s="42" t="s">
        <v>238</v>
      </c>
      <c r="B247" s="42" t="s">
        <v>239</v>
      </c>
      <c r="C247" s="42" t="s">
        <v>210</v>
      </c>
      <c r="D247" s="42" t="s">
        <v>274</v>
      </c>
      <c r="E247" s="42" t="s">
        <v>241</v>
      </c>
      <c r="F247" s="42" t="s">
        <v>245</v>
      </c>
      <c r="G247" s="44">
        <v>34250.49</v>
      </c>
      <c r="H247" s="44">
        <v>32891.49</v>
      </c>
      <c r="I247" s="44">
        <v>35197.74</v>
      </c>
      <c r="J247" s="44">
        <v>39977.67</v>
      </c>
      <c r="K247" t="s">
        <v>198</v>
      </c>
    </row>
    <row r="248" spans="1:11" ht="16.95" hidden="1" customHeight="1" x14ac:dyDescent="0.3">
      <c r="A248" s="42" t="s">
        <v>238</v>
      </c>
      <c r="B248" s="42" t="s">
        <v>239</v>
      </c>
      <c r="C248" s="42" t="s">
        <v>210</v>
      </c>
      <c r="D248" s="42" t="s">
        <v>274</v>
      </c>
      <c r="E248" s="42" t="s">
        <v>241</v>
      </c>
      <c r="F248" s="42" t="s">
        <v>246</v>
      </c>
      <c r="G248" s="44">
        <v>34409.69</v>
      </c>
      <c r="H248" s="44">
        <v>33628.81</v>
      </c>
      <c r="I248" s="44">
        <v>34650.980000000003</v>
      </c>
      <c r="J248" s="44">
        <v>39300.5</v>
      </c>
      <c r="K248" t="s">
        <v>198</v>
      </c>
    </row>
    <row r="249" spans="1:11" ht="16.95" hidden="1" customHeight="1" x14ac:dyDescent="0.3">
      <c r="A249" s="42" t="s">
        <v>238</v>
      </c>
      <c r="B249" s="42" t="s">
        <v>239</v>
      </c>
      <c r="C249" s="42" t="s">
        <v>210</v>
      </c>
      <c r="D249" s="42" t="s">
        <v>274</v>
      </c>
      <c r="E249" s="42" t="s">
        <v>241</v>
      </c>
      <c r="F249" s="42" t="s">
        <v>247</v>
      </c>
      <c r="G249" s="44">
        <v>34429.5</v>
      </c>
      <c r="H249" s="44">
        <v>33325.33</v>
      </c>
      <c r="I249" s="44">
        <v>34551.53</v>
      </c>
      <c r="J249" s="44">
        <v>39850.550000000003</v>
      </c>
      <c r="K249" t="s">
        <v>198</v>
      </c>
    </row>
    <row r="250" spans="1:11" ht="16.95" hidden="1" customHeight="1" x14ac:dyDescent="0.3">
      <c r="A250" s="42" t="s">
        <v>238</v>
      </c>
      <c r="B250" s="42" t="s">
        <v>239</v>
      </c>
      <c r="C250" s="42" t="s">
        <v>210</v>
      </c>
      <c r="D250" s="42" t="s">
        <v>274</v>
      </c>
      <c r="E250" s="42" t="s">
        <v>241</v>
      </c>
      <c r="F250" s="42" t="s">
        <v>248</v>
      </c>
      <c r="G250" s="44">
        <v>34268.78</v>
      </c>
      <c r="H250" s="44">
        <v>33409.910000000003</v>
      </c>
      <c r="I250" s="44">
        <v>34481.199999999997</v>
      </c>
      <c r="J250" s="44">
        <v>40173.730000000003</v>
      </c>
      <c r="K250" t="s">
        <v>198</v>
      </c>
    </row>
    <row r="251" spans="1:11" ht="16.95" hidden="1" customHeight="1" x14ac:dyDescent="0.3">
      <c r="A251" s="42" t="s">
        <v>238</v>
      </c>
      <c r="B251" s="42" t="s">
        <v>239</v>
      </c>
      <c r="C251" s="42" t="s">
        <v>210</v>
      </c>
      <c r="D251" s="42" t="s">
        <v>274</v>
      </c>
      <c r="E251" s="42" t="s">
        <v>241</v>
      </c>
      <c r="F251" s="42" t="s">
        <v>249</v>
      </c>
      <c r="G251" s="44">
        <v>34427.5</v>
      </c>
      <c r="H251" s="44">
        <v>33517.83</v>
      </c>
      <c r="I251" s="44">
        <v>34344.129999999997</v>
      </c>
      <c r="J251" s="44">
        <v>40545.550000000003</v>
      </c>
      <c r="K251" t="s">
        <v>198</v>
      </c>
    </row>
    <row r="252" spans="1:11" ht="16.95" hidden="1" customHeight="1" x14ac:dyDescent="0.3">
      <c r="A252" s="42" t="s">
        <v>238</v>
      </c>
      <c r="B252" s="42" t="s">
        <v>239</v>
      </c>
      <c r="C252" s="42" t="s">
        <v>210</v>
      </c>
      <c r="D252" s="42" t="s">
        <v>274</v>
      </c>
      <c r="E252" s="42" t="s">
        <v>241</v>
      </c>
      <c r="F252" s="42" t="s">
        <v>250</v>
      </c>
      <c r="G252" s="44">
        <v>34298.410000000003</v>
      </c>
      <c r="H252" s="44">
        <v>32466.82</v>
      </c>
      <c r="I252" s="44">
        <v>34223.17</v>
      </c>
      <c r="J252" s="44">
        <v>40326.050000000003</v>
      </c>
      <c r="K252" t="s">
        <v>198</v>
      </c>
    </row>
    <row r="253" spans="1:11" ht="16.95" hidden="1" customHeight="1" x14ac:dyDescent="0.3">
      <c r="A253" s="42" t="s">
        <v>238</v>
      </c>
      <c r="B253" s="42" t="s">
        <v>239</v>
      </c>
      <c r="C253" s="42" t="s">
        <v>210</v>
      </c>
      <c r="D253" s="42" t="s">
        <v>274</v>
      </c>
      <c r="E253" s="42" t="s">
        <v>241</v>
      </c>
      <c r="F253" s="42" t="s">
        <v>251</v>
      </c>
      <c r="G253" s="44">
        <v>34447.94</v>
      </c>
      <c r="H253" s="44">
        <v>32638.63</v>
      </c>
      <c r="I253" s="44">
        <v>34905.620000000003</v>
      </c>
      <c r="J253" s="44">
        <v>38472.699999999997</v>
      </c>
      <c r="K253" t="s">
        <v>198</v>
      </c>
    </row>
    <row r="254" spans="1:11" ht="16.95" hidden="1" customHeight="1" x14ac:dyDescent="0.3">
      <c r="A254" s="42" t="s">
        <v>238</v>
      </c>
      <c r="B254" s="42" t="s">
        <v>239</v>
      </c>
      <c r="C254" s="42" t="s">
        <v>210</v>
      </c>
      <c r="D254" s="42" t="s">
        <v>274</v>
      </c>
      <c r="E254" s="42" t="s">
        <v>241</v>
      </c>
      <c r="F254" s="42" t="s">
        <v>252</v>
      </c>
      <c r="G254" s="44">
        <v>34243.599999999999</v>
      </c>
      <c r="H254" s="44">
        <v>33083.660000000003</v>
      </c>
      <c r="I254" s="44">
        <v>35363.75</v>
      </c>
      <c r="J254" s="44">
        <v>38922.300000000003</v>
      </c>
      <c r="K254" t="s">
        <v>198</v>
      </c>
    </row>
    <row r="255" spans="1:11" ht="16.95" hidden="1" customHeight="1" x14ac:dyDescent="0.3">
      <c r="A255" s="42" t="s">
        <v>238</v>
      </c>
      <c r="B255" s="42" t="s">
        <v>239</v>
      </c>
      <c r="C255" s="42" t="s">
        <v>210</v>
      </c>
      <c r="D255" s="42" t="s">
        <v>274</v>
      </c>
      <c r="E255" s="42" t="s">
        <v>241</v>
      </c>
      <c r="F255" s="42" t="s">
        <v>253</v>
      </c>
      <c r="G255" s="44">
        <v>34203.54</v>
      </c>
      <c r="H255" s="44">
        <v>32531.94</v>
      </c>
      <c r="I255" s="44">
        <v>36279.449999999997</v>
      </c>
      <c r="J255" s="44">
        <v>38967.379999999997</v>
      </c>
      <c r="K255" t="s">
        <v>198</v>
      </c>
    </row>
    <row r="256" spans="1:11" ht="16.95" hidden="1" customHeight="1" x14ac:dyDescent="0.3">
      <c r="A256" s="42" t="s">
        <v>238</v>
      </c>
      <c r="B256" s="42" t="s">
        <v>239</v>
      </c>
      <c r="C256" s="42" t="s">
        <v>210</v>
      </c>
      <c r="D256" s="42" t="s">
        <v>275</v>
      </c>
      <c r="E256" s="42" t="s">
        <v>241</v>
      </c>
      <c r="F256" s="42" t="s">
        <v>242</v>
      </c>
      <c r="G256" t="s">
        <v>198</v>
      </c>
      <c r="H256" t="s">
        <v>198</v>
      </c>
      <c r="I256" t="s">
        <v>198</v>
      </c>
      <c r="J256" s="43">
        <v>78036</v>
      </c>
      <c r="K256" t="s">
        <v>198</v>
      </c>
    </row>
    <row r="257" spans="1:11" ht="16.95" hidden="1" customHeight="1" x14ac:dyDescent="0.3">
      <c r="A257" s="42" t="s">
        <v>238</v>
      </c>
      <c r="B257" s="42" t="s">
        <v>239</v>
      </c>
      <c r="C257" s="42" t="s">
        <v>210</v>
      </c>
      <c r="D257" s="42" t="s">
        <v>275</v>
      </c>
      <c r="E257" s="42" t="s">
        <v>241</v>
      </c>
      <c r="F257" s="42" t="s">
        <v>243</v>
      </c>
      <c r="G257" t="s">
        <v>198</v>
      </c>
      <c r="H257" t="s">
        <v>198</v>
      </c>
      <c r="I257" t="s">
        <v>198</v>
      </c>
      <c r="J257" s="43">
        <v>78105</v>
      </c>
      <c r="K257" s="43">
        <v>97477</v>
      </c>
    </row>
    <row r="258" spans="1:11" ht="16.95" hidden="1" customHeight="1" x14ac:dyDescent="0.3">
      <c r="A258" s="42" t="s">
        <v>238</v>
      </c>
      <c r="B258" s="42" t="s">
        <v>239</v>
      </c>
      <c r="C258" s="42" t="s">
        <v>210</v>
      </c>
      <c r="D258" s="42" t="s">
        <v>275</v>
      </c>
      <c r="E258" s="42" t="s">
        <v>241</v>
      </c>
      <c r="F258" s="42" t="s">
        <v>244</v>
      </c>
      <c r="G258" t="s">
        <v>198</v>
      </c>
      <c r="H258" t="s">
        <v>198</v>
      </c>
      <c r="I258" t="s">
        <v>198</v>
      </c>
      <c r="J258" s="43">
        <v>78105</v>
      </c>
      <c r="K258" t="s">
        <v>198</v>
      </c>
    </row>
    <row r="259" spans="1:11" ht="16.95" hidden="1" customHeight="1" x14ac:dyDescent="0.3">
      <c r="A259" s="42" t="s">
        <v>238</v>
      </c>
      <c r="B259" s="42" t="s">
        <v>239</v>
      </c>
      <c r="C259" s="42" t="s">
        <v>210</v>
      </c>
      <c r="D259" s="42" t="s">
        <v>275</v>
      </c>
      <c r="E259" s="42" t="s">
        <v>241</v>
      </c>
      <c r="F259" s="42" t="s">
        <v>245</v>
      </c>
      <c r="G259" t="s">
        <v>198</v>
      </c>
      <c r="H259" t="s">
        <v>198</v>
      </c>
      <c r="I259" t="s">
        <v>198</v>
      </c>
      <c r="J259" s="43">
        <v>78105</v>
      </c>
      <c r="K259" t="s">
        <v>198</v>
      </c>
    </row>
    <row r="260" spans="1:11" ht="16.95" hidden="1" customHeight="1" x14ac:dyDescent="0.3">
      <c r="A260" s="42" t="s">
        <v>238</v>
      </c>
      <c r="B260" s="42" t="s">
        <v>239</v>
      </c>
      <c r="C260" s="42" t="s">
        <v>210</v>
      </c>
      <c r="D260" s="42" t="s">
        <v>275</v>
      </c>
      <c r="E260" s="42" t="s">
        <v>241</v>
      </c>
      <c r="F260" s="42" t="s">
        <v>246</v>
      </c>
      <c r="G260" t="s">
        <v>198</v>
      </c>
      <c r="H260" t="s">
        <v>198</v>
      </c>
      <c r="I260" t="s">
        <v>198</v>
      </c>
      <c r="J260" s="43">
        <v>78105</v>
      </c>
      <c r="K260" t="s">
        <v>198</v>
      </c>
    </row>
    <row r="261" spans="1:11" ht="16.95" hidden="1" customHeight="1" x14ac:dyDescent="0.3">
      <c r="A261" s="42" t="s">
        <v>238</v>
      </c>
      <c r="B261" s="42" t="s">
        <v>239</v>
      </c>
      <c r="C261" s="42" t="s">
        <v>210</v>
      </c>
      <c r="D261" s="42" t="s">
        <v>275</v>
      </c>
      <c r="E261" s="42" t="s">
        <v>241</v>
      </c>
      <c r="F261" s="42" t="s">
        <v>247</v>
      </c>
      <c r="G261" t="s">
        <v>198</v>
      </c>
      <c r="H261" t="s">
        <v>198</v>
      </c>
      <c r="I261" t="s">
        <v>198</v>
      </c>
      <c r="J261" s="43">
        <v>80077</v>
      </c>
      <c r="K261" t="s">
        <v>198</v>
      </c>
    </row>
    <row r="262" spans="1:11" ht="16.95" hidden="1" customHeight="1" x14ac:dyDescent="0.3">
      <c r="A262" s="42" t="s">
        <v>238</v>
      </c>
      <c r="B262" s="42" t="s">
        <v>239</v>
      </c>
      <c r="C262" s="42" t="s">
        <v>210</v>
      </c>
      <c r="D262" s="42" t="s">
        <v>275</v>
      </c>
      <c r="E262" s="42" t="s">
        <v>241</v>
      </c>
      <c r="F262" s="42" t="s">
        <v>248</v>
      </c>
      <c r="G262" t="s">
        <v>198</v>
      </c>
      <c r="H262" t="s">
        <v>198</v>
      </c>
      <c r="I262" t="s">
        <v>198</v>
      </c>
      <c r="J262" s="43">
        <v>80077</v>
      </c>
      <c r="K262" t="s">
        <v>198</v>
      </c>
    </row>
    <row r="263" spans="1:11" ht="16.95" hidden="1" customHeight="1" x14ac:dyDescent="0.3">
      <c r="A263" s="42" t="s">
        <v>238</v>
      </c>
      <c r="B263" s="42" t="s">
        <v>239</v>
      </c>
      <c r="C263" s="42" t="s">
        <v>210</v>
      </c>
      <c r="D263" s="42" t="s">
        <v>275</v>
      </c>
      <c r="E263" s="42" t="s">
        <v>241</v>
      </c>
      <c r="F263" s="42" t="s">
        <v>249</v>
      </c>
      <c r="G263" t="s">
        <v>198</v>
      </c>
      <c r="H263" t="s">
        <v>198</v>
      </c>
      <c r="I263" t="s">
        <v>198</v>
      </c>
      <c r="J263" s="43">
        <v>80077</v>
      </c>
      <c r="K263" t="s">
        <v>198</v>
      </c>
    </row>
    <row r="264" spans="1:11" ht="16.95" hidden="1" customHeight="1" x14ac:dyDescent="0.3">
      <c r="A264" s="42" t="s">
        <v>238</v>
      </c>
      <c r="B264" s="42" t="s">
        <v>239</v>
      </c>
      <c r="C264" s="42" t="s">
        <v>210</v>
      </c>
      <c r="D264" s="42" t="s">
        <v>275</v>
      </c>
      <c r="E264" s="42" t="s">
        <v>241</v>
      </c>
      <c r="F264" s="42" t="s">
        <v>250</v>
      </c>
      <c r="G264" t="s">
        <v>198</v>
      </c>
      <c r="H264" t="s">
        <v>198</v>
      </c>
      <c r="I264" t="s">
        <v>198</v>
      </c>
      <c r="J264" s="43">
        <v>80077</v>
      </c>
      <c r="K264" t="s">
        <v>198</v>
      </c>
    </row>
    <row r="265" spans="1:11" ht="16.95" hidden="1" customHeight="1" x14ac:dyDescent="0.3">
      <c r="A265" s="42" t="s">
        <v>238</v>
      </c>
      <c r="B265" s="42" t="s">
        <v>239</v>
      </c>
      <c r="C265" s="42" t="s">
        <v>210</v>
      </c>
      <c r="D265" s="42" t="s">
        <v>275</v>
      </c>
      <c r="E265" s="42" t="s">
        <v>241</v>
      </c>
      <c r="F265" s="42" t="s">
        <v>251</v>
      </c>
      <c r="G265" t="s">
        <v>198</v>
      </c>
      <c r="H265" t="s">
        <v>198</v>
      </c>
      <c r="I265" t="s">
        <v>198</v>
      </c>
      <c r="J265" s="43">
        <v>82049</v>
      </c>
      <c r="K265" t="s">
        <v>198</v>
      </c>
    </row>
    <row r="266" spans="1:11" ht="16.95" hidden="1" customHeight="1" x14ac:dyDescent="0.3">
      <c r="A266" s="42" t="s">
        <v>238</v>
      </c>
      <c r="B266" s="42" t="s">
        <v>239</v>
      </c>
      <c r="C266" s="42" t="s">
        <v>210</v>
      </c>
      <c r="D266" s="42" t="s">
        <v>275</v>
      </c>
      <c r="E266" s="42" t="s">
        <v>241</v>
      </c>
      <c r="F266" s="42" t="s">
        <v>252</v>
      </c>
      <c r="G266" t="s">
        <v>198</v>
      </c>
      <c r="H266" t="s">
        <v>198</v>
      </c>
      <c r="I266" t="s">
        <v>198</v>
      </c>
      <c r="J266" s="43">
        <v>82049</v>
      </c>
      <c r="K266" t="s">
        <v>198</v>
      </c>
    </row>
    <row r="267" spans="1:11" ht="16.95" hidden="1" customHeight="1" x14ac:dyDescent="0.3">
      <c r="A267" s="42" t="s">
        <v>238</v>
      </c>
      <c r="B267" s="42" t="s">
        <v>239</v>
      </c>
      <c r="C267" s="42" t="s">
        <v>210</v>
      </c>
      <c r="D267" s="42" t="s">
        <v>275</v>
      </c>
      <c r="E267" s="42" t="s">
        <v>241</v>
      </c>
      <c r="F267" s="42" t="s">
        <v>253</v>
      </c>
      <c r="G267" t="s">
        <v>198</v>
      </c>
      <c r="H267" t="s">
        <v>198</v>
      </c>
      <c r="I267" t="s">
        <v>198</v>
      </c>
      <c r="J267" s="44">
        <v>82049.009999999995</v>
      </c>
      <c r="K267" t="s">
        <v>198</v>
      </c>
    </row>
    <row r="268" spans="1:11" ht="16.95" hidden="1" customHeight="1" x14ac:dyDescent="0.3">
      <c r="A268" s="42" t="s">
        <v>238</v>
      </c>
      <c r="B268" s="42" t="s">
        <v>239</v>
      </c>
      <c r="C268" s="42" t="s">
        <v>210</v>
      </c>
      <c r="D268" s="42" t="s">
        <v>276</v>
      </c>
      <c r="E268" s="42" t="s">
        <v>241</v>
      </c>
      <c r="F268" s="42" t="s">
        <v>242</v>
      </c>
      <c r="G268" t="s">
        <v>198</v>
      </c>
      <c r="H268" t="s">
        <v>198</v>
      </c>
      <c r="I268" t="s">
        <v>198</v>
      </c>
      <c r="J268" s="44">
        <v>61870.47</v>
      </c>
      <c r="K268" s="44">
        <v>63117.09</v>
      </c>
    </row>
    <row r="269" spans="1:11" ht="16.95" hidden="1" customHeight="1" x14ac:dyDescent="0.3">
      <c r="A269" s="42" t="s">
        <v>238</v>
      </c>
      <c r="B269" s="42" t="s">
        <v>239</v>
      </c>
      <c r="C269" s="42" t="s">
        <v>210</v>
      </c>
      <c r="D269" s="42" t="s">
        <v>276</v>
      </c>
      <c r="E269" s="42" t="s">
        <v>241</v>
      </c>
      <c r="F269" s="42" t="s">
        <v>243</v>
      </c>
      <c r="G269" t="s">
        <v>198</v>
      </c>
      <c r="H269" t="s">
        <v>198</v>
      </c>
      <c r="I269" t="s">
        <v>198</v>
      </c>
      <c r="J269" s="44">
        <v>59115.14</v>
      </c>
      <c r="K269" s="44">
        <v>71728.14</v>
      </c>
    </row>
    <row r="270" spans="1:11" ht="16.95" hidden="1" customHeight="1" x14ac:dyDescent="0.3">
      <c r="A270" s="42" t="s">
        <v>238</v>
      </c>
      <c r="B270" s="42" t="s">
        <v>239</v>
      </c>
      <c r="C270" s="42" t="s">
        <v>210</v>
      </c>
      <c r="D270" s="42" t="s">
        <v>276</v>
      </c>
      <c r="E270" s="42" t="s">
        <v>241</v>
      </c>
      <c r="F270" s="42" t="s">
        <v>244</v>
      </c>
      <c r="G270" t="s">
        <v>198</v>
      </c>
      <c r="H270" t="s">
        <v>198</v>
      </c>
      <c r="I270" t="s">
        <v>198</v>
      </c>
      <c r="J270" s="43">
        <v>60371</v>
      </c>
      <c r="K270" s="44">
        <v>72105.23</v>
      </c>
    </row>
    <row r="271" spans="1:11" ht="16.95" hidden="1" customHeight="1" x14ac:dyDescent="0.3">
      <c r="A271" s="42" t="s">
        <v>238</v>
      </c>
      <c r="B271" s="42" t="s">
        <v>239</v>
      </c>
      <c r="C271" s="42" t="s">
        <v>210</v>
      </c>
      <c r="D271" s="42" t="s">
        <v>276</v>
      </c>
      <c r="E271" s="42" t="s">
        <v>241</v>
      </c>
      <c r="F271" s="42" t="s">
        <v>245</v>
      </c>
      <c r="G271" t="s">
        <v>198</v>
      </c>
      <c r="H271" t="s">
        <v>198</v>
      </c>
      <c r="I271" t="s">
        <v>198</v>
      </c>
      <c r="J271" s="44">
        <v>60442.2</v>
      </c>
      <c r="K271" t="s">
        <v>198</v>
      </c>
    </row>
    <row r="272" spans="1:11" ht="16.95" hidden="1" customHeight="1" x14ac:dyDescent="0.3">
      <c r="A272" s="42" t="s">
        <v>238</v>
      </c>
      <c r="B272" s="42" t="s">
        <v>239</v>
      </c>
      <c r="C272" s="42" t="s">
        <v>210</v>
      </c>
      <c r="D272" s="42" t="s">
        <v>276</v>
      </c>
      <c r="E272" s="42" t="s">
        <v>241</v>
      </c>
      <c r="F272" s="42" t="s">
        <v>246</v>
      </c>
      <c r="G272" t="s">
        <v>198</v>
      </c>
      <c r="H272" t="s">
        <v>198</v>
      </c>
      <c r="I272" t="s">
        <v>198</v>
      </c>
      <c r="J272" s="44">
        <v>59632.1</v>
      </c>
      <c r="K272" t="s">
        <v>198</v>
      </c>
    </row>
    <row r="273" spans="1:11" ht="16.95" hidden="1" customHeight="1" x14ac:dyDescent="0.3">
      <c r="A273" s="42" t="s">
        <v>238</v>
      </c>
      <c r="B273" s="42" t="s">
        <v>239</v>
      </c>
      <c r="C273" s="42" t="s">
        <v>210</v>
      </c>
      <c r="D273" s="42" t="s">
        <v>276</v>
      </c>
      <c r="E273" s="42" t="s">
        <v>241</v>
      </c>
      <c r="F273" s="42" t="s">
        <v>247</v>
      </c>
      <c r="G273" t="s">
        <v>198</v>
      </c>
      <c r="H273" t="s">
        <v>198</v>
      </c>
      <c r="I273" t="s">
        <v>198</v>
      </c>
      <c r="J273" s="44">
        <v>61691.37</v>
      </c>
      <c r="K273" t="s">
        <v>198</v>
      </c>
    </row>
    <row r="274" spans="1:11" ht="16.95" hidden="1" customHeight="1" x14ac:dyDescent="0.3">
      <c r="A274" s="42" t="s">
        <v>238</v>
      </c>
      <c r="B274" s="42" t="s">
        <v>239</v>
      </c>
      <c r="C274" s="42" t="s">
        <v>210</v>
      </c>
      <c r="D274" s="42" t="s">
        <v>276</v>
      </c>
      <c r="E274" s="42" t="s">
        <v>241</v>
      </c>
      <c r="F274" s="42" t="s">
        <v>248</v>
      </c>
      <c r="G274" t="s">
        <v>198</v>
      </c>
      <c r="H274" t="s">
        <v>198</v>
      </c>
      <c r="I274" t="s">
        <v>198</v>
      </c>
      <c r="J274" s="44">
        <v>61538.61</v>
      </c>
      <c r="K274" t="s">
        <v>198</v>
      </c>
    </row>
    <row r="275" spans="1:11" ht="16.95" hidden="1" customHeight="1" x14ac:dyDescent="0.3">
      <c r="A275" s="42" t="s">
        <v>238</v>
      </c>
      <c r="B275" s="42" t="s">
        <v>239</v>
      </c>
      <c r="C275" s="42" t="s">
        <v>210</v>
      </c>
      <c r="D275" s="42" t="s">
        <v>276</v>
      </c>
      <c r="E275" s="42" t="s">
        <v>241</v>
      </c>
      <c r="F275" s="42" t="s">
        <v>249</v>
      </c>
      <c r="G275" t="s">
        <v>198</v>
      </c>
      <c r="H275" t="s">
        <v>198</v>
      </c>
      <c r="I275" t="s">
        <v>198</v>
      </c>
      <c r="J275" s="44">
        <v>59837.47</v>
      </c>
      <c r="K275" t="s">
        <v>198</v>
      </c>
    </row>
    <row r="276" spans="1:11" ht="16.95" hidden="1" customHeight="1" x14ac:dyDescent="0.3">
      <c r="A276" s="42" t="s">
        <v>238</v>
      </c>
      <c r="B276" s="42" t="s">
        <v>239</v>
      </c>
      <c r="C276" s="42" t="s">
        <v>210</v>
      </c>
      <c r="D276" s="42" t="s">
        <v>276</v>
      </c>
      <c r="E276" s="42" t="s">
        <v>241</v>
      </c>
      <c r="F276" s="42" t="s">
        <v>250</v>
      </c>
      <c r="G276" t="s">
        <v>198</v>
      </c>
      <c r="H276" t="s">
        <v>198</v>
      </c>
      <c r="I276" t="s">
        <v>198</v>
      </c>
      <c r="J276" s="44">
        <v>60020.73</v>
      </c>
      <c r="K276" t="s">
        <v>198</v>
      </c>
    </row>
    <row r="277" spans="1:11" ht="16.95" hidden="1" customHeight="1" x14ac:dyDescent="0.3">
      <c r="A277" s="42" t="s">
        <v>238</v>
      </c>
      <c r="B277" s="42" t="s">
        <v>239</v>
      </c>
      <c r="C277" s="42" t="s">
        <v>210</v>
      </c>
      <c r="D277" s="42" t="s">
        <v>276</v>
      </c>
      <c r="E277" s="42" t="s">
        <v>241</v>
      </c>
      <c r="F277" s="42" t="s">
        <v>251</v>
      </c>
      <c r="G277" t="s">
        <v>198</v>
      </c>
      <c r="H277" t="s">
        <v>198</v>
      </c>
      <c r="I277" t="s">
        <v>198</v>
      </c>
      <c r="J277" s="44">
        <v>60900.99</v>
      </c>
      <c r="K277" t="s">
        <v>198</v>
      </c>
    </row>
    <row r="278" spans="1:11" ht="16.95" hidden="1" customHeight="1" x14ac:dyDescent="0.3">
      <c r="A278" s="42" t="s">
        <v>238</v>
      </c>
      <c r="B278" s="42" t="s">
        <v>239</v>
      </c>
      <c r="C278" s="42" t="s">
        <v>210</v>
      </c>
      <c r="D278" s="42" t="s">
        <v>276</v>
      </c>
      <c r="E278" s="42" t="s">
        <v>241</v>
      </c>
      <c r="F278" s="42" t="s">
        <v>252</v>
      </c>
      <c r="G278" t="s">
        <v>198</v>
      </c>
      <c r="H278" t="s">
        <v>198</v>
      </c>
      <c r="I278" t="s">
        <v>198</v>
      </c>
      <c r="J278" s="44">
        <v>60627.64</v>
      </c>
      <c r="K278" t="s">
        <v>198</v>
      </c>
    </row>
    <row r="279" spans="1:11" ht="16.95" hidden="1" customHeight="1" x14ac:dyDescent="0.3">
      <c r="A279" s="42" t="s">
        <v>238</v>
      </c>
      <c r="B279" s="42" t="s">
        <v>239</v>
      </c>
      <c r="C279" s="42" t="s">
        <v>210</v>
      </c>
      <c r="D279" s="42" t="s">
        <v>276</v>
      </c>
      <c r="E279" s="42" t="s">
        <v>241</v>
      </c>
      <c r="F279" s="42" t="s">
        <v>253</v>
      </c>
      <c r="G279" t="s">
        <v>198</v>
      </c>
      <c r="H279" t="s">
        <v>198</v>
      </c>
      <c r="I279" t="s">
        <v>198</v>
      </c>
      <c r="J279" s="44">
        <v>61838.13</v>
      </c>
      <c r="K279" t="s">
        <v>198</v>
      </c>
    </row>
    <row r="280" spans="1:11" ht="16.95" hidden="1" customHeight="1" x14ac:dyDescent="0.3">
      <c r="A280" s="42" t="s">
        <v>238</v>
      </c>
      <c r="B280" s="42" t="s">
        <v>239</v>
      </c>
      <c r="C280" s="42" t="s">
        <v>210</v>
      </c>
      <c r="D280" s="42" t="s">
        <v>277</v>
      </c>
      <c r="E280" s="42" t="s">
        <v>241</v>
      </c>
      <c r="F280" s="42" t="s">
        <v>242</v>
      </c>
      <c r="G280" s="44">
        <v>45952.3</v>
      </c>
      <c r="H280" s="44">
        <v>55958.16</v>
      </c>
      <c r="I280" s="44">
        <v>76703.570000000007</v>
      </c>
      <c r="J280" s="44">
        <v>73583.98</v>
      </c>
      <c r="K280" s="44">
        <v>67425.73</v>
      </c>
    </row>
    <row r="281" spans="1:11" ht="16.95" hidden="1" customHeight="1" x14ac:dyDescent="0.3">
      <c r="A281" s="42" t="s">
        <v>238</v>
      </c>
      <c r="B281" s="42" t="s">
        <v>239</v>
      </c>
      <c r="C281" s="42" t="s">
        <v>210</v>
      </c>
      <c r="D281" s="42" t="s">
        <v>277</v>
      </c>
      <c r="E281" s="42" t="s">
        <v>241</v>
      </c>
      <c r="F281" s="42" t="s">
        <v>243</v>
      </c>
      <c r="G281" s="44">
        <v>46571.58</v>
      </c>
      <c r="H281" s="44">
        <v>61338.43</v>
      </c>
      <c r="I281" s="44">
        <v>69667.63</v>
      </c>
      <c r="J281" s="44">
        <v>67006.42</v>
      </c>
      <c r="K281" s="44">
        <v>68052.86</v>
      </c>
    </row>
    <row r="282" spans="1:11" ht="16.95" hidden="1" customHeight="1" x14ac:dyDescent="0.3">
      <c r="A282" s="42" t="s">
        <v>238</v>
      </c>
      <c r="B282" s="42" t="s">
        <v>239</v>
      </c>
      <c r="C282" s="42" t="s">
        <v>210</v>
      </c>
      <c r="D282" s="42" t="s">
        <v>277</v>
      </c>
      <c r="E282" s="42" t="s">
        <v>241</v>
      </c>
      <c r="F282" s="42" t="s">
        <v>244</v>
      </c>
      <c r="G282" s="44">
        <v>48417.85</v>
      </c>
      <c r="H282" s="44">
        <v>62551.65</v>
      </c>
      <c r="I282" s="44">
        <v>68534.710000000006</v>
      </c>
      <c r="J282" s="44">
        <v>67919.070000000007</v>
      </c>
      <c r="K282" s="44">
        <v>69764.539999999994</v>
      </c>
    </row>
    <row r="283" spans="1:11" ht="16.95" hidden="1" customHeight="1" x14ac:dyDescent="0.3">
      <c r="A283" s="42" t="s">
        <v>238</v>
      </c>
      <c r="B283" s="42" t="s">
        <v>239</v>
      </c>
      <c r="C283" s="42" t="s">
        <v>210</v>
      </c>
      <c r="D283" s="42" t="s">
        <v>277</v>
      </c>
      <c r="E283" s="42" t="s">
        <v>241</v>
      </c>
      <c r="F283" s="42" t="s">
        <v>245</v>
      </c>
      <c r="G283" s="44">
        <v>49057.95</v>
      </c>
      <c r="H283" s="44">
        <v>64408.67</v>
      </c>
      <c r="I283" s="44">
        <v>72778.100000000006</v>
      </c>
      <c r="J283" s="44">
        <v>68781.009999999995</v>
      </c>
      <c r="K283" t="s">
        <v>198</v>
      </c>
    </row>
    <row r="284" spans="1:11" ht="16.95" hidden="1" customHeight="1" x14ac:dyDescent="0.3">
      <c r="A284" s="42" t="s">
        <v>238</v>
      </c>
      <c r="B284" s="42" t="s">
        <v>239</v>
      </c>
      <c r="C284" s="42" t="s">
        <v>210</v>
      </c>
      <c r="D284" s="42" t="s">
        <v>277</v>
      </c>
      <c r="E284" s="42" t="s">
        <v>241</v>
      </c>
      <c r="F284" s="42" t="s">
        <v>246</v>
      </c>
      <c r="G284" s="44">
        <v>48025.120000000003</v>
      </c>
      <c r="H284" s="44">
        <v>66726.25</v>
      </c>
      <c r="I284" s="44">
        <v>69728.59</v>
      </c>
      <c r="J284" s="44">
        <v>67833.62</v>
      </c>
      <c r="K284" t="s">
        <v>198</v>
      </c>
    </row>
    <row r="285" spans="1:11" ht="16.95" hidden="1" customHeight="1" x14ac:dyDescent="0.3">
      <c r="A285" s="42" t="s">
        <v>238</v>
      </c>
      <c r="B285" s="42" t="s">
        <v>239</v>
      </c>
      <c r="C285" s="42" t="s">
        <v>210</v>
      </c>
      <c r="D285" s="42" t="s">
        <v>277</v>
      </c>
      <c r="E285" s="42" t="s">
        <v>241</v>
      </c>
      <c r="F285" s="42" t="s">
        <v>247</v>
      </c>
      <c r="G285" s="44">
        <v>49366.19</v>
      </c>
      <c r="H285" s="44">
        <v>63919.01</v>
      </c>
      <c r="I285" s="44">
        <v>66963.67</v>
      </c>
      <c r="J285" s="44">
        <v>70216.899999999994</v>
      </c>
      <c r="K285" t="s">
        <v>198</v>
      </c>
    </row>
    <row r="286" spans="1:11" ht="16.95" hidden="1" customHeight="1" x14ac:dyDescent="0.3">
      <c r="A286" s="42" t="s">
        <v>238</v>
      </c>
      <c r="B286" s="42" t="s">
        <v>239</v>
      </c>
      <c r="C286" s="42" t="s">
        <v>210</v>
      </c>
      <c r="D286" s="42" t="s">
        <v>277</v>
      </c>
      <c r="E286" s="42" t="s">
        <v>241</v>
      </c>
      <c r="F286" s="42" t="s">
        <v>248</v>
      </c>
      <c r="G286" s="44">
        <v>49172.480000000003</v>
      </c>
      <c r="H286" s="44">
        <v>68643.570000000007</v>
      </c>
      <c r="I286" s="44">
        <v>71214.05</v>
      </c>
      <c r="J286" s="44">
        <v>61986.15</v>
      </c>
      <c r="K286" t="s">
        <v>198</v>
      </c>
    </row>
    <row r="287" spans="1:11" ht="16.95" hidden="1" customHeight="1" x14ac:dyDescent="0.3">
      <c r="A287" s="42" t="s">
        <v>238</v>
      </c>
      <c r="B287" s="42" t="s">
        <v>239</v>
      </c>
      <c r="C287" s="42" t="s">
        <v>210</v>
      </c>
      <c r="D287" s="42" t="s">
        <v>277</v>
      </c>
      <c r="E287" s="42" t="s">
        <v>241</v>
      </c>
      <c r="F287" s="42" t="s">
        <v>249</v>
      </c>
      <c r="G287" s="44">
        <v>51012.98</v>
      </c>
      <c r="H287" s="44">
        <v>68121.5</v>
      </c>
      <c r="I287" s="44">
        <v>68775.41</v>
      </c>
      <c r="J287" s="44">
        <v>67253.279999999999</v>
      </c>
      <c r="K287" t="s">
        <v>198</v>
      </c>
    </row>
    <row r="288" spans="1:11" ht="16.95" hidden="1" customHeight="1" x14ac:dyDescent="0.3">
      <c r="A288" s="42" t="s">
        <v>238</v>
      </c>
      <c r="B288" s="42" t="s">
        <v>239</v>
      </c>
      <c r="C288" s="42" t="s">
        <v>210</v>
      </c>
      <c r="D288" s="42" t="s">
        <v>277</v>
      </c>
      <c r="E288" s="42" t="s">
        <v>241</v>
      </c>
      <c r="F288" s="42" t="s">
        <v>250</v>
      </c>
      <c r="G288" s="44">
        <v>50890.09</v>
      </c>
      <c r="H288" s="44">
        <v>65512.81</v>
      </c>
      <c r="I288" s="44">
        <v>73016.929999999993</v>
      </c>
      <c r="J288" s="44">
        <v>67505.210000000006</v>
      </c>
      <c r="K288" t="s">
        <v>198</v>
      </c>
    </row>
    <row r="289" spans="1:11" ht="16.95" hidden="1" customHeight="1" x14ac:dyDescent="0.3">
      <c r="A289" s="42" t="s">
        <v>238</v>
      </c>
      <c r="B289" s="42" t="s">
        <v>239</v>
      </c>
      <c r="C289" s="42" t="s">
        <v>210</v>
      </c>
      <c r="D289" s="42" t="s">
        <v>277</v>
      </c>
      <c r="E289" s="42" t="s">
        <v>241</v>
      </c>
      <c r="F289" s="42" t="s">
        <v>251</v>
      </c>
      <c r="G289" s="44">
        <v>57229.7</v>
      </c>
      <c r="H289" s="44">
        <v>72513.19</v>
      </c>
      <c r="I289" s="44">
        <v>73989.7</v>
      </c>
      <c r="J289" s="44">
        <v>63070.27</v>
      </c>
      <c r="K289" t="s">
        <v>198</v>
      </c>
    </row>
    <row r="290" spans="1:11" ht="16.95" hidden="1" customHeight="1" x14ac:dyDescent="0.3">
      <c r="A290" s="42" t="s">
        <v>238</v>
      </c>
      <c r="B290" s="42" t="s">
        <v>239</v>
      </c>
      <c r="C290" s="42" t="s">
        <v>210</v>
      </c>
      <c r="D290" s="42" t="s">
        <v>277</v>
      </c>
      <c r="E290" s="42" t="s">
        <v>241</v>
      </c>
      <c r="F290" s="42" t="s">
        <v>252</v>
      </c>
      <c r="G290" s="44">
        <v>58521.440000000002</v>
      </c>
      <c r="H290" s="44">
        <v>73483.13</v>
      </c>
      <c r="I290" s="44">
        <v>71785.61</v>
      </c>
      <c r="J290" s="44">
        <v>69167.13</v>
      </c>
      <c r="K290" t="s">
        <v>198</v>
      </c>
    </row>
    <row r="291" spans="1:11" ht="16.95" hidden="1" customHeight="1" x14ac:dyDescent="0.3">
      <c r="A291" s="42" t="s">
        <v>238</v>
      </c>
      <c r="B291" s="42" t="s">
        <v>239</v>
      </c>
      <c r="C291" s="42" t="s">
        <v>210</v>
      </c>
      <c r="D291" s="42" t="s">
        <v>277</v>
      </c>
      <c r="E291" s="42" t="s">
        <v>241</v>
      </c>
      <c r="F291" s="42" t="s">
        <v>253</v>
      </c>
      <c r="G291" s="44">
        <v>63596.19</v>
      </c>
      <c r="H291" s="44">
        <v>72131.56</v>
      </c>
      <c r="I291" s="44">
        <v>70690.990000000005</v>
      </c>
      <c r="J291" s="44">
        <v>68069.119999999995</v>
      </c>
      <c r="K291" t="s">
        <v>198</v>
      </c>
    </row>
    <row r="292" spans="1:11" ht="16.95" hidden="1" customHeight="1" x14ac:dyDescent="0.3">
      <c r="A292" s="42" t="s">
        <v>238</v>
      </c>
      <c r="B292" s="42" t="s">
        <v>239</v>
      </c>
      <c r="C292" s="42" t="s">
        <v>210</v>
      </c>
      <c r="D292" s="42" t="s">
        <v>278</v>
      </c>
      <c r="E292" s="42" t="s">
        <v>241</v>
      </c>
      <c r="F292" s="42" t="s">
        <v>242</v>
      </c>
      <c r="G292" s="44">
        <v>53960.5</v>
      </c>
      <c r="H292" s="44">
        <v>59722.99</v>
      </c>
      <c r="I292" s="44">
        <v>60911.44</v>
      </c>
      <c r="J292" s="44">
        <v>64271.67</v>
      </c>
      <c r="K292" s="44">
        <v>80241.429999999993</v>
      </c>
    </row>
    <row r="293" spans="1:11" ht="16.95" hidden="1" customHeight="1" x14ac:dyDescent="0.3">
      <c r="A293" s="42" t="s">
        <v>238</v>
      </c>
      <c r="B293" s="42" t="s">
        <v>239</v>
      </c>
      <c r="C293" s="42" t="s">
        <v>210</v>
      </c>
      <c r="D293" s="42" t="s">
        <v>278</v>
      </c>
      <c r="E293" s="42" t="s">
        <v>241</v>
      </c>
      <c r="F293" s="42" t="s">
        <v>243</v>
      </c>
      <c r="G293" s="44">
        <v>53462.36</v>
      </c>
      <c r="H293" s="44">
        <v>58968.19</v>
      </c>
      <c r="I293" s="44">
        <v>60813.04</v>
      </c>
      <c r="J293" s="44">
        <v>60299.72</v>
      </c>
      <c r="K293" s="44">
        <v>84070.57</v>
      </c>
    </row>
    <row r="294" spans="1:11" ht="16.95" hidden="1" customHeight="1" x14ac:dyDescent="0.3">
      <c r="A294" s="42" t="s">
        <v>238</v>
      </c>
      <c r="B294" s="42" t="s">
        <v>239</v>
      </c>
      <c r="C294" s="42" t="s">
        <v>210</v>
      </c>
      <c r="D294" s="42" t="s">
        <v>278</v>
      </c>
      <c r="E294" s="42" t="s">
        <v>241</v>
      </c>
      <c r="F294" s="42" t="s">
        <v>244</v>
      </c>
      <c r="G294" s="44">
        <v>58709.86</v>
      </c>
      <c r="H294" s="44">
        <v>59707.93</v>
      </c>
      <c r="I294" s="43">
        <v>61465</v>
      </c>
      <c r="J294" s="44">
        <v>62335.67</v>
      </c>
      <c r="K294" s="44">
        <v>85145.47</v>
      </c>
    </row>
    <row r="295" spans="1:11" ht="16.95" hidden="1" customHeight="1" x14ac:dyDescent="0.3">
      <c r="A295" s="42" t="s">
        <v>238</v>
      </c>
      <c r="B295" s="42" t="s">
        <v>239</v>
      </c>
      <c r="C295" s="42" t="s">
        <v>210</v>
      </c>
      <c r="D295" s="42" t="s">
        <v>278</v>
      </c>
      <c r="E295" s="42" t="s">
        <v>241</v>
      </c>
      <c r="F295" s="42" t="s">
        <v>245</v>
      </c>
      <c r="G295" s="44">
        <v>55375.54</v>
      </c>
      <c r="H295" s="44">
        <v>59373.25</v>
      </c>
      <c r="I295" s="44">
        <v>63554.87</v>
      </c>
      <c r="J295" s="44">
        <v>66512.81</v>
      </c>
      <c r="K295" t="s">
        <v>198</v>
      </c>
    </row>
    <row r="296" spans="1:11" ht="16.95" hidden="1" customHeight="1" x14ac:dyDescent="0.3">
      <c r="A296" s="42" t="s">
        <v>238</v>
      </c>
      <c r="B296" s="42" t="s">
        <v>239</v>
      </c>
      <c r="C296" s="42" t="s">
        <v>210</v>
      </c>
      <c r="D296" s="42" t="s">
        <v>278</v>
      </c>
      <c r="E296" s="42" t="s">
        <v>241</v>
      </c>
      <c r="F296" s="42" t="s">
        <v>246</v>
      </c>
      <c r="G296" s="44">
        <v>55434.46</v>
      </c>
      <c r="H296" s="44">
        <v>61332.65</v>
      </c>
      <c r="I296" s="44">
        <v>60478.82</v>
      </c>
      <c r="J296" s="44">
        <v>65514.06</v>
      </c>
      <c r="K296" t="s">
        <v>198</v>
      </c>
    </row>
    <row r="297" spans="1:11" ht="16.95" hidden="1" customHeight="1" x14ac:dyDescent="0.3">
      <c r="A297" s="42" t="s">
        <v>238</v>
      </c>
      <c r="B297" s="42" t="s">
        <v>239</v>
      </c>
      <c r="C297" s="42" t="s">
        <v>210</v>
      </c>
      <c r="D297" s="42" t="s">
        <v>278</v>
      </c>
      <c r="E297" s="42" t="s">
        <v>241</v>
      </c>
      <c r="F297" s="42" t="s">
        <v>247</v>
      </c>
      <c r="G297" s="44">
        <v>53938.5</v>
      </c>
      <c r="H297" s="44">
        <v>61702.22</v>
      </c>
      <c r="I297" s="44">
        <v>58303.38</v>
      </c>
      <c r="J297" s="44">
        <v>64183.8</v>
      </c>
      <c r="K297" t="s">
        <v>198</v>
      </c>
    </row>
    <row r="298" spans="1:11" ht="16.95" hidden="1" customHeight="1" x14ac:dyDescent="0.3">
      <c r="A298" s="42" t="s">
        <v>238</v>
      </c>
      <c r="B298" s="42" t="s">
        <v>239</v>
      </c>
      <c r="C298" s="42" t="s">
        <v>210</v>
      </c>
      <c r="D298" s="42" t="s">
        <v>278</v>
      </c>
      <c r="E298" s="42" t="s">
        <v>241</v>
      </c>
      <c r="F298" s="42" t="s">
        <v>248</v>
      </c>
      <c r="G298" s="44">
        <v>54805.06</v>
      </c>
      <c r="H298" s="43">
        <v>59627</v>
      </c>
      <c r="I298" s="44">
        <v>63886.15</v>
      </c>
      <c r="J298" s="44">
        <v>60736.53</v>
      </c>
      <c r="K298" t="s">
        <v>198</v>
      </c>
    </row>
    <row r="299" spans="1:11" ht="16.95" hidden="1" customHeight="1" x14ac:dyDescent="0.3">
      <c r="A299" s="42" t="s">
        <v>238</v>
      </c>
      <c r="B299" s="42" t="s">
        <v>239</v>
      </c>
      <c r="C299" s="42" t="s">
        <v>210</v>
      </c>
      <c r="D299" s="42" t="s">
        <v>278</v>
      </c>
      <c r="E299" s="42" t="s">
        <v>241</v>
      </c>
      <c r="F299" s="42" t="s">
        <v>249</v>
      </c>
      <c r="G299" s="44">
        <v>56707.78</v>
      </c>
      <c r="H299" s="44">
        <v>61048.92</v>
      </c>
      <c r="I299" s="44">
        <v>59522.12</v>
      </c>
      <c r="J299" s="44">
        <v>62163.14</v>
      </c>
      <c r="K299" t="s">
        <v>198</v>
      </c>
    </row>
    <row r="300" spans="1:11" ht="16.95" hidden="1" customHeight="1" x14ac:dyDescent="0.3">
      <c r="A300" s="42" t="s">
        <v>238</v>
      </c>
      <c r="B300" s="42" t="s">
        <v>239</v>
      </c>
      <c r="C300" s="42" t="s">
        <v>210</v>
      </c>
      <c r="D300" s="42" t="s">
        <v>278</v>
      </c>
      <c r="E300" s="42" t="s">
        <v>241</v>
      </c>
      <c r="F300" s="42" t="s">
        <v>250</v>
      </c>
      <c r="G300" s="44">
        <v>55056.59</v>
      </c>
      <c r="H300" s="44">
        <v>61787.73</v>
      </c>
      <c r="I300" s="44">
        <v>59864.18</v>
      </c>
      <c r="J300" s="44">
        <v>61089.96</v>
      </c>
      <c r="K300" t="s">
        <v>198</v>
      </c>
    </row>
    <row r="301" spans="1:11" ht="16.95" hidden="1" customHeight="1" x14ac:dyDescent="0.3">
      <c r="A301" s="42" t="s">
        <v>238</v>
      </c>
      <c r="B301" s="42" t="s">
        <v>239</v>
      </c>
      <c r="C301" s="42" t="s">
        <v>210</v>
      </c>
      <c r="D301" s="42" t="s">
        <v>278</v>
      </c>
      <c r="E301" s="42" t="s">
        <v>241</v>
      </c>
      <c r="F301" s="42" t="s">
        <v>251</v>
      </c>
      <c r="G301" s="44">
        <v>59045.98</v>
      </c>
      <c r="H301" s="44">
        <v>62893.81</v>
      </c>
      <c r="I301" s="44">
        <v>65963.429999999993</v>
      </c>
      <c r="J301" s="44">
        <v>60425.02</v>
      </c>
      <c r="K301" t="s">
        <v>198</v>
      </c>
    </row>
    <row r="302" spans="1:11" ht="16.95" hidden="1" customHeight="1" x14ac:dyDescent="0.3">
      <c r="A302" s="42" t="s">
        <v>238</v>
      </c>
      <c r="B302" s="42" t="s">
        <v>239</v>
      </c>
      <c r="C302" s="42" t="s">
        <v>210</v>
      </c>
      <c r="D302" s="42" t="s">
        <v>278</v>
      </c>
      <c r="E302" s="42" t="s">
        <v>241</v>
      </c>
      <c r="F302" s="42" t="s">
        <v>252</v>
      </c>
      <c r="G302" s="44">
        <v>57865.66</v>
      </c>
      <c r="H302" s="44">
        <v>62582.83</v>
      </c>
      <c r="I302" s="43">
        <v>59992</v>
      </c>
      <c r="J302" s="44">
        <v>57076.84</v>
      </c>
      <c r="K302" t="s">
        <v>198</v>
      </c>
    </row>
    <row r="303" spans="1:11" ht="16.95" hidden="1" customHeight="1" x14ac:dyDescent="0.3">
      <c r="A303" s="42" t="s">
        <v>238</v>
      </c>
      <c r="B303" s="42" t="s">
        <v>239</v>
      </c>
      <c r="C303" s="42" t="s">
        <v>210</v>
      </c>
      <c r="D303" s="42" t="s">
        <v>278</v>
      </c>
      <c r="E303" s="42" t="s">
        <v>241</v>
      </c>
      <c r="F303" s="42" t="s">
        <v>253</v>
      </c>
      <c r="G303" s="44">
        <v>56110.65</v>
      </c>
      <c r="H303" s="44">
        <v>63778.9</v>
      </c>
      <c r="I303" s="44">
        <v>62383.93</v>
      </c>
      <c r="J303" s="44">
        <v>64303.93</v>
      </c>
      <c r="K303" t="s">
        <v>198</v>
      </c>
    </row>
    <row r="304" spans="1:11" ht="16.95" hidden="1" customHeight="1" x14ac:dyDescent="0.3">
      <c r="A304" s="42" t="s">
        <v>238</v>
      </c>
      <c r="B304" s="42" t="s">
        <v>239</v>
      </c>
      <c r="C304" s="42" t="s">
        <v>210</v>
      </c>
      <c r="D304" s="42" t="s">
        <v>279</v>
      </c>
      <c r="E304" s="42" t="s">
        <v>241</v>
      </c>
      <c r="F304" s="42" t="s">
        <v>242</v>
      </c>
      <c r="G304" s="44">
        <v>34353.279999999999</v>
      </c>
      <c r="H304" s="44">
        <v>32724.67</v>
      </c>
      <c r="I304" s="44">
        <v>34912.1</v>
      </c>
      <c r="J304" s="44">
        <v>34558.44</v>
      </c>
      <c r="K304" s="44">
        <v>49320.93</v>
      </c>
    </row>
    <row r="305" spans="1:11" ht="16.95" hidden="1" customHeight="1" x14ac:dyDescent="0.3">
      <c r="A305" s="42" t="s">
        <v>238</v>
      </c>
      <c r="B305" s="42" t="s">
        <v>239</v>
      </c>
      <c r="C305" s="42" t="s">
        <v>210</v>
      </c>
      <c r="D305" s="42" t="s">
        <v>279</v>
      </c>
      <c r="E305" s="42" t="s">
        <v>241</v>
      </c>
      <c r="F305" s="42" t="s">
        <v>243</v>
      </c>
      <c r="G305" s="44">
        <v>34827.33</v>
      </c>
      <c r="H305" s="44">
        <v>34093.279999999999</v>
      </c>
      <c r="I305" s="44">
        <v>36156.25</v>
      </c>
      <c r="J305" s="44">
        <v>41206.04</v>
      </c>
      <c r="K305" s="44">
        <v>56808.9</v>
      </c>
    </row>
    <row r="306" spans="1:11" ht="16.95" hidden="1" customHeight="1" x14ac:dyDescent="0.3">
      <c r="A306" s="42" t="s">
        <v>238</v>
      </c>
      <c r="B306" s="42" t="s">
        <v>239</v>
      </c>
      <c r="C306" s="42" t="s">
        <v>210</v>
      </c>
      <c r="D306" s="42" t="s">
        <v>279</v>
      </c>
      <c r="E306" s="42" t="s">
        <v>241</v>
      </c>
      <c r="F306" s="42" t="s">
        <v>244</v>
      </c>
      <c r="G306" s="44">
        <v>34585.1</v>
      </c>
      <c r="H306" s="44">
        <v>35806.07</v>
      </c>
      <c r="I306" s="44">
        <v>34983.22</v>
      </c>
      <c r="J306" s="44">
        <v>43078.84</v>
      </c>
      <c r="K306" s="44">
        <v>55073.06</v>
      </c>
    </row>
    <row r="307" spans="1:11" ht="16.95" hidden="1" customHeight="1" x14ac:dyDescent="0.3">
      <c r="A307" s="42" t="s">
        <v>238</v>
      </c>
      <c r="B307" s="42" t="s">
        <v>239</v>
      </c>
      <c r="C307" s="42" t="s">
        <v>210</v>
      </c>
      <c r="D307" s="42" t="s">
        <v>279</v>
      </c>
      <c r="E307" s="42" t="s">
        <v>241</v>
      </c>
      <c r="F307" s="42" t="s">
        <v>245</v>
      </c>
      <c r="G307" s="44">
        <v>35369.11</v>
      </c>
      <c r="H307" s="44">
        <v>36627.56</v>
      </c>
      <c r="I307" s="44">
        <v>38466.54</v>
      </c>
      <c r="J307" s="44">
        <v>41034.769999999997</v>
      </c>
      <c r="K307" t="s">
        <v>198</v>
      </c>
    </row>
    <row r="308" spans="1:11" ht="16.95" hidden="1" customHeight="1" x14ac:dyDescent="0.3">
      <c r="A308" s="42" t="s">
        <v>238</v>
      </c>
      <c r="B308" s="42" t="s">
        <v>239</v>
      </c>
      <c r="C308" s="42" t="s">
        <v>210</v>
      </c>
      <c r="D308" s="42" t="s">
        <v>279</v>
      </c>
      <c r="E308" s="42" t="s">
        <v>241</v>
      </c>
      <c r="F308" s="42" t="s">
        <v>246</v>
      </c>
      <c r="G308" s="44">
        <v>34052.53</v>
      </c>
      <c r="H308" s="44">
        <v>38879.269999999997</v>
      </c>
      <c r="I308" s="44">
        <v>37239.74</v>
      </c>
      <c r="J308" s="44">
        <v>40222.82</v>
      </c>
      <c r="K308" t="s">
        <v>198</v>
      </c>
    </row>
    <row r="309" spans="1:11" ht="16.95" hidden="1" customHeight="1" x14ac:dyDescent="0.3">
      <c r="A309" s="42" t="s">
        <v>238</v>
      </c>
      <c r="B309" s="42" t="s">
        <v>239</v>
      </c>
      <c r="C309" s="42" t="s">
        <v>210</v>
      </c>
      <c r="D309" s="42" t="s">
        <v>279</v>
      </c>
      <c r="E309" s="42" t="s">
        <v>241</v>
      </c>
      <c r="F309" s="42" t="s">
        <v>247</v>
      </c>
      <c r="G309" s="44">
        <v>30586.82</v>
      </c>
      <c r="H309" s="44">
        <v>37274.99</v>
      </c>
      <c r="I309" s="44">
        <v>34825.35</v>
      </c>
      <c r="J309" s="44">
        <v>37921.26</v>
      </c>
      <c r="K309" t="s">
        <v>198</v>
      </c>
    </row>
    <row r="310" spans="1:11" ht="16.95" hidden="1" customHeight="1" x14ac:dyDescent="0.3">
      <c r="A310" s="42" t="s">
        <v>238</v>
      </c>
      <c r="B310" s="42" t="s">
        <v>239</v>
      </c>
      <c r="C310" s="42" t="s">
        <v>210</v>
      </c>
      <c r="D310" s="42" t="s">
        <v>279</v>
      </c>
      <c r="E310" s="42" t="s">
        <v>241</v>
      </c>
      <c r="F310" s="42" t="s">
        <v>248</v>
      </c>
      <c r="G310" s="44">
        <v>29716.26</v>
      </c>
      <c r="H310" s="44">
        <v>36308.870000000003</v>
      </c>
      <c r="I310" s="44">
        <v>36692.410000000003</v>
      </c>
      <c r="J310" s="44">
        <v>37422.29</v>
      </c>
      <c r="K310" t="s">
        <v>198</v>
      </c>
    </row>
    <row r="311" spans="1:11" ht="16.95" hidden="1" customHeight="1" x14ac:dyDescent="0.3">
      <c r="A311" s="42" t="s">
        <v>238</v>
      </c>
      <c r="B311" s="42" t="s">
        <v>239</v>
      </c>
      <c r="C311" s="42" t="s">
        <v>210</v>
      </c>
      <c r="D311" s="42" t="s">
        <v>279</v>
      </c>
      <c r="E311" s="42" t="s">
        <v>241</v>
      </c>
      <c r="F311" s="42" t="s">
        <v>249</v>
      </c>
      <c r="G311" s="44">
        <v>30805.51</v>
      </c>
      <c r="H311" s="44">
        <v>37597.61</v>
      </c>
      <c r="I311" s="44">
        <v>38045.94</v>
      </c>
      <c r="J311" s="44">
        <v>36363.339999999997</v>
      </c>
      <c r="K311" t="s">
        <v>198</v>
      </c>
    </row>
    <row r="312" spans="1:11" ht="16.95" hidden="1" customHeight="1" x14ac:dyDescent="0.3">
      <c r="A312" s="42" t="s">
        <v>238</v>
      </c>
      <c r="B312" s="42" t="s">
        <v>239</v>
      </c>
      <c r="C312" s="42" t="s">
        <v>210</v>
      </c>
      <c r="D312" s="42" t="s">
        <v>279</v>
      </c>
      <c r="E312" s="42" t="s">
        <v>241</v>
      </c>
      <c r="F312" s="42" t="s">
        <v>250</v>
      </c>
      <c r="G312" s="44">
        <v>35505.61</v>
      </c>
      <c r="H312" s="44">
        <v>37627.980000000003</v>
      </c>
      <c r="I312" s="44">
        <v>36253.870000000003</v>
      </c>
      <c r="J312" s="44">
        <v>37555.96</v>
      </c>
      <c r="K312" t="s">
        <v>198</v>
      </c>
    </row>
    <row r="313" spans="1:11" ht="16.95" hidden="1" customHeight="1" x14ac:dyDescent="0.3">
      <c r="A313" s="42" t="s">
        <v>238</v>
      </c>
      <c r="B313" s="42" t="s">
        <v>239</v>
      </c>
      <c r="C313" s="42" t="s">
        <v>210</v>
      </c>
      <c r="D313" s="42" t="s">
        <v>279</v>
      </c>
      <c r="E313" s="42" t="s">
        <v>241</v>
      </c>
      <c r="F313" s="42" t="s">
        <v>251</v>
      </c>
      <c r="G313" s="44">
        <v>36611.4</v>
      </c>
      <c r="H313" s="44">
        <v>36047.22</v>
      </c>
      <c r="I313" s="44">
        <v>37391.75</v>
      </c>
      <c r="J313" s="44">
        <v>36585.68</v>
      </c>
      <c r="K313" t="s">
        <v>198</v>
      </c>
    </row>
    <row r="314" spans="1:11" ht="16.95" hidden="1" customHeight="1" x14ac:dyDescent="0.3">
      <c r="A314" s="42" t="s">
        <v>238</v>
      </c>
      <c r="B314" s="42" t="s">
        <v>239</v>
      </c>
      <c r="C314" s="42" t="s">
        <v>210</v>
      </c>
      <c r="D314" s="42" t="s">
        <v>279</v>
      </c>
      <c r="E314" s="42" t="s">
        <v>241</v>
      </c>
      <c r="F314" s="42" t="s">
        <v>252</v>
      </c>
      <c r="G314" s="44">
        <v>35506.71</v>
      </c>
      <c r="H314" s="44">
        <v>36105.089999999997</v>
      </c>
      <c r="I314" s="44">
        <v>32425.38</v>
      </c>
      <c r="J314" s="44">
        <v>39776.82</v>
      </c>
      <c r="K314" t="s">
        <v>198</v>
      </c>
    </row>
    <row r="315" spans="1:11" ht="16.95" hidden="1" customHeight="1" x14ac:dyDescent="0.3">
      <c r="A315" s="42" t="s">
        <v>238</v>
      </c>
      <c r="B315" s="42" t="s">
        <v>239</v>
      </c>
      <c r="C315" s="42" t="s">
        <v>210</v>
      </c>
      <c r="D315" s="42" t="s">
        <v>279</v>
      </c>
      <c r="E315" s="42" t="s">
        <v>241</v>
      </c>
      <c r="F315" s="42" t="s">
        <v>253</v>
      </c>
      <c r="G315" s="44">
        <v>33932.78</v>
      </c>
      <c r="H315" s="44">
        <v>33044.199999999997</v>
      </c>
      <c r="I315" s="44">
        <v>31451.78</v>
      </c>
      <c r="J315" s="44">
        <v>40274.629999999997</v>
      </c>
      <c r="K315" t="s">
        <v>198</v>
      </c>
    </row>
    <row r="316" spans="1:11" ht="16.95" hidden="1" customHeight="1" x14ac:dyDescent="0.3">
      <c r="A316" s="42" t="s">
        <v>238</v>
      </c>
      <c r="B316" s="42" t="s">
        <v>239</v>
      </c>
      <c r="C316" s="42" t="s">
        <v>210</v>
      </c>
      <c r="D316" s="42" t="s">
        <v>280</v>
      </c>
      <c r="E316" s="42" t="s">
        <v>241</v>
      </c>
      <c r="F316" s="42" t="s">
        <v>242</v>
      </c>
      <c r="G316" s="44">
        <v>141338.53</v>
      </c>
      <c r="H316" t="s">
        <v>198</v>
      </c>
      <c r="I316" t="s">
        <v>198</v>
      </c>
      <c r="J316" t="s">
        <v>198</v>
      </c>
      <c r="K316" t="s">
        <v>198</v>
      </c>
    </row>
    <row r="317" spans="1:11" ht="16.95" hidden="1" customHeight="1" x14ac:dyDescent="0.3">
      <c r="A317" s="42" t="s">
        <v>238</v>
      </c>
      <c r="B317" s="42" t="s">
        <v>239</v>
      </c>
      <c r="C317" s="42" t="s">
        <v>210</v>
      </c>
      <c r="D317" s="42" t="s">
        <v>280</v>
      </c>
      <c r="E317" s="42" t="s">
        <v>241</v>
      </c>
      <c r="F317" s="42" t="s">
        <v>243</v>
      </c>
      <c r="G317" s="44">
        <v>141504.06</v>
      </c>
      <c r="H317" t="s">
        <v>198</v>
      </c>
      <c r="I317" t="s">
        <v>198</v>
      </c>
      <c r="J317" t="s">
        <v>198</v>
      </c>
      <c r="K317" t="s">
        <v>198</v>
      </c>
    </row>
    <row r="318" spans="1:11" ht="16.95" hidden="1" customHeight="1" x14ac:dyDescent="0.3">
      <c r="A318" s="42" t="s">
        <v>238</v>
      </c>
      <c r="B318" s="42" t="s">
        <v>239</v>
      </c>
      <c r="C318" s="42" t="s">
        <v>210</v>
      </c>
      <c r="D318" s="42" t="s">
        <v>280</v>
      </c>
      <c r="E318" s="42" t="s">
        <v>241</v>
      </c>
      <c r="F318" s="42" t="s">
        <v>244</v>
      </c>
      <c r="G318" s="44">
        <v>140862.60999999999</v>
      </c>
      <c r="H318" t="s">
        <v>198</v>
      </c>
      <c r="I318" t="s">
        <v>198</v>
      </c>
      <c r="J318" t="s">
        <v>198</v>
      </c>
      <c r="K318" t="s">
        <v>198</v>
      </c>
    </row>
    <row r="319" spans="1:11" ht="16.95" hidden="1" customHeight="1" x14ac:dyDescent="0.3">
      <c r="A319" s="42" t="s">
        <v>238</v>
      </c>
      <c r="B319" s="42" t="s">
        <v>239</v>
      </c>
      <c r="C319" s="42" t="s">
        <v>210</v>
      </c>
      <c r="D319" s="42" t="s">
        <v>280</v>
      </c>
      <c r="E319" s="42" t="s">
        <v>241</v>
      </c>
      <c r="F319" s="42" t="s">
        <v>245</v>
      </c>
      <c r="G319" s="44">
        <v>138241.46</v>
      </c>
      <c r="H319" t="s">
        <v>198</v>
      </c>
      <c r="I319" t="s">
        <v>198</v>
      </c>
      <c r="J319" t="s">
        <v>198</v>
      </c>
      <c r="K319" t="s">
        <v>198</v>
      </c>
    </row>
    <row r="320" spans="1:11" ht="16.95" hidden="1" customHeight="1" x14ac:dyDescent="0.3">
      <c r="A320" s="42" t="s">
        <v>238</v>
      </c>
      <c r="B320" s="42" t="s">
        <v>239</v>
      </c>
      <c r="C320" s="42" t="s">
        <v>210</v>
      </c>
      <c r="D320" s="42" t="s">
        <v>280</v>
      </c>
      <c r="E320" s="42" t="s">
        <v>241</v>
      </c>
      <c r="F320" s="42" t="s">
        <v>246</v>
      </c>
      <c r="G320" s="44">
        <v>135748.76999999999</v>
      </c>
      <c r="H320" t="s">
        <v>198</v>
      </c>
      <c r="I320" t="s">
        <v>198</v>
      </c>
      <c r="J320" t="s">
        <v>198</v>
      </c>
      <c r="K320" t="s">
        <v>198</v>
      </c>
    </row>
    <row r="321" spans="1:11" ht="16.95" hidden="1" customHeight="1" x14ac:dyDescent="0.3">
      <c r="A321" s="42" t="s">
        <v>238</v>
      </c>
      <c r="B321" s="42" t="s">
        <v>239</v>
      </c>
      <c r="C321" s="42" t="s">
        <v>210</v>
      </c>
      <c r="D321" s="42" t="s">
        <v>280</v>
      </c>
      <c r="E321" s="42" t="s">
        <v>241</v>
      </c>
      <c r="F321" s="42" t="s">
        <v>247</v>
      </c>
      <c r="G321" s="44">
        <v>138835.35999999999</v>
      </c>
      <c r="H321" t="s">
        <v>198</v>
      </c>
      <c r="I321" t="s">
        <v>198</v>
      </c>
      <c r="J321" t="s">
        <v>198</v>
      </c>
      <c r="K321" t="s">
        <v>198</v>
      </c>
    </row>
    <row r="322" spans="1:11" ht="16.95" hidden="1" customHeight="1" x14ac:dyDescent="0.3">
      <c r="A322" s="42" t="s">
        <v>238</v>
      </c>
      <c r="B322" s="42" t="s">
        <v>239</v>
      </c>
      <c r="C322" s="42" t="s">
        <v>210</v>
      </c>
      <c r="D322" s="42" t="s">
        <v>280</v>
      </c>
      <c r="E322" s="42" t="s">
        <v>241</v>
      </c>
      <c r="F322" s="42" t="s">
        <v>248</v>
      </c>
      <c r="G322" s="44">
        <v>140057.79999999999</v>
      </c>
      <c r="H322" t="s">
        <v>198</v>
      </c>
      <c r="I322" t="s">
        <v>198</v>
      </c>
      <c r="J322" t="s">
        <v>198</v>
      </c>
      <c r="K322" t="s">
        <v>198</v>
      </c>
    </row>
    <row r="323" spans="1:11" ht="16.95" hidden="1" customHeight="1" x14ac:dyDescent="0.3">
      <c r="A323" s="42" t="s">
        <v>238</v>
      </c>
      <c r="B323" s="42" t="s">
        <v>239</v>
      </c>
      <c r="C323" s="42" t="s">
        <v>210</v>
      </c>
      <c r="D323" s="42" t="s">
        <v>280</v>
      </c>
      <c r="E323" s="42" t="s">
        <v>241</v>
      </c>
      <c r="F323" s="42" t="s">
        <v>249</v>
      </c>
      <c r="G323" s="44">
        <v>140692.31</v>
      </c>
      <c r="H323" t="s">
        <v>198</v>
      </c>
      <c r="I323" t="s">
        <v>198</v>
      </c>
      <c r="J323" t="s">
        <v>198</v>
      </c>
      <c r="K323" t="s">
        <v>198</v>
      </c>
    </row>
    <row r="324" spans="1:11" ht="16.95" hidden="1" customHeight="1" x14ac:dyDescent="0.3">
      <c r="A324" s="42" t="s">
        <v>238</v>
      </c>
      <c r="B324" s="42" t="s">
        <v>239</v>
      </c>
      <c r="C324" s="42" t="s">
        <v>210</v>
      </c>
      <c r="D324" s="42" t="s">
        <v>280</v>
      </c>
      <c r="E324" s="42" t="s">
        <v>241</v>
      </c>
      <c r="F324" s="42" t="s">
        <v>250</v>
      </c>
      <c r="G324" s="44">
        <v>141102.44</v>
      </c>
      <c r="H324" t="s">
        <v>198</v>
      </c>
      <c r="I324" t="s">
        <v>198</v>
      </c>
      <c r="J324" t="s">
        <v>198</v>
      </c>
      <c r="K324" t="s">
        <v>198</v>
      </c>
    </row>
    <row r="325" spans="1:11" ht="16.95" hidden="1" customHeight="1" x14ac:dyDescent="0.3">
      <c r="A325" s="42" t="s">
        <v>238</v>
      </c>
      <c r="B325" s="42" t="s">
        <v>239</v>
      </c>
      <c r="C325" s="42" t="s">
        <v>210</v>
      </c>
      <c r="D325" s="42" t="s">
        <v>280</v>
      </c>
      <c r="E325" s="42" t="s">
        <v>241</v>
      </c>
      <c r="F325" s="42" t="s">
        <v>251</v>
      </c>
      <c r="G325" s="44">
        <v>140455.29</v>
      </c>
      <c r="H325" t="s">
        <v>198</v>
      </c>
      <c r="I325" t="s">
        <v>198</v>
      </c>
      <c r="J325" t="s">
        <v>198</v>
      </c>
      <c r="K325" t="s">
        <v>198</v>
      </c>
    </row>
    <row r="326" spans="1:11" ht="16.95" hidden="1" customHeight="1" x14ac:dyDescent="0.3">
      <c r="A326" s="42" t="s">
        <v>238</v>
      </c>
      <c r="B326" s="42" t="s">
        <v>239</v>
      </c>
      <c r="C326" s="42" t="s">
        <v>210</v>
      </c>
      <c r="D326" s="42" t="s">
        <v>280</v>
      </c>
      <c r="E326" s="42" t="s">
        <v>241</v>
      </c>
      <c r="F326" s="42" t="s">
        <v>252</v>
      </c>
      <c r="G326" s="44">
        <v>139836.01999999999</v>
      </c>
      <c r="H326" t="s">
        <v>198</v>
      </c>
      <c r="I326" t="s">
        <v>198</v>
      </c>
      <c r="J326" t="s">
        <v>198</v>
      </c>
      <c r="K326" t="s">
        <v>198</v>
      </c>
    </row>
    <row r="327" spans="1:11" ht="16.95" hidden="1" customHeight="1" x14ac:dyDescent="0.3">
      <c r="A327" s="42" t="s">
        <v>238</v>
      </c>
      <c r="B327" s="42" t="s">
        <v>239</v>
      </c>
      <c r="C327" s="42" t="s">
        <v>210</v>
      </c>
      <c r="D327" s="42" t="s">
        <v>280</v>
      </c>
      <c r="E327" s="42" t="s">
        <v>241</v>
      </c>
      <c r="F327" s="42" t="s">
        <v>253</v>
      </c>
      <c r="G327" s="44">
        <v>140825.9</v>
      </c>
      <c r="H327" t="s">
        <v>198</v>
      </c>
      <c r="I327" t="s">
        <v>198</v>
      </c>
      <c r="J327" t="s">
        <v>198</v>
      </c>
      <c r="K327" t="s">
        <v>198</v>
      </c>
    </row>
    <row r="328" spans="1:11" ht="16.95" hidden="1" customHeight="1" x14ac:dyDescent="0.3">
      <c r="A328" s="42" t="s">
        <v>238</v>
      </c>
      <c r="B328" s="42" t="s">
        <v>239</v>
      </c>
      <c r="C328" s="42" t="s">
        <v>210</v>
      </c>
      <c r="D328" s="42" t="s">
        <v>281</v>
      </c>
      <c r="E328" s="42" t="s">
        <v>241</v>
      </c>
      <c r="F328" s="42" t="s">
        <v>242</v>
      </c>
      <c r="G328" s="44">
        <v>33670.550000000003</v>
      </c>
      <c r="H328" s="44">
        <v>41210.67</v>
      </c>
      <c r="I328" s="44">
        <v>47057.54</v>
      </c>
      <c r="J328" s="44">
        <v>31934.83</v>
      </c>
      <c r="K328" s="44">
        <v>40820.92</v>
      </c>
    </row>
    <row r="329" spans="1:11" ht="16.95" hidden="1" customHeight="1" x14ac:dyDescent="0.3">
      <c r="A329" s="42" t="s">
        <v>238</v>
      </c>
      <c r="B329" s="42" t="s">
        <v>239</v>
      </c>
      <c r="C329" s="42" t="s">
        <v>210</v>
      </c>
      <c r="D329" s="42" t="s">
        <v>281</v>
      </c>
      <c r="E329" s="42" t="s">
        <v>241</v>
      </c>
      <c r="F329" s="42" t="s">
        <v>243</v>
      </c>
      <c r="G329" s="44">
        <v>33199.599999999999</v>
      </c>
      <c r="H329" s="44">
        <v>43109.85</v>
      </c>
      <c r="I329" s="44">
        <v>33490.6</v>
      </c>
      <c r="J329" s="44">
        <v>33601.08</v>
      </c>
      <c r="K329" s="44">
        <v>42598.78</v>
      </c>
    </row>
    <row r="330" spans="1:11" ht="16.95" hidden="1" customHeight="1" x14ac:dyDescent="0.3">
      <c r="A330" s="42" t="s">
        <v>238</v>
      </c>
      <c r="B330" s="42" t="s">
        <v>239</v>
      </c>
      <c r="C330" s="42" t="s">
        <v>210</v>
      </c>
      <c r="D330" s="42" t="s">
        <v>281</v>
      </c>
      <c r="E330" s="42" t="s">
        <v>241</v>
      </c>
      <c r="F330" s="42" t="s">
        <v>244</v>
      </c>
      <c r="G330" s="44">
        <v>32799.96</v>
      </c>
      <c r="H330" s="44">
        <v>39581.19</v>
      </c>
      <c r="I330" s="44">
        <v>34583.46</v>
      </c>
      <c r="J330" s="44">
        <v>36149.94</v>
      </c>
      <c r="K330" s="44">
        <v>43594.6</v>
      </c>
    </row>
    <row r="331" spans="1:11" ht="16.95" hidden="1" customHeight="1" x14ac:dyDescent="0.3">
      <c r="A331" s="42" t="s">
        <v>238</v>
      </c>
      <c r="B331" s="42" t="s">
        <v>239</v>
      </c>
      <c r="C331" s="42" t="s">
        <v>210</v>
      </c>
      <c r="D331" s="42" t="s">
        <v>281</v>
      </c>
      <c r="E331" s="42" t="s">
        <v>241</v>
      </c>
      <c r="F331" s="42" t="s">
        <v>245</v>
      </c>
      <c r="G331" s="44">
        <v>34548.480000000003</v>
      </c>
      <c r="H331" s="44">
        <v>40763.71</v>
      </c>
      <c r="I331" s="44">
        <v>39602.51</v>
      </c>
      <c r="J331" s="44">
        <v>35377.97</v>
      </c>
      <c r="K331" t="s">
        <v>198</v>
      </c>
    </row>
    <row r="332" spans="1:11" ht="16.95" hidden="1" customHeight="1" x14ac:dyDescent="0.3">
      <c r="A332" s="42" t="s">
        <v>238</v>
      </c>
      <c r="B332" s="42" t="s">
        <v>239</v>
      </c>
      <c r="C332" s="42" t="s">
        <v>210</v>
      </c>
      <c r="D332" s="42" t="s">
        <v>281</v>
      </c>
      <c r="E332" s="42" t="s">
        <v>241</v>
      </c>
      <c r="F332" s="42" t="s">
        <v>246</v>
      </c>
      <c r="G332" s="44">
        <v>32698.71</v>
      </c>
      <c r="H332" s="44">
        <v>40447.730000000003</v>
      </c>
      <c r="I332" s="44">
        <v>37685.43</v>
      </c>
      <c r="J332" s="44">
        <v>32901.01</v>
      </c>
      <c r="K332" t="s">
        <v>198</v>
      </c>
    </row>
    <row r="333" spans="1:11" ht="16.95" hidden="1" customHeight="1" x14ac:dyDescent="0.3">
      <c r="A333" s="42" t="s">
        <v>238</v>
      </c>
      <c r="B333" s="42" t="s">
        <v>239</v>
      </c>
      <c r="C333" s="42" t="s">
        <v>210</v>
      </c>
      <c r="D333" s="42" t="s">
        <v>281</v>
      </c>
      <c r="E333" s="42" t="s">
        <v>241</v>
      </c>
      <c r="F333" s="42" t="s">
        <v>247</v>
      </c>
      <c r="G333" s="44">
        <v>32064.52</v>
      </c>
      <c r="H333" s="44">
        <v>37980.99</v>
      </c>
      <c r="I333" s="44">
        <v>36264.47</v>
      </c>
      <c r="J333" s="44">
        <v>32164.57</v>
      </c>
      <c r="K333" t="s">
        <v>198</v>
      </c>
    </row>
    <row r="334" spans="1:11" ht="16.95" hidden="1" customHeight="1" x14ac:dyDescent="0.3">
      <c r="A334" s="42" t="s">
        <v>238</v>
      </c>
      <c r="B334" s="42" t="s">
        <v>239</v>
      </c>
      <c r="C334" s="42" t="s">
        <v>210</v>
      </c>
      <c r="D334" s="42" t="s">
        <v>281</v>
      </c>
      <c r="E334" s="42" t="s">
        <v>241</v>
      </c>
      <c r="F334" s="42" t="s">
        <v>248</v>
      </c>
      <c r="G334" s="44">
        <v>32011.84</v>
      </c>
      <c r="H334" s="44">
        <v>38093.17</v>
      </c>
      <c r="I334" s="44">
        <v>39016.65</v>
      </c>
      <c r="J334" s="44">
        <v>33523.360000000001</v>
      </c>
      <c r="K334" t="s">
        <v>198</v>
      </c>
    </row>
    <row r="335" spans="1:11" ht="16.95" hidden="1" customHeight="1" x14ac:dyDescent="0.3">
      <c r="A335" s="42" t="s">
        <v>238</v>
      </c>
      <c r="B335" s="42" t="s">
        <v>239</v>
      </c>
      <c r="C335" s="42" t="s">
        <v>210</v>
      </c>
      <c r="D335" s="42" t="s">
        <v>281</v>
      </c>
      <c r="E335" s="42" t="s">
        <v>241</v>
      </c>
      <c r="F335" s="42" t="s">
        <v>249</v>
      </c>
      <c r="G335" s="44">
        <v>32606.73</v>
      </c>
      <c r="H335" s="44">
        <v>39521.81</v>
      </c>
      <c r="I335" s="44">
        <v>39286.120000000003</v>
      </c>
      <c r="J335" s="44">
        <v>32758.240000000002</v>
      </c>
      <c r="K335" t="s">
        <v>198</v>
      </c>
    </row>
    <row r="336" spans="1:11" ht="16.95" hidden="1" customHeight="1" x14ac:dyDescent="0.3">
      <c r="A336" s="42" t="s">
        <v>238</v>
      </c>
      <c r="B336" s="42" t="s">
        <v>239</v>
      </c>
      <c r="C336" s="42" t="s">
        <v>210</v>
      </c>
      <c r="D336" s="42" t="s">
        <v>281</v>
      </c>
      <c r="E336" s="42" t="s">
        <v>241</v>
      </c>
      <c r="F336" s="42" t="s">
        <v>250</v>
      </c>
      <c r="G336" s="44">
        <v>34093.480000000003</v>
      </c>
      <c r="H336" s="44">
        <v>37770.050000000003</v>
      </c>
      <c r="I336" s="44">
        <v>35989.599999999999</v>
      </c>
      <c r="J336" s="44">
        <v>35794.9</v>
      </c>
      <c r="K336" t="s">
        <v>198</v>
      </c>
    </row>
    <row r="337" spans="1:11" ht="16.95" hidden="1" customHeight="1" x14ac:dyDescent="0.3">
      <c r="A337" s="42" t="s">
        <v>238</v>
      </c>
      <c r="B337" s="42" t="s">
        <v>239</v>
      </c>
      <c r="C337" s="42" t="s">
        <v>210</v>
      </c>
      <c r="D337" s="42" t="s">
        <v>281</v>
      </c>
      <c r="E337" s="42" t="s">
        <v>241</v>
      </c>
      <c r="F337" s="42" t="s">
        <v>251</v>
      </c>
      <c r="G337" s="44">
        <v>34872.44</v>
      </c>
      <c r="H337" s="44">
        <v>38930.370000000003</v>
      </c>
      <c r="I337" s="44">
        <v>33598.92</v>
      </c>
      <c r="J337" s="44">
        <v>35119.1</v>
      </c>
      <c r="K337" t="s">
        <v>198</v>
      </c>
    </row>
    <row r="338" spans="1:11" ht="16.95" hidden="1" customHeight="1" x14ac:dyDescent="0.3">
      <c r="A338" s="42" t="s">
        <v>238</v>
      </c>
      <c r="B338" s="42" t="s">
        <v>239</v>
      </c>
      <c r="C338" s="42" t="s">
        <v>210</v>
      </c>
      <c r="D338" s="42" t="s">
        <v>281</v>
      </c>
      <c r="E338" s="42" t="s">
        <v>241</v>
      </c>
      <c r="F338" s="42" t="s">
        <v>252</v>
      </c>
      <c r="G338" s="44">
        <v>34389.519999999997</v>
      </c>
      <c r="H338" s="44">
        <v>36988.449999999997</v>
      </c>
      <c r="I338" s="44">
        <v>49819.01</v>
      </c>
      <c r="J338" s="44">
        <v>35502.35</v>
      </c>
      <c r="K338" t="s">
        <v>198</v>
      </c>
    </row>
    <row r="339" spans="1:11" ht="16.95" hidden="1" customHeight="1" x14ac:dyDescent="0.3">
      <c r="A339" s="42" t="s">
        <v>238</v>
      </c>
      <c r="B339" s="42" t="s">
        <v>239</v>
      </c>
      <c r="C339" s="42" t="s">
        <v>210</v>
      </c>
      <c r="D339" s="42" t="s">
        <v>281</v>
      </c>
      <c r="E339" s="42" t="s">
        <v>241</v>
      </c>
      <c r="F339" s="42" t="s">
        <v>253</v>
      </c>
      <c r="G339" s="44">
        <v>37256.910000000003</v>
      </c>
      <c r="H339" s="44">
        <v>35605.949999999997</v>
      </c>
      <c r="I339" s="44">
        <v>33931.769999999997</v>
      </c>
      <c r="J339" s="44">
        <v>37509.800000000003</v>
      </c>
      <c r="K339" t="s">
        <v>198</v>
      </c>
    </row>
    <row r="340" spans="1:11" ht="16.95" hidden="1" customHeight="1" x14ac:dyDescent="0.3">
      <c r="A340" s="42" t="s">
        <v>238</v>
      </c>
      <c r="B340" s="42" t="s">
        <v>239</v>
      </c>
      <c r="C340" s="42" t="s">
        <v>210</v>
      </c>
      <c r="D340" s="42" t="s">
        <v>282</v>
      </c>
      <c r="E340" s="42" t="s">
        <v>241</v>
      </c>
      <c r="F340" s="42" t="s">
        <v>242</v>
      </c>
      <c r="G340" t="s">
        <v>198</v>
      </c>
      <c r="H340" t="s">
        <v>198</v>
      </c>
      <c r="I340" s="44">
        <v>577436.52</v>
      </c>
      <c r="J340" s="44">
        <v>637402.75</v>
      </c>
      <c r="K340" s="44">
        <v>659406.11</v>
      </c>
    </row>
    <row r="341" spans="1:11" ht="16.95" hidden="1" customHeight="1" x14ac:dyDescent="0.3">
      <c r="A341" s="42" t="s">
        <v>238</v>
      </c>
      <c r="B341" s="42" t="s">
        <v>239</v>
      </c>
      <c r="C341" s="42" t="s">
        <v>210</v>
      </c>
      <c r="D341" s="42" t="s">
        <v>282</v>
      </c>
      <c r="E341" s="42" t="s">
        <v>241</v>
      </c>
      <c r="F341" s="42" t="s">
        <v>243</v>
      </c>
      <c r="G341" t="s">
        <v>198</v>
      </c>
      <c r="H341" t="s">
        <v>198</v>
      </c>
      <c r="I341" s="44">
        <v>608555.13</v>
      </c>
      <c r="J341" s="44">
        <v>644382.86</v>
      </c>
      <c r="K341" s="44">
        <v>672208.33</v>
      </c>
    </row>
    <row r="342" spans="1:11" ht="16.95" hidden="1" customHeight="1" x14ac:dyDescent="0.3">
      <c r="A342" s="42" t="s">
        <v>238</v>
      </c>
      <c r="B342" s="42" t="s">
        <v>239</v>
      </c>
      <c r="C342" s="42" t="s">
        <v>210</v>
      </c>
      <c r="D342" s="42" t="s">
        <v>282</v>
      </c>
      <c r="E342" s="42" t="s">
        <v>241</v>
      </c>
      <c r="F342" s="42" t="s">
        <v>244</v>
      </c>
      <c r="G342" t="s">
        <v>198</v>
      </c>
      <c r="H342" t="s">
        <v>198</v>
      </c>
      <c r="I342" s="43">
        <v>627000</v>
      </c>
      <c r="J342" s="44">
        <v>643516.85</v>
      </c>
      <c r="K342" s="44">
        <v>678533.33</v>
      </c>
    </row>
    <row r="343" spans="1:11" ht="16.95" hidden="1" customHeight="1" x14ac:dyDescent="0.3">
      <c r="A343" s="42" t="s">
        <v>238</v>
      </c>
      <c r="B343" s="42" t="s">
        <v>239</v>
      </c>
      <c r="C343" s="42" t="s">
        <v>210</v>
      </c>
      <c r="D343" s="42" t="s">
        <v>282</v>
      </c>
      <c r="E343" s="42" t="s">
        <v>241</v>
      </c>
      <c r="F343" s="42" t="s">
        <v>245</v>
      </c>
      <c r="G343" t="s">
        <v>198</v>
      </c>
      <c r="H343" t="s">
        <v>198</v>
      </c>
      <c r="I343" s="44">
        <v>596807.68999999994</v>
      </c>
      <c r="J343" s="44">
        <v>644847.03</v>
      </c>
      <c r="K343" t="s">
        <v>198</v>
      </c>
    </row>
    <row r="344" spans="1:11" ht="16.95" hidden="1" customHeight="1" x14ac:dyDescent="0.3">
      <c r="A344" s="42" t="s">
        <v>238</v>
      </c>
      <c r="B344" s="42" t="s">
        <v>239</v>
      </c>
      <c r="C344" s="42" t="s">
        <v>210</v>
      </c>
      <c r="D344" s="42" t="s">
        <v>282</v>
      </c>
      <c r="E344" s="42" t="s">
        <v>241</v>
      </c>
      <c r="F344" s="42" t="s">
        <v>246</v>
      </c>
      <c r="G344" t="s">
        <v>198</v>
      </c>
      <c r="H344" t="s">
        <v>198</v>
      </c>
      <c r="I344" s="44">
        <v>607939.24</v>
      </c>
      <c r="J344" s="44">
        <v>633838.27</v>
      </c>
      <c r="K344" t="s">
        <v>198</v>
      </c>
    </row>
    <row r="345" spans="1:11" ht="16.95" hidden="1" customHeight="1" x14ac:dyDescent="0.3">
      <c r="A345" s="42" t="s">
        <v>238</v>
      </c>
      <c r="B345" s="42" t="s">
        <v>239</v>
      </c>
      <c r="C345" s="42" t="s">
        <v>210</v>
      </c>
      <c r="D345" s="42" t="s">
        <v>282</v>
      </c>
      <c r="E345" s="42" t="s">
        <v>241</v>
      </c>
      <c r="F345" s="42" t="s">
        <v>247</v>
      </c>
      <c r="G345" t="s">
        <v>198</v>
      </c>
      <c r="H345" t="s">
        <v>198</v>
      </c>
      <c r="I345" s="44">
        <v>608195.18000000005</v>
      </c>
      <c r="J345" s="44">
        <v>641956.14</v>
      </c>
      <c r="K345" t="s">
        <v>198</v>
      </c>
    </row>
    <row r="346" spans="1:11" ht="16.95" hidden="1" customHeight="1" x14ac:dyDescent="0.3">
      <c r="A346" s="42" t="s">
        <v>238</v>
      </c>
      <c r="B346" s="42" t="s">
        <v>239</v>
      </c>
      <c r="C346" s="42" t="s">
        <v>210</v>
      </c>
      <c r="D346" s="42" t="s">
        <v>282</v>
      </c>
      <c r="E346" s="42" t="s">
        <v>241</v>
      </c>
      <c r="F346" s="42" t="s">
        <v>248</v>
      </c>
      <c r="G346" t="s">
        <v>198</v>
      </c>
      <c r="H346" t="s">
        <v>198</v>
      </c>
      <c r="I346" s="44">
        <v>597414.1</v>
      </c>
      <c r="J346" s="44">
        <v>641631.67000000004</v>
      </c>
      <c r="K346" t="s">
        <v>198</v>
      </c>
    </row>
    <row r="347" spans="1:11" ht="16.95" hidden="1" customHeight="1" x14ac:dyDescent="0.3">
      <c r="A347" s="42" t="s">
        <v>238</v>
      </c>
      <c r="B347" s="42" t="s">
        <v>239</v>
      </c>
      <c r="C347" s="42" t="s">
        <v>210</v>
      </c>
      <c r="D347" s="42" t="s">
        <v>282</v>
      </c>
      <c r="E347" s="42" t="s">
        <v>241</v>
      </c>
      <c r="F347" s="42" t="s">
        <v>249</v>
      </c>
      <c r="G347" t="s">
        <v>198</v>
      </c>
      <c r="H347" t="s">
        <v>198</v>
      </c>
      <c r="I347" s="44">
        <v>614754.65</v>
      </c>
      <c r="J347" s="44">
        <v>629741.38</v>
      </c>
      <c r="K347" t="s">
        <v>198</v>
      </c>
    </row>
    <row r="348" spans="1:11" ht="16.95" hidden="1" customHeight="1" x14ac:dyDescent="0.3">
      <c r="A348" s="42" t="s">
        <v>238</v>
      </c>
      <c r="B348" s="42" t="s">
        <v>239</v>
      </c>
      <c r="C348" s="42" t="s">
        <v>210</v>
      </c>
      <c r="D348" s="42" t="s">
        <v>282</v>
      </c>
      <c r="E348" s="42" t="s">
        <v>241</v>
      </c>
      <c r="F348" s="42" t="s">
        <v>250</v>
      </c>
      <c r="G348" t="s">
        <v>198</v>
      </c>
      <c r="H348" t="s">
        <v>198</v>
      </c>
      <c r="I348" s="44">
        <v>615522.88</v>
      </c>
      <c r="J348" s="44">
        <v>641510.09</v>
      </c>
      <c r="K348" t="s">
        <v>198</v>
      </c>
    </row>
    <row r="349" spans="1:11" ht="16.95" hidden="1" customHeight="1" x14ac:dyDescent="0.3">
      <c r="A349" s="42" t="s">
        <v>238</v>
      </c>
      <c r="B349" s="42" t="s">
        <v>239</v>
      </c>
      <c r="C349" s="42" t="s">
        <v>210</v>
      </c>
      <c r="D349" s="42" t="s">
        <v>282</v>
      </c>
      <c r="E349" s="42" t="s">
        <v>241</v>
      </c>
      <c r="F349" s="42" t="s">
        <v>251</v>
      </c>
      <c r="G349" t="s">
        <v>198</v>
      </c>
      <c r="H349" t="s">
        <v>198</v>
      </c>
      <c r="I349" s="44">
        <v>605583.21</v>
      </c>
      <c r="J349" s="44">
        <v>648334.86</v>
      </c>
      <c r="K349" t="s">
        <v>198</v>
      </c>
    </row>
    <row r="350" spans="1:11" ht="16.95" hidden="1" customHeight="1" x14ac:dyDescent="0.3">
      <c r="A350" s="42" t="s">
        <v>238</v>
      </c>
      <c r="B350" s="42" t="s">
        <v>239</v>
      </c>
      <c r="C350" s="42" t="s">
        <v>210</v>
      </c>
      <c r="D350" s="42" t="s">
        <v>282</v>
      </c>
      <c r="E350" s="42" t="s">
        <v>241</v>
      </c>
      <c r="F350" s="42" t="s">
        <v>252</v>
      </c>
      <c r="G350" t="s">
        <v>198</v>
      </c>
      <c r="H350" t="s">
        <v>198</v>
      </c>
      <c r="I350" s="44">
        <v>614656.42000000004</v>
      </c>
      <c r="J350" s="44">
        <v>667422.36</v>
      </c>
      <c r="K350" t="s">
        <v>198</v>
      </c>
    </row>
    <row r="351" spans="1:11" ht="16.95" hidden="1" customHeight="1" x14ac:dyDescent="0.3">
      <c r="A351" s="42" t="s">
        <v>238</v>
      </c>
      <c r="B351" s="42" t="s">
        <v>239</v>
      </c>
      <c r="C351" s="42" t="s">
        <v>210</v>
      </c>
      <c r="D351" s="42" t="s">
        <v>282</v>
      </c>
      <c r="E351" s="42" t="s">
        <v>241</v>
      </c>
      <c r="F351" s="42" t="s">
        <v>253</v>
      </c>
      <c r="G351" t="s">
        <v>198</v>
      </c>
      <c r="H351" t="s">
        <v>198</v>
      </c>
      <c r="I351" s="44">
        <v>643012.88</v>
      </c>
      <c r="J351" s="44">
        <v>685237.41</v>
      </c>
      <c r="K351" t="s">
        <v>198</v>
      </c>
    </row>
    <row r="352" spans="1:11" ht="16.95" hidden="1" customHeight="1" x14ac:dyDescent="0.3">
      <c r="A352" s="42" t="s">
        <v>238</v>
      </c>
      <c r="B352" s="42" t="s">
        <v>239</v>
      </c>
      <c r="C352" s="42" t="s">
        <v>210</v>
      </c>
      <c r="D352" s="42" t="s">
        <v>283</v>
      </c>
      <c r="E352" s="42" t="s">
        <v>241</v>
      </c>
      <c r="F352" s="42" t="s">
        <v>242</v>
      </c>
      <c r="G352" t="s">
        <v>198</v>
      </c>
      <c r="H352" t="s">
        <v>198</v>
      </c>
      <c r="I352" t="s">
        <v>198</v>
      </c>
      <c r="J352" s="44">
        <v>35886.019999999997</v>
      </c>
      <c r="K352" s="44">
        <v>42295.58</v>
      </c>
    </row>
    <row r="353" spans="1:11" ht="16.95" hidden="1" customHeight="1" x14ac:dyDescent="0.3">
      <c r="A353" s="42" t="s">
        <v>238</v>
      </c>
      <c r="B353" s="42" t="s">
        <v>239</v>
      </c>
      <c r="C353" s="42" t="s">
        <v>210</v>
      </c>
      <c r="D353" s="42" t="s">
        <v>283</v>
      </c>
      <c r="E353" s="42" t="s">
        <v>241</v>
      </c>
      <c r="F353" s="42" t="s">
        <v>243</v>
      </c>
      <c r="G353" t="s">
        <v>198</v>
      </c>
      <c r="H353" t="s">
        <v>198</v>
      </c>
      <c r="I353" t="s">
        <v>198</v>
      </c>
      <c r="J353" s="44">
        <v>37174.879999999997</v>
      </c>
      <c r="K353" s="44">
        <v>55547.76</v>
      </c>
    </row>
    <row r="354" spans="1:11" ht="16.95" hidden="1" customHeight="1" x14ac:dyDescent="0.3">
      <c r="A354" s="42" t="s">
        <v>238</v>
      </c>
      <c r="B354" s="42" t="s">
        <v>239</v>
      </c>
      <c r="C354" s="42" t="s">
        <v>210</v>
      </c>
      <c r="D354" s="42" t="s">
        <v>283</v>
      </c>
      <c r="E354" s="42" t="s">
        <v>241</v>
      </c>
      <c r="F354" s="42" t="s">
        <v>244</v>
      </c>
      <c r="G354" t="s">
        <v>198</v>
      </c>
      <c r="H354" t="s">
        <v>198</v>
      </c>
      <c r="I354" t="s">
        <v>198</v>
      </c>
      <c r="J354" s="44">
        <v>38209.620000000003</v>
      </c>
      <c r="K354" s="44">
        <v>51566.53</v>
      </c>
    </row>
    <row r="355" spans="1:11" ht="16.95" hidden="1" customHeight="1" x14ac:dyDescent="0.3">
      <c r="A355" s="42" t="s">
        <v>238</v>
      </c>
      <c r="B355" s="42" t="s">
        <v>239</v>
      </c>
      <c r="C355" s="42" t="s">
        <v>210</v>
      </c>
      <c r="D355" s="42" t="s">
        <v>283</v>
      </c>
      <c r="E355" s="42" t="s">
        <v>241</v>
      </c>
      <c r="F355" s="42" t="s">
        <v>245</v>
      </c>
      <c r="G355" t="s">
        <v>198</v>
      </c>
      <c r="H355" t="s">
        <v>198</v>
      </c>
      <c r="I355" t="s">
        <v>198</v>
      </c>
      <c r="J355" s="44">
        <v>37682.94</v>
      </c>
      <c r="K355" t="s">
        <v>198</v>
      </c>
    </row>
    <row r="356" spans="1:11" ht="16.95" hidden="1" customHeight="1" x14ac:dyDescent="0.3">
      <c r="A356" s="42" t="s">
        <v>238</v>
      </c>
      <c r="B356" s="42" t="s">
        <v>239</v>
      </c>
      <c r="C356" s="42" t="s">
        <v>210</v>
      </c>
      <c r="D356" s="42" t="s">
        <v>283</v>
      </c>
      <c r="E356" s="42" t="s">
        <v>241</v>
      </c>
      <c r="F356" s="42" t="s">
        <v>246</v>
      </c>
      <c r="G356" t="s">
        <v>198</v>
      </c>
      <c r="H356" t="s">
        <v>198</v>
      </c>
      <c r="I356" t="s">
        <v>198</v>
      </c>
      <c r="J356" s="44">
        <v>37826.26</v>
      </c>
      <c r="K356" t="s">
        <v>198</v>
      </c>
    </row>
    <row r="357" spans="1:11" ht="16.95" hidden="1" customHeight="1" x14ac:dyDescent="0.3">
      <c r="A357" s="42" t="s">
        <v>238</v>
      </c>
      <c r="B357" s="42" t="s">
        <v>239</v>
      </c>
      <c r="C357" s="42" t="s">
        <v>210</v>
      </c>
      <c r="D357" s="42" t="s">
        <v>283</v>
      </c>
      <c r="E357" s="42" t="s">
        <v>241</v>
      </c>
      <c r="F357" s="42" t="s">
        <v>247</v>
      </c>
      <c r="G357" t="s">
        <v>198</v>
      </c>
      <c r="H357" t="s">
        <v>198</v>
      </c>
      <c r="I357" t="s">
        <v>198</v>
      </c>
      <c r="J357" s="44">
        <v>37379.410000000003</v>
      </c>
      <c r="K357" t="s">
        <v>198</v>
      </c>
    </row>
    <row r="358" spans="1:11" ht="16.95" hidden="1" customHeight="1" x14ac:dyDescent="0.3">
      <c r="A358" s="42" t="s">
        <v>238</v>
      </c>
      <c r="B358" s="42" t="s">
        <v>239</v>
      </c>
      <c r="C358" s="42" t="s">
        <v>210</v>
      </c>
      <c r="D358" s="42" t="s">
        <v>283</v>
      </c>
      <c r="E358" s="42" t="s">
        <v>241</v>
      </c>
      <c r="F358" s="42" t="s">
        <v>248</v>
      </c>
      <c r="G358" t="s">
        <v>198</v>
      </c>
      <c r="H358" t="s">
        <v>198</v>
      </c>
      <c r="I358" t="s">
        <v>198</v>
      </c>
      <c r="J358" s="44">
        <v>38293.21</v>
      </c>
      <c r="K358" t="s">
        <v>198</v>
      </c>
    </row>
    <row r="359" spans="1:11" ht="16.95" hidden="1" customHeight="1" x14ac:dyDescent="0.3">
      <c r="A359" s="42" t="s">
        <v>238</v>
      </c>
      <c r="B359" s="42" t="s">
        <v>239</v>
      </c>
      <c r="C359" s="42" t="s">
        <v>210</v>
      </c>
      <c r="D359" s="42" t="s">
        <v>283</v>
      </c>
      <c r="E359" s="42" t="s">
        <v>241</v>
      </c>
      <c r="F359" s="42" t="s">
        <v>249</v>
      </c>
      <c r="G359" t="s">
        <v>198</v>
      </c>
      <c r="H359" t="s">
        <v>198</v>
      </c>
      <c r="I359" t="s">
        <v>198</v>
      </c>
      <c r="J359" s="44">
        <v>37210.959999999999</v>
      </c>
      <c r="K359" t="s">
        <v>198</v>
      </c>
    </row>
    <row r="360" spans="1:11" ht="16.95" hidden="1" customHeight="1" x14ac:dyDescent="0.3">
      <c r="A360" s="42" t="s">
        <v>238</v>
      </c>
      <c r="B360" s="42" t="s">
        <v>239</v>
      </c>
      <c r="C360" s="42" t="s">
        <v>210</v>
      </c>
      <c r="D360" s="42" t="s">
        <v>283</v>
      </c>
      <c r="E360" s="42" t="s">
        <v>241</v>
      </c>
      <c r="F360" s="42" t="s">
        <v>250</v>
      </c>
      <c r="G360" t="s">
        <v>198</v>
      </c>
      <c r="H360" t="s">
        <v>198</v>
      </c>
      <c r="I360" t="s">
        <v>198</v>
      </c>
      <c r="J360" s="44">
        <v>37388.199999999997</v>
      </c>
      <c r="K360" t="s">
        <v>198</v>
      </c>
    </row>
    <row r="361" spans="1:11" ht="16.95" hidden="1" customHeight="1" x14ac:dyDescent="0.3">
      <c r="A361" s="42" t="s">
        <v>238</v>
      </c>
      <c r="B361" s="42" t="s">
        <v>239</v>
      </c>
      <c r="C361" s="42" t="s">
        <v>210</v>
      </c>
      <c r="D361" s="42" t="s">
        <v>283</v>
      </c>
      <c r="E361" s="42" t="s">
        <v>241</v>
      </c>
      <c r="F361" s="42" t="s">
        <v>251</v>
      </c>
      <c r="G361" t="s">
        <v>198</v>
      </c>
      <c r="H361" t="s">
        <v>198</v>
      </c>
      <c r="I361" t="s">
        <v>198</v>
      </c>
      <c r="J361" s="44">
        <v>39355.18</v>
      </c>
      <c r="K361" t="s">
        <v>198</v>
      </c>
    </row>
    <row r="362" spans="1:11" ht="16.95" hidden="1" customHeight="1" x14ac:dyDescent="0.3">
      <c r="A362" s="42" t="s">
        <v>238</v>
      </c>
      <c r="B362" s="42" t="s">
        <v>239</v>
      </c>
      <c r="C362" s="42" t="s">
        <v>210</v>
      </c>
      <c r="D362" s="42" t="s">
        <v>283</v>
      </c>
      <c r="E362" s="42" t="s">
        <v>241</v>
      </c>
      <c r="F362" s="42" t="s">
        <v>252</v>
      </c>
      <c r="G362" t="s">
        <v>198</v>
      </c>
      <c r="H362" t="s">
        <v>198</v>
      </c>
      <c r="I362" t="s">
        <v>198</v>
      </c>
      <c r="J362" s="44">
        <v>38800.54</v>
      </c>
      <c r="K362" t="s">
        <v>198</v>
      </c>
    </row>
    <row r="363" spans="1:11" ht="16.95" hidden="1" customHeight="1" x14ac:dyDescent="0.3">
      <c r="A363" s="42" t="s">
        <v>238</v>
      </c>
      <c r="B363" s="42" t="s">
        <v>239</v>
      </c>
      <c r="C363" s="42" t="s">
        <v>210</v>
      </c>
      <c r="D363" s="42" t="s">
        <v>283</v>
      </c>
      <c r="E363" s="42" t="s">
        <v>241</v>
      </c>
      <c r="F363" s="42" t="s">
        <v>253</v>
      </c>
      <c r="G363" t="s">
        <v>198</v>
      </c>
      <c r="H363" t="s">
        <v>198</v>
      </c>
      <c r="I363" t="s">
        <v>198</v>
      </c>
      <c r="J363" s="44">
        <v>39406.199999999997</v>
      </c>
      <c r="K363" t="s">
        <v>198</v>
      </c>
    </row>
    <row r="364" spans="1:11" ht="16.95" hidden="1" customHeight="1" x14ac:dyDescent="0.3">
      <c r="A364" s="42" t="s">
        <v>238</v>
      </c>
      <c r="B364" s="42" t="s">
        <v>239</v>
      </c>
      <c r="C364" s="42" t="s">
        <v>210</v>
      </c>
      <c r="D364" s="42" t="s">
        <v>284</v>
      </c>
      <c r="E364" s="42" t="s">
        <v>241</v>
      </c>
      <c r="F364" s="42" t="s">
        <v>242</v>
      </c>
      <c r="G364" s="44">
        <v>66536.479999999996</v>
      </c>
      <c r="H364" s="44">
        <v>81490.25</v>
      </c>
      <c r="I364" s="44">
        <v>57318.49</v>
      </c>
      <c r="J364" s="44">
        <v>65150.25</v>
      </c>
      <c r="K364" s="44">
        <v>55448.11</v>
      </c>
    </row>
    <row r="365" spans="1:11" ht="16.95" hidden="1" customHeight="1" x14ac:dyDescent="0.3">
      <c r="A365" s="42" t="s">
        <v>238</v>
      </c>
      <c r="B365" s="42" t="s">
        <v>239</v>
      </c>
      <c r="C365" s="42" t="s">
        <v>210</v>
      </c>
      <c r="D365" s="42" t="s">
        <v>284</v>
      </c>
      <c r="E365" s="42" t="s">
        <v>241</v>
      </c>
      <c r="F365" s="42" t="s">
        <v>243</v>
      </c>
      <c r="G365" s="44">
        <v>74184.740000000005</v>
      </c>
      <c r="H365" s="44">
        <v>76916.56</v>
      </c>
      <c r="I365" s="44">
        <v>58025.94</v>
      </c>
      <c r="J365" s="44">
        <v>63659.1</v>
      </c>
      <c r="K365" s="44">
        <v>63866.82</v>
      </c>
    </row>
    <row r="366" spans="1:11" ht="16.95" hidden="1" customHeight="1" x14ac:dyDescent="0.3">
      <c r="A366" s="42" t="s">
        <v>238</v>
      </c>
      <c r="B366" s="42" t="s">
        <v>239</v>
      </c>
      <c r="C366" s="42" t="s">
        <v>210</v>
      </c>
      <c r="D366" s="42" t="s">
        <v>284</v>
      </c>
      <c r="E366" s="42" t="s">
        <v>241</v>
      </c>
      <c r="F366" s="42" t="s">
        <v>244</v>
      </c>
      <c r="G366" s="44">
        <v>65671.360000000001</v>
      </c>
      <c r="H366" s="44">
        <v>74931.8</v>
      </c>
      <c r="I366" s="44">
        <v>57932.08</v>
      </c>
      <c r="J366" s="44">
        <v>55002.86</v>
      </c>
      <c r="K366" s="44">
        <v>63698.09</v>
      </c>
    </row>
    <row r="367" spans="1:11" ht="16.95" hidden="1" customHeight="1" x14ac:dyDescent="0.3">
      <c r="A367" s="42" t="s">
        <v>238</v>
      </c>
      <c r="B367" s="42" t="s">
        <v>239</v>
      </c>
      <c r="C367" s="42" t="s">
        <v>210</v>
      </c>
      <c r="D367" s="42" t="s">
        <v>284</v>
      </c>
      <c r="E367" s="42" t="s">
        <v>241</v>
      </c>
      <c r="F367" s="42" t="s">
        <v>245</v>
      </c>
      <c r="G367" s="44">
        <v>66727.53</v>
      </c>
      <c r="H367" s="44">
        <v>75354.91</v>
      </c>
      <c r="I367" s="44">
        <v>59200.92</v>
      </c>
      <c r="J367" s="44">
        <v>56360.97</v>
      </c>
      <c r="K367" t="s">
        <v>198</v>
      </c>
    </row>
    <row r="368" spans="1:11" ht="16.95" hidden="1" customHeight="1" x14ac:dyDescent="0.3">
      <c r="A368" s="42" t="s">
        <v>238</v>
      </c>
      <c r="B368" s="42" t="s">
        <v>239</v>
      </c>
      <c r="C368" s="42" t="s">
        <v>210</v>
      </c>
      <c r="D368" s="42" t="s">
        <v>284</v>
      </c>
      <c r="E368" s="42" t="s">
        <v>241</v>
      </c>
      <c r="F368" s="42" t="s">
        <v>246</v>
      </c>
      <c r="G368" s="44">
        <v>72765.399999999994</v>
      </c>
      <c r="H368" s="44">
        <v>75254.960000000006</v>
      </c>
      <c r="I368" s="44">
        <v>60882.8</v>
      </c>
      <c r="J368" s="44">
        <v>53597.02</v>
      </c>
      <c r="K368" t="s">
        <v>198</v>
      </c>
    </row>
    <row r="369" spans="1:11" ht="16.95" hidden="1" customHeight="1" x14ac:dyDescent="0.3">
      <c r="A369" s="42" t="s">
        <v>238</v>
      </c>
      <c r="B369" s="42" t="s">
        <v>239</v>
      </c>
      <c r="C369" s="42" t="s">
        <v>210</v>
      </c>
      <c r="D369" s="42" t="s">
        <v>284</v>
      </c>
      <c r="E369" s="42" t="s">
        <v>241</v>
      </c>
      <c r="F369" s="42" t="s">
        <v>247</v>
      </c>
      <c r="G369" s="44">
        <v>71849.25</v>
      </c>
      <c r="H369" s="44">
        <v>73466.740000000005</v>
      </c>
      <c r="I369" s="44">
        <v>64398.44</v>
      </c>
      <c r="J369" s="44">
        <v>50690.15</v>
      </c>
      <c r="K369" t="s">
        <v>198</v>
      </c>
    </row>
    <row r="370" spans="1:11" ht="16.95" hidden="1" customHeight="1" x14ac:dyDescent="0.3">
      <c r="A370" s="42" t="s">
        <v>238</v>
      </c>
      <c r="B370" s="42" t="s">
        <v>239</v>
      </c>
      <c r="C370" s="42" t="s">
        <v>210</v>
      </c>
      <c r="D370" s="42" t="s">
        <v>284</v>
      </c>
      <c r="E370" s="42" t="s">
        <v>241</v>
      </c>
      <c r="F370" s="42" t="s">
        <v>248</v>
      </c>
      <c r="G370" s="44">
        <v>67481.3</v>
      </c>
      <c r="H370" s="44">
        <v>72808.78</v>
      </c>
      <c r="I370" s="44">
        <v>63662.25</v>
      </c>
      <c r="J370" s="44">
        <v>53011.65</v>
      </c>
      <c r="K370" t="s">
        <v>198</v>
      </c>
    </row>
    <row r="371" spans="1:11" ht="16.95" hidden="1" customHeight="1" x14ac:dyDescent="0.3">
      <c r="A371" s="42" t="s">
        <v>238</v>
      </c>
      <c r="B371" s="42" t="s">
        <v>239</v>
      </c>
      <c r="C371" s="42" t="s">
        <v>210</v>
      </c>
      <c r="D371" s="42" t="s">
        <v>284</v>
      </c>
      <c r="E371" s="42" t="s">
        <v>241</v>
      </c>
      <c r="F371" s="42" t="s">
        <v>249</v>
      </c>
      <c r="G371" s="44">
        <v>69016.570000000007</v>
      </c>
      <c r="H371" s="44">
        <v>72166.97</v>
      </c>
      <c r="I371" s="44">
        <v>67648.86</v>
      </c>
      <c r="J371" s="44">
        <v>55298.36</v>
      </c>
      <c r="K371" t="s">
        <v>198</v>
      </c>
    </row>
    <row r="372" spans="1:11" ht="16.95" hidden="1" customHeight="1" x14ac:dyDescent="0.3">
      <c r="A372" s="42" t="s">
        <v>238</v>
      </c>
      <c r="B372" s="42" t="s">
        <v>239</v>
      </c>
      <c r="C372" s="42" t="s">
        <v>210</v>
      </c>
      <c r="D372" s="42" t="s">
        <v>284</v>
      </c>
      <c r="E372" s="42" t="s">
        <v>241</v>
      </c>
      <c r="F372" s="42" t="s">
        <v>250</v>
      </c>
      <c r="G372" s="44">
        <v>71463.98</v>
      </c>
      <c r="H372" s="44">
        <v>72074.11</v>
      </c>
      <c r="I372" s="44">
        <v>68291.87</v>
      </c>
      <c r="J372" s="44">
        <v>53455.44</v>
      </c>
      <c r="K372" t="s">
        <v>198</v>
      </c>
    </row>
    <row r="373" spans="1:11" ht="16.95" hidden="1" customHeight="1" x14ac:dyDescent="0.3">
      <c r="A373" s="42" t="s">
        <v>238</v>
      </c>
      <c r="B373" s="42" t="s">
        <v>239</v>
      </c>
      <c r="C373" s="42" t="s">
        <v>210</v>
      </c>
      <c r="D373" s="42" t="s">
        <v>284</v>
      </c>
      <c r="E373" s="42" t="s">
        <v>241</v>
      </c>
      <c r="F373" s="42" t="s">
        <v>251</v>
      </c>
      <c r="G373" s="44">
        <v>72452.5</v>
      </c>
      <c r="H373" s="44">
        <v>67417.88</v>
      </c>
      <c r="I373" s="44">
        <v>70900.25</v>
      </c>
      <c r="J373" s="44">
        <v>54727.43</v>
      </c>
      <c r="K373" t="s">
        <v>198</v>
      </c>
    </row>
    <row r="374" spans="1:11" ht="16.95" hidden="1" customHeight="1" x14ac:dyDescent="0.3">
      <c r="A374" s="42" t="s">
        <v>238</v>
      </c>
      <c r="B374" s="42" t="s">
        <v>239</v>
      </c>
      <c r="C374" s="42" t="s">
        <v>210</v>
      </c>
      <c r="D374" s="42" t="s">
        <v>284</v>
      </c>
      <c r="E374" s="42" t="s">
        <v>241</v>
      </c>
      <c r="F374" s="42" t="s">
        <v>252</v>
      </c>
      <c r="G374" s="44">
        <v>78732.37</v>
      </c>
      <c r="H374" s="44">
        <v>67203.55</v>
      </c>
      <c r="I374" s="44">
        <v>74058.63</v>
      </c>
      <c r="J374" s="44">
        <v>55158.7</v>
      </c>
      <c r="K374" t="s">
        <v>198</v>
      </c>
    </row>
    <row r="375" spans="1:11" ht="16.95" hidden="1" customHeight="1" x14ac:dyDescent="0.3">
      <c r="A375" s="42" t="s">
        <v>238</v>
      </c>
      <c r="B375" s="42" t="s">
        <v>239</v>
      </c>
      <c r="C375" s="42" t="s">
        <v>210</v>
      </c>
      <c r="D375" s="42" t="s">
        <v>284</v>
      </c>
      <c r="E375" s="42" t="s">
        <v>241</v>
      </c>
      <c r="F375" s="42" t="s">
        <v>253</v>
      </c>
      <c r="G375" s="44">
        <v>76765.89</v>
      </c>
      <c r="H375" s="44">
        <v>66214.06</v>
      </c>
      <c r="I375" s="44">
        <v>68098.679999999993</v>
      </c>
      <c r="J375" s="44">
        <v>54075.47</v>
      </c>
      <c r="K375" t="s">
        <v>198</v>
      </c>
    </row>
    <row r="376" spans="1:11" ht="16.95" hidden="1" customHeight="1" x14ac:dyDescent="0.3">
      <c r="A376" s="42" t="s">
        <v>238</v>
      </c>
      <c r="B376" s="42" t="s">
        <v>239</v>
      </c>
      <c r="C376" s="42" t="s">
        <v>210</v>
      </c>
      <c r="D376" s="42" t="s">
        <v>285</v>
      </c>
      <c r="E376" s="42" t="s">
        <v>241</v>
      </c>
      <c r="F376" s="42" t="s">
        <v>242</v>
      </c>
      <c r="G376" s="44">
        <v>35695.26</v>
      </c>
      <c r="H376" s="44">
        <v>35942.42</v>
      </c>
      <c r="I376" s="44">
        <v>37479.230000000003</v>
      </c>
      <c r="J376" s="44">
        <v>37171.71</v>
      </c>
      <c r="K376" s="44">
        <v>48414.43</v>
      </c>
    </row>
    <row r="377" spans="1:11" ht="16.95" hidden="1" customHeight="1" x14ac:dyDescent="0.3">
      <c r="A377" s="42" t="s">
        <v>238</v>
      </c>
      <c r="B377" s="42" t="s">
        <v>239</v>
      </c>
      <c r="C377" s="42" t="s">
        <v>210</v>
      </c>
      <c r="D377" s="42" t="s">
        <v>285</v>
      </c>
      <c r="E377" s="42" t="s">
        <v>241</v>
      </c>
      <c r="F377" s="42" t="s">
        <v>243</v>
      </c>
      <c r="G377" s="44">
        <v>38284.43</v>
      </c>
      <c r="H377" s="44">
        <v>40547.480000000003</v>
      </c>
      <c r="I377" s="44">
        <v>39797.71</v>
      </c>
      <c r="J377" s="44">
        <v>41677.47</v>
      </c>
      <c r="K377" s="44">
        <v>50612.33</v>
      </c>
    </row>
    <row r="378" spans="1:11" ht="16.95" hidden="1" customHeight="1" x14ac:dyDescent="0.3">
      <c r="A378" s="42" t="s">
        <v>238</v>
      </c>
      <c r="B378" s="42" t="s">
        <v>239</v>
      </c>
      <c r="C378" s="42" t="s">
        <v>210</v>
      </c>
      <c r="D378" s="42" t="s">
        <v>285</v>
      </c>
      <c r="E378" s="42" t="s">
        <v>241</v>
      </c>
      <c r="F378" s="42" t="s">
        <v>244</v>
      </c>
      <c r="G378" s="44">
        <v>39988.68</v>
      </c>
      <c r="H378" s="44">
        <v>38580.699999999997</v>
      </c>
      <c r="I378" s="44">
        <v>42350.34</v>
      </c>
      <c r="J378" s="44">
        <v>41443.06</v>
      </c>
      <c r="K378" s="44">
        <v>54617.89</v>
      </c>
    </row>
    <row r="379" spans="1:11" ht="16.95" hidden="1" customHeight="1" x14ac:dyDescent="0.3">
      <c r="A379" s="42" t="s">
        <v>238</v>
      </c>
      <c r="B379" s="42" t="s">
        <v>239</v>
      </c>
      <c r="C379" s="42" t="s">
        <v>210</v>
      </c>
      <c r="D379" s="42" t="s">
        <v>285</v>
      </c>
      <c r="E379" s="42" t="s">
        <v>241</v>
      </c>
      <c r="F379" s="42" t="s">
        <v>245</v>
      </c>
      <c r="G379" s="44">
        <v>37346.58</v>
      </c>
      <c r="H379" s="44">
        <v>41710.699999999997</v>
      </c>
      <c r="I379" s="44">
        <v>39199.81</v>
      </c>
      <c r="J379" s="44">
        <v>42754.25</v>
      </c>
      <c r="K379" t="s">
        <v>198</v>
      </c>
    </row>
    <row r="380" spans="1:11" ht="16.95" hidden="1" customHeight="1" x14ac:dyDescent="0.3">
      <c r="A380" s="42" t="s">
        <v>238</v>
      </c>
      <c r="B380" s="42" t="s">
        <v>239</v>
      </c>
      <c r="C380" s="42" t="s">
        <v>210</v>
      </c>
      <c r="D380" s="42" t="s">
        <v>285</v>
      </c>
      <c r="E380" s="42" t="s">
        <v>241</v>
      </c>
      <c r="F380" s="42" t="s">
        <v>246</v>
      </c>
      <c r="G380" s="44">
        <v>36127.129999999997</v>
      </c>
      <c r="H380" s="44">
        <v>38973.08</v>
      </c>
      <c r="I380" s="44">
        <v>48061.75</v>
      </c>
      <c r="J380" s="44">
        <v>49600.08</v>
      </c>
      <c r="K380" t="s">
        <v>198</v>
      </c>
    </row>
    <row r="381" spans="1:11" ht="16.95" hidden="1" customHeight="1" x14ac:dyDescent="0.3">
      <c r="A381" s="42" t="s">
        <v>238</v>
      </c>
      <c r="B381" s="42" t="s">
        <v>239</v>
      </c>
      <c r="C381" s="42" t="s">
        <v>210</v>
      </c>
      <c r="D381" s="42" t="s">
        <v>285</v>
      </c>
      <c r="E381" s="42" t="s">
        <v>241</v>
      </c>
      <c r="F381" s="42" t="s">
        <v>247</v>
      </c>
      <c r="G381" s="44">
        <v>35356.519999999997</v>
      </c>
      <c r="H381" s="44">
        <v>41845.43</v>
      </c>
      <c r="I381" s="44">
        <v>41982.61</v>
      </c>
      <c r="J381" s="44">
        <v>48147.44</v>
      </c>
      <c r="K381" t="s">
        <v>198</v>
      </c>
    </row>
    <row r="382" spans="1:11" ht="16.95" hidden="1" customHeight="1" x14ac:dyDescent="0.3">
      <c r="A382" s="42" t="s">
        <v>238</v>
      </c>
      <c r="B382" s="42" t="s">
        <v>239</v>
      </c>
      <c r="C382" s="42" t="s">
        <v>210</v>
      </c>
      <c r="D382" s="42" t="s">
        <v>285</v>
      </c>
      <c r="E382" s="42" t="s">
        <v>241</v>
      </c>
      <c r="F382" s="42" t="s">
        <v>248</v>
      </c>
      <c r="G382" s="44">
        <v>33919.629999999997</v>
      </c>
      <c r="H382" s="44">
        <v>42684.85</v>
      </c>
      <c r="I382" s="44">
        <v>37220.29</v>
      </c>
      <c r="J382" s="44">
        <v>42548.47</v>
      </c>
      <c r="K382" t="s">
        <v>198</v>
      </c>
    </row>
    <row r="383" spans="1:11" ht="16.95" hidden="1" customHeight="1" x14ac:dyDescent="0.3">
      <c r="A383" s="42" t="s">
        <v>238</v>
      </c>
      <c r="B383" s="42" t="s">
        <v>239</v>
      </c>
      <c r="C383" s="42" t="s">
        <v>210</v>
      </c>
      <c r="D383" s="42" t="s">
        <v>285</v>
      </c>
      <c r="E383" s="42" t="s">
        <v>241</v>
      </c>
      <c r="F383" s="42" t="s">
        <v>249</v>
      </c>
      <c r="G383" s="44">
        <v>33442.78</v>
      </c>
      <c r="H383" s="44">
        <v>41257.74</v>
      </c>
      <c r="I383" s="44">
        <v>39253.910000000003</v>
      </c>
      <c r="J383" s="44">
        <v>43580.25</v>
      </c>
      <c r="K383" t="s">
        <v>198</v>
      </c>
    </row>
    <row r="384" spans="1:11" ht="16.95" hidden="1" customHeight="1" x14ac:dyDescent="0.3">
      <c r="A384" s="42" t="s">
        <v>238</v>
      </c>
      <c r="B384" s="42" t="s">
        <v>239</v>
      </c>
      <c r="C384" s="42" t="s">
        <v>210</v>
      </c>
      <c r="D384" s="42" t="s">
        <v>285</v>
      </c>
      <c r="E384" s="42" t="s">
        <v>241</v>
      </c>
      <c r="F384" s="42" t="s">
        <v>250</v>
      </c>
      <c r="G384" s="44">
        <v>36493.29</v>
      </c>
      <c r="H384" s="44">
        <v>43369.89</v>
      </c>
      <c r="I384" s="44">
        <v>42544.66</v>
      </c>
      <c r="J384" s="44">
        <v>44591.31</v>
      </c>
      <c r="K384" t="s">
        <v>198</v>
      </c>
    </row>
    <row r="385" spans="1:11" ht="16.95" hidden="1" customHeight="1" x14ac:dyDescent="0.3">
      <c r="A385" s="42" t="s">
        <v>238</v>
      </c>
      <c r="B385" s="42" t="s">
        <v>239</v>
      </c>
      <c r="C385" s="42" t="s">
        <v>210</v>
      </c>
      <c r="D385" s="42" t="s">
        <v>285</v>
      </c>
      <c r="E385" s="42" t="s">
        <v>241</v>
      </c>
      <c r="F385" s="42" t="s">
        <v>251</v>
      </c>
      <c r="G385" s="44">
        <v>38720.230000000003</v>
      </c>
      <c r="H385" s="44">
        <v>41948.44</v>
      </c>
      <c r="I385" s="44">
        <v>41152.379999999997</v>
      </c>
      <c r="J385" s="44">
        <v>45328.59</v>
      </c>
      <c r="K385" t="s">
        <v>198</v>
      </c>
    </row>
    <row r="386" spans="1:11" ht="16.95" hidden="1" customHeight="1" x14ac:dyDescent="0.3">
      <c r="A386" s="42" t="s">
        <v>238</v>
      </c>
      <c r="B386" s="42" t="s">
        <v>239</v>
      </c>
      <c r="C386" s="42" t="s">
        <v>210</v>
      </c>
      <c r="D386" s="42" t="s">
        <v>285</v>
      </c>
      <c r="E386" s="42" t="s">
        <v>241</v>
      </c>
      <c r="F386" s="42" t="s">
        <v>252</v>
      </c>
      <c r="G386" s="44">
        <v>41034.99</v>
      </c>
      <c r="H386" s="44">
        <v>41120.639999999999</v>
      </c>
      <c r="I386" s="44">
        <v>35417.51</v>
      </c>
      <c r="J386" s="44">
        <v>44998.99</v>
      </c>
      <c r="K386" t="s">
        <v>198</v>
      </c>
    </row>
    <row r="387" spans="1:11" ht="16.95" hidden="1" customHeight="1" x14ac:dyDescent="0.3">
      <c r="A387" s="42" t="s">
        <v>238</v>
      </c>
      <c r="B387" s="42" t="s">
        <v>239</v>
      </c>
      <c r="C387" s="42" t="s">
        <v>210</v>
      </c>
      <c r="D387" s="42" t="s">
        <v>285</v>
      </c>
      <c r="E387" s="42" t="s">
        <v>241</v>
      </c>
      <c r="F387" s="42" t="s">
        <v>253</v>
      </c>
      <c r="G387" s="44">
        <v>38068.36</v>
      </c>
      <c r="H387" s="44">
        <v>41447.33</v>
      </c>
      <c r="I387" s="44">
        <v>33227.94</v>
      </c>
      <c r="J387" s="44">
        <v>43902.720000000001</v>
      </c>
      <c r="K387" t="s">
        <v>198</v>
      </c>
    </row>
    <row r="388" spans="1:11" ht="16.95" hidden="1" customHeight="1" x14ac:dyDescent="0.3">
      <c r="A388" s="42" t="s">
        <v>238</v>
      </c>
      <c r="B388" s="42" t="s">
        <v>239</v>
      </c>
      <c r="C388" s="42" t="s">
        <v>210</v>
      </c>
      <c r="D388" s="42" t="s">
        <v>286</v>
      </c>
      <c r="E388" s="42" t="s">
        <v>241</v>
      </c>
      <c r="F388" s="42" t="s">
        <v>242</v>
      </c>
      <c r="G388" t="s">
        <v>198</v>
      </c>
      <c r="H388" t="s">
        <v>198</v>
      </c>
      <c r="I388" t="s">
        <v>198</v>
      </c>
      <c r="J388" t="s">
        <v>198</v>
      </c>
      <c r="K388" s="44">
        <v>43134.58</v>
      </c>
    </row>
    <row r="389" spans="1:11" ht="16.95" hidden="1" customHeight="1" x14ac:dyDescent="0.3">
      <c r="A389" s="42" t="s">
        <v>238</v>
      </c>
      <c r="B389" s="42" t="s">
        <v>239</v>
      </c>
      <c r="C389" s="42" t="s">
        <v>210</v>
      </c>
      <c r="D389" s="42" t="s">
        <v>286</v>
      </c>
      <c r="E389" s="42" t="s">
        <v>241</v>
      </c>
      <c r="F389" s="42" t="s">
        <v>243</v>
      </c>
      <c r="G389" t="s">
        <v>198</v>
      </c>
      <c r="H389" t="s">
        <v>198</v>
      </c>
      <c r="I389" t="s">
        <v>198</v>
      </c>
      <c r="J389" t="s">
        <v>198</v>
      </c>
      <c r="K389" s="44">
        <v>49161.88</v>
      </c>
    </row>
    <row r="390" spans="1:11" ht="16.95" hidden="1" customHeight="1" x14ac:dyDescent="0.3">
      <c r="A390" s="42" t="s">
        <v>238</v>
      </c>
      <c r="B390" s="42" t="s">
        <v>239</v>
      </c>
      <c r="C390" s="42" t="s">
        <v>210</v>
      </c>
      <c r="D390" s="42" t="s">
        <v>286</v>
      </c>
      <c r="E390" s="42" t="s">
        <v>241</v>
      </c>
      <c r="F390" s="42" t="s">
        <v>244</v>
      </c>
      <c r="G390" t="s">
        <v>198</v>
      </c>
      <c r="H390" t="s">
        <v>198</v>
      </c>
      <c r="I390" t="s">
        <v>198</v>
      </c>
      <c r="J390" t="s">
        <v>198</v>
      </c>
      <c r="K390" s="44">
        <v>49403.88</v>
      </c>
    </row>
    <row r="391" spans="1:11" ht="16.95" hidden="1" customHeight="1" x14ac:dyDescent="0.3">
      <c r="A391" s="42" t="s">
        <v>238</v>
      </c>
      <c r="B391" s="42" t="s">
        <v>239</v>
      </c>
      <c r="C391" s="42" t="s">
        <v>210</v>
      </c>
      <c r="D391" s="42" t="s">
        <v>287</v>
      </c>
      <c r="E391" s="42" t="s">
        <v>241</v>
      </c>
      <c r="F391" s="42" t="s">
        <v>242</v>
      </c>
      <c r="G391" s="44">
        <v>32386.22</v>
      </c>
      <c r="H391" s="44">
        <v>35704.04</v>
      </c>
      <c r="I391" s="44">
        <v>42333.81</v>
      </c>
      <c r="J391" s="44">
        <v>37651.360000000001</v>
      </c>
      <c r="K391" s="44">
        <v>48282.31</v>
      </c>
    </row>
    <row r="392" spans="1:11" ht="16.95" hidden="1" customHeight="1" x14ac:dyDescent="0.3">
      <c r="A392" s="42" t="s">
        <v>238</v>
      </c>
      <c r="B392" s="42" t="s">
        <v>239</v>
      </c>
      <c r="C392" s="42" t="s">
        <v>210</v>
      </c>
      <c r="D392" s="42" t="s">
        <v>287</v>
      </c>
      <c r="E392" s="42" t="s">
        <v>241</v>
      </c>
      <c r="F392" s="42" t="s">
        <v>243</v>
      </c>
      <c r="G392" s="44">
        <v>33439.4</v>
      </c>
      <c r="H392" s="44">
        <v>35924.89</v>
      </c>
      <c r="I392" s="44">
        <v>37005.300000000003</v>
      </c>
      <c r="J392" s="44">
        <v>40718.86</v>
      </c>
      <c r="K392" s="44">
        <v>59084.92</v>
      </c>
    </row>
    <row r="393" spans="1:11" ht="16.95" hidden="1" customHeight="1" x14ac:dyDescent="0.3">
      <c r="A393" s="42" t="s">
        <v>238</v>
      </c>
      <c r="B393" s="42" t="s">
        <v>239</v>
      </c>
      <c r="C393" s="42" t="s">
        <v>210</v>
      </c>
      <c r="D393" s="42" t="s">
        <v>287</v>
      </c>
      <c r="E393" s="42" t="s">
        <v>241</v>
      </c>
      <c r="F393" s="42" t="s">
        <v>244</v>
      </c>
      <c r="G393" s="44">
        <v>38589.339999999997</v>
      </c>
      <c r="H393" s="44">
        <v>35584.71</v>
      </c>
      <c r="I393" s="44">
        <v>42657.91</v>
      </c>
      <c r="J393" s="44">
        <v>42090.14</v>
      </c>
      <c r="K393" s="44">
        <v>58051.33</v>
      </c>
    </row>
    <row r="394" spans="1:11" ht="16.95" hidden="1" customHeight="1" x14ac:dyDescent="0.3">
      <c r="A394" s="42" t="s">
        <v>238</v>
      </c>
      <c r="B394" s="42" t="s">
        <v>239</v>
      </c>
      <c r="C394" s="42" t="s">
        <v>210</v>
      </c>
      <c r="D394" s="42" t="s">
        <v>287</v>
      </c>
      <c r="E394" s="42" t="s">
        <v>241</v>
      </c>
      <c r="F394" s="42" t="s">
        <v>245</v>
      </c>
      <c r="G394" s="44">
        <v>33153.74</v>
      </c>
      <c r="H394" s="44">
        <v>36303.06</v>
      </c>
      <c r="I394" s="44">
        <v>41471.410000000003</v>
      </c>
      <c r="J394" s="44">
        <v>41549.78</v>
      </c>
      <c r="K394" t="s">
        <v>198</v>
      </c>
    </row>
    <row r="395" spans="1:11" ht="16.95" hidden="1" customHeight="1" x14ac:dyDescent="0.3">
      <c r="A395" s="42" t="s">
        <v>238</v>
      </c>
      <c r="B395" s="42" t="s">
        <v>239</v>
      </c>
      <c r="C395" s="42" t="s">
        <v>210</v>
      </c>
      <c r="D395" s="42" t="s">
        <v>287</v>
      </c>
      <c r="E395" s="42" t="s">
        <v>241</v>
      </c>
      <c r="F395" s="42" t="s">
        <v>246</v>
      </c>
      <c r="G395" s="44">
        <v>33164.75</v>
      </c>
      <c r="H395" s="44">
        <v>39934.49</v>
      </c>
      <c r="I395" s="43">
        <v>40000</v>
      </c>
      <c r="J395" s="44">
        <v>37283.980000000003</v>
      </c>
      <c r="K395" t="s">
        <v>198</v>
      </c>
    </row>
    <row r="396" spans="1:11" ht="16.95" hidden="1" customHeight="1" x14ac:dyDescent="0.3">
      <c r="A396" s="42" t="s">
        <v>238</v>
      </c>
      <c r="B396" s="42" t="s">
        <v>239</v>
      </c>
      <c r="C396" s="42" t="s">
        <v>210</v>
      </c>
      <c r="D396" s="42" t="s">
        <v>287</v>
      </c>
      <c r="E396" s="42" t="s">
        <v>241</v>
      </c>
      <c r="F396" s="42" t="s">
        <v>247</v>
      </c>
      <c r="G396" s="44">
        <v>32722.85</v>
      </c>
      <c r="H396" s="44">
        <v>40089.96</v>
      </c>
      <c r="I396" s="43">
        <v>38000</v>
      </c>
      <c r="J396" s="44">
        <v>36925.440000000002</v>
      </c>
      <c r="K396" t="s">
        <v>198</v>
      </c>
    </row>
    <row r="397" spans="1:11" ht="16.95" hidden="1" customHeight="1" x14ac:dyDescent="0.3">
      <c r="A397" s="42" t="s">
        <v>238</v>
      </c>
      <c r="B397" s="42" t="s">
        <v>239</v>
      </c>
      <c r="C397" s="42" t="s">
        <v>210</v>
      </c>
      <c r="D397" s="42" t="s">
        <v>287</v>
      </c>
      <c r="E397" s="42" t="s">
        <v>241</v>
      </c>
      <c r="F397" s="42" t="s">
        <v>248</v>
      </c>
      <c r="G397" s="44">
        <v>32524.66</v>
      </c>
      <c r="H397" s="44">
        <v>40971.35</v>
      </c>
      <c r="I397" s="43">
        <v>40000</v>
      </c>
      <c r="J397" s="44">
        <v>40096.07</v>
      </c>
      <c r="K397" t="s">
        <v>198</v>
      </c>
    </row>
    <row r="398" spans="1:11" ht="16.95" hidden="1" customHeight="1" x14ac:dyDescent="0.3">
      <c r="A398" s="42" t="s">
        <v>238</v>
      </c>
      <c r="B398" s="42" t="s">
        <v>239</v>
      </c>
      <c r="C398" s="42" t="s">
        <v>210</v>
      </c>
      <c r="D398" s="42" t="s">
        <v>287</v>
      </c>
      <c r="E398" s="42" t="s">
        <v>241</v>
      </c>
      <c r="F398" s="42" t="s">
        <v>249</v>
      </c>
      <c r="G398" s="44">
        <v>32585.34</v>
      </c>
      <c r="H398" s="44">
        <v>40022.47</v>
      </c>
      <c r="I398" s="43">
        <v>38000</v>
      </c>
      <c r="J398" s="44">
        <v>39508.75</v>
      </c>
      <c r="K398" t="s">
        <v>198</v>
      </c>
    </row>
    <row r="399" spans="1:11" ht="16.95" hidden="1" customHeight="1" x14ac:dyDescent="0.3">
      <c r="A399" s="42" t="s">
        <v>238</v>
      </c>
      <c r="B399" s="42" t="s">
        <v>239</v>
      </c>
      <c r="C399" s="42" t="s">
        <v>210</v>
      </c>
      <c r="D399" s="42" t="s">
        <v>287</v>
      </c>
      <c r="E399" s="42" t="s">
        <v>241</v>
      </c>
      <c r="F399" s="42" t="s">
        <v>250</v>
      </c>
      <c r="G399" s="44">
        <v>32593.15</v>
      </c>
      <c r="H399" s="44">
        <v>40058.53</v>
      </c>
      <c r="I399" s="43">
        <v>39000</v>
      </c>
      <c r="J399" s="44">
        <v>38656.06</v>
      </c>
      <c r="K399" t="s">
        <v>198</v>
      </c>
    </row>
    <row r="400" spans="1:11" ht="16.95" hidden="1" customHeight="1" x14ac:dyDescent="0.3">
      <c r="A400" s="42" t="s">
        <v>238</v>
      </c>
      <c r="B400" s="42" t="s">
        <v>239</v>
      </c>
      <c r="C400" s="42" t="s">
        <v>210</v>
      </c>
      <c r="D400" s="42" t="s">
        <v>287</v>
      </c>
      <c r="E400" s="42" t="s">
        <v>241</v>
      </c>
      <c r="F400" s="42" t="s">
        <v>251</v>
      </c>
      <c r="G400" s="44">
        <v>32677.3</v>
      </c>
      <c r="H400" s="44">
        <v>40336.629999999997</v>
      </c>
      <c r="I400" s="43">
        <v>39000</v>
      </c>
      <c r="J400" s="44">
        <v>41670.65</v>
      </c>
      <c r="K400" t="s">
        <v>198</v>
      </c>
    </row>
    <row r="401" spans="1:11" ht="16.95" hidden="1" customHeight="1" x14ac:dyDescent="0.3">
      <c r="A401" s="42" t="s">
        <v>238</v>
      </c>
      <c r="B401" s="42" t="s">
        <v>239</v>
      </c>
      <c r="C401" s="42" t="s">
        <v>210</v>
      </c>
      <c r="D401" s="42" t="s">
        <v>287</v>
      </c>
      <c r="E401" s="42" t="s">
        <v>241</v>
      </c>
      <c r="F401" s="42" t="s">
        <v>252</v>
      </c>
      <c r="G401" s="44">
        <v>32541.4</v>
      </c>
      <c r="H401" s="44">
        <v>42698.9</v>
      </c>
      <c r="I401" s="43">
        <v>39000</v>
      </c>
      <c r="J401" s="44">
        <v>40878.1</v>
      </c>
      <c r="K401" t="s">
        <v>198</v>
      </c>
    </row>
    <row r="402" spans="1:11" ht="16.95" hidden="1" customHeight="1" x14ac:dyDescent="0.3">
      <c r="A402" s="42" t="s">
        <v>238</v>
      </c>
      <c r="B402" s="42" t="s">
        <v>239</v>
      </c>
      <c r="C402" s="42" t="s">
        <v>210</v>
      </c>
      <c r="D402" s="42" t="s">
        <v>287</v>
      </c>
      <c r="E402" s="42" t="s">
        <v>241</v>
      </c>
      <c r="F402" s="42" t="s">
        <v>253</v>
      </c>
      <c r="G402" s="44">
        <v>32552.86</v>
      </c>
      <c r="H402" s="44">
        <v>42874.9</v>
      </c>
      <c r="I402" s="44">
        <v>37050.080000000002</v>
      </c>
      <c r="J402" s="44">
        <v>46164.37</v>
      </c>
      <c r="K402" t="s">
        <v>198</v>
      </c>
    </row>
    <row r="403" spans="1:11" ht="16.95" hidden="1" customHeight="1" x14ac:dyDescent="0.3">
      <c r="A403" s="42" t="s">
        <v>238</v>
      </c>
      <c r="B403" s="42" t="s">
        <v>239</v>
      </c>
      <c r="C403" s="42" t="s">
        <v>210</v>
      </c>
      <c r="D403" s="42" t="s">
        <v>288</v>
      </c>
      <c r="E403" s="42" t="s">
        <v>241</v>
      </c>
      <c r="F403" s="42" t="s">
        <v>242</v>
      </c>
      <c r="G403" t="s">
        <v>198</v>
      </c>
      <c r="H403" t="s">
        <v>198</v>
      </c>
      <c r="I403" t="s">
        <v>198</v>
      </c>
      <c r="J403" t="s">
        <v>198</v>
      </c>
      <c r="K403" s="44">
        <v>390057.48</v>
      </c>
    </row>
    <row r="404" spans="1:11" ht="16.95" hidden="1" customHeight="1" x14ac:dyDescent="0.3">
      <c r="A404" s="42" t="s">
        <v>238</v>
      </c>
      <c r="B404" s="42" t="s">
        <v>239</v>
      </c>
      <c r="C404" s="42" t="s">
        <v>210</v>
      </c>
      <c r="D404" s="42" t="s">
        <v>288</v>
      </c>
      <c r="E404" s="42" t="s">
        <v>241</v>
      </c>
      <c r="F404" s="42" t="s">
        <v>243</v>
      </c>
      <c r="G404" t="s">
        <v>198</v>
      </c>
      <c r="H404" t="s">
        <v>198</v>
      </c>
      <c r="I404" t="s">
        <v>198</v>
      </c>
      <c r="J404" t="s">
        <v>198</v>
      </c>
      <c r="K404" s="44">
        <v>286092.89</v>
      </c>
    </row>
    <row r="405" spans="1:11" ht="16.95" hidden="1" customHeight="1" x14ac:dyDescent="0.3">
      <c r="A405" s="42" t="s">
        <v>238</v>
      </c>
      <c r="B405" s="42" t="s">
        <v>239</v>
      </c>
      <c r="C405" s="42" t="s">
        <v>210</v>
      </c>
      <c r="D405" s="42" t="s">
        <v>288</v>
      </c>
      <c r="E405" s="42" t="s">
        <v>241</v>
      </c>
      <c r="F405" s="42" t="s">
        <v>244</v>
      </c>
      <c r="G405" t="s">
        <v>198</v>
      </c>
      <c r="H405" t="s">
        <v>198</v>
      </c>
      <c r="I405" t="s">
        <v>198</v>
      </c>
      <c r="J405" t="s">
        <v>198</v>
      </c>
      <c r="K405" s="44">
        <v>291204.71999999997</v>
      </c>
    </row>
    <row r="406" spans="1:11" ht="16.95" hidden="1" customHeight="1" x14ac:dyDescent="0.3">
      <c r="A406" s="42" t="s">
        <v>238</v>
      </c>
      <c r="B406" s="42" t="s">
        <v>239</v>
      </c>
      <c r="C406" s="42" t="s">
        <v>210</v>
      </c>
      <c r="D406" s="42" t="s">
        <v>289</v>
      </c>
      <c r="E406" s="42" t="s">
        <v>241</v>
      </c>
      <c r="F406" s="42" t="s">
        <v>242</v>
      </c>
      <c r="G406" s="44">
        <v>45916.3</v>
      </c>
      <c r="H406" s="44">
        <v>46781.64</v>
      </c>
      <c r="I406" s="44">
        <v>60040.42</v>
      </c>
      <c r="J406" s="44">
        <v>59932.08</v>
      </c>
      <c r="K406" s="44">
        <v>63615.85</v>
      </c>
    </row>
    <row r="407" spans="1:11" ht="16.95" hidden="1" customHeight="1" x14ac:dyDescent="0.3">
      <c r="A407" s="42" t="s">
        <v>238</v>
      </c>
      <c r="B407" s="42" t="s">
        <v>239</v>
      </c>
      <c r="C407" s="42" t="s">
        <v>210</v>
      </c>
      <c r="D407" s="42" t="s">
        <v>289</v>
      </c>
      <c r="E407" s="42" t="s">
        <v>241</v>
      </c>
      <c r="F407" s="42" t="s">
        <v>243</v>
      </c>
      <c r="G407" s="44">
        <v>44718.01</v>
      </c>
      <c r="H407" s="44">
        <v>58479.35</v>
      </c>
      <c r="I407" s="44">
        <v>59703.040000000001</v>
      </c>
      <c r="J407" s="44">
        <v>59325.06</v>
      </c>
      <c r="K407" s="44">
        <v>68683.02</v>
      </c>
    </row>
    <row r="408" spans="1:11" ht="16.95" hidden="1" customHeight="1" x14ac:dyDescent="0.3">
      <c r="A408" s="42" t="s">
        <v>238</v>
      </c>
      <c r="B408" s="42" t="s">
        <v>239</v>
      </c>
      <c r="C408" s="42" t="s">
        <v>210</v>
      </c>
      <c r="D408" s="42" t="s">
        <v>289</v>
      </c>
      <c r="E408" s="42" t="s">
        <v>241</v>
      </c>
      <c r="F408" s="42" t="s">
        <v>244</v>
      </c>
      <c r="G408" s="44">
        <v>44914.18</v>
      </c>
      <c r="H408" s="44">
        <v>57452.14</v>
      </c>
      <c r="I408" s="44">
        <v>59981.91</v>
      </c>
      <c r="J408" s="44">
        <v>58874.55</v>
      </c>
      <c r="K408" s="44">
        <v>74379.72</v>
      </c>
    </row>
    <row r="409" spans="1:11" ht="16.95" hidden="1" customHeight="1" x14ac:dyDescent="0.3">
      <c r="A409" s="42" t="s">
        <v>238</v>
      </c>
      <c r="B409" s="42" t="s">
        <v>239</v>
      </c>
      <c r="C409" s="42" t="s">
        <v>210</v>
      </c>
      <c r="D409" s="42" t="s">
        <v>289</v>
      </c>
      <c r="E409" s="42" t="s">
        <v>241</v>
      </c>
      <c r="F409" s="42" t="s">
        <v>245</v>
      </c>
      <c r="G409" s="44">
        <v>45002.85</v>
      </c>
      <c r="H409" s="44">
        <v>59315.02</v>
      </c>
      <c r="I409" s="44">
        <v>59515.99</v>
      </c>
      <c r="J409" s="44">
        <v>61955.360000000001</v>
      </c>
      <c r="K409" t="s">
        <v>198</v>
      </c>
    </row>
    <row r="410" spans="1:11" ht="16.95" hidden="1" customHeight="1" x14ac:dyDescent="0.3">
      <c r="A410" s="42" t="s">
        <v>238</v>
      </c>
      <c r="B410" s="42" t="s">
        <v>239</v>
      </c>
      <c r="C410" s="42" t="s">
        <v>210</v>
      </c>
      <c r="D410" s="42" t="s">
        <v>289</v>
      </c>
      <c r="E410" s="42" t="s">
        <v>241</v>
      </c>
      <c r="F410" s="42" t="s">
        <v>246</v>
      </c>
      <c r="G410" s="44">
        <v>46718.27</v>
      </c>
      <c r="H410" s="44">
        <v>59270.28</v>
      </c>
      <c r="I410" s="44">
        <v>59279.03</v>
      </c>
      <c r="J410" s="44">
        <v>60982.03</v>
      </c>
      <c r="K410" t="s">
        <v>198</v>
      </c>
    </row>
    <row r="411" spans="1:11" ht="16.95" hidden="1" customHeight="1" x14ac:dyDescent="0.3">
      <c r="A411" s="42" t="s">
        <v>238</v>
      </c>
      <c r="B411" s="42" t="s">
        <v>239</v>
      </c>
      <c r="C411" s="42" t="s">
        <v>210</v>
      </c>
      <c r="D411" s="42" t="s">
        <v>289</v>
      </c>
      <c r="E411" s="42" t="s">
        <v>241</v>
      </c>
      <c r="F411" s="42" t="s">
        <v>247</v>
      </c>
      <c r="G411" s="44">
        <v>42633.25</v>
      </c>
      <c r="H411" s="44">
        <v>57489.37</v>
      </c>
      <c r="I411" s="44">
        <v>58675.95</v>
      </c>
      <c r="J411" s="44">
        <v>62336.79</v>
      </c>
      <c r="K411" t="s">
        <v>198</v>
      </c>
    </row>
    <row r="412" spans="1:11" ht="16.95" hidden="1" customHeight="1" x14ac:dyDescent="0.3">
      <c r="A412" s="42" t="s">
        <v>238</v>
      </c>
      <c r="B412" s="42" t="s">
        <v>239</v>
      </c>
      <c r="C412" s="42" t="s">
        <v>210</v>
      </c>
      <c r="D412" s="42" t="s">
        <v>289</v>
      </c>
      <c r="E412" s="42" t="s">
        <v>241</v>
      </c>
      <c r="F412" s="42" t="s">
        <v>248</v>
      </c>
      <c r="G412" s="44">
        <v>43499.69</v>
      </c>
      <c r="H412" s="44">
        <v>59346.31</v>
      </c>
      <c r="I412" s="44">
        <v>58671.15</v>
      </c>
      <c r="J412" s="44">
        <v>61361.51</v>
      </c>
      <c r="K412" t="s">
        <v>198</v>
      </c>
    </row>
    <row r="413" spans="1:11" ht="16.95" hidden="1" customHeight="1" x14ac:dyDescent="0.3">
      <c r="A413" s="42" t="s">
        <v>238</v>
      </c>
      <c r="B413" s="42" t="s">
        <v>239</v>
      </c>
      <c r="C413" s="42" t="s">
        <v>210</v>
      </c>
      <c r="D413" s="42" t="s">
        <v>289</v>
      </c>
      <c r="E413" s="42" t="s">
        <v>241</v>
      </c>
      <c r="F413" s="42" t="s">
        <v>249</v>
      </c>
      <c r="G413" s="44">
        <v>44415.28</v>
      </c>
      <c r="H413" s="44">
        <v>57573.46</v>
      </c>
      <c r="I413" s="43">
        <v>58026</v>
      </c>
      <c r="J413" s="44">
        <v>62571.08</v>
      </c>
      <c r="K413" t="s">
        <v>198</v>
      </c>
    </row>
    <row r="414" spans="1:11" ht="16.95" hidden="1" customHeight="1" x14ac:dyDescent="0.3">
      <c r="A414" s="42" t="s">
        <v>238</v>
      </c>
      <c r="B414" s="42" t="s">
        <v>239</v>
      </c>
      <c r="C414" s="42" t="s">
        <v>210</v>
      </c>
      <c r="D414" s="42" t="s">
        <v>289</v>
      </c>
      <c r="E414" s="42" t="s">
        <v>241</v>
      </c>
      <c r="F414" s="42" t="s">
        <v>250</v>
      </c>
      <c r="G414" s="44">
        <v>47057.37</v>
      </c>
      <c r="H414" s="44">
        <v>59190.89</v>
      </c>
      <c r="I414" s="44">
        <v>56960.6</v>
      </c>
      <c r="J414" s="44">
        <v>62934.04</v>
      </c>
      <c r="K414" t="s">
        <v>198</v>
      </c>
    </row>
    <row r="415" spans="1:11" ht="16.95" hidden="1" customHeight="1" x14ac:dyDescent="0.3">
      <c r="A415" s="42" t="s">
        <v>238</v>
      </c>
      <c r="B415" s="42" t="s">
        <v>239</v>
      </c>
      <c r="C415" s="42" t="s">
        <v>210</v>
      </c>
      <c r="D415" s="42" t="s">
        <v>289</v>
      </c>
      <c r="E415" s="42" t="s">
        <v>241</v>
      </c>
      <c r="F415" s="42" t="s">
        <v>251</v>
      </c>
      <c r="G415" s="44">
        <v>48578.77</v>
      </c>
      <c r="H415" s="44">
        <v>60081.73</v>
      </c>
      <c r="I415" s="44">
        <v>58590.38</v>
      </c>
      <c r="J415" s="44">
        <v>61126.42</v>
      </c>
      <c r="K415" t="s">
        <v>198</v>
      </c>
    </row>
    <row r="416" spans="1:11" ht="16.95" hidden="1" customHeight="1" x14ac:dyDescent="0.3">
      <c r="A416" s="42" t="s">
        <v>238</v>
      </c>
      <c r="B416" s="42" t="s">
        <v>239</v>
      </c>
      <c r="C416" s="42" t="s">
        <v>210</v>
      </c>
      <c r="D416" s="42" t="s">
        <v>289</v>
      </c>
      <c r="E416" s="42" t="s">
        <v>241</v>
      </c>
      <c r="F416" s="42" t="s">
        <v>252</v>
      </c>
      <c r="G416" s="44">
        <v>46890.55</v>
      </c>
      <c r="H416" s="44">
        <v>60757.67</v>
      </c>
      <c r="I416" s="44">
        <v>58342.96</v>
      </c>
      <c r="J416" s="44">
        <v>61502.62</v>
      </c>
      <c r="K416" t="s">
        <v>198</v>
      </c>
    </row>
    <row r="417" spans="1:11" ht="16.95" hidden="1" customHeight="1" x14ac:dyDescent="0.3">
      <c r="A417" s="42" t="s">
        <v>238</v>
      </c>
      <c r="B417" s="42" t="s">
        <v>239</v>
      </c>
      <c r="C417" s="42" t="s">
        <v>210</v>
      </c>
      <c r="D417" s="42" t="s">
        <v>289</v>
      </c>
      <c r="E417" s="42" t="s">
        <v>241</v>
      </c>
      <c r="F417" s="42" t="s">
        <v>253</v>
      </c>
      <c r="G417" s="44">
        <v>46484.19</v>
      </c>
      <c r="H417" s="44">
        <v>60750.75</v>
      </c>
      <c r="I417" s="44">
        <v>59775.19</v>
      </c>
      <c r="J417" s="44">
        <v>64967.53</v>
      </c>
      <c r="K417" t="s">
        <v>198</v>
      </c>
    </row>
    <row r="418" spans="1:11" ht="16.95" hidden="1" customHeight="1" x14ac:dyDescent="0.3">
      <c r="A418" s="42" t="s">
        <v>238</v>
      </c>
      <c r="B418" s="42" t="s">
        <v>239</v>
      </c>
      <c r="C418" s="42" t="s">
        <v>210</v>
      </c>
      <c r="D418" s="42" t="s">
        <v>290</v>
      </c>
      <c r="E418" s="42" t="s">
        <v>241</v>
      </c>
      <c r="F418" s="42" t="s">
        <v>242</v>
      </c>
      <c r="G418" s="44">
        <v>36906.81</v>
      </c>
      <c r="H418" s="44">
        <v>40346.5</v>
      </c>
      <c r="I418" s="44">
        <v>41746.78</v>
      </c>
      <c r="J418" s="44">
        <v>38847.31</v>
      </c>
      <c r="K418" s="44">
        <v>46519.24</v>
      </c>
    </row>
    <row r="419" spans="1:11" ht="16.95" hidden="1" customHeight="1" x14ac:dyDescent="0.3">
      <c r="A419" s="42" t="s">
        <v>238</v>
      </c>
      <c r="B419" s="42" t="s">
        <v>239</v>
      </c>
      <c r="C419" s="42" t="s">
        <v>210</v>
      </c>
      <c r="D419" s="42" t="s">
        <v>290</v>
      </c>
      <c r="E419" s="42" t="s">
        <v>241</v>
      </c>
      <c r="F419" s="42" t="s">
        <v>243</v>
      </c>
      <c r="G419" s="44">
        <v>40031.58</v>
      </c>
      <c r="H419" s="44">
        <v>38485.75</v>
      </c>
      <c r="I419" s="44">
        <v>39268.980000000003</v>
      </c>
      <c r="J419" s="44">
        <v>38057.5</v>
      </c>
      <c r="K419" s="44">
        <v>51874.31</v>
      </c>
    </row>
    <row r="420" spans="1:11" ht="16.95" hidden="1" customHeight="1" x14ac:dyDescent="0.3">
      <c r="A420" s="42" t="s">
        <v>238</v>
      </c>
      <c r="B420" s="42" t="s">
        <v>239</v>
      </c>
      <c r="C420" s="42" t="s">
        <v>210</v>
      </c>
      <c r="D420" s="42" t="s">
        <v>290</v>
      </c>
      <c r="E420" s="42" t="s">
        <v>241</v>
      </c>
      <c r="F420" s="42" t="s">
        <v>244</v>
      </c>
      <c r="G420" s="44">
        <v>42680.41</v>
      </c>
      <c r="H420" s="44">
        <v>41196.58</v>
      </c>
      <c r="I420" s="44">
        <v>40105.47</v>
      </c>
      <c r="J420" s="44">
        <v>37899.760000000002</v>
      </c>
      <c r="K420" s="44">
        <v>56971.24</v>
      </c>
    </row>
    <row r="421" spans="1:11" ht="16.95" hidden="1" customHeight="1" x14ac:dyDescent="0.3">
      <c r="A421" s="42" t="s">
        <v>238</v>
      </c>
      <c r="B421" s="42" t="s">
        <v>239</v>
      </c>
      <c r="C421" s="42" t="s">
        <v>210</v>
      </c>
      <c r="D421" s="42" t="s">
        <v>290</v>
      </c>
      <c r="E421" s="42" t="s">
        <v>241</v>
      </c>
      <c r="F421" s="42" t="s">
        <v>245</v>
      </c>
      <c r="G421" s="44">
        <v>41201.51</v>
      </c>
      <c r="H421" s="44">
        <v>40981.32</v>
      </c>
      <c r="I421" s="44">
        <v>41174.5</v>
      </c>
      <c r="J421" s="44">
        <v>41355.599999999999</v>
      </c>
      <c r="K421" t="s">
        <v>198</v>
      </c>
    </row>
    <row r="422" spans="1:11" ht="16.95" hidden="1" customHeight="1" x14ac:dyDescent="0.3">
      <c r="A422" s="42" t="s">
        <v>238</v>
      </c>
      <c r="B422" s="42" t="s">
        <v>239</v>
      </c>
      <c r="C422" s="42" t="s">
        <v>210</v>
      </c>
      <c r="D422" s="42" t="s">
        <v>290</v>
      </c>
      <c r="E422" s="42" t="s">
        <v>241</v>
      </c>
      <c r="F422" s="42" t="s">
        <v>246</v>
      </c>
      <c r="G422" s="44">
        <v>39903.629999999997</v>
      </c>
      <c r="H422" s="44">
        <v>41963.66</v>
      </c>
      <c r="I422" s="44">
        <v>43266.68</v>
      </c>
      <c r="J422" s="44">
        <v>40108.86</v>
      </c>
      <c r="K422" t="s">
        <v>198</v>
      </c>
    </row>
    <row r="423" spans="1:11" ht="16.95" hidden="1" customHeight="1" x14ac:dyDescent="0.3">
      <c r="A423" s="42" t="s">
        <v>238</v>
      </c>
      <c r="B423" s="42" t="s">
        <v>239</v>
      </c>
      <c r="C423" s="42" t="s">
        <v>210</v>
      </c>
      <c r="D423" s="42" t="s">
        <v>290</v>
      </c>
      <c r="E423" s="42" t="s">
        <v>241</v>
      </c>
      <c r="F423" s="42" t="s">
        <v>247</v>
      </c>
      <c r="G423" s="43">
        <v>35659</v>
      </c>
      <c r="H423" s="44">
        <v>42139.46</v>
      </c>
      <c r="I423" s="44">
        <v>41785.68</v>
      </c>
      <c r="J423" s="44">
        <v>38133.300000000003</v>
      </c>
      <c r="K423" t="s">
        <v>198</v>
      </c>
    </row>
    <row r="424" spans="1:11" ht="16.95" hidden="1" customHeight="1" x14ac:dyDescent="0.3">
      <c r="A424" s="42" t="s">
        <v>238</v>
      </c>
      <c r="B424" s="42" t="s">
        <v>239</v>
      </c>
      <c r="C424" s="42" t="s">
        <v>210</v>
      </c>
      <c r="D424" s="42" t="s">
        <v>290</v>
      </c>
      <c r="E424" s="42" t="s">
        <v>241</v>
      </c>
      <c r="F424" s="42" t="s">
        <v>248</v>
      </c>
      <c r="G424" s="44">
        <v>35657.18</v>
      </c>
      <c r="H424" s="44">
        <v>41140.46</v>
      </c>
      <c r="I424" s="44">
        <v>42077.93</v>
      </c>
      <c r="J424" s="44">
        <v>37495.31</v>
      </c>
      <c r="K424" t="s">
        <v>198</v>
      </c>
    </row>
    <row r="425" spans="1:11" ht="16.95" hidden="1" customHeight="1" x14ac:dyDescent="0.3">
      <c r="A425" s="42" t="s">
        <v>238</v>
      </c>
      <c r="B425" s="42" t="s">
        <v>239</v>
      </c>
      <c r="C425" s="42" t="s">
        <v>210</v>
      </c>
      <c r="D425" s="42" t="s">
        <v>290</v>
      </c>
      <c r="E425" s="42" t="s">
        <v>241</v>
      </c>
      <c r="F425" s="42" t="s">
        <v>249</v>
      </c>
      <c r="G425" s="44">
        <v>36469.910000000003</v>
      </c>
      <c r="H425" s="44">
        <v>39977.01</v>
      </c>
      <c r="I425" s="44">
        <v>43650.75</v>
      </c>
      <c r="J425" s="44">
        <v>37363.15</v>
      </c>
      <c r="K425" t="s">
        <v>198</v>
      </c>
    </row>
    <row r="426" spans="1:11" ht="16.95" hidden="1" customHeight="1" x14ac:dyDescent="0.3">
      <c r="A426" s="42" t="s">
        <v>238</v>
      </c>
      <c r="B426" s="42" t="s">
        <v>239</v>
      </c>
      <c r="C426" s="42" t="s">
        <v>210</v>
      </c>
      <c r="D426" s="42" t="s">
        <v>290</v>
      </c>
      <c r="E426" s="42" t="s">
        <v>241</v>
      </c>
      <c r="F426" s="42" t="s">
        <v>250</v>
      </c>
      <c r="G426" s="44">
        <v>35817.040000000001</v>
      </c>
      <c r="H426" s="44">
        <v>41621.19</v>
      </c>
      <c r="I426" s="44">
        <v>41565.599999999999</v>
      </c>
      <c r="J426" s="44">
        <v>38510.44</v>
      </c>
      <c r="K426" t="s">
        <v>198</v>
      </c>
    </row>
    <row r="427" spans="1:11" ht="16.95" hidden="1" customHeight="1" x14ac:dyDescent="0.3">
      <c r="A427" s="42" t="s">
        <v>238</v>
      </c>
      <c r="B427" s="42" t="s">
        <v>239</v>
      </c>
      <c r="C427" s="42" t="s">
        <v>210</v>
      </c>
      <c r="D427" s="42" t="s">
        <v>290</v>
      </c>
      <c r="E427" s="42" t="s">
        <v>241</v>
      </c>
      <c r="F427" s="42" t="s">
        <v>251</v>
      </c>
      <c r="G427" s="44">
        <v>38383.79</v>
      </c>
      <c r="H427" s="44">
        <v>43235.3</v>
      </c>
      <c r="I427" s="44">
        <v>42425.42</v>
      </c>
      <c r="J427" s="44">
        <v>42743.9</v>
      </c>
      <c r="K427" t="s">
        <v>198</v>
      </c>
    </row>
    <row r="428" spans="1:11" ht="16.95" hidden="1" customHeight="1" x14ac:dyDescent="0.3">
      <c r="A428" s="42" t="s">
        <v>238</v>
      </c>
      <c r="B428" s="42" t="s">
        <v>239</v>
      </c>
      <c r="C428" s="42" t="s">
        <v>210</v>
      </c>
      <c r="D428" s="42" t="s">
        <v>290</v>
      </c>
      <c r="E428" s="42" t="s">
        <v>241</v>
      </c>
      <c r="F428" s="42" t="s">
        <v>252</v>
      </c>
      <c r="G428" s="44">
        <v>41605.65</v>
      </c>
      <c r="H428" s="44">
        <v>42740.85</v>
      </c>
      <c r="I428" s="44">
        <v>44489.03</v>
      </c>
      <c r="J428" s="44">
        <v>42564.82</v>
      </c>
      <c r="K428" t="s">
        <v>198</v>
      </c>
    </row>
    <row r="429" spans="1:11" ht="16.95" hidden="1" customHeight="1" x14ac:dyDescent="0.3">
      <c r="A429" s="42" t="s">
        <v>238</v>
      </c>
      <c r="B429" s="42" t="s">
        <v>239</v>
      </c>
      <c r="C429" s="42" t="s">
        <v>210</v>
      </c>
      <c r="D429" s="42" t="s">
        <v>290</v>
      </c>
      <c r="E429" s="42" t="s">
        <v>241</v>
      </c>
      <c r="F429" s="42" t="s">
        <v>253</v>
      </c>
      <c r="G429" s="44">
        <v>41764.61</v>
      </c>
      <c r="H429" s="44">
        <v>42353.42</v>
      </c>
      <c r="I429" s="44">
        <v>41631.230000000003</v>
      </c>
      <c r="J429" s="44">
        <v>44231.32</v>
      </c>
      <c r="K429" t="s">
        <v>198</v>
      </c>
    </row>
    <row r="430" spans="1:11" ht="16.95" hidden="1" customHeight="1" x14ac:dyDescent="0.3">
      <c r="A430" s="42" t="s">
        <v>238</v>
      </c>
      <c r="B430" s="42" t="s">
        <v>239</v>
      </c>
      <c r="C430" s="42" t="s">
        <v>210</v>
      </c>
      <c r="D430" s="42" t="s">
        <v>291</v>
      </c>
      <c r="E430" s="42" t="s">
        <v>241</v>
      </c>
      <c r="F430" s="42" t="s">
        <v>242</v>
      </c>
      <c r="G430" s="44">
        <v>54301.79</v>
      </c>
      <c r="H430" s="44">
        <v>60107.57</v>
      </c>
      <c r="I430" s="44">
        <v>66370.679999999993</v>
      </c>
      <c r="J430" s="44">
        <v>55222.49</v>
      </c>
      <c r="K430" s="44">
        <v>58338.33</v>
      </c>
    </row>
    <row r="431" spans="1:11" ht="16.95" hidden="1" customHeight="1" x14ac:dyDescent="0.3">
      <c r="A431" s="42" t="s">
        <v>238</v>
      </c>
      <c r="B431" s="42" t="s">
        <v>239</v>
      </c>
      <c r="C431" s="42" t="s">
        <v>210</v>
      </c>
      <c r="D431" s="42" t="s">
        <v>291</v>
      </c>
      <c r="E431" s="42" t="s">
        <v>241</v>
      </c>
      <c r="F431" s="42" t="s">
        <v>243</v>
      </c>
      <c r="G431" s="44">
        <v>52772.88</v>
      </c>
      <c r="H431" s="44">
        <v>52392.82</v>
      </c>
      <c r="I431" s="44">
        <v>61767.24</v>
      </c>
      <c r="J431" s="44">
        <v>52621.41</v>
      </c>
      <c r="K431" s="44">
        <v>68241.070000000007</v>
      </c>
    </row>
    <row r="432" spans="1:11" ht="16.95" hidden="1" customHeight="1" x14ac:dyDescent="0.3">
      <c r="A432" s="42" t="s">
        <v>238</v>
      </c>
      <c r="B432" s="42" t="s">
        <v>239</v>
      </c>
      <c r="C432" s="42" t="s">
        <v>210</v>
      </c>
      <c r="D432" s="42" t="s">
        <v>291</v>
      </c>
      <c r="E432" s="42" t="s">
        <v>241</v>
      </c>
      <c r="F432" s="42" t="s">
        <v>244</v>
      </c>
      <c r="G432" s="44">
        <v>53831.37</v>
      </c>
      <c r="H432" s="44">
        <v>55313.48</v>
      </c>
      <c r="I432" s="44">
        <v>60455.43</v>
      </c>
      <c r="J432" s="44">
        <v>57694.65</v>
      </c>
      <c r="K432" s="44">
        <v>71097.77</v>
      </c>
    </row>
    <row r="433" spans="1:11" ht="16.95" hidden="1" customHeight="1" x14ac:dyDescent="0.3">
      <c r="A433" s="42" t="s">
        <v>238</v>
      </c>
      <c r="B433" s="42" t="s">
        <v>239</v>
      </c>
      <c r="C433" s="42" t="s">
        <v>210</v>
      </c>
      <c r="D433" s="42" t="s">
        <v>291</v>
      </c>
      <c r="E433" s="42" t="s">
        <v>241</v>
      </c>
      <c r="F433" s="42" t="s">
        <v>245</v>
      </c>
      <c r="G433" s="44">
        <v>54236.28</v>
      </c>
      <c r="H433" s="44">
        <v>60331.34</v>
      </c>
      <c r="I433" s="44">
        <v>59299.34</v>
      </c>
      <c r="J433" s="44">
        <v>53458.11</v>
      </c>
      <c r="K433" t="s">
        <v>198</v>
      </c>
    </row>
    <row r="434" spans="1:11" ht="16.95" hidden="1" customHeight="1" x14ac:dyDescent="0.3">
      <c r="A434" s="42" t="s">
        <v>238</v>
      </c>
      <c r="B434" s="42" t="s">
        <v>239</v>
      </c>
      <c r="C434" s="42" t="s">
        <v>210</v>
      </c>
      <c r="D434" s="42" t="s">
        <v>291</v>
      </c>
      <c r="E434" s="42" t="s">
        <v>241</v>
      </c>
      <c r="F434" s="42" t="s">
        <v>246</v>
      </c>
      <c r="G434" s="44">
        <v>51590.78</v>
      </c>
      <c r="H434" s="44">
        <v>62095.31</v>
      </c>
      <c r="I434" s="44">
        <v>59524.959999999999</v>
      </c>
      <c r="J434" s="44">
        <v>56559.5</v>
      </c>
      <c r="K434" t="s">
        <v>198</v>
      </c>
    </row>
    <row r="435" spans="1:11" ht="16.95" hidden="1" customHeight="1" x14ac:dyDescent="0.3">
      <c r="A435" s="42" t="s">
        <v>238</v>
      </c>
      <c r="B435" s="42" t="s">
        <v>239</v>
      </c>
      <c r="C435" s="42" t="s">
        <v>210</v>
      </c>
      <c r="D435" s="42" t="s">
        <v>291</v>
      </c>
      <c r="E435" s="42" t="s">
        <v>241</v>
      </c>
      <c r="F435" s="42" t="s">
        <v>247</v>
      </c>
      <c r="G435" s="44">
        <v>54717.26</v>
      </c>
      <c r="H435" s="44">
        <v>62387.6</v>
      </c>
      <c r="I435" s="44">
        <v>58789.29</v>
      </c>
      <c r="J435" s="44">
        <v>60052.01</v>
      </c>
      <c r="K435" t="s">
        <v>198</v>
      </c>
    </row>
    <row r="436" spans="1:11" ht="16.95" hidden="1" customHeight="1" x14ac:dyDescent="0.3">
      <c r="A436" s="42" t="s">
        <v>238</v>
      </c>
      <c r="B436" s="42" t="s">
        <v>239</v>
      </c>
      <c r="C436" s="42" t="s">
        <v>210</v>
      </c>
      <c r="D436" s="42" t="s">
        <v>291</v>
      </c>
      <c r="E436" s="42" t="s">
        <v>241</v>
      </c>
      <c r="F436" s="42" t="s">
        <v>248</v>
      </c>
      <c r="G436" s="44">
        <v>61442.98</v>
      </c>
      <c r="H436" s="44">
        <v>66177.38</v>
      </c>
      <c r="I436" s="44">
        <v>59951.63</v>
      </c>
      <c r="J436" s="44">
        <v>57519.9</v>
      </c>
      <c r="K436" t="s">
        <v>198</v>
      </c>
    </row>
    <row r="437" spans="1:11" ht="16.95" hidden="1" customHeight="1" x14ac:dyDescent="0.3">
      <c r="A437" s="42" t="s">
        <v>238</v>
      </c>
      <c r="B437" s="42" t="s">
        <v>239</v>
      </c>
      <c r="C437" s="42" t="s">
        <v>210</v>
      </c>
      <c r="D437" s="42" t="s">
        <v>291</v>
      </c>
      <c r="E437" s="42" t="s">
        <v>241</v>
      </c>
      <c r="F437" s="42" t="s">
        <v>249</v>
      </c>
      <c r="G437" s="44">
        <v>59331.93</v>
      </c>
      <c r="H437" s="44">
        <v>65779.37</v>
      </c>
      <c r="I437" s="44">
        <v>60669.21</v>
      </c>
      <c r="J437" s="44">
        <v>56132.99</v>
      </c>
      <c r="K437" t="s">
        <v>198</v>
      </c>
    </row>
    <row r="438" spans="1:11" ht="16.95" hidden="1" customHeight="1" x14ac:dyDescent="0.3">
      <c r="A438" s="42" t="s">
        <v>238</v>
      </c>
      <c r="B438" s="42" t="s">
        <v>239</v>
      </c>
      <c r="C438" s="42" t="s">
        <v>210</v>
      </c>
      <c r="D438" s="42" t="s">
        <v>291</v>
      </c>
      <c r="E438" s="42" t="s">
        <v>241</v>
      </c>
      <c r="F438" s="42" t="s">
        <v>250</v>
      </c>
      <c r="G438" s="44">
        <v>60607.99</v>
      </c>
      <c r="H438" s="44">
        <v>66112.31</v>
      </c>
      <c r="I438" s="44">
        <v>61746.07</v>
      </c>
      <c r="J438" s="44">
        <v>55818.7</v>
      </c>
      <c r="K438" t="s">
        <v>198</v>
      </c>
    </row>
    <row r="439" spans="1:11" ht="16.95" hidden="1" customHeight="1" x14ac:dyDescent="0.3">
      <c r="A439" s="42" t="s">
        <v>238</v>
      </c>
      <c r="B439" s="42" t="s">
        <v>239</v>
      </c>
      <c r="C439" s="42" t="s">
        <v>210</v>
      </c>
      <c r="D439" s="42" t="s">
        <v>291</v>
      </c>
      <c r="E439" s="42" t="s">
        <v>241</v>
      </c>
      <c r="F439" s="42" t="s">
        <v>251</v>
      </c>
      <c r="G439" s="44">
        <v>59883.63</v>
      </c>
      <c r="H439" s="44">
        <v>64541.29</v>
      </c>
      <c r="I439" s="44">
        <v>59335.87</v>
      </c>
      <c r="J439" s="44">
        <v>57651.07</v>
      </c>
      <c r="K439" t="s">
        <v>198</v>
      </c>
    </row>
    <row r="440" spans="1:11" ht="16.95" hidden="1" customHeight="1" x14ac:dyDescent="0.3">
      <c r="A440" s="42" t="s">
        <v>238</v>
      </c>
      <c r="B440" s="42" t="s">
        <v>239</v>
      </c>
      <c r="C440" s="42" t="s">
        <v>210</v>
      </c>
      <c r="D440" s="42" t="s">
        <v>291</v>
      </c>
      <c r="E440" s="42" t="s">
        <v>241</v>
      </c>
      <c r="F440" s="42" t="s">
        <v>252</v>
      </c>
      <c r="G440" s="44">
        <v>60108.2</v>
      </c>
      <c r="H440" s="44">
        <v>70433.02</v>
      </c>
      <c r="I440" s="44">
        <v>59322.04</v>
      </c>
      <c r="J440" s="44">
        <v>57515.360000000001</v>
      </c>
      <c r="K440" t="s">
        <v>198</v>
      </c>
    </row>
    <row r="441" spans="1:11" ht="16.95" hidden="1" customHeight="1" x14ac:dyDescent="0.3">
      <c r="A441" s="42" t="s">
        <v>238</v>
      </c>
      <c r="B441" s="42" t="s">
        <v>239</v>
      </c>
      <c r="C441" s="42" t="s">
        <v>210</v>
      </c>
      <c r="D441" s="42" t="s">
        <v>291</v>
      </c>
      <c r="E441" s="42" t="s">
        <v>241</v>
      </c>
      <c r="F441" s="42" t="s">
        <v>253</v>
      </c>
      <c r="G441" s="44">
        <v>63548.26</v>
      </c>
      <c r="H441" s="44">
        <v>78443.42</v>
      </c>
      <c r="I441" s="44">
        <v>58440.21</v>
      </c>
      <c r="J441" s="44">
        <v>59187.14</v>
      </c>
      <c r="K441" t="s">
        <v>198</v>
      </c>
    </row>
    <row r="442" spans="1:11" ht="16.95" hidden="1" customHeight="1" x14ac:dyDescent="0.3">
      <c r="A442" s="42" t="s">
        <v>238</v>
      </c>
      <c r="B442" s="42" t="s">
        <v>239</v>
      </c>
      <c r="C442" s="42" t="s">
        <v>210</v>
      </c>
      <c r="D442" s="42" t="s">
        <v>292</v>
      </c>
      <c r="E442" s="42" t="s">
        <v>241</v>
      </c>
      <c r="F442" s="42" t="s">
        <v>242</v>
      </c>
      <c r="G442" s="44">
        <v>37903.29</v>
      </c>
      <c r="H442" s="44">
        <v>44295.24</v>
      </c>
      <c r="I442" s="44">
        <v>41265.15</v>
      </c>
      <c r="J442" s="44">
        <v>38194.080000000002</v>
      </c>
      <c r="K442" s="44">
        <v>45338.46</v>
      </c>
    </row>
    <row r="443" spans="1:11" ht="16.95" hidden="1" customHeight="1" x14ac:dyDescent="0.3">
      <c r="A443" s="42" t="s">
        <v>238</v>
      </c>
      <c r="B443" s="42" t="s">
        <v>239</v>
      </c>
      <c r="C443" s="42" t="s">
        <v>210</v>
      </c>
      <c r="D443" s="42" t="s">
        <v>292</v>
      </c>
      <c r="E443" s="42" t="s">
        <v>241</v>
      </c>
      <c r="F443" s="42" t="s">
        <v>243</v>
      </c>
      <c r="G443" s="44">
        <v>37313.17</v>
      </c>
      <c r="H443" s="44">
        <v>44062.16</v>
      </c>
      <c r="I443" s="44">
        <v>41360.28</v>
      </c>
      <c r="J443" s="44">
        <v>37923.81</v>
      </c>
      <c r="K443" s="44">
        <v>51043.33</v>
      </c>
    </row>
    <row r="444" spans="1:11" ht="16.95" hidden="1" customHeight="1" x14ac:dyDescent="0.3">
      <c r="A444" s="42" t="s">
        <v>238</v>
      </c>
      <c r="B444" s="42" t="s">
        <v>239</v>
      </c>
      <c r="C444" s="42" t="s">
        <v>210</v>
      </c>
      <c r="D444" s="42" t="s">
        <v>292</v>
      </c>
      <c r="E444" s="42" t="s">
        <v>241</v>
      </c>
      <c r="F444" s="42" t="s">
        <v>244</v>
      </c>
      <c r="G444" s="44">
        <v>39366.9</v>
      </c>
      <c r="H444" s="44">
        <v>45215.97</v>
      </c>
      <c r="I444" s="44">
        <v>40505.07</v>
      </c>
      <c r="J444" s="44">
        <v>36972.639999999999</v>
      </c>
      <c r="K444" s="44">
        <v>49041.91</v>
      </c>
    </row>
    <row r="445" spans="1:11" ht="16.95" hidden="1" customHeight="1" x14ac:dyDescent="0.3">
      <c r="A445" s="42" t="s">
        <v>238</v>
      </c>
      <c r="B445" s="42" t="s">
        <v>239</v>
      </c>
      <c r="C445" s="42" t="s">
        <v>210</v>
      </c>
      <c r="D445" s="42" t="s">
        <v>292</v>
      </c>
      <c r="E445" s="42" t="s">
        <v>241</v>
      </c>
      <c r="F445" s="42" t="s">
        <v>245</v>
      </c>
      <c r="G445" s="44">
        <v>39552.910000000003</v>
      </c>
      <c r="H445" s="44">
        <v>45064.68</v>
      </c>
      <c r="I445" s="44">
        <v>40513.919999999998</v>
      </c>
      <c r="J445" s="44">
        <v>38242.31</v>
      </c>
      <c r="K445" t="s">
        <v>198</v>
      </c>
    </row>
    <row r="446" spans="1:11" ht="16.95" hidden="1" customHeight="1" x14ac:dyDescent="0.3">
      <c r="A446" s="42" t="s">
        <v>238</v>
      </c>
      <c r="B446" s="42" t="s">
        <v>239</v>
      </c>
      <c r="C446" s="42" t="s">
        <v>210</v>
      </c>
      <c r="D446" s="42" t="s">
        <v>292</v>
      </c>
      <c r="E446" s="42" t="s">
        <v>241</v>
      </c>
      <c r="F446" s="42" t="s">
        <v>246</v>
      </c>
      <c r="G446" s="44">
        <v>39428.29</v>
      </c>
      <c r="H446" s="44">
        <v>47143.35</v>
      </c>
      <c r="I446" s="44">
        <v>42198.66</v>
      </c>
      <c r="J446" s="44">
        <v>39291.57</v>
      </c>
      <c r="K446" t="s">
        <v>198</v>
      </c>
    </row>
    <row r="447" spans="1:11" ht="16.95" hidden="1" customHeight="1" x14ac:dyDescent="0.3">
      <c r="A447" s="42" t="s">
        <v>238</v>
      </c>
      <c r="B447" s="42" t="s">
        <v>239</v>
      </c>
      <c r="C447" s="42" t="s">
        <v>210</v>
      </c>
      <c r="D447" s="42" t="s">
        <v>292</v>
      </c>
      <c r="E447" s="42" t="s">
        <v>241</v>
      </c>
      <c r="F447" s="42" t="s">
        <v>247</v>
      </c>
      <c r="G447" s="44">
        <v>39575.160000000003</v>
      </c>
      <c r="H447" s="44">
        <v>46531.55</v>
      </c>
      <c r="I447" s="44">
        <v>41952.98</v>
      </c>
      <c r="J447" s="44">
        <v>38180.370000000003</v>
      </c>
      <c r="K447" t="s">
        <v>198</v>
      </c>
    </row>
    <row r="448" spans="1:11" ht="16.95" hidden="1" customHeight="1" x14ac:dyDescent="0.3">
      <c r="A448" s="42" t="s">
        <v>238</v>
      </c>
      <c r="B448" s="42" t="s">
        <v>239</v>
      </c>
      <c r="C448" s="42" t="s">
        <v>210</v>
      </c>
      <c r="D448" s="42" t="s">
        <v>292</v>
      </c>
      <c r="E448" s="42" t="s">
        <v>241</v>
      </c>
      <c r="F448" s="42" t="s">
        <v>248</v>
      </c>
      <c r="G448" s="44">
        <v>39413.15</v>
      </c>
      <c r="H448" s="44">
        <v>46454.68</v>
      </c>
      <c r="I448" s="44">
        <v>41980.57</v>
      </c>
      <c r="J448" s="44">
        <v>37764.800000000003</v>
      </c>
      <c r="K448" t="s">
        <v>198</v>
      </c>
    </row>
    <row r="449" spans="1:11" ht="16.95" hidden="1" customHeight="1" x14ac:dyDescent="0.3">
      <c r="A449" s="42" t="s">
        <v>238</v>
      </c>
      <c r="B449" s="42" t="s">
        <v>239</v>
      </c>
      <c r="C449" s="42" t="s">
        <v>210</v>
      </c>
      <c r="D449" s="42" t="s">
        <v>292</v>
      </c>
      <c r="E449" s="42" t="s">
        <v>241</v>
      </c>
      <c r="F449" s="42" t="s">
        <v>249</v>
      </c>
      <c r="G449" s="44">
        <v>39274.43</v>
      </c>
      <c r="H449" s="44">
        <v>47051.42</v>
      </c>
      <c r="I449" s="44">
        <v>42910.239999999998</v>
      </c>
      <c r="J449" s="44">
        <v>36993.31</v>
      </c>
      <c r="K449" t="s">
        <v>198</v>
      </c>
    </row>
    <row r="450" spans="1:11" ht="16.95" hidden="1" customHeight="1" x14ac:dyDescent="0.3">
      <c r="A450" s="42" t="s">
        <v>238</v>
      </c>
      <c r="B450" s="42" t="s">
        <v>239</v>
      </c>
      <c r="C450" s="42" t="s">
        <v>210</v>
      </c>
      <c r="D450" s="42" t="s">
        <v>292</v>
      </c>
      <c r="E450" s="42" t="s">
        <v>241</v>
      </c>
      <c r="F450" s="42" t="s">
        <v>250</v>
      </c>
      <c r="G450" s="44">
        <v>41040.6</v>
      </c>
      <c r="H450" s="44">
        <v>47970.9</v>
      </c>
      <c r="I450" s="44">
        <v>43064.15</v>
      </c>
      <c r="J450" s="44">
        <v>37575.949999999997</v>
      </c>
      <c r="K450" t="s">
        <v>198</v>
      </c>
    </row>
    <row r="451" spans="1:11" ht="16.95" hidden="1" customHeight="1" x14ac:dyDescent="0.3">
      <c r="A451" s="42" t="s">
        <v>238</v>
      </c>
      <c r="B451" s="42" t="s">
        <v>239</v>
      </c>
      <c r="C451" s="42" t="s">
        <v>210</v>
      </c>
      <c r="D451" s="42" t="s">
        <v>292</v>
      </c>
      <c r="E451" s="42" t="s">
        <v>241</v>
      </c>
      <c r="F451" s="42" t="s">
        <v>251</v>
      </c>
      <c r="G451" s="44">
        <v>43833.08</v>
      </c>
      <c r="H451" s="44">
        <v>48618.720000000001</v>
      </c>
      <c r="I451" s="44">
        <v>40871.129999999997</v>
      </c>
      <c r="J451" s="44">
        <v>38881.019999999997</v>
      </c>
      <c r="K451" t="s">
        <v>198</v>
      </c>
    </row>
    <row r="452" spans="1:11" ht="16.95" hidden="1" customHeight="1" x14ac:dyDescent="0.3">
      <c r="A452" s="42" t="s">
        <v>238</v>
      </c>
      <c r="B452" s="42" t="s">
        <v>239</v>
      </c>
      <c r="C452" s="42" t="s">
        <v>210</v>
      </c>
      <c r="D452" s="42" t="s">
        <v>292</v>
      </c>
      <c r="E452" s="42" t="s">
        <v>241</v>
      </c>
      <c r="F452" s="42" t="s">
        <v>252</v>
      </c>
      <c r="G452" s="44">
        <v>44879.519999999997</v>
      </c>
      <c r="H452" s="44">
        <v>49018.93</v>
      </c>
      <c r="I452" s="44">
        <v>40238.57</v>
      </c>
      <c r="J452" s="44">
        <v>40246.76</v>
      </c>
      <c r="K452" t="s">
        <v>198</v>
      </c>
    </row>
    <row r="453" spans="1:11" ht="16.95" hidden="1" customHeight="1" x14ac:dyDescent="0.3">
      <c r="A453" s="42" t="s">
        <v>238</v>
      </c>
      <c r="B453" s="42" t="s">
        <v>239</v>
      </c>
      <c r="C453" s="42" t="s">
        <v>210</v>
      </c>
      <c r="D453" s="42" t="s">
        <v>292</v>
      </c>
      <c r="E453" s="42" t="s">
        <v>241</v>
      </c>
      <c r="F453" s="42" t="s">
        <v>253</v>
      </c>
      <c r="G453" s="44">
        <v>45648.68</v>
      </c>
      <c r="H453" s="44">
        <v>48459.09</v>
      </c>
      <c r="I453" s="44">
        <v>38449.89</v>
      </c>
      <c r="J453" s="44">
        <v>40643.199999999997</v>
      </c>
      <c r="K453" t="s">
        <v>198</v>
      </c>
    </row>
    <row r="454" spans="1:11" ht="16.95" hidden="1" customHeight="1" x14ac:dyDescent="0.3">
      <c r="A454" s="42" t="s">
        <v>238</v>
      </c>
      <c r="B454" s="42" t="s">
        <v>239</v>
      </c>
      <c r="C454" s="42" t="s">
        <v>210</v>
      </c>
      <c r="D454" s="42" t="s">
        <v>293</v>
      </c>
      <c r="E454" s="42" t="s">
        <v>241</v>
      </c>
      <c r="F454" s="42" t="s">
        <v>242</v>
      </c>
      <c r="G454" s="44">
        <v>47745.5</v>
      </c>
      <c r="H454" s="44">
        <v>43817.2</v>
      </c>
      <c r="I454" s="44">
        <v>51559.11</v>
      </c>
      <c r="J454" s="44">
        <v>45155.57</v>
      </c>
      <c r="K454" s="44">
        <v>64149.55</v>
      </c>
    </row>
    <row r="455" spans="1:11" ht="16.95" hidden="1" customHeight="1" x14ac:dyDescent="0.3">
      <c r="A455" s="42" t="s">
        <v>238</v>
      </c>
      <c r="B455" s="42" t="s">
        <v>239</v>
      </c>
      <c r="C455" s="42" t="s">
        <v>210</v>
      </c>
      <c r="D455" s="42" t="s">
        <v>293</v>
      </c>
      <c r="E455" s="42" t="s">
        <v>241</v>
      </c>
      <c r="F455" s="42" t="s">
        <v>243</v>
      </c>
      <c r="G455" s="44">
        <v>48028.6</v>
      </c>
      <c r="H455" s="44">
        <v>44546.35</v>
      </c>
      <c r="I455" s="44">
        <v>51213.279999999999</v>
      </c>
      <c r="J455" s="44">
        <v>45122.93</v>
      </c>
      <c r="K455" s="44">
        <v>73887.89</v>
      </c>
    </row>
    <row r="456" spans="1:11" ht="16.95" hidden="1" customHeight="1" x14ac:dyDescent="0.3">
      <c r="A456" s="42" t="s">
        <v>238</v>
      </c>
      <c r="B456" s="42" t="s">
        <v>239</v>
      </c>
      <c r="C456" s="42" t="s">
        <v>210</v>
      </c>
      <c r="D456" s="42" t="s">
        <v>293</v>
      </c>
      <c r="E456" s="42" t="s">
        <v>241</v>
      </c>
      <c r="F456" s="42" t="s">
        <v>244</v>
      </c>
      <c r="G456" s="44">
        <v>48724.77</v>
      </c>
      <c r="H456" s="44">
        <v>45449.5</v>
      </c>
      <c r="I456" s="44">
        <v>51531.24</v>
      </c>
      <c r="J456" s="44">
        <v>46348.78</v>
      </c>
      <c r="K456" s="44">
        <v>80282.58</v>
      </c>
    </row>
    <row r="457" spans="1:11" ht="16.95" hidden="1" customHeight="1" x14ac:dyDescent="0.3">
      <c r="A457" s="42" t="s">
        <v>238</v>
      </c>
      <c r="B457" s="42" t="s">
        <v>239</v>
      </c>
      <c r="C457" s="42" t="s">
        <v>210</v>
      </c>
      <c r="D457" s="42" t="s">
        <v>293</v>
      </c>
      <c r="E457" s="42" t="s">
        <v>241</v>
      </c>
      <c r="F457" s="42" t="s">
        <v>245</v>
      </c>
      <c r="G457" s="44">
        <v>49273.79</v>
      </c>
      <c r="H457" s="44">
        <v>46608.160000000003</v>
      </c>
      <c r="I457" s="44">
        <v>53852.77</v>
      </c>
      <c r="J457" s="44">
        <v>49017.64</v>
      </c>
      <c r="K457" t="s">
        <v>198</v>
      </c>
    </row>
    <row r="458" spans="1:11" ht="16.95" hidden="1" customHeight="1" x14ac:dyDescent="0.3">
      <c r="A458" s="42" t="s">
        <v>238</v>
      </c>
      <c r="B458" s="42" t="s">
        <v>239</v>
      </c>
      <c r="C458" s="42" t="s">
        <v>210</v>
      </c>
      <c r="D458" s="42" t="s">
        <v>293</v>
      </c>
      <c r="E458" s="42" t="s">
        <v>241</v>
      </c>
      <c r="F458" s="42" t="s">
        <v>246</v>
      </c>
      <c r="G458" s="44">
        <v>46414.95</v>
      </c>
      <c r="H458" s="44">
        <v>50019.27</v>
      </c>
      <c r="I458" s="44">
        <v>53742.18</v>
      </c>
      <c r="J458" s="44">
        <v>49599.68</v>
      </c>
      <c r="K458" t="s">
        <v>198</v>
      </c>
    </row>
    <row r="459" spans="1:11" ht="16.95" hidden="1" customHeight="1" x14ac:dyDescent="0.3">
      <c r="A459" s="42" t="s">
        <v>238</v>
      </c>
      <c r="B459" s="42" t="s">
        <v>239</v>
      </c>
      <c r="C459" s="42" t="s">
        <v>210</v>
      </c>
      <c r="D459" s="42" t="s">
        <v>293</v>
      </c>
      <c r="E459" s="42" t="s">
        <v>241</v>
      </c>
      <c r="F459" s="42" t="s">
        <v>247</v>
      </c>
      <c r="G459" s="44">
        <v>45886.83</v>
      </c>
      <c r="H459" s="44">
        <v>54379.54</v>
      </c>
      <c r="I459" s="44">
        <v>54455.6</v>
      </c>
      <c r="J459" s="44">
        <v>49449.08</v>
      </c>
      <c r="K459" t="s">
        <v>198</v>
      </c>
    </row>
    <row r="460" spans="1:11" ht="16.95" hidden="1" customHeight="1" x14ac:dyDescent="0.3">
      <c r="A460" s="42" t="s">
        <v>238</v>
      </c>
      <c r="B460" s="42" t="s">
        <v>239</v>
      </c>
      <c r="C460" s="42" t="s">
        <v>210</v>
      </c>
      <c r="D460" s="42" t="s">
        <v>293</v>
      </c>
      <c r="E460" s="42" t="s">
        <v>241</v>
      </c>
      <c r="F460" s="42" t="s">
        <v>248</v>
      </c>
      <c r="G460" s="44">
        <v>43574.9</v>
      </c>
      <c r="H460" s="44">
        <v>56287.38</v>
      </c>
      <c r="I460" s="44">
        <v>54757.82</v>
      </c>
      <c r="J460" s="44">
        <v>49796.51</v>
      </c>
      <c r="K460" t="s">
        <v>198</v>
      </c>
    </row>
    <row r="461" spans="1:11" ht="16.95" hidden="1" customHeight="1" x14ac:dyDescent="0.3">
      <c r="A461" s="42" t="s">
        <v>238</v>
      </c>
      <c r="B461" s="42" t="s">
        <v>239</v>
      </c>
      <c r="C461" s="42" t="s">
        <v>210</v>
      </c>
      <c r="D461" s="42" t="s">
        <v>293</v>
      </c>
      <c r="E461" s="42" t="s">
        <v>241</v>
      </c>
      <c r="F461" s="42" t="s">
        <v>249</v>
      </c>
      <c r="G461" s="44">
        <v>43831.64</v>
      </c>
      <c r="H461" s="44">
        <v>54995.33</v>
      </c>
      <c r="I461" s="44">
        <v>54357.84</v>
      </c>
      <c r="J461" s="44">
        <v>50528.95</v>
      </c>
      <c r="K461" t="s">
        <v>198</v>
      </c>
    </row>
    <row r="462" spans="1:11" ht="16.95" hidden="1" customHeight="1" x14ac:dyDescent="0.3">
      <c r="A462" s="42" t="s">
        <v>238</v>
      </c>
      <c r="B462" s="42" t="s">
        <v>239</v>
      </c>
      <c r="C462" s="42" t="s">
        <v>210</v>
      </c>
      <c r="D462" s="42" t="s">
        <v>293</v>
      </c>
      <c r="E462" s="42" t="s">
        <v>241</v>
      </c>
      <c r="F462" s="42" t="s">
        <v>250</v>
      </c>
      <c r="G462" s="44">
        <v>46519.43</v>
      </c>
      <c r="H462" s="44">
        <v>54648.02</v>
      </c>
      <c r="I462" s="44">
        <v>51346.14</v>
      </c>
      <c r="J462" s="44">
        <v>51696.84</v>
      </c>
      <c r="K462" t="s">
        <v>198</v>
      </c>
    </row>
    <row r="463" spans="1:11" ht="16.95" hidden="1" customHeight="1" x14ac:dyDescent="0.3">
      <c r="A463" s="42" t="s">
        <v>238</v>
      </c>
      <c r="B463" s="42" t="s">
        <v>239</v>
      </c>
      <c r="C463" s="42" t="s">
        <v>210</v>
      </c>
      <c r="D463" s="42" t="s">
        <v>293</v>
      </c>
      <c r="E463" s="42" t="s">
        <v>241</v>
      </c>
      <c r="F463" s="42" t="s">
        <v>251</v>
      </c>
      <c r="G463" s="44">
        <v>47999.93</v>
      </c>
      <c r="H463" s="44">
        <v>54058.69</v>
      </c>
      <c r="I463" s="44">
        <v>48548.27</v>
      </c>
      <c r="J463" s="44">
        <v>54136.81</v>
      </c>
      <c r="K463" t="s">
        <v>198</v>
      </c>
    </row>
    <row r="464" spans="1:11" ht="16.95" hidden="1" customHeight="1" x14ac:dyDescent="0.3">
      <c r="A464" s="42" t="s">
        <v>238</v>
      </c>
      <c r="B464" s="42" t="s">
        <v>239</v>
      </c>
      <c r="C464" s="42" t="s">
        <v>210</v>
      </c>
      <c r="D464" s="42" t="s">
        <v>293</v>
      </c>
      <c r="E464" s="42" t="s">
        <v>241</v>
      </c>
      <c r="F464" s="42" t="s">
        <v>252</v>
      </c>
      <c r="G464" s="44">
        <v>48278.44</v>
      </c>
      <c r="H464" s="44">
        <v>53069.87</v>
      </c>
      <c r="I464" s="44">
        <v>47470.01</v>
      </c>
      <c r="J464" s="44">
        <v>56065.34</v>
      </c>
      <c r="K464" t="s">
        <v>198</v>
      </c>
    </row>
    <row r="465" spans="1:11" ht="16.95" hidden="1" customHeight="1" x14ac:dyDescent="0.3">
      <c r="A465" s="42" t="s">
        <v>238</v>
      </c>
      <c r="B465" s="42" t="s">
        <v>239</v>
      </c>
      <c r="C465" s="42" t="s">
        <v>210</v>
      </c>
      <c r="D465" s="42" t="s">
        <v>293</v>
      </c>
      <c r="E465" s="42" t="s">
        <v>241</v>
      </c>
      <c r="F465" s="42" t="s">
        <v>253</v>
      </c>
      <c r="G465" s="44">
        <v>45620.79</v>
      </c>
      <c r="H465" s="44">
        <v>52583.72</v>
      </c>
      <c r="I465" s="44">
        <v>45324.71</v>
      </c>
      <c r="J465" s="44">
        <v>57923.06</v>
      </c>
      <c r="K465" t="s">
        <v>198</v>
      </c>
    </row>
    <row r="466" spans="1:11" ht="16.95" hidden="1" customHeight="1" x14ac:dyDescent="0.3">
      <c r="A466" s="42" t="s">
        <v>238</v>
      </c>
      <c r="B466" s="42" t="s">
        <v>239</v>
      </c>
      <c r="C466" s="42" t="s">
        <v>210</v>
      </c>
      <c r="D466" s="42" t="s">
        <v>294</v>
      </c>
      <c r="E466" s="42" t="s">
        <v>241</v>
      </c>
      <c r="F466" s="42" t="s">
        <v>242</v>
      </c>
      <c r="G466" s="44">
        <v>43086.42</v>
      </c>
      <c r="H466" s="44">
        <v>47837.87</v>
      </c>
      <c r="I466" s="44">
        <v>62350.81</v>
      </c>
      <c r="J466" s="43">
        <v>60974</v>
      </c>
      <c r="K466" s="44">
        <v>68016.39</v>
      </c>
    </row>
    <row r="467" spans="1:11" ht="16.95" hidden="1" customHeight="1" x14ac:dyDescent="0.3">
      <c r="A467" s="42" t="s">
        <v>238</v>
      </c>
      <c r="B467" s="42" t="s">
        <v>239</v>
      </c>
      <c r="C467" s="42" t="s">
        <v>210</v>
      </c>
      <c r="D467" s="42" t="s">
        <v>294</v>
      </c>
      <c r="E467" s="42" t="s">
        <v>241</v>
      </c>
      <c r="F467" s="42" t="s">
        <v>243</v>
      </c>
      <c r="G467" s="44">
        <v>42926.34</v>
      </c>
      <c r="H467" s="44">
        <v>48029.9</v>
      </c>
      <c r="I467" s="44">
        <v>63079.6</v>
      </c>
      <c r="J467" s="44">
        <v>57939.72</v>
      </c>
      <c r="K467" s="44">
        <v>57284.19</v>
      </c>
    </row>
    <row r="468" spans="1:11" ht="16.95" hidden="1" customHeight="1" x14ac:dyDescent="0.3">
      <c r="A468" s="42" t="s">
        <v>238</v>
      </c>
      <c r="B468" s="42" t="s">
        <v>239</v>
      </c>
      <c r="C468" s="42" t="s">
        <v>210</v>
      </c>
      <c r="D468" s="42" t="s">
        <v>294</v>
      </c>
      <c r="E468" s="42" t="s">
        <v>241</v>
      </c>
      <c r="F468" s="42" t="s">
        <v>244</v>
      </c>
      <c r="G468" s="44">
        <v>51739.41</v>
      </c>
      <c r="H468" s="44">
        <v>47011.3</v>
      </c>
      <c r="I468" s="44">
        <v>57673.45</v>
      </c>
      <c r="J468" s="44">
        <v>57940.52</v>
      </c>
      <c r="K468" s="44">
        <v>66525.100000000006</v>
      </c>
    </row>
    <row r="469" spans="1:11" ht="16.95" hidden="1" customHeight="1" x14ac:dyDescent="0.3">
      <c r="A469" s="42" t="s">
        <v>238</v>
      </c>
      <c r="B469" s="42" t="s">
        <v>239</v>
      </c>
      <c r="C469" s="42" t="s">
        <v>210</v>
      </c>
      <c r="D469" s="42" t="s">
        <v>294</v>
      </c>
      <c r="E469" s="42" t="s">
        <v>241</v>
      </c>
      <c r="F469" s="42" t="s">
        <v>245</v>
      </c>
      <c r="G469" s="44">
        <v>44708.46</v>
      </c>
      <c r="H469" s="44">
        <v>48298.48</v>
      </c>
      <c r="I469" s="44">
        <v>54590.53</v>
      </c>
      <c r="J469" s="44">
        <v>60275.44</v>
      </c>
      <c r="K469" t="s">
        <v>198</v>
      </c>
    </row>
    <row r="470" spans="1:11" ht="16.95" hidden="1" customHeight="1" x14ac:dyDescent="0.3">
      <c r="A470" s="42" t="s">
        <v>238</v>
      </c>
      <c r="B470" s="42" t="s">
        <v>239</v>
      </c>
      <c r="C470" s="42" t="s">
        <v>210</v>
      </c>
      <c r="D470" s="42" t="s">
        <v>294</v>
      </c>
      <c r="E470" s="42" t="s">
        <v>241</v>
      </c>
      <c r="F470" s="42" t="s">
        <v>246</v>
      </c>
      <c r="G470" s="44">
        <v>44025.440000000002</v>
      </c>
      <c r="H470" s="44">
        <v>49248.14</v>
      </c>
      <c r="I470" s="44">
        <v>56443.16</v>
      </c>
      <c r="J470" s="44">
        <v>56804.81</v>
      </c>
      <c r="K470" t="s">
        <v>198</v>
      </c>
    </row>
    <row r="471" spans="1:11" ht="16.95" hidden="1" customHeight="1" x14ac:dyDescent="0.3">
      <c r="A471" s="42" t="s">
        <v>238</v>
      </c>
      <c r="B471" s="42" t="s">
        <v>239</v>
      </c>
      <c r="C471" s="42" t="s">
        <v>210</v>
      </c>
      <c r="D471" s="42" t="s">
        <v>294</v>
      </c>
      <c r="E471" s="42" t="s">
        <v>241</v>
      </c>
      <c r="F471" s="42" t="s">
        <v>247</v>
      </c>
      <c r="G471" s="44">
        <v>43980.57</v>
      </c>
      <c r="H471" s="44">
        <v>53220.47</v>
      </c>
      <c r="I471" s="44">
        <v>57040.14</v>
      </c>
      <c r="J471" s="44">
        <v>58609.26</v>
      </c>
      <c r="K471" t="s">
        <v>198</v>
      </c>
    </row>
    <row r="472" spans="1:11" ht="16.95" hidden="1" customHeight="1" x14ac:dyDescent="0.3">
      <c r="A472" s="42" t="s">
        <v>238</v>
      </c>
      <c r="B472" s="42" t="s">
        <v>239</v>
      </c>
      <c r="C472" s="42" t="s">
        <v>210</v>
      </c>
      <c r="D472" s="42" t="s">
        <v>294</v>
      </c>
      <c r="E472" s="42" t="s">
        <v>241</v>
      </c>
      <c r="F472" s="42" t="s">
        <v>248</v>
      </c>
      <c r="G472" s="44">
        <v>41528.5</v>
      </c>
      <c r="H472" s="44">
        <v>54506.21</v>
      </c>
      <c r="I472" s="44">
        <v>70175.350000000006</v>
      </c>
      <c r="J472" s="44">
        <v>62957.59</v>
      </c>
      <c r="K472" t="s">
        <v>198</v>
      </c>
    </row>
    <row r="473" spans="1:11" ht="16.95" hidden="1" customHeight="1" x14ac:dyDescent="0.3">
      <c r="A473" s="42" t="s">
        <v>238</v>
      </c>
      <c r="B473" s="42" t="s">
        <v>239</v>
      </c>
      <c r="C473" s="42" t="s">
        <v>210</v>
      </c>
      <c r="D473" s="42" t="s">
        <v>294</v>
      </c>
      <c r="E473" s="42" t="s">
        <v>241</v>
      </c>
      <c r="F473" s="42" t="s">
        <v>249</v>
      </c>
      <c r="G473" s="44">
        <v>40216.959999999999</v>
      </c>
      <c r="H473" s="44">
        <v>54694.6</v>
      </c>
      <c r="I473" s="44">
        <v>63558.13</v>
      </c>
      <c r="J473" s="44">
        <v>68984.789999999994</v>
      </c>
      <c r="K473" t="s">
        <v>198</v>
      </c>
    </row>
    <row r="474" spans="1:11" ht="16.95" hidden="1" customHeight="1" x14ac:dyDescent="0.3">
      <c r="A474" s="42" t="s">
        <v>238</v>
      </c>
      <c r="B474" s="42" t="s">
        <v>239</v>
      </c>
      <c r="C474" s="42" t="s">
        <v>210</v>
      </c>
      <c r="D474" s="42" t="s">
        <v>294</v>
      </c>
      <c r="E474" s="42" t="s">
        <v>241</v>
      </c>
      <c r="F474" s="42" t="s">
        <v>250</v>
      </c>
      <c r="G474" s="44">
        <v>44245.21</v>
      </c>
      <c r="H474" s="44">
        <v>49484.73</v>
      </c>
      <c r="I474" s="44">
        <v>61668.07</v>
      </c>
      <c r="J474" s="44">
        <v>61542.48</v>
      </c>
      <c r="K474" t="s">
        <v>198</v>
      </c>
    </row>
    <row r="475" spans="1:11" ht="16.95" hidden="1" customHeight="1" x14ac:dyDescent="0.3">
      <c r="A475" s="42" t="s">
        <v>238</v>
      </c>
      <c r="B475" s="42" t="s">
        <v>239</v>
      </c>
      <c r="C475" s="42" t="s">
        <v>210</v>
      </c>
      <c r="D475" s="42" t="s">
        <v>294</v>
      </c>
      <c r="E475" s="42" t="s">
        <v>241</v>
      </c>
      <c r="F475" s="42" t="s">
        <v>251</v>
      </c>
      <c r="G475" s="44">
        <v>47396.37</v>
      </c>
      <c r="H475" s="44">
        <v>52885.760000000002</v>
      </c>
      <c r="I475" s="44">
        <v>61817.71</v>
      </c>
      <c r="J475" s="44">
        <v>68294.34</v>
      </c>
      <c r="K475" t="s">
        <v>198</v>
      </c>
    </row>
    <row r="476" spans="1:11" ht="16.95" hidden="1" customHeight="1" x14ac:dyDescent="0.3">
      <c r="A476" s="42" t="s">
        <v>238</v>
      </c>
      <c r="B476" s="42" t="s">
        <v>239</v>
      </c>
      <c r="C476" s="42" t="s">
        <v>210</v>
      </c>
      <c r="D476" s="42" t="s">
        <v>294</v>
      </c>
      <c r="E476" s="42" t="s">
        <v>241</v>
      </c>
      <c r="F476" s="42" t="s">
        <v>252</v>
      </c>
      <c r="G476" s="44">
        <v>47133.54</v>
      </c>
      <c r="H476" s="44">
        <v>54732.61</v>
      </c>
      <c r="I476" s="44">
        <v>59590.46</v>
      </c>
      <c r="J476" s="44">
        <v>63580.17</v>
      </c>
      <c r="K476" t="s">
        <v>198</v>
      </c>
    </row>
    <row r="477" spans="1:11" ht="16.95" hidden="1" customHeight="1" x14ac:dyDescent="0.3">
      <c r="A477" s="42" t="s">
        <v>238</v>
      </c>
      <c r="B477" s="42" t="s">
        <v>239</v>
      </c>
      <c r="C477" s="42" t="s">
        <v>210</v>
      </c>
      <c r="D477" s="42" t="s">
        <v>294</v>
      </c>
      <c r="E477" s="42" t="s">
        <v>241</v>
      </c>
      <c r="F477" s="42" t="s">
        <v>253</v>
      </c>
      <c r="G477" s="44">
        <v>47511.98</v>
      </c>
      <c r="H477" s="44">
        <v>59355.62</v>
      </c>
      <c r="I477" s="44">
        <v>62671.18</v>
      </c>
      <c r="J477" s="44">
        <v>71374.990000000005</v>
      </c>
      <c r="K477" t="s">
        <v>198</v>
      </c>
    </row>
    <row r="478" spans="1:11" ht="16.95" hidden="1" customHeight="1" x14ac:dyDescent="0.3">
      <c r="A478" s="42" t="s">
        <v>238</v>
      </c>
      <c r="B478" s="42" t="s">
        <v>239</v>
      </c>
      <c r="C478" s="42" t="s">
        <v>210</v>
      </c>
      <c r="D478" s="42" t="s">
        <v>295</v>
      </c>
      <c r="E478" s="42" t="s">
        <v>241</v>
      </c>
      <c r="F478" s="42" t="s">
        <v>242</v>
      </c>
      <c r="G478" s="43">
        <v>52244</v>
      </c>
      <c r="H478" s="44">
        <v>70421.47</v>
      </c>
      <c r="I478" s="44">
        <v>87355.1</v>
      </c>
      <c r="J478" s="44">
        <v>132835.32</v>
      </c>
      <c r="K478" s="44">
        <v>128322.28</v>
      </c>
    </row>
    <row r="479" spans="1:11" ht="16.95" hidden="1" customHeight="1" x14ac:dyDescent="0.3">
      <c r="A479" s="42" t="s">
        <v>238</v>
      </c>
      <c r="B479" s="42" t="s">
        <v>239</v>
      </c>
      <c r="C479" s="42" t="s">
        <v>210</v>
      </c>
      <c r="D479" s="42" t="s">
        <v>295</v>
      </c>
      <c r="E479" s="42" t="s">
        <v>241</v>
      </c>
      <c r="F479" s="42" t="s">
        <v>243</v>
      </c>
      <c r="G479" s="43">
        <v>63049</v>
      </c>
      <c r="H479" s="44">
        <v>72284.86</v>
      </c>
      <c r="I479" s="44">
        <v>95774.54</v>
      </c>
      <c r="J479" s="44">
        <v>126117.57</v>
      </c>
      <c r="K479" s="44">
        <v>131129.95000000001</v>
      </c>
    </row>
    <row r="480" spans="1:11" ht="16.95" hidden="1" customHeight="1" x14ac:dyDescent="0.3">
      <c r="A480" s="42" t="s">
        <v>238</v>
      </c>
      <c r="B480" s="42" t="s">
        <v>239</v>
      </c>
      <c r="C480" s="42" t="s">
        <v>210</v>
      </c>
      <c r="D480" s="42" t="s">
        <v>295</v>
      </c>
      <c r="E480" s="42" t="s">
        <v>241</v>
      </c>
      <c r="F480" s="42" t="s">
        <v>244</v>
      </c>
      <c r="G480" s="44">
        <v>62979.96</v>
      </c>
      <c r="H480" s="44">
        <v>75355.820000000007</v>
      </c>
      <c r="I480" s="44">
        <v>96448.07</v>
      </c>
      <c r="J480" s="44">
        <v>171724.31</v>
      </c>
      <c r="K480" s="44">
        <v>134935.04999999999</v>
      </c>
    </row>
    <row r="481" spans="1:11" ht="16.95" hidden="1" customHeight="1" x14ac:dyDescent="0.3">
      <c r="A481" s="42" t="s">
        <v>238</v>
      </c>
      <c r="B481" s="42" t="s">
        <v>239</v>
      </c>
      <c r="C481" s="42" t="s">
        <v>210</v>
      </c>
      <c r="D481" s="42" t="s">
        <v>295</v>
      </c>
      <c r="E481" s="42" t="s">
        <v>241</v>
      </c>
      <c r="F481" s="42" t="s">
        <v>245</v>
      </c>
      <c r="G481" s="44">
        <v>61763.24</v>
      </c>
      <c r="H481" s="44">
        <v>76225.320000000007</v>
      </c>
      <c r="I481" s="44">
        <v>95887.06</v>
      </c>
      <c r="J481" s="44">
        <v>164731.51999999999</v>
      </c>
      <c r="K481" t="s">
        <v>198</v>
      </c>
    </row>
    <row r="482" spans="1:11" ht="16.95" hidden="1" customHeight="1" x14ac:dyDescent="0.3">
      <c r="A482" s="42" t="s">
        <v>238</v>
      </c>
      <c r="B482" s="42" t="s">
        <v>239</v>
      </c>
      <c r="C482" s="42" t="s">
        <v>210</v>
      </c>
      <c r="D482" s="42" t="s">
        <v>295</v>
      </c>
      <c r="E482" s="42" t="s">
        <v>241</v>
      </c>
      <c r="F482" s="42" t="s">
        <v>246</v>
      </c>
      <c r="G482" s="44">
        <v>65628.759999999995</v>
      </c>
      <c r="H482" s="44">
        <v>76368.17</v>
      </c>
      <c r="I482" s="44">
        <v>100383.39</v>
      </c>
      <c r="J482" s="44">
        <v>146595.9</v>
      </c>
      <c r="K482" t="s">
        <v>198</v>
      </c>
    </row>
    <row r="483" spans="1:11" ht="16.95" hidden="1" customHeight="1" x14ac:dyDescent="0.3">
      <c r="A483" s="42" t="s">
        <v>238</v>
      </c>
      <c r="B483" s="42" t="s">
        <v>239</v>
      </c>
      <c r="C483" s="42" t="s">
        <v>210</v>
      </c>
      <c r="D483" s="42" t="s">
        <v>295</v>
      </c>
      <c r="E483" s="42" t="s">
        <v>241</v>
      </c>
      <c r="F483" s="42" t="s">
        <v>247</v>
      </c>
      <c r="G483" s="44">
        <v>65813.67</v>
      </c>
      <c r="H483" s="44">
        <v>74872.31</v>
      </c>
      <c r="I483" s="44">
        <v>102265.45</v>
      </c>
      <c r="J483" s="44">
        <v>143170.19</v>
      </c>
      <c r="K483" t="s">
        <v>198</v>
      </c>
    </row>
    <row r="484" spans="1:11" ht="16.95" hidden="1" customHeight="1" x14ac:dyDescent="0.3">
      <c r="A484" s="42" t="s">
        <v>238</v>
      </c>
      <c r="B484" s="42" t="s">
        <v>239</v>
      </c>
      <c r="C484" s="42" t="s">
        <v>210</v>
      </c>
      <c r="D484" s="42" t="s">
        <v>295</v>
      </c>
      <c r="E484" s="42" t="s">
        <v>241</v>
      </c>
      <c r="F484" s="42" t="s">
        <v>248</v>
      </c>
      <c r="G484" s="44">
        <v>65114.18</v>
      </c>
      <c r="H484" s="44">
        <v>76657.210000000006</v>
      </c>
      <c r="I484" s="44">
        <v>109706.16</v>
      </c>
      <c r="J484" s="44">
        <v>143043.5</v>
      </c>
      <c r="K484" t="s">
        <v>198</v>
      </c>
    </row>
    <row r="485" spans="1:11" ht="16.95" hidden="1" customHeight="1" x14ac:dyDescent="0.3">
      <c r="A485" s="42" t="s">
        <v>238</v>
      </c>
      <c r="B485" s="42" t="s">
        <v>239</v>
      </c>
      <c r="C485" s="42" t="s">
        <v>210</v>
      </c>
      <c r="D485" s="42" t="s">
        <v>295</v>
      </c>
      <c r="E485" s="42" t="s">
        <v>241</v>
      </c>
      <c r="F485" s="42" t="s">
        <v>249</v>
      </c>
      <c r="G485" s="44">
        <v>65553.279999999999</v>
      </c>
      <c r="H485" s="44">
        <v>81452.27</v>
      </c>
      <c r="I485" s="44">
        <v>102806.42</v>
      </c>
      <c r="J485" s="44">
        <v>146369.34</v>
      </c>
      <c r="K485" t="s">
        <v>198</v>
      </c>
    </row>
    <row r="486" spans="1:11" ht="16.95" hidden="1" customHeight="1" x14ac:dyDescent="0.3">
      <c r="A486" s="42" t="s">
        <v>238</v>
      </c>
      <c r="B486" s="42" t="s">
        <v>239</v>
      </c>
      <c r="C486" s="42" t="s">
        <v>210</v>
      </c>
      <c r="D486" s="42" t="s">
        <v>295</v>
      </c>
      <c r="E486" s="42" t="s">
        <v>241</v>
      </c>
      <c r="F486" s="42" t="s">
        <v>250</v>
      </c>
      <c r="G486" s="44">
        <v>66094.460000000006</v>
      </c>
      <c r="H486" s="44">
        <v>79166.490000000005</v>
      </c>
      <c r="I486" s="44">
        <v>109602.85</v>
      </c>
      <c r="J486" s="44">
        <v>147596.69</v>
      </c>
      <c r="K486" t="s">
        <v>198</v>
      </c>
    </row>
    <row r="487" spans="1:11" ht="16.95" hidden="1" customHeight="1" x14ac:dyDescent="0.3">
      <c r="A487" s="42" t="s">
        <v>238</v>
      </c>
      <c r="B487" s="42" t="s">
        <v>239</v>
      </c>
      <c r="C487" s="42" t="s">
        <v>210</v>
      </c>
      <c r="D487" s="42" t="s">
        <v>295</v>
      </c>
      <c r="E487" s="42" t="s">
        <v>241</v>
      </c>
      <c r="F487" s="42" t="s">
        <v>251</v>
      </c>
      <c r="G487" s="44">
        <v>67767.56</v>
      </c>
      <c r="H487" s="44">
        <v>81044.710000000006</v>
      </c>
      <c r="I487" s="44">
        <v>109441.3</v>
      </c>
      <c r="J487" s="44">
        <v>149633.82999999999</v>
      </c>
      <c r="K487" t="s">
        <v>198</v>
      </c>
    </row>
    <row r="488" spans="1:11" ht="16.95" hidden="1" customHeight="1" x14ac:dyDescent="0.3">
      <c r="A488" s="42" t="s">
        <v>238</v>
      </c>
      <c r="B488" s="42" t="s">
        <v>239</v>
      </c>
      <c r="C488" s="42" t="s">
        <v>210</v>
      </c>
      <c r="D488" s="42" t="s">
        <v>295</v>
      </c>
      <c r="E488" s="42" t="s">
        <v>241</v>
      </c>
      <c r="F488" s="42" t="s">
        <v>252</v>
      </c>
      <c r="G488" s="44">
        <v>69986.23</v>
      </c>
      <c r="H488" s="44">
        <v>81325.95</v>
      </c>
      <c r="I488" s="44">
        <v>123388.79</v>
      </c>
      <c r="J488" s="44">
        <v>151724.35</v>
      </c>
      <c r="K488" t="s">
        <v>198</v>
      </c>
    </row>
    <row r="489" spans="1:11" ht="16.95" hidden="1" customHeight="1" x14ac:dyDescent="0.3">
      <c r="A489" s="42" t="s">
        <v>238</v>
      </c>
      <c r="B489" s="42" t="s">
        <v>239</v>
      </c>
      <c r="C489" s="42" t="s">
        <v>210</v>
      </c>
      <c r="D489" s="42" t="s">
        <v>295</v>
      </c>
      <c r="E489" s="42" t="s">
        <v>241</v>
      </c>
      <c r="F489" s="42" t="s">
        <v>253</v>
      </c>
      <c r="G489" s="44">
        <v>69304.039999999994</v>
      </c>
      <c r="H489" s="44">
        <v>83683.179999999993</v>
      </c>
      <c r="I489" s="44">
        <v>139319.94</v>
      </c>
      <c r="J489" s="44">
        <v>147135.70000000001</v>
      </c>
      <c r="K489" t="s">
        <v>198</v>
      </c>
    </row>
    <row r="490" spans="1:11" ht="16.95" hidden="1" customHeight="1" x14ac:dyDescent="0.3">
      <c r="A490" s="42" t="s">
        <v>238</v>
      </c>
      <c r="B490" s="42" t="s">
        <v>239</v>
      </c>
      <c r="C490" s="42" t="s">
        <v>210</v>
      </c>
      <c r="D490" s="42" t="s">
        <v>296</v>
      </c>
      <c r="E490" s="42" t="s">
        <v>241</v>
      </c>
      <c r="F490" s="42" t="s">
        <v>242</v>
      </c>
      <c r="G490" s="44">
        <v>50963.94</v>
      </c>
      <c r="H490" s="44">
        <v>53896.51</v>
      </c>
      <c r="I490" s="44">
        <v>61988.39</v>
      </c>
      <c r="J490" s="44">
        <v>62843.87</v>
      </c>
      <c r="K490" s="44">
        <v>62074.77</v>
      </c>
    </row>
    <row r="491" spans="1:11" ht="16.95" hidden="1" customHeight="1" x14ac:dyDescent="0.3">
      <c r="A491" s="42" t="s">
        <v>238</v>
      </c>
      <c r="B491" s="42" t="s">
        <v>239</v>
      </c>
      <c r="C491" s="42" t="s">
        <v>210</v>
      </c>
      <c r="D491" s="42" t="s">
        <v>296</v>
      </c>
      <c r="E491" s="42" t="s">
        <v>241</v>
      </c>
      <c r="F491" s="42" t="s">
        <v>243</v>
      </c>
      <c r="G491" s="44">
        <v>49753.13</v>
      </c>
      <c r="H491" s="44">
        <v>56859.63</v>
      </c>
      <c r="I491" s="44">
        <v>63879.37</v>
      </c>
      <c r="J491" s="44">
        <v>60039.19</v>
      </c>
      <c r="K491" s="44">
        <v>61252.6</v>
      </c>
    </row>
    <row r="492" spans="1:11" ht="16.95" hidden="1" customHeight="1" x14ac:dyDescent="0.3">
      <c r="A492" s="42" t="s">
        <v>238</v>
      </c>
      <c r="B492" s="42" t="s">
        <v>239</v>
      </c>
      <c r="C492" s="42" t="s">
        <v>210</v>
      </c>
      <c r="D492" s="42" t="s">
        <v>296</v>
      </c>
      <c r="E492" s="42" t="s">
        <v>241</v>
      </c>
      <c r="F492" s="42" t="s">
        <v>244</v>
      </c>
      <c r="G492" s="44">
        <v>49817.56</v>
      </c>
      <c r="H492" s="44">
        <v>57308.84</v>
      </c>
      <c r="I492" s="44">
        <v>62940.41</v>
      </c>
      <c r="J492" s="44">
        <v>63151.28</v>
      </c>
      <c r="K492" s="44">
        <v>62598.18</v>
      </c>
    </row>
    <row r="493" spans="1:11" ht="16.95" hidden="1" customHeight="1" x14ac:dyDescent="0.3">
      <c r="A493" s="42" t="s">
        <v>238</v>
      </c>
      <c r="B493" s="42" t="s">
        <v>239</v>
      </c>
      <c r="C493" s="42" t="s">
        <v>210</v>
      </c>
      <c r="D493" s="42" t="s">
        <v>296</v>
      </c>
      <c r="E493" s="42" t="s">
        <v>241</v>
      </c>
      <c r="F493" s="42" t="s">
        <v>245</v>
      </c>
      <c r="G493" s="44">
        <v>50125.25</v>
      </c>
      <c r="H493" s="44">
        <v>56646.49</v>
      </c>
      <c r="I493" s="44">
        <v>64457.41</v>
      </c>
      <c r="J493" s="44">
        <v>61003.65</v>
      </c>
      <c r="K493" t="s">
        <v>198</v>
      </c>
    </row>
    <row r="494" spans="1:11" ht="16.95" hidden="1" customHeight="1" x14ac:dyDescent="0.3">
      <c r="A494" s="42" t="s">
        <v>238</v>
      </c>
      <c r="B494" s="42" t="s">
        <v>239</v>
      </c>
      <c r="C494" s="42" t="s">
        <v>210</v>
      </c>
      <c r="D494" s="42" t="s">
        <v>296</v>
      </c>
      <c r="E494" s="42" t="s">
        <v>241</v>
      </c>
      <c r="F494" s="42" t="s">
        <v>246</v>
      </c>
      <c r="G494" s="44">
        <v>49636.07</v>
      </c>
      <c r="H494" s="44">
        <v>59401.82</v>
      </c>
      <c r="I494" s="44">
        <v>65801.789999999994</v>
      </c>
      <c r="J494" s="44">
        <v>60048.66</v>
      </c>
      <c r="K494" t="s">
        <v>198</v>
      </c>
    </row>
    <row r="495" spans="1:11" ht="16.95" hidden="1" customHeight="1" x14ac:dyDescent="0.3">
      <c r="A495" s="42" t="s">
        <v>238</v>
      </c>
      <c r="B495" s="42" t="s">
        <v>239</v>
      </c>
      <c r="C495" s="42" t="s">
        <v>210</v>
      </c>
      <c r="D495" s="42" t="s">
        <v>296</v>
      </c>
      <c r="E495" s="42" t="s">
        <v>241</v>
      </c>
      <c r="F495" s="42" t="s">
        <v>247</v>
      </c>
      <c r="G495" s="44">
        <v>49361.81</v>
      </c>
      <c r="H495" s="44">
        <v>56224.18</v>
      </c>
      <c r="I495" s="44">
        <v>63409.16</v>
      </c>
      <c r="J495" s="44">
        <v>59061.95</v>
      </c>
      <c r="K495" t="s">
        <v>198</v>
      </c>
    </row>
    <row r="496" spans="1:11" ht="16.95" hidden="1" customHeight="1" x14ac:dyDescent="0.3">
      <c r="A496" s="42" t="s">
        <v>238</v>
      </c>
      <c r="B496" s="42" t="s">
        <v>239</v>
      </c>
      <c r="C496" s="42" t="s">
        <v>210</v>
      </c>
      <c r="D496" s="42" t="s">
        <v>296</v>
      </c>
      <c r="E496" s="42" t="s">
        <v>241</v>
      </c>
      <c r="F496" s="42" t="s">
        <v>248</v>
      </c>
      <c r="G496" s="44">
        <v>51203.12</v>
      </c>
      <c r="H496" s="44">
        <v>56203.48</v>
      </c>
      <c r="I496" s="44">
        <v>61987.79</v>
      </c>
      <c r="J496" s="44">
        <v>58762.73</v>
      </c>
      <c r="K496" t="s">
        <v>198</v>
      </c>
    </row>
    <row r="497" spans="1:11" ht="16.95" hidden="1" customHeight="1" x14ac:dyDescent="0.3">
      <c r="A497" s="42" t="s">
        <v>238</v>
      </c>
      <c r="B497" s="42" t="s">
        <v>239</v>
      </c>
      <c r="C497" s="42" t="s">
        <v>210</v>
      </c>
      <c r="D497" s="42" t="s">
        <v>296</v>
      </c>
      <c r="E497" s="42" t="s">
        <v>241</v>
      </c>
      <c r="F497" s="42" t="s">
        <v>249</v>
      </c>
      <c r="G497" s="44">
        <v>51868.12</v>
      </c>
      <c r="H497" s="44">
        <v>57608.76</v>
      </c>
      <c r="I497" s="44">
        <v>62136.14</v>
      </c>
      <c r="J497" s="44">
        <v>59465.9</v>
      </c>
      <c r="K497" t="s">
        <v>198</v>
      </c>
    </row>
    <row r="498" spans="1:11" ht="16.95" hidden="1" customHeight="1" x14ac:dyDescent="0.3">
      <c r="A498" s="42" t="s">
        <v>238</v>
      </c>
      <c r="B498" s="42" t="s">
        <v>239</v>
      </c>
      <c r="C498" s="42" t="s">
        <v>210</v>
      </c>
      <c r="D498" s="42" t="s">
        <v>296</v>
      </c>
      <c r="E498" s="42" t="s">
        <v>241</v>
      </c>
      <c r="F498" s="42" t="s">
        <v>250</v>
      </c>
      <c r="G498" s="44">
        <v>51696.1</v>
      </c>
      <c r="H498" s="44">
        <v>58765.45</v>
      </c>
      <c r="I498" s="44">
        <v>59553.440000000002</v>
      </c>
      <c r="J498" s="44">
        <v>58349.34</v>
      </c>
      <c r="K498" t="s">
        <v>198</v>
      </c>
    </row>
    <row r="499" spans="1:11" ht="16.95" hidden="1" customHeight="1" x14ac:dyDescent="0.3">
      <c r="A499" s="42" t="s">
        <v>238</v>
      </c>
      <c r="B499" s="42" t="s">
        <v>239</v>
      </c>
      <c r="C499" s="42" t="s">
        <v>210</v>
      </c>
      <c r="D499" s="42" t="s">
        <v>296</v>
      </c>
      <c r="E499" s="42" t="s">
        <v>241</v>
      </c>
      <c r="F499" s="42" t="s">
        <v>251</v>
      </c>
      <c r="G499" s="44">
        <v>51552.94</v>
      </c>
      <c r="H499" s="44">
        <v>58063.42</v>
      </c>
      <c r="I499" s="44">
        <v>61421.35</v>
      </c>
      <c r="J499" s="44">
        <v>60804.89</v>
      </c>
      <c r="K499" t="s">
        <v>198</v>
      </c>
    </row>
    <row r="500" spans="1:11" ht="16.95" hidden="1" customHeight="1" x14ac:dyDescent="0.3">
      <c r="A500" s="42" t="s">
        <v>238</v>
      </c>
      <c r="B500" s="42" t="s">
        <v>239</v>
      </c>
      <c r="C500" s="42" t="s">
        <v>210</v>
      </c>
      <c r="D500" s="42" t="s">
        <v>296</v>
      </c>
      <c r="E500" s="42" t="s">
        <v>241</v>
      </c>
      <c r="F500" s="42" t="s">
        <v>252</v>
      </c>
      <c r="G500" s="44">
        <v>52931.67</v>
      </c>
      <c r="H500" s="44">
        <v>58227.7</v>
      </c>
      <c r="I500" s="44">
        <v>57460.57</v>
      </c>
      <c r="J500" s="44">
        <v>58483.46</v>
      </c>
      <c r="K500" t="s">
        <v>198</v>
      </c>
    </row>
    <row r="501" spans="1:11" ht="16.95" hidden="1" customHeight="1" x14ac:dyDescent="0.3">
      <c r="A501" s="42" t="s">
        <v>238</v>
      </c>
      <c r="B501" s="42" t="s">
        <v>239</v>
      </c>
      <c r="C501" s="42" t="s">
        <v>210</v>
      </c>
      <c r="D501" s="42" t="s">
        <v>296</v>
      </c>
      <c r="E501" s="42" t="s">
        <v>241</v>
      </c>
      <c r="F501" s="42" t="s">
        <v>253</v>
      </c>
      <c r="G501" s="44">
        <v>52604.11</v>
      </c>
      <c r="H501" s="43">
        <v>60436</v>
      </c>
      <c r="I501" s="44">
        <v>58354.31</v>
      </c>
      <c r="J501" s="44">
        <v>61884.55</v>
      </c>
      <c r="K501" t="s">
        <v>198</v>
      </c>
    </row>
    <row r="502" spans="1:11" ht="16.95" hidden="1" customHeight="1" x14ac:dyDescent="0.3">
      <c r="A502" s="42" t="s">
        <v>238</v>
      </c>
      <c r="B502" s="42" t="s">
        <v>239</v>
      </c>
      <c r="C502" s="42" t="s">
        <v>210</v>
      </c>
      <c r="D502" s="42" t="s">
        <v>297</v>
      </c>
      <c r="E502" s="42" t="s">
        <v>241</v>
      </c>
      <c r="F502" s="42" t="s">
        <v>242</v>
      </c>
      <c r="G502" s="44">
        <v>63458.86</v>
      </c>
      <c r="H502" s="44">
        <v>60140.36</v>
      </c>
      <c r="I502" s="44">
        <v>64344.68</v>
      </c>
      <c r="J502" s="44">
        <v>64098.22</v>
      </c>
      <c r="K502" s="44">
        <v>61091.58</v>
      </c>
    </row>
    <row r="503" spans="1:11" ht="16.95" hidden="1" customHeight="1" x14ac:dyDescent="0.3">
      <c r="A503" s="42" t="s">
        <v>238</v>
      </c>
      <c r="B503" s="42" t="s">
        <v>239</v>
      </c>
      <c r="C503" s="42" t="s">
        <v>210</v>
      </c>
      <c r="D503" s="42" t="s">
        <v>297</v>
      </c>
      <c r="E503" s="42" t="s">
        <v>241</v>
      </c>
      <c r="F503" s="42" t="s">
        <v>243</v>
      </c>
      <c r="G503" s="44">
        <v>60718.84</v>
      </c>
      <c r="H503" s="44">
        <v>59913.5</v>
      </c>
      <c r="I503" s="44">
        <v>64123.92</v>
      </c>
      <c r="J503" s="44">
        <v>63790.85</v>
      </c>
      <c r="K503" s="44">
        <v>62356.3</v>
      </c>
    </row>
    <row r="504" spans="1:11" ht="16.95" hidden="1" customHeight="1" x14ac:dyDescent="0.3">
      <c r="A504" s="42" t="s">
        <v>238</v>
      </c>
      <c r="B504" s="42" t="s">
        <v>239</v>
      </c>
      <c r="C504" s="42" t="s">
        <v>210</v>
      </c>
      <c r="D504" s="42" t="s">
        <v>297</v>
      </c>
      <c r="E504" s="42" t="s">
        <v>241</v>
      </c>
      <c r="F504" s="42" t="s">
        <v>244</v>
      </c>
      <c r="G504" s="44">
        <v>60947.06</v>
      </c>
      <c r="H504" s="44">
        <v>60032.27</v>
      </c>
      <c r="I504" s="44">
        <v>65020.09</v>
      </c>
      <c r="J504" s="44">
        <v>65016.88</v>
      </c>
      <c r="K504" s="44">
        <v>61658.77</v>
      </c>
    </row>
    <row r="505" spans="1:11" ht="16.95" hidden="1" customHeight="1" x14ac:dyDescent="0.3">
      <c r="A505" s="42" t="s">
        <v>238</v>
      </c>
      <c r="B505" s="42" t="s">
        <v>239</v>
      </c>
      <c r="C505" s="42" t="s">
        <v>210</v>
      </c>
      <c r="D505" s="42" t="s">
        <v>297</v>
      </c>
      <c r="E505" s="42" t="s">
        <v>241</v>
      </c>
      <c r="F505" s="42" t="s">
        <v>245</v>
      </c>
      <c r="G505" s="44">
        <v>57685.48</v>
      </c>
      <c r="H505" s="44">
        <v>60266.29</v>
      </c>
      <c r="I505" s="44">
        <v>65204.99</v>
      </c>
      <c r="J505" s="44">
        <v>65804.09</v>
      </c>
      <c r="K505" t="s">
        <v>198</v>
      </c>
    </row>
    <row r="506" spans="1:11" ht="16.95" hidden="1" customHeight="1" x14ac:dyDescent="0.3">
      <c r="A506" s="42" t="s">
        <v>238</v>
      </c>
      <c r="B506" s="42" t="s">
        <v>239</v>
      </c>
      <c r="C506" s="42" t="s">
        <v>210</v>
      </c>
      <c r="D506" s="42" t="s">
        <v>297</v>
      </c>
      <c r="E506" s="42" t="s">
        <v>241</v>
      </c>
      <c r="F506" s="42" t="s">
        <v>246</v>
      </c>
      <c r="G506" s="44">
        <v>56785.62</v>
      </c>
      <c r="H506" s="44">
        <v>59933.94</v>
      </c>
      <c r="I506" s="44">
        <v>63955.62</v>
      </c>
      <c r="J506" s="44">
        <v>65128.88</v>
      </c>
      <c r="K506" t="s">
        <v>198</v>
      </c>
    </row>
    <row r="507" spans="1:11" ht="16.95" hidden="1" customHeight="1" x14ac:dyDescent="0.3">
      <c r="A507" s="42" t="s">
        <v>238</v>
      </c>
      <c r="B507" s="42" t="s">
        <v>239</v>
      </c>
      <c r="C507" s="42" t="s">
        <v>210</v>
      </c>
      <c r="D507" s="42" t="s">
        <v>297</v>
      </c>
      <c r="E507" s="42" t="s">
        <v>241</v>
      </c>
      <c r="F507" s="42" t="s">
        <v>247</v>
      </c>
      <c r="G507" s="44">
        <v>57075.9</v>
      </c>
      <c r="H507" s="44">
        <v>60323.1</v>
      </c>
      <c r="I507" s="44">
        <v>63899.68</v>
      </c>
      <c r="J507" s="44">
        <v>64576.1</v>
      </c>
      <c r="K507" t="s">
        <v>198</v>
      </c>
    </row>
    <row r="508" spans="1:11" ht="16.95" hidden="1" customHeight="1" x14ac:dyDescent="0.3">
      <c r="A508" s="42" t="s">
        <v>238</v>
      </c>
      <c r="B508" s="42" t="s">
        <v>239</v>
      </c>
      <c r="C508" s="42" t="s">
        <v>210</v>
      </c>
      <c r="D508" s="42" t="s">
        <v>297</v>
      </c>
      <c r="E508" s="42" t="s">
        <v>241</v>
      </c>
      <c r="F508" s="42" t="s">
        <v>248</v>
      </c>
      <c r="G508" s="44">
        <v>54321.69</v>
      </c>
      <c r="H508" s="44">
        <v>61099.65</v>
      </c>
      <c r="I508" s="44">
        <v>63082.400000000001</v>
      </c>
      <c r="J508" s="44">
        <v>61363.38</v>
      </c>
      <c r="K508" t="s">
        <v>198</v>
      </c>
    </row>
    <row r="509" spans="1:11" ht="16.95" hidden="1" customHeight="1" x14ac:dyDescent="0.3">
      <c r="A509" s="42" t="s">
        <v>238</v>
      </c>
      <c r="B509" s="42" t="s">
        <v>239</v>
      </c>
      <c r="C509" s="42" t="s">
        <v>210</v>
      </c>
      <c r="D509" s="42" t="s">
        <v>297</v>
      </c>
      <c r="E509" s="42" t="s">
        <v>241</v>
      </c>
      <c r="F509" s="42" t="s">
        <v>249</v>
      </c>
      <c r="G509" s="44">
        <v>54732.29</v>
      </c>
      <c r="H509" s="44">
        <v>62361.25</v>
      </c>
      <c r="I509" s="44">
        <v>63757.2</v>
      </c>
      <c r="J509" s="44">
        <v>61098.38</v>
      </c>
      <c r="K509" t="s">
        <v>198</v>
      </c>
    </row>
    <row r="510" spans="1:11" ht="16.95" hidden="1" customHeight="1" x14ac:dyDescent="0.3">
      <c r="A510" s="42" t="s">
        <v>238</v>
      </c>
      <c r="B510" s="42" t="s">
        <v>239</v>
      </c>
      <c r="C510" s="42" t="s">
        <v>210</v>
      </c>
      <c r="D510" s="42" t="s">
        <v>297</v>
      </c>
      <c r="E510" s="42" t="s">
        <v>241</v>
      </c>
      <c r="F510" s="42" t="s">
        <v>250</v>
      </c>
      <c r="G510" s="44">
        <v>54713.75</v>
      </c>
      <c r="H510" s="44">
        <v>63376.959999999999</v>
      </c>
      <c r="I510" s="44">
        <v>62988.31</v>
      </c>
      <c r="J510" s="44">
        <v>61173.2</v>
      </c>
      <c r="K510" t="s">
        <v>198</v>
      </c>
    </row>
    <row r="511" spans="1:11" ht="16.95" hidden="1" customHeight="1" x14ac:dyDescent="0.3">
      <c r="A511" s="42" t="s">
        <v>238</v>
      </c>
      <c r="B511" s="42" t="s">
        <v>239</v>
      </c>
      <c r="C511" s="42" t="s">
        <v>210</v>
      </c>
      <c r="D511" s="42" t="s">
        <v>297</v>
      </c>
      <c r="E511" s="42" t="s">
        <v>241</v>
      </c>
      <c r="F511" s="42" t="s">
        <v>251</v>
      </c>
      <c r="G511" s="44">
        <v>54811.45</v>
      </c>
      <c r="H511" s="44">
        <v>65209.68</v>
      </c>
      <c r="I511" s="44">
        <v>62407.58</v>
      </c>
      <c r="J511" s="44">
        <v>62961.63</v>
      </c>
      <c r="K511" t="s">
        <v>198</v>
      </c>
    </row>
    <row r="512" spans="1:11" ht="16.95" hidden="1" customHeight="1" x14ac:dyDescent="0.3">
      <c r="A512" s="42" t="s">
        <v>238</v>
      </c>
      <c r="B512" s="42" t="s">
        <v>239</v>
      </c>
      <c r="C512" s="42" t="s">
        <v>210</v>
      </c>
      <c r="D512" s="42" t="s">
        <v>297</v>
      </c>
      <c r="E512" s="42" t="s">
        <v>241</v>
      </c>
      <c r="F512" s="42" t="s">
        <v>252</v>
      </c>
      <c r="G512" s="44">
        <v>58543.56</v>
      </c>
      <c r="H512" s="44">
        <v>63895.91</v>
      </c>
      <c r="I512" s="44">
        <v>63265.26</v>
      </c>
      <c r="J512" s="44">
        <v>61787.86</v>
      </c>
      <c r="K512" t="s">
        <v>198</v>
      </c>
    </row>
    <row r="513" spans="1:11" ht="16.95" hidden="1" customHeight="1" x14ac:dyDescent="0.3">
      <c r="A513" s="42" t="s">
        <v>238</v>
      </c>
      <c r="B513" s="42" t="s">
        <v>239</v>
      </c>
      <c r="C513" s="42" t="s">
        <v>210</v>
      </c>
      <c r="D513" s="42" t="s">
        <v>297</v>
      </c>
      <c r="E513" s="42" t="s">
        <v>241</v>
      </c>
      <c r="F513" s="42" t="s">
        <v>253</v>
      </c>
      <c r="G513" s="44">
        <v>58712.5</v>
      </c>
      <c r="H513" s="44">
        <v>68029.09</v>
      </c>
      <c r="I513" s="44">
        <v>62849.120000000003</v>
      </c>
      <c r="J513" s="44">
        <v>62806.7</v>
      </c>
      <c r="K513" t="s">
        <v>198</v>
      </c>
    </row>
    <row r="514" spans="1:11" ht="16.95" hidden="1" customHeight="1" x14ac:dyDescent="0.3">
      <c r="A514" s="42" t="s">
        <v>238</v>
      </c>
      <c r="B514" s="42" t="s">
        <v>239</v>
      </c>
      <c r="C514" s="42" t="s">
        <v>210</v>
      </c>
      <c r="D514" s="42" t="s">
        <v>298</v>
      </c>
      <c r="E514" s="42" t="s">
        <v>241</v>
      </c>
      <c r="F514" s="42" t="s">
        <v>242</v>
      </c>
      <c r="G514" s="44">
        <v>115860.71</v>
      </c>
      <c r="H514" s="44">
        <v>112591.79</v>
      </c>
      <c r="I514" s="44">
        <v>129560.33</v>
      </c>
      <c r="J514" s="44">
        <v>140253.62</v>
      </c>
      <c r="K514" s="44">
        <v>113459.04</v>
      </c>
    </row>
    <row r="515" spans="1:11" ht="16.95" hidden="1" customHeight="1" x14ac:dyDescent="0.3">
      <c r="A515" s="42" t="s">
        <v>238</v>
      </c>
      <c r="B515" s="42" t="s">
        <v>239</v>
      </c>
      <c r="C515" s="42" t="s">
        <v>210</v>
      </c>
      <c r="D515" s="42" t="s">
        <v>298</v>
      </c>
      <c r="E515" s="42" t="s">
        <v>241</v>
      </c>
      <c r="F515" s="42" t="s">
        <v>243</v>
      </c>
      <c r="G515" s="44">
        <v>130082.59</v>
      </c>
      <c r="H515" s="44">
        <v>110963.04</v>
      </c>
      <c r="I515" s="44">
        <v>110830.04</v>
      </c>
      <c r="J515" s="44">
        <v>118854.57</v>
      </c>
      <c r="K515" t="s">
        <v>198</v>
      </c>
    </row>
    <row r="516" spans="1:11" ht="16.95" hidden="1" customHeight="1" x14ac:dyDescent="0.3">
      <c r="A516" s="42" t="s">
        <v>238</v>
      </c>
      <c r="B516" s="42" t="s">
        <v>239</v>
      </c>
      <c r="C516" s="42" t="s">
        <v>210</v>
      </c>
      <c r="D516" s="42" t="s">
        <v>298</v>
      </c>
      <c r="E516" s="42" t="s">
        <v>241</v>
      </c>
      <c r="F516" s="42" t="s">
        <v>244</v>
      </c>
      <c r="G516" s="44">
        <v>116210.53</v>
      </c>
      <c r="H516" s="44">
        <v>111811.96</v>
      </c>
      <c r="I516" s="44">
        <v>120390.72</v>
      </c>
      <c r="J516" s="44">
        <v>110497.5</v>
      </c>
      <c r="K516" s="44">
        <v>114654.24</v>
      </c>
    </row>
    <row r="517" spans="1:11" ht="16.95" hidden="1" customHeight="1" x14ac:dyDescent="0.3">
      <c r="A517" s="42" t="s">
        <v>238</v>
      </c>
      <c r="B517" s="42" t="s">
        <v>239</v>
      </c>
      <c r="C517" s="42" t="s">
        <v>210</v>
      </c>
      <c r="D517" s="42" t="s">
        <v>298</v>
      </c>
      <c r="E517" s="42" t="s">
        <v>241</v>
      </c>
      <c r="F517" s="42" t="s">
        <v>245</v>
      </c>
      <c r="G517" s="44">
        <v>115041.24</v>
      </c>
      <c r="H517" s="44">
        <v>119400.74</v>
      </c>
      <c r="I517" s="44">
        <v>113386.33</v>
      </c>
      <c r="J517" s="44">
        <v>118883.55</v>
      </c>
      <c r="K517" t="s">
        <v>198</v>
      </c>
    </row>
    <row r="518" spans="1:11" ht="16.95" hidden="1" customHeight="1" x14ac:dyDescent="0.3">
      <c r="A518" s="42" t="s">
        <v>238</v>
      </c>
      <c r="B518" s="42" t="s">
        <v>239</v>
      </c>
      <c r="C518" s="42" t="s">
        <v>210</v>
      </c>
      <c r="D518" s="42" t="s">
        <v>298</v>
      </c>
      <c r="E518" s="42" t="s">
        <v>241</v>
      </c>
      <c r="F518" s="42" t="s">
        <v>246</v>
      </c>
      <c r="G518" s="44">
        <v>110593.23</v>
      </c>
      <c r="H518" s="44">
        <v>111958.94</v>
      </c>
      <c r="I518" s="44">
        <v>139203.73000000001</v>
      </c>
      <c r="J518" s="44">
        <v>110780.94</v>
      </c>
      <c r="K518" t="s">
        <v>198</v>
      </c>
    </row>
    <row r="519" spans="1:11" ht="16.95" hidden="1" customHeight="1" x14ac:dyDescent="0.3">
      <c r="A519" s="42" t="s">
        <v>238</v>
      </c>
      <c r="B519" s="42" t="s">
        <v>239</v>
      </c>
      <c r="C519" s="42" t="s">
        <v>210</v>
      </c>
      <c r="D519" s="42" t="s">
        <v>298</v>
      </c>
      <c r="E519" s="42" t="s">
        <v>241</v>
      </c>
      <c r="F519" s="42" t="s">
        <v>247</v>
      </c>
      <c r="G519" s="44">
        <v>105656.34</v>
      </c>
      <c r="H519" s="44">
        <v>106720.32000000001</v>
      </c>
      <c r="I519" s="44">
        <v>137530.63</v>
      </c>
      <c r="J519" s="44">
        <v>112008.11</v>
      </c>
      <c r="K519" t="s">
        <v>198</v>
      </c>
    </row>
    <row r="520" spans="1:11" ht="16.95" hidden="1" customHeight="1" x14ac:dyDescent="0.3">
      <c r="A520" s="42" t="s">
        <v>238</v>
      </c>
      <c r="B520" s="42" t="s">
        <v>239</v>
      </c>
      <c r="C520" s="42" t="s">
        <v>210</v>
      </c>
      <c r="D520" s="42" t="s">
        <v>298</v>
      </c>
      <c r="E520" s="42" t="s">
        <v>241</v>
      </c>
      <c r="F520" s="42" t="s">
        <v>248</v>
      </c>
      <c r="G520" s="44">
        <v>106429.33</v>
      </c>
      <c r="H520" s="44">
        <v>113543.2</v>
      </c>
      <c r="I520" s="44">
        <v>145065.01999999999</v>
      </c>
      <c r="J520" s="44">
        <v>114239.33</v>
      </c>
      <c r="K520" t="s">
        <v>198</v>
      </c>
    </row>
    <row r="521" spans="1:11" ht="16.95" hidden="1" customHeight="1" x14ac:dyDescent="0.3">
      <c r="A521" s="42" t="s">
        <v>238</v>
      </c>
      <c r="B521" s="42" t="s">
        <v>239</v>
      </c>
      <c r="C521" s="42" t="s">
        <v>210</v>
      </c>
      <c r="D521" s="42" t="s">
        <v>298</v>
      </c>
      <c r="E521" s="42" t="s">
        <v>241</v>
      </c>
      <c r="F521" s="42" t="s">
        <v>249</v>
      </c>
      <c r="G521" s="44">
        <v>110567.21</v>
      </c>
      <c r="H521" s="44">
        <v>112659.33</v>
      </c>
      <c r="I521" s="44">
        <v>149649.39000000001</v>
      </c>
      <c r="J521" s="44">
        <v>111500.75</v>
      </c>
      <c r="K521" t="s">
        <v>198</v>
      </c>
    </row>
    <row r="522" spans="1:11" ht="16.95" hidden="1" customHeight="1" x14ac:dyDescent="0.3">
      <c r="A522" s="42" t="s">
        <v>238</v>
      </c>
      <c r="B522" s="42" t="s">
        <v>239</v>
      </c>
      <c r="C522" s="42" t="s">
        <v>210</v>
      </c>
      <c r="D522" s="42" t="s">
        <v>298</v>
      </c>
      <c r="E522" s="42" t="s">
        <v>241</v>
      </c>
      <c r="F522" s="42" t="s">
        <v>250</v>
      </c>
      <c r="G522" s="44">
        <v>110840.24</v>
      </c>
      <c r="H522" s="44">
        <v>110340.95</v>
      </c>
      <c r="I522" s="44">
        <v>124597.64</v>
      </c>
      <c r="J522" s="44">
        <v>110791.91</v>
      </c>
      <c r="K522" t="s">
        <v>198</v>
      </c>
    </row>
    <row r="523" spans="1:11" ht="16.95" hidden="1" customHeight="1" x14ac:dyDescent="0.3">
      <c r="A523" s="42" t="s">
        <v>238</v>
      </c>
      <c r="B523" s="42" t="s">
        <v>239</v>
      </c>
      <c r="C523" s="42" t="s">
        <v>210</v>
      </c>
      <c r="D523" s="42" t="s">
        <v>298</v>
      </c>
      <c r="E523" s="42" t="s">
        <v>241</v>
      </c>
      <c r="F523" s="42" t="s">
        <v>251</v>
      </c>
      <c r="G523" s="44">
        <v>106837.33</v>
      </c>
      <c r="H523" s="44">
        <v>111075.33</v>
      </c>
      <c r="I523" s="44">
        <v>116489.91</v>
      </c>
      <c r="J523" s="44">
        <v>110926.22</v>
      </c>
      <c r="K523" t="s">
        <v>198</v>
      </c>
    </row>
    <row r="524" spans="1:11" ht="16.95" hidden="1" customHeight="1" x14ac:dyDescent="0.3">
      <c r="A524" s="42" t="s">
        <v>238</v>
      </c>
      <c r="B524" s="42" t="s">
        <v>239</v>
      </c>
      <c r="C524" s="42" t="s">
        <v>210</v>
      </c>
      <c r="D524" s="42" t="s">
        <v>298</v>
      </c>
      <c r="E524" s="42" t="s">
        <v>241</v>
      </c>
      <c r="F524" s="42" t="s">
        <v>252</v>
      </c>
      <c r="G524" s="44">
        <v>108719.43</v>
      </c>
      <c r="H524" s="44">
        <v>118508.18</v>
      </c>
      <c r="I524" s="44">
        <v>130454.56</v>
      </c>
      <c r="J524" s="44">
        <v>112243.6</v>
      </c>
      <c r="K524" t="s">
        <v>198</v>
      </c>
    </row>
    <row r="525" spans="1:11" ht="16.95" hidden="1" customHeight="1" x14ac:dyDescent="0.3">
      <c r="A525" s="42" t="s">
        <v>238</v>
      </c>
      <c r="B525" s="42" t="s">
        <v>239</v>
      </c>
      <c r="C525" s="42" t="s">
        <v>210</v>
      </c>
      <c r="D525" s="42" t="s">
        <v>298</v>
      </c>
      <c r="E525" s="42" t="s">
        <v>241</v>
      </c>
      <c r="F525" s="42" t="s">
        <v>253</v>
      </c>
      <c r="G525" s="44">
        <v>122069.34</v>
      </c>
      <c r="H525" s="44">
        <v>117847.67999999999</v>
      </c>
      <c r="I525" s="44">
        <v>132386.93</v>
      </c>
      <c r="J525" s="44">
        <v>114394.49</v>
      </c>
      <c r="K525" t="s">
        <v>198</v>
      </c>
    </row>
    <row r="526" spans="1:11" ht="16.95" hidden="1" customHeight="1" x14ac:dyDescent="0.3">
      <c r="A526" s="42" t="s">
        <v>299</v>
      </c>
      <c r="B526" s="42" t="s">
        <v>257</v>
      </c>
      <c r="C526" s="42" t="s">
        <v>210</v>
      </c>
      <c r="D526" s="42" t="s">
        <v>258</v>
      </c>
      <c r="E526" s="42" t="s">
        <v>241</v>
      </c>
      <c r="F526" s="42" t="s">
        <v>242</v>
      </c>
      <c r="G526" s="44">
        <v>1364.99</v>
      </c>
      <c r="H526" s="44">
        <v>1459.19</v>
      </c>
      <c r="I526" s="44">
        <v>1482.35</v>
      </c>
      <c r="J526" s="44">
        <v>1611.99</v>
      </c>
      <c r="K526" s="44">
        <v>1628.97</v>
      </c>
    </row>
    <row r="527" spans="1:11" ht="16.95" hidden="1" customHeight="1" x14ac:dyDescent="0.3">
      <c r="A527" s="42" t="s">
        <v>299</v>
      </c>
      <c r="B527" s="42" t="s">
        <v>257</v>
      </c>
      <c r="C527" s="42" t="s">
        <v>210</v>
      </c>
      <c r="D527" s="42" t="s">
        <v>258</v>
      </c>
      <c r="E527" s="42" t="s">
        <v>241</v>
      </c>
      <c r="F527" s="42" t="s">
        <v>243</v>
      </c>
      <c r="G527" s="44">
        <v>1352.31</v>
      </c>
      <c r="H527" s="44">
        <v>1422.71</v>
      </c>
      <c r="I527" s="44">
        <v>1565.24</v>
      </c>
      <c r="J527" s="44">
        <v>1636.28</v>
      </c>
      <c r="K527" s="44">
        <v>1656.93</v>
      </c>
    </row>
    <row r="528" spans="1:11" ht="16.95" hidden="1" customHeight="1" x14ac:dyDescent="0.3">
      <c r="A528" s="42" t="s">
        <v>299</v>
      </c>
      <c r="B528" s="42" t="s">
        <v>257</v>
      </c>
      <c r="C528" s="42" t="s">
        <v>210</v>
      </c>
      <c r="D528" s="42" t="s">
        <v>258</v>
      </c>
      <c r="E528" s="42" t="s">
        <v>241</v>
      </c>
      <c r="F528" s="42" t="s">
        <v>244</v>
      </c>
      <c r="G528" s="44">
        <v>1413.71</v>
      </c>
      <c r="H528" s="44">
        <v>1395.45</v>
      </c>
      <c r="I528" s="44">
        <v>1609.63</v>
      </c>
      <c r="J528" s="44">
        <v>1548.07</v>
      </c>
      <c r="K528" s="44">
        <v>1932.86</v>
      </c>
    </row>
    <row r="529" spans="1:11" ht="16.95" hidden="1" customHeight="1" x14ac:dyDescent="0.3">
      <c r="A529" s="42" t="s">
        <v>299</v>
      </c>
      <c r="B529" s="42" t="s">
        <v>257</v>
      </c>
      <c r="C529" s="42" t="s">
        <v>210</v>
      </c>
      <c r="D529" s="42" t="s">
        <v>258</v>
      </c>
      <c r="E529" s="42" t="s">
        <v>241</v>
      </c>
      <c r="F529" s="42" t="s">
        <v>245</v>
      </c>
      <c r="G529" s="44">
        <v>1356.74</v>
      </c>
      <c r="H529" s="44">
        <v>1384.71</v>
      </c>
      <c r="I529" s="44">
        <v>1669.55</v>
      </c>
      <c r="J529" s="44">
        <v>1708.46</v>
      </c>
      <c r="K529" t="s">
        <v>198</v>
      </c>
    </row>
    <row r="530" spans="1:11" ht="16.95" hidden="1" customHeight="1" x14ac:dyDescent="0.3">
      <c r="A530" s="42" t="s">
        <v>299</v>
      </c>
      <c r="B530" s="42" t="s">
        <v>257</v>
      </c>
      <c r="C530" s="42" t="s">
        <v>210</v>
      </c>
      <c r="D530" s="42" t="s">
        <v>258</v>
      </c>
      <c r="E530" s="42" t="s">
        <v>241</v>
      </c>
      <c r="F530" s="42" t="s">
        <v>246</v>
      </c>
      <c r="G530" s="44">
        <v>1385.03</v>
      </c>
      <c r="H530" s="44">
        <v>1394.87</v>
      </c>
      <c r="I530" s="44">
        <v>1593.28</v>
      </c>
      <c r="J530" s="44">
        <v>1691.97</v>
      </c>
      <c r="K530" t="s">
        <v>198</v>
      </c>
    </row>
    <row r="531" spans="1:11" ht="16.95" hidden="1" customHeight="1" x14ac:dyDescent="0.3">
      <c r="A531" s="42" t="s">
        <v>299</v>
      </c>
      <c r="B531" s="42" t="s">
        <v>257</v>
      </c>
      <c r="C531" s="42" t="s">
        <v>210</v>
      </c>
      <c r="D531" s="42" t="s">
        <v>258</v>
      </c>
      <c r="E531" s="42" t="s">
        <v>241</v>
      </c>
      <c r="F531" s="42" t="s">
        <v>247</v>
      </c>
      <c r="G531" s="44">
        <v>1381.05</v>
      </c>
      <c r="H531" s="44">
        <v>1411.97</v>
      </c>
      <c r="I531" s="44">
        <v>1635.01</v>
      </c>
      <c r="J531" s="44">
        <v>1673.76</v>
      </c>
      <c r="K531" t="s">
        <v>198</v>
      </c>
    </row>
    <row r="532" spans="1:11" ht="16.95" hidden="1" customHeight="1" x14ac:dyDescent="0.3">
      <c r="A532" s="42" t="s">
        <v>299</v>
      </c>
      <c r="B532" s="42" t="s">
        <v>257</v>
      </c>
      <c r="C532" s="42" t="s">
        <v>210</v>
      </c>
      <c r="D532" s="42" t="s">
        <v>258</v>
      </c>
      <c r="E532" s="42" t="s">
        <v>241</v>
      </c>
      <c r="F532" s="42" t="s">
        <v>248</v>
      </c>
      <c r="G532" s="44">
        <v>1429.44</v>
      </c>
      <c r="H532" s="44">
        <v>1387.47</v>
      </c>
      <c r="I532" s="44">
        <v>1618.79</v>
      </c>
      <c r="J532" s="44">
        <v>1654.36</v>
      </c>
      <c r="K532" t="s">
        <v>198</v>
      </c>
    </row>
    <row r="533" spans="1:11" ht="16.95" hidden="1" customHeight="1" x14ac:dyDescent="0.3">
      <c r="A533" s="42" t="s">
        <v>299</v>
      </c>
      <c r="B533" s="42" t="s">
        <v>257</v>
      </c>
      <c r="C533" s="42" t="s">
        <v>210</v>
      </c>
      <c r="D533" s="42" t="s">
        <v>258</v>
      </c>
      <c r="E533" s="42" t="s">
        <v>241</v>
      </c>
      <c r="F533" s="42" t="s">
        <v>249</v>
      </c>
      <c r="G533" s="44">
        <v>1399.31</v>
      </c>
      <c r="H533" s="43">
        <v>1417</v>
      </c>
      <c r="I533" s="44">
        <v>1609.82</v>
      </c>
      <c r="J533" s="44">
        <v>1673.66</v>
      </c>
      <c r="K533" t="s">
        <v>198</v>
      </c>
    </row>
    <row r="534" spans="1:11" ht="16.95" hidden="1" customHeight="1" x14ac:dyDescent="0.3">
      <c r="A534" s="42" t="s">
        <v>299</v>
      </c>
      <c r="B534" s="42" t="s">
        <v>257</v>
      </c>
      <c r="C534" s="42" t="s">
        <v>210</v>
      </c>
      <c r="D534" s="42" t="s">
        <v>258</v>
      </c>
      <c r="E534" s="42" t="s">
        <v>241</v>
      </c>
      <c r="F534" s="42" t="s">
        <v>250</v>
      </c>
      <c r="G534" s="44">
        <v>1444.44</v>
      </c>
      <c r="H534" s="44">
        <v>1464.6</v>
      </c>
      <c r="I534" s="44">
        <v>1568.58</v>
      </c>
      <c r="J534" s="44">
        <v>1681.42</v>
      </c>
      <c r="K534" t="s">
        <v>198</v>
      </c>
    </row>
    <row r="535" spans="1:11" ht="16.95" hidden="1" customHeight="1" x14ac:dyDescent="0.3">
      <c r="A535" s="42" t="s">
        <v>299</v>
      </c>
      <c r="B535" s="42" t="s">
        <v>257</v>
      </c>
      <c r="C535" s="42" t="s">
        <v>210</v>
      </c>
      <c r="D535" s="42" t="s">
        <v>258</v>
      </c>
      <c r="E535" s="42" t="s">
        <v>241</v>
      </c>
      <c r="F535" s="42" t="s">
        <v>251</v>
      </c>
      <c r="G535" s="44">
        <v>1450.45</v>
      </c>
      <c r="H535" s="44">
        <v>1463.04</v>
      </c>
      <c r="I535" s="44">
        <v>1663.25</v>
      </c>
      <c r="J535" s="44">
        <v>1747.98</v>
      </c>
      <c r="K535" t="s">
        <v>198</v>
      </c>
    </row>
    <row r="536" spans="1:11" ht="16.95" hidden="1" customHeight="1" x14ac:dyDescent="0.3">
      <c r="A536" s="42" t="s">
        <v>299</v>
      </c>
      <c r="B536" s="42" t="s">
        <v>257</v>
      </c>
      <c r="C536" s="42" t="s">
        <v>210</v>
      </c>
      <c r="D536" s="42" t="s">
        <v>258</v>
      </c>
      <c r="E536" s="42" t="s">
        <v>241</v>
      </c>
      <c r="F536" s="42" t="s">
        <v>252</v>
      </c>
      <c r="G536" s="44">
        <v>1424.48</v>
      </c>
      <c r="H536" s="44">
        <v>1406.06</v>
      </c>
      <c r="I536" s="44">
        <v>1671.62</v>
      </c>
      <c r="J536" s="44">
        <v>1774.99</v>
      </c>
      <c r="K536" t="s">
        <v>198</v>
      </c>
    </row>
    <row r="537" spans="1:11" ht="16.95" hidden="1" customHeight="1" x14ac:dyDescent="0.3">
      <c r="A537" s="42" t="s">
        <v>299</v>
      </c>
      <c r="B537" s="42" t="s">
        <v>257</v>
      </c>
      <c r="C537" s="42" t="s">
        <v>210</v>
      </c>
      <c r="D537" s="42" t="s">
        <v>258</v>
      </c>
      <c r="E537" s="42" t="s">
        <v>241</v>
      </c>
      <c r="F537" s="42" t="s">
        <v>253</v>
      </c>
      <c r="G537" s="44">
        <v>1433.8</v>
      </c>
      <c r="H537" s="44">
        <v>1402.43</v>
      </c>
      <c r="I537" s="44">
        <v>1590.8</v>
      </c>
      <c r="J537" s="44">
        <v>1848.9</v>
      </c>
      <c r="K537" t="s">
        <v>198</v>
      </c>
    </row>
    <row r="538" spans="1:11" ht="16.95" hidden="1" customHeight="1" x14ac:dyDescent="0.3">
      <c r="A538" s="42" t="s">
        <v>299</v>
      </c>
      <c r="B538" s="42" t="s">
        <v>257</v>
      </c>
      <c r="C538" s="42" t="s">
        <v>210</v>
      </c>
      <c r="D538" s="42" t="s">
        <v>259</v>
      </c>
      <c r="E538" s="42" t="s">
        <v>241</v>
      </c>
      <c r="F538" s="42" t="s">
        <v>242</v>
      </c>
      <c r="G538" t="s">
        <v>198</v>
      </c>
      <c r="H538" s="44">
        <v>317.60000000000002</v>
      </c>
      <c r="I538" s="44">
        <v>342.68</v>
      </c>
      <c r="J538" s="44">
        <v>395.82</v>
      </c>
      <c r="K538" s="44">
        <v>625.63</v>
      </c>
    </row>
    <row r="539" spans="1:11" ht="16.95" hidden="1" customHeight="1" x14ac:dyDescent="0.3">
      <c r="A539" s="42" t="s">
        <v>299</v>
      </c>
      <c r="B539" s="42" t="s">
        <v>257</v>
      </c>
      <c r="C539" s="42" t="s">
        <v>210</v>
      </c>
      <c r="D539" s="42" t="s">
        <v>259</v>
      </c>
      <c r="E539" s="42" t="s">
        <v>241</v>
      </c>
      <c r="F539" s="42" t="s">
        <v>243</v>
      </c>
      <c r="G539" t="s">
        <v>198</v>
      </c>
      <c r="H539" s="44">
        <v>241.9</v>
      </c>
      <c r="I539" s="44">
        <v>255.78</v>
      </c>
      <c r="J539" s="44">
        <v>376.01</v>
      </c>
      <c r="K539" s="44">
        <v>625.83000000000004</v>
      </c>
    </row>
    <row r="540" spans="1:11" ht="16.95" hidden="1" customHeight="1" x14ac:dyDescent="0.3">
      <c r="A540" s="42" t="s">
        <v>299</v>
      </c>
      <c r="B540" s="42" t="s">
        <v>257</v>
      </c>
      <c r="C540" s="42" t="s">
        <v>210</v>
      </c>
      <c r="D540" s="42" t="s">
        <v>259</v>
      </c>
      <c r="E540" s="42" t="s">
        <v>241</v>
      </c>
      <c r="F540" s="42" t="s">
        <v>244</v>
      </c>
      <c r="G540" t="s">
        <v>198</v>
      </c>
      <c r="H540" s="44">
        <v>209.27</v>
      </c>
      <c r="I540" s="44">
        <v>275.68</v>
      </c>
      <c r="J540" s="44">
        <v>365.78</v>
      </c>
      <c r="K540" s="44">
        <v>661.49</v>
      </c>
    </row>
    <row r="541" spans="1:11" ht="16.95" hidden="1" customHeight="1" x14ac:dyDescent="0.3">
      <c r="A541" s="42" t="s">
        <v>299</v>
      </c>
      <c r="B541" s="42" t="s">
        <v>257</v>
      </c>
      <c r="C541" s="42" t="s">
        <v>210</v>
      </c>
      <c r="D541" s="42" t="s">
        <v>259</v>
      </c>
      <c r="E541" s="42" t="s">
        <v>241</v>
      </c>
      <c r="F541" s="42" t="s">
        <v>245</v>
      </c>
      <c r="G541" t="s">
        <v>198</v>
      </c>
      <c r="H541" s="44">
        <v>278.04000000000002</v>
      </c>
      <c r="I541" s="44">
        <v>291.51</v>
      </c>
      <c r="J541" s="44">
        <v>319.18</v>
      </c>
      <c r="K541" t="s">
        <v>198</v>
      </c>
    </row>
    <row r="542" spans="1:11" ht="16.95" hidden="1" customHeight="1" x14ac:dyDescent="0.3">
      <c r="A542" s="42" t="s">
        <v>299</v>
      </c>
      <c r="B542" s="42" t="s">
        <v>257</v>
      </c>
      <c r="C542" s="42" t="s">
        <v>210</v>
      </c>
      <c r="D542" s="42" t="s">
        <v>259</v>
      </c>
      <c r="E542" s="42" t="s">
        <v>241</v>
      </c>
      <c r="F542" s="42" t="s">
        <v>246</v>
      </c>
      <c r="G542" t="s">
        <v>198</v>
      </c>
      <c r="H542" s="44">
        <v>279.48</v>
      </c>
      <c r="I542" s="44">
        <v>329.47</v>
      </c>
      <c r="J542" s="44">
        <v>306.98</v>
      </c>
      <c r="K542" t="s">
        <v>198</v>
      </c>
    </row>
    <row r="543" spans="1:11" ht="16.95" hidden="1" customHeight="1" x14ac:dyDescent="0.3">
      <c r="A543" s="42" t="s">
        <v>299</v>
      </c>
      <c r="B543" s="42" t="s">
        <v>257</v>
      </c>
      <c r="C543" s="42" t="s">
        <v>210</v>
      </c>
      <c r="D543" s="42" t="s">
        <v>259</v>
      </c>
      <c r="E543" s="42" t="s">
        <v>241</v>
      </c>
      <c r="F543" s="42" t="s">
        <v>247</v>
      </c>
      <c r="G543" t="s">
        <v>198</v>
      </c>
      <c r="H543" s="44">
        <v>279.62</v>
      </c>
      <c r="I543" s="44">
        <v>285.11</v>
      </c>
      <c r="J543" s="44">
        <v>311.67</v>
      </c>
      <c r="K543" t="s">
        <v>198</v>
      </c>
    </row>
    <row r="544" spans="1:11" ht="16.95" hidden="1" customHeight="1" x14ac:dyDescent="0.3">
      <c r="A544" s="42" t="s">
        <v>299</v>
      </c>
      <c r="B544" s="42" t="s">
        <v>257</v>
      </c>
      <c r="C544" s="42" t="s">
        <v>210</v>
      </c>
      <c r="D544" s="42" t="s">
        <v>259</v>
      </c>
      <c r="E544" s="42" t="s">
        <v>241</v>
      </c>
      <c r="F544" s="42" t="s">
        <v>248</v>
      </c>
      <c r="G544" t="s">
        <v>198</v>
      </c>
      <c r="H544" s="44">
        <v>253.71</v>
      </c>
      <c r="I544" s="44">
        <v>295.69</v>
      </c>
      <c r="J544" s="44">
        <v>285.58</v>
      </c>
      <c r="K544" t="s">
        <v>198</v>
      </c>
    </row>
    <row r="545" spans="1:11" ht="16.95" hidden="1" customHeight="1" x14ac:dyDescent="0.3">
      <c r="A545" s="42" t="s">
        <v>299</v>
      </c>
      <c r="B545" s="42" t="s">
        <v>257</v>
      </c>
      <c r="C545" s="42" t="s">
        <v>210</v>
      </c>
      <c r="D545" s="42" t="s">
        <v>259</v>
      </c>
      <c r="E545" s="42" t="s">
        <v>241</v>
      </c>
      <c r="F545" s="42" t="s">
        <v>249</v>
      </c>
      <c r="G545" t="s">
        <v>198</v>
      </c>
      <c r="H545" s="44">
        <v>272.39999999999998</v>
      </c>
      <c r="I545" s="44">
        <v>323.08</v>
      </c>
      <c r="J545" s="44">
        <v>306.43</v>
      </c>
      <c r="K545" t="s">
        <v>198</v>
      </c>
    </row>
    <row r="546" spans="1:11" ht="16.95" hidden="1" customHeight="1" x14ac:dyDescent="0.3">
      <c r="A546" s="42" t="s">
        <v>299</v>
      </c>
      <c r="B546" s="42" t="s">
        <v>257</v>
      </c>
      <c r="C546" s="42" t="s">
        <v>210</v>
      </c>
      <c r="D546" s="42" t="s">
        <v>259</v>
      </c>
      <c r="E546" s="42" t="s">
        <v>241</v>
      </c>
      <c r="F546" s="42" t="s">
        <v>250</v>
      </c>
      <c r="G546" t="s">
        <v>198</v>
      </c>
      <c r="H546" s="44">
        <v>273.44</v>
      </c>
      <c r="I546" s="44">
        <v>318.29000000000002</v>
      </c>
      <c r="J546" s="44">
        <v>334.95</v>
      </c>
      <c r="K546" t="s">
        <v>198</v>
      </c>
    </row>
    <row r="547" spans="1:11" ht="16.95" hidden="1" customHeight="1" x14ac:dyDescent="0.3">
      <c r="A547" s="42" t="s">
        <v>299</v>
      </c>
      <c r="B547" s="42" t="s">
        <v>257</v>
      </c>
      <c r="C547" s="42" t="s">
        <v>210</v>
      </c>
      <c r="D547" s="42" t="s">
        <v>259</v>
      </c>
      <c r="E547" s="42" t="s">
        <v>241</v>
      </c>
      <c r="F547" s="42" t="s">
        <v>251</v>
      </c>
      <c r="G547" t="s">
        <v>198</v>
      </c>
      <c r="H547" s="44">
        <v>270.83999999999997</v>
      </c>
      <c r="I547" s="44">
        <v>310.42</v>
      </c>
      <c r="J547" s="44">
        <v>332.61</v>
      </c>
      <c r="K547" t="s">
        <v>198</v>
      </c>
    </row>
    <row r="548" spans="1:11" ht="16.95" hidden="1" customHeight="1" x14ac:dyDescent="0.3">
      <c r="A548" s="42" t="s">
        <v>299</v>
      </c>
      <c r="B548" s="42" t="s">
        <v>257</v>
      </c>
      <c r="C548" s="42" t="s">
        <v>210</v>
      </c>
      <c r="D548" s="42" t="s">
        <v>259</v>
      </c>
      <c r="E548" s="42" t="s">
        <v>241</v>
      </c>
      <c r="F548" s="42" t="s">
        <v>252</v>
      </c>
      <c r="G548" t="s">
        <v>198</v>
      </c>
      <c r="H548" s="44">
        <v>284.42</v>
      </c>
      <c r="I548" s="44">
        <v>301.27999999999997</v>
      </c>
      <c r="J548" s="44">
        <v>344.49</v>
      </c>
      <c r="K548" t="s">
        <v>198</v>
      </c>
    </row>
    <row r="549" spans="1:11" ht="16.95" hidden="1" customHeight="1" x14ac:dyDescent="0.3">
      <c r="A549" s="42" t="s">
        <v>299</v>
      </c>
      <c r="B549" s="42" t="s">
        <v>257</v>
      </c>
      <c r="C549" s="42" t="s">
        <v>210</v>
      </c>
      <c r="D549" s="42" t="s">
        <v>259</v>
      </c>
      <c r="E549" s="42" t="s">
        <v>241</v>
      </c>
      <c r="F549" s="42" t="s">
        <v>253</v>
      </c>
      <c r="G549" t="s">
        <v>198</v>
      </c>
      <c r="H549" s="44">
        <v>333.18</v>
      </c>
      <c r="I549" s="44">
        <v>345.47</v>
      </c>
      <c r="J549" s="44">
        <v>425.06</v>
      </c>
      <c r="K549" t="s">
        <v>198</v>
      </c>
    </row>
    <row r="550" spans="1:11" ht="16.95" hidden="1" customHeight="1" x14ac:dyDescent="0.3">
      <c r="A550" s="42" t="s">
        <v>299</v>
      </c>
      <c r="B550" s="42" t="s">
        <v>239</v>
      </c>
      <c r="C550" s="42" t="s">
        <v>210</v>
      </c>
      <c r="D550" s="42" t="s">
        <v>260</v>
      </c>
      <c r="E550" s="42" t="s">
        <v>241</v>
      </c>
      <c r="F550" s="42" t="s">
        <v>242</v>
      </c>
      <c r="G550" s="44">
        <v>16669.060000000001</v>
      </c>
      <c r="H550" s="44">
        <v>18404.43</v>
      </c>
      <c r="I550" s="44">
        <v>21063.87</v>
      </c>
      <c r="J550" s="44">
        <v>16340.89</v>
      </c>
      <c r="K550" s="44">
        <v>27368.29</v>
      </c>
    </row>
    <row r="551" spans="1:11" ht="16.95" hidden="1" customHeight="1" x14ac:dyDescent="0.3">
      <c r="A551" s="42" t="s">
        <v>299</v>
      </c>
      <c r="B551" s="42" t="s">
        <v>239</v>
      </c>
      <c r="C551" s="42" t="s">
        <v>210</v>
      </c>
      <c r="D551" s="42" t="s">
        <v>260</v>
      </c>
      <c r="E551" s="42" t="s">
        <v>241</v>
      </c>
      <c r="F551" s="42" t="s">
        <v>243</v>
      </c>
      <c r="G551" s="44">
        <v>15405.63</v>
      </c>
      <c r="H551" s="44">
        <v>18794.04</v>
      </c>
      <c r="I551" s="44">
        <v>19837.91</v>
      </c>
      <c r="J551" s="44">
        <v>16593.810000000001</v>
      </c>
      <c r="K551" s="44">
        <v>31086.560000000001</v>
      </c>
    </row>
    <row r="552" spans="1:11" ht="16.95" hidden="1" customHeight="1" x14ac:dyDescent="0.3">
      <c r="A552" s="42" t="s">
        <v>299</v>
      </c>
      <c r="B552" s="42" t="s">
        <v>239</v>
      </c>
      <c r="C552" s="42" t="s">
        <v>210</v>
      </c>
      <c r="D552" s="42" t="s">
        <v>260</v>
      </c>
      <c r="E552" s="42" t="s">
        <v>241</v>
      </c>
      <c r="F552" s="42" t="s">
        <v>244</v>
      </c>
      <c r="G552" s="44">
        <v>15690.86</v>
      </c>
      <c r="H552" s="44">
        <v>19080.740000000002</v>
      </c>
      <c r="I552" s="44">
        <v>19692.169999999998</v>
      </c>
      <c r="J552" s="44">
        <v>17321.560000000001</v>
      </c>
      <c r="K552" s="44">
        <v>32047.23</v>
      </c>
    </row>
    <row r="553" spans="1:11" ht="16.95" hidden="1" customHeight="1" x14ac:dyDescent="0.3">
      <c r="A553" s="42" t="s">
        <v>299</v>
      </c>
      <c r="B553" s="42" t="s">
        <v>239</v>
      </c>
      <c r="C553" s="42" t="s">
        <v>210</v>
      </c>
      <c r="D553" s="42" t="s">
        <v>260</v>
      </c>
      <c r="E553" s="42" t="s">
        <v>241</v>
      </c>
      <c r="F553" s="42" t="s">
        <v>245</v>
      </c>
      <c r="G553" s="44">
        <v>17209.11</v>
      </c>
      <c r="H553" s="43">
        <v>19997</v>
      </c>
      <c r="I553" s="44">
        <v>20345.96</v>
      </c>
      <c r="J553" s="44">
        <v>20841.259999999998</v>
      </c>
      <c r="K553" t="s">
        <v>198</v>
      </c>
    </row>
    <row r="554" spans="1:11" ht="16.95" hidden="1" customHeight="1" x14ac:dyDescent="0.3">
      <c r="A554" s="42" t="s">
        <v>299</v>
      </c>
      <c r="B554" s="42" t="s">
        <v>239</v>
      </c>
      <c r="C554" s="42" t="s">
        <v>210</v>
      </c>
      <c r="D554" s="42" t="s">
        <v>260</v>
      </c>
      <c r="E554" s="42" t="s">
        <v>241</v>
      </c>
      <c r="F554" s="42" t="s">
        <v>246</v>
      </c>
      <c r="G554" s="44">
        <v>18163.98</v>
      </c>
      <c r="H554" s="44">
        <v>21738.97</v>
      </c>
      <c r="I554" s="44">
        <v>20462.97</v>
      </c>
      <c r="J554" s="44">
        <v>20501.669999999998</v>
      </c>
      <c r="K554" t="s">
        <v>198</v>
      </c>
    </row>
    <row r="555" spans="1:11" ht="16.95" hidden="1" customHeight="1" x14ac:dyDescent="0.3">
      <c r="A555" s="42" t="s">
        <v>299</v>
      </c>
      <c r="B555" s="42" t="s">
        <v>239</v>
      </c>
      <c r="C555" s="42" t="s">
        <v>210</v>
      </c>
      <c r="D555" s="42" t="s">
        <v>260</v>
      </c>
      <c r="E555" s="42" t="s">
        <v>241</v>
      </c>
      <c r="F555" s="42" t="s">
        <v>247</v>
      </c>
      <c r="G555" s="44">
        <v>18177.400000000001</v>
      </c>
      <c r="H555" s="44">
        <v>21461.5</v>
      </c>
      <c r="I555" s="44">
        <v>19002.32</v>
      </c>
      <c r="J555" s="44">
        <v>18791.41</v>
      </c>
      <c r="K555" t="s">
        <v>198</v>
      </c>
    </row>
    <row r="556" spans="1:11" ht="16.95" hidden="1" customHeight="1" x14ac:dyDescent="0.3">
      <c r="A556" s="42" t="s">
        <v>299</v>
      </c>
      <c r="B556" s="42" t="s">
        <v>239</v>
      </c>
      <c r="C556" s="42" t="s">
        <v>210</v>
      </c>
      <c r="D556" s="42" t="s">
        <v>260</v>
      </c>
      <c r="E556" s="42" t="s">
        <v>241</v>
      </c>
      <c r="F556" s="42" t="s">
        <v>248</v>
      </c>
      <c r="G556" s="44">
        <v>17584.400000000001</v>
      </c>
      <c r="H556" s="44">
        <v>21978.85</v>
      </c>
      <c r="I556" s="44">
        <v>19446.98</v>
      </c>
      <c r="J556" s="44">
        <v>19386.86</v>
      </c>
      <c r="K556" t="s">
        <v>198</v>
      </c>
    </row>
    <row r="557" spans="1:11" ht="16.95" hidden="1" customHeight="1" x14ac:dyDescent="0.3">
      <c r="A557" s="42" t="s">
        <v>299</v>
      </c>
      <c r="B557" s="42" t="s">
        <v>239</v>
      </c>
      <c r="C557" s="42" t="s">
        <v>210</v>
      </c>
      <c r="D557" s="42" t="s">
        <v>260</v>
      </c>
      <c r="E557" s="42" t="s">
        <v>241</v>
      </c>
      <c r="F557" s="42" t="s">
        <v>249</v>
      </c>
      <c r="G557" s="44">
        <v>17757.45</v>
      </c>
      <c r="H557" s="44">
        <v>22228.53</v>
      </c>
      <c r="I557" s="44">
        <v>18001.75</v>
      </c>
      <c r="J557" s="44">
        <v>19852.36</v>
      </c>
      <c r="K557" t="s">
        <v>198</v>
      </c>
    </row>
    <row r="558" spans="1:11" ht="16.95" hidden="1" customHeight="1" x14ac:dyDescent="0.3">
      <c r="A558" s="42" t="s">
        <v>299</v>
      </c>
      <c r="B558" s="42" t="s">
        <v>239</v>
      </c>
      <c r="C558" s="42" t="s">
        <v>210</v>
      </c>
      <c r="D558" s="42" t="s">
        <v>260</v>
      </c>
      <c r="E558" s="42" t="s">
        <v>241</v>
      </c>
      <c r="F558" s="42" t="s">
        <v>250</v>
      </c>
      <c r="G558" s="44">
        <v>17862.57</v>
      </c>
      <c r="H558" s="44">
        <v>23001.87</v>
      </c>
      <c r="I558" s="44">
        <v>19595.830000000002</v>
      </c>
      <c r="J558" s="44">
        <v>20637.57</v>
      </c>
      <c r="K558" t="s">
        <v>198</v>
      </c>
    </row>
    <row r="559" spans="1:11" ht="16.95" hidden="1" customHeight="1" x14ac:dyDescent="0.3">
      <c r="A559" s="42" t="s">
        <v>299</v>
      </c>
      <c r="B559" s="42" t="s">
        <v>239</v>
      </c>
      <c r="C559" s="42" t="s">
        <v>210</v>
      </c>
      <c r="D559" s="42" t="s">
        <v>260</v>
      </c>
      <c r="E559" s="42" t="s">
        <v>241</v>
      </c>
      <c r="F559" s="42" t="s">
        <v>251</v>
      </c>
      <c r="G559" s="44">
        <v>18295.75</v>
      </c>
      <c r="H559" s="44">
        <v>22431.82</v>
      </c>
      <c r="I559" s="44">
        <v>18171.25</v>
      </c>
      <c r="J559" s="44">
        <v>22408.13</v>
      </c>
      <c r="K559" t="s">
        <v>198</v>
      </c>
    </row>
    <row r="560" spans="1:11" ht="16.95" hidden="1" customHeight="1" x14ac:dyDescent="0.3">
      <c r="A560" s="42" t="s">
        <v>299</v>
      </c>
      <c r="B560" s="42" t="s">
        <v>239</v>
      </c>
      <c r="C560" s="42" t="s">
        <v>210</v>
      </c>
      <c r="D560" s="42" t="s">
        <v>260</v>
      </c>
      <c r="E560" s="42" t="s">
        <v>241</v>
      </c>
      <c r="F560" s="42" t="s">
        <v>252</v>
      </c>
      <c r="G560" s="44">
        <v>17339.5</v>
      </c>
      <c r="H560" s="44">
        <v>21305.81</v>
      </c>
      <c r="I560" s="44">
        <v>16556.37</v>
      </c>
      <c r="J560" s="44">
        <v>23102.41</v>
      </c>
      <c r="K560" t="s">
        <v>198</v>
      </c>
    </row>
    <row r="561" spans="1:11" ht="16.95" hidden="1" customHeight="1" x14ac:dyDescent="0.3">
      <c r="A561" s="42" t="s">
        <v>299</v>
      </c>
      <c r="B561" s="42" t="s">
        <v>239</v>
      </c>
      <c r="C561" s="42" t="s">
        <v>210</v>
      </c>
      <c r="D561" s="42" t="s">
        <v>260</v>
      </c>
      <c r="E561" s="42" t="s">
        <v>241</v>
      </c>
      <c r="F561" s="42" t="s">
        <v>253</v>
      </c>
      <c r="G561" s="44">
        <v>17679.96</v>
      </c>
      <c r="H561" s="44">
        <v>21626.27</v>
      </c>
      <c r="I561" s="44">
        <v>16345.36</v>
      </c>
      <c r="J561" s="44">
        <v>22564.28</v>
      </c>
      <c r="K561" t="s">
        <v>198</v>
      </c>
    </row>
    <row r="562" spans="1:11" ht="16.95" hidden="1" customHeight="1" x14ac:dyDescent="0.3">
      <c r="A562" s="42" t="s">
        <v>299</v>
      </c>
      <c r="B562" s="42" t="s">
        <v>239</v>
      </c>
      <c r="C562" s="42" t="s">
        <v>210</v>
      </c>
      <c r="D562" s="42" t="s">
        <v>300</v>
      </c>
      <c r="E562" s="42" t="s">
        <v>241</v>
      </c>
      <c r="F562" s="42" t="s">
        <v>242</v>
      </c>
      <c r="G562" s="44">
        <v>16622.59</v>
      </c>
      <c r="H562" s="44">
        <v>18361.39</v>
      </c>
      <c r="I562" s="44">
        <v>21045.01</v>
      </c>
      <c r="J562" s="44">
        <v>16197.23</v>
      </c>
      <c r="K562" s="44">
        <v>27321.75</v>
      </c>
    </row>
    <row r="563" spans="1:11" ht="16.95" hidden="1" customHeight="1" x14ac:dyDescent="0.3">
      <c r="A563" s="42" t="s">
        <v>299</v>
      </c>
      <c r="B563" s="42" t="s">
        <v>239</v>
      </c>
      <c r="C563" s="42" t="s">
        <v>210</v>
      </c>
      <c r="D563" s="42" t="s">
        <v>300</v>
      </c>
      <c r="E563" s="42" t="s">
        <v>241</v>
      </c>
      <c r="F563" s="42" t="s">
        <v>243</v>
      </c>
      <c r="G563" s="44">
        <v>15355.68</v>
      </c>
      <c r="H563" s="44">
        <v>18766.64</v>
      </c>
      <c r="I563" s="44">
        <v>19804.2</v>
      </c>
      <c r="J563" s="44">
        <v>16530.5</v>
      </c>
      <c r="K563" s="44">
        <v>31034.11</v>
      </c>
    </row>
    <row r="564" spans="1:11" ht="16.95" hidden="1" customHeight="1" x14ac:dyDescent="0.3">
      <c r="A564" s="42" t="s">
        <v>299</v>
      </c>
      <c r="B564" s="42" t="s">
        <v>239</v>
      </c>
      <c r="C564" s="42" t="s">
        <v>210</v>
      </c>
      <c r="D564" s="42" t="s">
        <v>300</v>
      </c>
      <c r="E564" s="42" t="s">
        <v>241</v>
      </c>
      <c r="F564" s="42" t="s">
        <v>244</v>
      </c>
      <c r="G564" s="44">
        <v>15637.47</v>
      </c>
      <c r="H564" s="44">
        <v>19047.759999999998</v>
      </c>
      <c r="I564" s="44">
        <v>19648.25</v>
      </c>
      <c r="J564" s="44">
        <v>17266.45</v>
      </c>
      <c r="K564" s="44">
        <v>32014.560000000001</v>
      </c>
    </row>
    <row r="565" spans="1:11" ht="16.95" hidden="1" customHeight="1" x14ac:dyDescent="0.3">
      <c r="A565" s="42" t="s">
        <v>299</v>
      </c>
      <c r="B565" s="42" t="s">
        <v>239</v>
      </c>
      <c r="C565" s="42" t="s">
        <v>210</v>
      </c>
      <c r="D565" s="42" t="s">
        <v>300</v>
      </c>
      <c r="E565" s="42" t="s">
        <v>241</v>
      </c>
      <c r="F565" s="42" t="s">
        <v>245</v>
      </c>
      <c r="G565" s="44">
        <v>17196.52</v>
      </c>
      <c r="H565" s="44">
        <v>19977.25</v>
      </c>
      <c r="I565" s="44">
        <v>20310.03</v>
      </c>
      <c r="J565" s="44">
        <v>20797.490000000002</v>
      </c>
      <c r="K565" t="s">
        <v>198</v>
      </c>
    </row>
    <row r="566" spans="1:11" ht="16.95" hidden="1" customHeight="1" x14ac:dyDescent="0.3">
      <c r="A566" s="42" t="s">
        <v>299</v>
      </c>
      <c r="B566" s="42" t="s">
        <v>239</v>
      </c>
      <c r="C566" s="42" t="s">
        <v>210</v>
      </c>
      <c r="D566" s="42" t="s">
        <v>300</v>
      </c>
      <c r="E566" s="42" t="s">
        <v>241</v>
      </c>
      <c r="F566" s="42" t="s">
        <v>246</v>
      </c>
      <c r="G566" s="44">
        <v>18141.55</v>
      </c>
      <c r="H566" s="44">
        <v>21692.41</v>
      </c>
      <c r="I566" s="44">
        <v>20414.77</v>
      </c>
      <c r="J566" s="44">
        <v>20443.830000000002</v>
      </c>
      <c r="K566" t="s">
        <v>198</v>
      </c>
    </row>
    <row r="567" spans="1:11" ht="16.95" hidden="1" customHeight="1" x14ac:dyDescent="0.3">
      <c r="A567" s="42" t="s">
        <v>299</v>
      </c>
      <c r="B567" s="42" t="s">
        <v>239</v>
      </c>
      <c r="C567" s="42" t="s">
        <v>210</v>
      </c>
      <c r="D567" s="42" t="s">
        <v>300</v>
      </c>
      <c r="E567" s="42" t="s">
        <v>241</v>
      </c>
      <c r="F567" s="42" t="s">
        <v>247</v>
      </c>
      <c r="G567" s="44">
        <v>18163.419999999998</v>
      </c>
      <c r="H567" s="44">
        <v>21420.77</v>
      </c>
      <c r="I567" s="44">
        <v>18956.099999999999</v>
      </c>
      <c r="J567" s="44">
        <v>18752.919999999998</v>
      </c>
      <c r="K567" t="s">
        <v>198</v>
      </c>
    </row>
    <row r="568" spans="1:11" ht="16.95" hidden="1" customHeight="1" x14ac:dyDescent="0.3">
      <c r="A568" s="42" t="s">
        <v>299</v>
      </c>
      <c r="B568" s="42" t="s">
        <v>239</v>
      </c>
      <c r="C568" s="42" t="s">
        <v>210</v>
      </c>
      <c r="D568" s="42" t="s">
        <v>300</v>
      </c>
      <c r="E568" s="42" t="s">
        <v>241</v>
      </c>
      <c r="F568" s="42" t="s">
        <v>248</v>
      </c>
      <c r="G568" s="44">
        <v>17560.310000000001</v>
      </c>
      <c r="H568" s="44">
        <v>21949.96</v>
      </c>
      <c r="I568" s="44">
        <v>19371.599999999999</v>
      </c>
      <c r="J568" s="44">
        <v>19303.009999999998</v>
      </c>
      <c r="K568" t="s">
        <v>198</v>
      </c>
    </row>
    <row r="569" spans="1:11" ht="16.95" hidden="1" customHeight="1" x14ac:dyDescent="0.3">
      <c r="A569" s="42" t="s">
        <v>299</v>
      </c>
      <c r="B569" s="42" t="s">
        <v>239</v>
      </c>
      <c r="C569" s="42" t="s">
        <v>210</v>
      </c>
      <c r="D569" s="42" t="s">
        <v>300</v>
      </c>
      <c r="E569" s="42" t="s">
        <v>241</v>
      </c>
      <c r="F569" s="42" t="s">
        <v>249</v>
      </c>
      <c r="G569" s="44">
        <v>17732.46</v>
      </c>
      <c r="H569" s="44">
        <v>22199.57</v>
      </c>
      <c r="I569" s="44">
        <v>17933.09</v>
      </c>
      <c r="J569" s="44">
        <v>19755.259999999998</v>
      </c>
      <c r="K569" t="s">
        <v>198</v>
      </c>
    </row>
    <row r="570" spans="1:11" ht="16.95" hidden="1" customHeight="1" x14ac:dyDescent="0.3">
      <c r="A570" s="42" t="s">
        <v>299</v>
      </c>
      <c r="B570" s="42" t="s">
        <v>239</v>
      </c>
      <c r="C570" s="42" t="s">
        <v>210</v>
      </c>
      <c r="D570" s="42" t="s">
        <v>300</v>
      </c>
      <c r="E570" s="42" t="s">
        <v>241</v>
      </c>
      <c r="F570" s="42" t="s">
        <v>250</v>
      </c>
      <c r="G570" s="44">
        <v>17730.25</v>
      </c>
      <c r="H570" s="44">
        <v>22967.14</v>
      </c>
      <c r="I570" s="44">
        <v>19523.12</v>
      </c>
      <c r="J570" s="44">
        <v>20610.240000000002</v>
      </c>
      <c r="K570" t="s">
        <v>198</v>
      </c>
    </row>
    <row r="571" spans="1:11" ht="16.95" hidden="1" customHeight="1" x14ac:dyDescent="0.3">
      <c r="A571" s="42" t="s">
        <v>299</v>
      </c>
      <c r="B571" s="42" t="s">
        <v>239</v>
      </c>
      <c r="C571" s="42" t="s">
        <v>210</v>
      </c>
      <c r="D571" s="42" t="s">
        <v>300</v>
      </c>
      <c r="E571" s="42" t="s">
        <v>241</v>
      </c>
      <c r="F571" s="42" t="s">
        <v>251</v>
      </c>
      <c r="G571" s="44">
        <v>18260.87</v>
      </c>
      <c r="H571" s="44">
        <v>22381.21</v>
      </c>
      <c r="I571" s="44">
        <v>18112.04</v>
      </c>
      <c r="J571" s="44">
        <v>22226.93</v>
      </c>
      <c r="K571" t="s">
        <v>198</v>
      </c>
    </row>
    <row r="572" spans="1:11" ht="16.95" hidden="1" customHeight="1" x14ac:dyDescent="0.3">
      <c r="A572" s="42" t="s">
        <v>299</v>
      </c>
      <c r="B572" s="42" t="s">
        <v>239</v>
      </c>
      <c r="C572" s="42" t="s">
        <v>210</v>
      </c>
      <c r="D572" s="42" t="s">
        <v>300</v>
      </c>
      <c r="E572" s="42" t="s">
        <v>241</v>
      </c>
      <c r="F572" s="42" t="s">
        <v>252</v>
      </c>
      <c r="G572" s="44">
        <v>16799.509999999998</v>
      </c>
      <c r="H572" s="44">
        <v>21281.9</v>
      </c>
      <c r="I572" s="44">
        <v>16452.62</v>
      </c>
      <c r="J572" s="44">
        <v>23065.41</v>
      </c>
      <c r="K572" t="s">
        <v>198</v>
      </c>
    </row>
    <row r="573" spans="1:11" ht="16.95" hidden="1" customHeight="1" x14ac:dyDescent="0.3">
      <c r="A573" s="42" t="s">
        <v>299</v>
      </c>
      <c r="B573" s="42" t="s">
        <v>239</v>
      </c>
      <c r="C573" s="42" t="s">
        <v>210</v>
      </c>
      <c r="D573" s="42" t="s">
        <v>300</v>
      </c>
      <c r="E573" s="42" t="s">
        <v>241</v>
      </c>
      <c r="F573" s="42" t="s">
        <v>253</v>
      </c>
      <c r="G573" s="44">
        <v>17633.53</v>
      </c>
      <c r="H573" s="44">
        <v>21595.45</v>
      </c>
      <c r="I573" s="44">
        <v>16275.67</v>
      </c>
      <c r="J573" s="44">
        <v>22545.33</v>
      </c>
      <c r="K573" t="s">
        <v>198</v>
      </c>
    </row>
    <row r="574" spans="1:11" ht="16.95" hidden="1" customHeight="1" x14ac:dyDescent="0.3">
      <c r="A574" s="42" t="s">
        <v>299</v>
      </c>
      <c r="B574" s="42" t="s">
        <v>239</v>
      </c>
      <c r="C574" s="42" t="s">
        <v>210</v>
      </c>
      <c r="D574" s="42" t="s">
        <v>301</v>
      </c>
      <c r="E574" s="42" t="s">
        <v>241</v>
      </c>
      <c r="F574" s="42" t="s">
        <v>242</v>
      </c>
      <c r="G574" s="44">
        <v>23748.73</v>
      </c>
      <c r="H574" s="44">
        <v>24532.58</v>
      </c>
      <c r="I574" s="44">
        <v>29243.62</v>
      </c>
      <c r="J574" s="44">
        <v>25504.45</v>
      </c>
      <c r="K574" s="44">
        <v>35439.94</v>
      </c>
    </row>
    <row r="575" spans="1:11" ht="16.95" hidden="1" customHeight="1" x14ac:dyDescent="0.3">
      <c r="A575" s="42" t="s">
        <v>299</v>
      </c>
      <c r="B575" s="42" t="s">
        <v>239</v>
      </c>
      <c r="C575" s="42" t="s">
        <v>210</v>
      </c>
      <c r="D575" s="42" t="s">
        <v>301</v>
      </c>
      <c r="E575" s="42" t="s">
        <v>241</v>
      </c>
      <c r="F575" s="42" t="s">
        <v>243</v>
      </c>
      <c r="G575" s="44">
        <v>24404.85</v>
      </c>
      <c r="H575" s="44">
        <v>25071.93</v>
      </c>
      <c r="I575" s="44">
        <v>27977.89</v>
      </c>
      <c r="J575" s="44">
        <v>28988.68</v>
      </c>
      <c r="K575" s="44">
        <v>45101.87</v>
      </c>
    </row>
    <row r="576" spans="1:11" ht="16.95" hidden="1" customHeight="1" x14ac:dyDescent="0.3">
      <c r="A576" s="42" t="s">
        <v>299</v>
      </c>
      <c r="B576" s="42" t="s">
        <v>239</v>
      </c>
      <c r="C576" s="42" t="s">
        <v>210</v>
      </c>
      <c r="D576" s="42" t="s">
        <v>301</v>
      </c>
      <c r="E576" s="42" t="s">
        <v>241</v>
      </c>
      <c r="F576" s="42" t="s">
        <v>244</v>
      </c>
      <c r="G576" s="44">
        <v>27327.41</v>
      </c>
      <c r="H576" s="44">
        <v>24985.57</v>
      </c>
      <c r="I576" s="44">
        <v>27454.66</v>
      </c>
      <c r="J576" s="44">
        <v>29041.82</v>
      </c>
      <c r="K576" s="44">
        <v>43107.06</v>
      </c>
    </row>
    <row r="577" spans="1:11" ht="16.95" hidden="1" customHeight="1" x14ac:dyDescent="0.3">
      <c r="A577" s="42" t="s">
        <v>299</v>
      </c>
      <c r="B577" s="42" t="s">
        <v>239</v>
      </c>
      <c r="C577" s="42" t="s">
        <v>210</v>
      </c>
      <c r="D577" s="42" t="s">
        <v>301</v>
      </c>
      <c r="E577" s="42" t="s">
        <v>241</v>
      </c>
      <c r="F577" s="42" t="s">
        <v>245</v>
      </c>
      <c r="G577" s="44">
        <v>23183.77</v>
      </c>
      <c r="H577" s="44">
        <v>25097.15</v>
      </c>
      <c r="I577" s="44">
        <v>28303.59</v>
      </c>
      <c r="J577" s="44">
        <v>28647.15</v>
      </c>
      <c r="K577" t="s">
        <v>198</v>
      </c>
    </row>
    <row r="578" spans="1:11" ht="16.95" hidden="1" customHeight="1" x14ac:dyDescent="0.3">
      <c r="A578" s="42" t="s">
        <v>299</v>
      </c>
      <c r="B578" s="42" t="s">
        <v>239</v>
      </c>
      <c r="C578" s="42" t="s">
        <v>210</v>
      </c>
      <c r="D578" s="42" t="s">
        <v>301</v>
      </c>
      <c r="E578" s="42" t="s">
        <v>241</v>
      </c>
      <c r="F578" s="42" t="s">
        <v>246</v>
      </c>
      <c r="G578" s="44">
        <v>22924.32</v>
      </c>
      <c r="H578" s="44">
        <v>28283.18</v>
      </c>
      <c r="I578" s="44">
        <v>31354.43</v>
      </c>
      <c r="J578" s="44">
        <v>27729.56</v>
      </c>
      <c r="K578" t="s">
        <v>198</v>
      </c>
    </row>
    <row r="579" spans="1:11" ht="16.95" hidden="1" customHeight="1" x14ac:dyDescent="0.3">
      <c r="A579" s="42" t="s">
        <v>299</v>
      </c>
      <c r="B579" s="42" t="s">
        <v>239</v>
      </c>
      <c r="C579" s="42" t="s">
        <v>210</v>
      </c>
      <c r="D579" s="42" t="s">
        <v>301</v>
      </c>
      <c r="E579" s="42" t="s">
        <v>241</v>
      </c>
      <c r="F579" s="42" t="s">
        <v>247</v>
      </c>
      <c r="G579" s="44">
        <v>23175.15</v>
      </c>
      <c r="H579" s="44">
        <v>26012.639999999999</v>
      </c>
      <c r="I579" s="44">
        <v>29618.15</v>
      </c>
      <c r="J579" s="44">
        <v>29833.02</v>
      </c>
      <c r="K579" t="s">
        <v>198</v>
      </c>
    </row>
    <row r="580" spans="1:11" ht="16.95" hidden="1" customHeight="1" x14ac:dyDescent="0.3">
      <c r="A580" s="42" t="s">
        <v>299</v>
      </c>
      <c r="B580" s="42" t="s">
        <v>239</v>
      </c>
      <c r="C580" s="42" t="s">
        <v>210</v>
      </c>
      <c r="D580" s="42" t="s">
        <v>301</v>
      </c>
      <c r="E580" s="42" t="s">
        <v>241</v>
      </c>
      <c r="F580" s="42" t="s">
        <v>248</v>
      </c>
      <c r="G580" s="44">
        <v>20384.39</v>
      </c>
      <c r="H580" s="44">
        <v>27654.78</v>
      </c>
      <c r="I580" s="44">
        <v>28126.58</v>
      </c>
      <c r="J580" s="44">
        <v>25031.91</v>
      </c>
      <c r="K580" t="s">
        <v>198</v>
      </c>
    </row>
    <row r="581" spans="1:11" ht="16.95" hidden="1" customHeight="1" x14ac:dyDescent="0.3">
      <c r="A581" s="42" t="s">
        <v>299</v>
      </c>
      <c r="B581" s="42" t="s">
        <v>239</v>
      </c>
      <c r="C581" s="42" t="s">
        <v>210</v>
      </c>
      <c r="D581" s="42" t="s">
        <v>301</v>
      </c>
      <c r="E581" s="42" t="s">
        <v>241</v>
      </c>
      <c r="F581" s="42" t="s">
        <v>249</v>
      </c>
      <c r="G581" s="44">
        <v>22207.05</v>
      </c>
      <c r="H581" s="44">
        <v>25373.53</v>
      </c>
      <c r="I581" s="44">
        <v>26220.36</v>
      </c>
      <c r="J581" s="44">
        <v>25902.12</v>
      </c>
      <c r="K581" t="s">
        <v>198</v>
      </c>
    </row>
    <row r="582" spans="1:11" ht="16.95" hidden="1" customHeight="1" x14ac:dyDescent="0.3">
      <c r="A582" s="42" t="s">
        <v>299</v>
      </c>
      <c r="B582" s="42" t="s">
        <v>239</v>
      </c>
      <c r="C582" s="42" t="s">
        <v>210</v>
      </c>
      <c r="D582" s="42" t="s">
        <v>301</v>
      </c>
      <c r="E582" s="42" t="s">
        <v>241</v>
      </c>
      <c r="F582" s="42" t="s">
        <v>250</v>
      </c>
      <c r="G582" s="44">
        <v>23884.59</v>
      </c>
      <c r="H582" s="44">
        <v>28542.86</v>
      </c>
      <c r="I582" s="44">
        <v>27730.3</v>
      </c>
      <c r="J582" s="44">
        <v>29102.42</v>
      </c>
      <c r="K582" t="s">
        <v>198</v>
      </c>
    </row>
    <row r="583" spans="1:11" ht="16.95" hidden="1" customHeight="1" x14ac:dyDescent="0.3">
      <c r="A583" s="42" t="s">
        <v>299</v>
      </c>
      <c r="B583" s="42" t="s">
        <v>239</v>
      </c>
      <c r="C583" s="42" t="s">
        <v>210</v>
      </c>
      <c r="D583" s="42" t="s">
        <v>301</v>
      </c>
      <c r="E583" s="42" t="s">
        <v>241</v>
      </c>
      <c r="F583" s="42" t="s">
        <v>251</v>
      </c>
      <c r="G583" s="44">
        <v>25572.58</v>
      </c>
      <c r="H583" s="44">
        <v>26296.97</v>
      </c>
      <c r="I583" s="44">
        <v>29603.69</v>
      </c>
      <c r="J583" s="44">
        <v>28869.360000000001</v>
      </c>
      <c r="K583" t="s">
        <v>198</v>
      </c>
    </row>
    <row r="584" spans="1:11" ht="16.95" hidden="1" customHeight="1" x14ac:dyDescent="0.3">
      <c r="A584" s="42" t="s">
        <v>299</v>
      </c>
      <c r="B584" s="42" t="s">
        <v>239</v>
      </c>
      <c r="C584" s="42" t="s">
        <v>210</v>
      </c>
      <c r="D584" s="42" t="s">
        <v>301</v>
      </c>
      <c r="E584" s="42" t="s">
        <v>241</v>
      </c>
      <c r="F584" s="42" t="s">
        <v>252</v>
      </c>
      <c r="G584" s="44">
        <v>26588.33</v>
      </c>
      <c r="H584" s="44">
        <v>27251.17</v>
      </c>
      <c r="I584" s="44">
        <v>26611.59</v>
      </c>
      <c r="J584" s="44">
        <v>30005.1</v>
      </c>
      <c r="K584" t="s">
        <v>198</v>
      </c>
    </row>
    <row r="585" spans="1:11" ht="16.95" hidden="1" customHeight="1" x14ac:dyDescent="0.3">
      <c r="A585" s="42" t="s">
        <v>299</v>
      </c>
      <c r="B585" s="42" t="s">
        <v>239</v>
      </c>
      <c r="C585" s="42" t="s">
        <v>210</v>
      </c>
      <c r="D585" s="42" t="s">
        <v>301</v>
      </c>
      <c r="E585" s="42" t="s">
        <v>241</v>
      </c>
      <c r="F585" s="42" t="s">
        <v>253</v>
      </c>
      <c r="G585" s="44">
        <v>27259.78</v>
      </c>
      <c r="H585" s="44">
        <v>27611.45</v>
      </c>
      <c r="I585" s="44">
        <v>27354.76</v>
      </c>
      <c r="J585" s="44">
        <v>30390.94</v>
      </c>
      <c r="K585" t="s">
        <v>198</v>
      </c>
    </row>
    <row r="586" spans="1:11" ht="16.95" hidden="1" customHeight="1" x14ac:dyDescent="0.3">
      <c r="A586" s="42" t="s">
        <v>299</v>
      </c>
      <c r="B586" s="42" t="s">
        <v>239</v>
      </c>
      <c r="C586" s="42" t="s">
        <v>210</v>
      </c>
      <c r="D586" s="42" t="s">
        <v>261</v>
      </c>
      <c r="E586" s="42" t="s">
        <v>241</v>
      </c>
      <c r="F586" s="42" t="s">
        <v>242</v>
      </c>
      <c r="G586" s="44">
        <v>53568.92</v>
      </c>
      <c r="H586" s="44">
        <v>70184.91</v>
      </c>
      <c r="I586" s="44">
        <v>83219.100000000006</v>
      </c>
      <c r="J586" s="44">
        <v>54068.55</v>
      </c>
      <c r="K586" s="44">
        <v>77851.520000000004</v>
      </c>
    </row>
    <row r="587" spans="1:11" ht="16.95" hidden="1" customHeight="1" x14ac:dyDescent="0.3">
      <c r="A587" s="42" t="s">
        <v>299</v>
      </c>
      <c r="B587" s="42" t="s">
        <v>239</v>
      </c>
      <c r="C587" s="42" t="s">
        <v>210</v>
      </c>
      <c r="D587" s="42" t="s">
        <v>261</v>
      </c>
      <c r="E587" s="42" t="s">
        <v>241</v>
      </c>
      <c r="F587" s="42" t="s">
        <v>243</v>
      </c>
      <c r="G587" s="44">
        <v>51967.040000000001</v>
      </c>
      <c r="H587" s="44">
        <v>72787.850000000006</v>
      </c>
      <c r="I587" s="44">
        <v>74908.94</v>
      </c>
      <c r="J587" s="44">
        <v>55825.120000000003</v>
      </c>
      <c r="K587" s="44">
        <v>80770.97</v>
      </c>
    </row>
    <row r="588" spans="1:11" ht="16.95" hidden="1" customHeight="1" x14ac:dyDescent="0.3">
      <c r="A588" s="42" t="s">
        <v>299</v>
      </c>
      <c r="B588" s="42" t="s">
        <v>239</v>
      </c>
      <c r="C588" s="42" t="s">
        <v>210</v>
      </c>
      <c r="D588" s="42" t="s">
        <v>261</v>
      </c>
      <c r="E588" s="42" t="s">
        <v>241</v>
      </c>
      <c r="F588" s="42" t="s">
        <v>244</v>
      </c>
      <c r="G588" s="44">
        <v>51648.160000000003</v>
      </c>
      <c r="H588" s="44">
        <v>72263.88</v>
      </c>
      <c r="I588" s="44">
        <v>73534.960000000006</v>
      </c>
      <c r="J588" s="44">
        <v>59014.22</v>
      </c>
      <c r="K588" s="44">
        <v>80665.119999999995</v>
      </c>
    </row>
    <row r="589" spans="1:11" ht="16.95" hidden="1" customHeight="1" x14ac:dyDescent="0.3">
      <c r="A589" s="42" t="s">
        <v>299</v>
      </c>
      <c r="B589" s="42" t="s">
        <v>239</v>
      </c>
      <c r="C589" s="42" t="s">
        <v>210</v>
      </c>
      <c r="D589" s="42" t="s">
        <v>261</v>
      </c>
      <c r="E589" s="42" t="s">
        <v>241</v>
      </c>
      <c r="F589" s="42" t="s">
        <v>245</v>
      </c>
      <c r="G589" s="44">
        <v>50296.52</v>
      </c>
      <c r="H589" s="43">
        <v>76475</v>
      </c>
      <c r="I589" s="44">
        <v>69460.399999999994</v>
      </c>
      <c r="J589" s="44">
        <v>62894.95</v>
      </c>
      <c r="K589" t="s">
        <v>198</v>
      </c>
    </row>
    <row r="590" spans="1:11" ht="16.95" hidden="1" customHeight="1" x14ac:dyDescent="0.3">
      <c r="A590" s="42" t="s">
        <v>299</v>
      </c>
      <c r="B590" s="42" t="s">
        <v>239</v>
      </c>
      <c r="C590" s="42" t="s">
        <v>210</v>
      </c>
      <c r="D590" s="42" t="s">
        <v>261</v>
      </c>
      <c r="E590" s="42" t="s">
        <v>241</v>
      </c>
      <c r="F590" s="42" t="s">
        <v>246</v>
      </c>
      <c r="G590" s="44">
        <v>50661.81</v>
      </c>
      <c r="H590" s="44">
        <v>77638.240000000005</v>
      </c>
      <c r="I590" s="44">
        <v>68175.460000000006</v>
      </c>
      <c r="J590" s="44">
        <v>62247.93</v>
      </c>
      <c r="K590" t="s">
        <v>198</v>
      </c>
    </row>
    <row r="591" spans="1:11" ht="16.95" hidden="1" customHeight="1" x14ac:dyDescent="0.3">
      <c r="A591" s="42" t="s">
        <v>299</v>
      </c>
      <c r="B591" s="42" t="s">
        <v>239</v>
      </c>
      <c r="C591" s="42" t="s">
        <v>210</v>
      </c>
      <c r="D591" s="42" t="s">
        <v>261</v>
      </c>
      <c r="E591" s="42" t="s">
        <v>241</v>
      </c>
      <c r="F591" s="42" t="s">
        <v>247</v>
      </c>
      <c r="G591" s="44">
        <v>54985.29</v>
      </c>
      <c r="H591" s="44">
        <v>78772.14</v>
      </c>
      <c r="I591" s="44">
        <v>68204.800000000003</v>
      </c>
      <c r="J591" s="44">
        <v>58716.69</v>
      </c>
      <c r="K591" t="s">
        <v>198</v>
      </c>
    </row>
    <row r="592" spans="1:11" ht="16.95" hidden="1" customHeight="1" x14ac:dyDescent="0.3">
      <c r="A592" s="42" t="s">
        <v>299</v>
      </c>
      <c r="B592" s="42" t="s">
        <v>239</v>
      </c>
      <c r="C592" s="42" t="s">
        <v>210</v>
      </c>
      <c r="D592" s="42" t="s">
        <v>261</v>
      </c>
      <c r="E592" s="42" t="s">
        <v>241</v>
      </c>
      <c r="F592" s="42" t="s">
        <v>248</v>
      </c>
      <c r="G592" s="44">
        <v>57557.65</v>
      </c>
      <c r="H592" s="44">
        <v>78563.78</v>
      </c>
      <c r="I592" s="44">
        <v>66175.179999999993</v>
      </c>
      <c r="J592" s="44">
        <v>58016.25</v>
      </c>
      <c r="K592" t="s">
        <v>198</v>
      </c>
    </row>
    <row r="593" spans="1:11" ht="16.95" hidden="1" customHeight="1" x14ac:dyDescent="0.3">
      <c r="A593" s="42" t="s">
        <v>299</v>
      </c>
      <c r="B593" s="42" t="s">
        <v>239</v>
      </c>
      <c r="C593" s="42" t="s">
        <v>210</v>
      </c>
      <c r="D593" s="42" t="s">
        <v>261</v>
      </c>
      <c r="E593" s="42" t="s">
        <v>241</v>
      </c>
      <c r="F593" s="42" t="s">
        <v>249</v>
      </c>
      <c r="G593" s="44">
        <v>56942.21</v>
      </c>
      <c r="H593" s="44">
        <v>81497.91</v>
      </c>
      <c r="I593" s="44">
        <v>67629.429999999993</v>
      </c>
      <c r="J593" s="44">
        <v>67220.72</v>
      </c>
      <c r="K593" t="s">
        <v>198</v>
      </c>
    </row>
    <row r="594" spans="1:11" ht="16.95" hidden="1" customHeight="1" x14ac:dyDescent="0.3">
      <c r="A594" s="42" t="s">
        <v>299</v>
      </c>
      <c r="B594" s="42" t="s">
        <v>239</v>
      </c>
      <c r="C594" s="42" t="s">
        <v>210</v>
      </c>
      <c r="D594" s="42" t="s">
        <v>261</v>
      </c>
      <c r="E594" s="42" t="s">
        <v>241</v>
      </c>
      <c r="F594" s="42" t="s">
        <v>250</v>
      </c>
      <c r="G594" s="44">
        <v>64777.47</v>
      </c>
      <c r="H594" s="44">
        <v>84797.26</v>
      </c>
      <c r="I594" s="44">
        <v>67381.62</v>
      </c>
      <c r="J594" s="44">
        <v>68212.789999999994</v>
      </c>
      <c r="K594" t="s">
        <v>198</v>
      </c>
    </row>
    <row r="595" spans="1:11" ht="16.95" hidden="1" customHeight="1" x14ac:dyDescent="0.3">
      <c r="A595" s="42" t="s">
        <v>299</v>
      </c>
      <c r="B595" s="42" t="s">
        <v>239</v>
      </c>
      <c r="C595" s="42" t="s">
        <v>210</v>
      </c>
      <c r="D595" s="42" t="s">
        <v>261</v>
      </c>
      <c r="E595" s="42" t="s">
        <v>241</v>
      </c>
      <c r="F595" s="42" t="s">
        <v>251</v>
      </c>
      <c r="G595" s="44">
        <v>66584.95</v>
      </c>
      <c r="H595" s="44">
        <v>83247.66</v>
      </c>
      <c r="I595" s="44">
        <v>66817.210000000006</v>
      </c>
      <c r="J595" s="44">
        <v>75125.279999999999</v>
      </c>
      <c r="K595" t="s">
        <v>198</v>
      </c>
    </row>
    <row r="596" spans="1:11" ht="16.95" hidden="1" customHeight="1" x14ac:dyDescent="0.3">
      <c r="A596" s="42" t="s">
        <v>299</v>
      </c>
      <c r="B596" s="42" t="s">
        <v>239</v>
      </c>
      <c r="C596" s="42" t="s">
        <v>210</v>
      </c>
      <c r="D596" s="42" t="s">
        <v>261</v>
      </c>
      <c r="E596" s="42" t="s">
        <v>241</v>
      </c>
      <c r="F596" s="42" t="s">
        <v>252</v>
      </c>
      <c r="G596" s="44">
        <v>67044.179999999993</v>
      </c>
      <c r="H596" s="44">
        <v>82387.460000000006</v>
      </c>
      <c r="I596" s="44">
        <v>55190.11</v>
      </c>
      <c r="J596" s="44">
        <v>75681.56</v>
      </c>
      <c r="K596" t="s">
        <v>198</v>
      </c>
    </row>
    <row r="597" spans="1:11" ht="16.95" hidden="1" customHeight="1" x14ac:dyDescent="0.3">
      <c r="A597" s="42" t="s">
        <v>299</v>
      </c>
      <c r="B597" s="42" t="s">
        <v>239</v>
      </c>
      <c r="C597" s="42" t="s">
        <v>210</v>
      </c>
      <c r="D597" s="42" t="s">
        <v>261</v>
      </c>
      <c r="E597" s="42" t="s">
        <v>241</v>
      </c>
      <c r="F597" s="42" t="s">
        <v>253</v>
      </c>
      <c r="G597" s="44">
        <v>67340.62</v>
      </c>
      <c r="H597" s="44">
        <v>81678.100000000006</v>
      </c>
      <c r="I597" s="44">
        <v>55203.48</v>
      </c>
      <c r="J597" s="43">
        <v>72750</v>
      </c>
      <c r="K597" t="s">
        <v>198</v>
      </c>
    </row>
    <row r="598" spans="1:11" ht="16.95" hidden="1" customHeight="1" x14ac:dyDescent="0.3">
      <c r="A598" s="42" t="s">
        <v>299</v>
      </c>
      <c r="B598" s="42" t="s">
        <v>239</v>
      </c>
      <c r="C598" s="42" t="s">
        <v>210</v>
      </c>
      <c r="D598" s="42" t="s">
        <v>262</v>
      </c>
      <c r="E598" s="42" t="s">
        <v>241</v>
      </c>
      <c r="F598" s="42" t="s">
        <v>242</v>
      </c>
      <c r="G598" s="44">
        <v>656137.96</v>
      </c>
      <c r="H598" s="44">
        <v>834745.2</v>
      </c>
      <c r="I598" t="s">
        <v>198</v>
      </c>
      <c r="J598" t="s">
        <v>198</v>
      </c>
      <c r="K598" t="s">
        <v>198</v>
      </c>
    </row>
    <row r="599" spans="1:11" ht="16.95" hidden="1" customHeight="1" x14ac:dyDescent="0.3">
      <c r="A599" s="42" t="s">
        <v>299</v>
      </c>
      <c r="B599" s="42" t="s">
        <v>239</v>
      </c>
      <c r="C599" s="42" t="s">
        <v>210</v>
      </c>
      <c r="D599" s="42" t="s">
        <v>262</v>
      </c>
      <c r="E599" s="42" t="s">
        <v>241</v>
      </c>
      <c r="F599" s="42" t="s">
        <v>243</v>
      </c>
      <c r="G599" s="44">
        <v>631275.31999999995</v>
      </c>
      <c r="H599" s="44">
        <v>974722.16</v>
      </c>
      <c r="I599" t="s">
        <v>198</v>
      </c>
      <c r="J599" t="s">
        <v>198</v>
      </c>
      <c r="K599" t="s">
        <v>198</v>
      </c>
    </row>
    <row r="600" spans="1:11" ht="16.95" hidden="1" customHeight="1" x14ac:dyDescent="0.3">
      <c r="A600" s="42" t="s">
        <v>299</v>
      </c>
      <c r="B600" s="42" t="s">
        <v>239</v>
      </c>
      <c r="C600" s="42" t="s">
        <v>210</v>
      </c>
      <c r="D600" s="42" t="s">
        <v>262</v>
      </c>
      <c r="E600" s="42" t="s">
        <v>241</v>
      </c>
      <c r="F600" s="42" t="s">
        <v>244</v>
      </c>
      <c r="G600" s="44">
        <v>667280.48</v>
      </c>
      <c r="H600" s="44">
        <v>1103977.03</v>
      </c>
      <c r="I600" t="s">
        <v>198</v>
      </c>
      <c r="J600" t="s">
        <v>198</v>
      </c>
      <c r="K600" t="s">
        <v>198</v>
      </c>
    </row>
    <row r="601" spans="1:11" ht="16.95" hidden="1" customHeight="1" x14ac:dyDescent="0.3">
      <c r="A601" s="42" t="s">
        <v>299</v>
      </c>
      <c r="B601" s="42" t="s">
        <v>239</v>
      </c>
      <c r="C601" s="42" t="s">
        <v>210</v>
      </c>
      <c r="D601" s="42" t="s">
        <v>262</v>
      </c>
      <c r="E601" s="42" t="s">
        <v>241</v>
      </c>
      <c r="F601" s="42" t="s">
        <v>245</v>
      </c>
      <c r="G601" s="44">
        <v>742088.7</v>
      </c>
      <c r="H601" s="44">
        <v>1109263.69</v>
      </c>
      <c r="I601" t="s">
        <v>198</v>
      </c>
      <c r="J601" t="s">
        <v>198</v>
      </c>
      <c r="K601" t="s">
        <v>198</v>
      </c>
    </row>
    <row r="602" spans="1:11" ht="16.95" hidden="1" customHeight="1" x14ac:dyDescent="0.3">
      <c r="A602" s="42" t="s">
        <v>299</v>
      </c>
      <c r="B602" s="42" t="s">
        <v>239</v>
      </c>
      <c r="C602" s="42" t="s">
        <v>210</v>
      </c>
      <c r="D602" s="42" t="s">
        <v>262</v>
      </c>
      <c r="E602" s="42" t="s">
        <v>241</v>
      </c>
      <c r="F602" s="42" t="s">
        <v>246</v>
      </c>
      <c r="G602" s="44">
        <v>767743.64</v>
      </c>
      <c r="H602" s="43">
        <v>1212645</v>
      </c>
      <c r="I602" t="s">
        <v>198</v>
      </c>
      <c r="J602" t="s">
        <v>198</v>
      </c>
      <c r="K602" t="s">
        <v>198</v>
      </c>
    </row>
    <row r="603" spans="1:11" ht="16.95" hidden="1" customHeight="1" x14ac:dyDescent="0.3">
      <c r="A603" s="42" t="s">
        <v>299</v>
      </c>
      <c r="B603" s="42" t="s">
        <v>239</v>
      </c>
      <c r="C603" s="42" t="s">
        <v>210</v>
      </c>
      <c r="D603" s="42" t="s">
        <v>262</v>
      </c>
      <c r="E603" s="42" t="s">
        <v>241</v>
      </c>
      <c r="F603" s="42" t="s">
        <v>247</v>
      </c>
      <c r="G603" s="44">
        <v>718867.18</v>
      </c>
      <c r="H603" s="44">
        <v>1122975.04</v>
      </c>
      <c r="I603" t="s">
        <v>198</v>
      </c>
      <c r="J603" t="s">
        <v>198</v>
      </c>
      <c r="K603" t="s">
        <v>198</v>
      </c>
    </row>
    <row r="604" spans="1:11" ht="16.95" hidden="1" customHeight="1" x14ac:dyDescent="0.3">
      <c r="A604" s="42" t="s">
        <v>299</v>
      </c>
      <c r="B604" s="42" t="s">
        <v>239</v>
      </c>
      <c r="C604" s="42" t="s">
        <v>210</v>
      </c>
      <c r="D604" s="42" t="s">
        <v>262</v>
      </c>
      <c r="E604" s="42" t="s">
        <v>241</v>
      </c>
      <c r="F604" s="42" t="s">
        <v>248</v>
      </c>
      <c r="G604" s="44">
        <v>685314.01</v>
      </c>
      <c r="H604" s="44">
        <v>1178313.98</v>
      </c>
      <c r="I604" t="s">
        <v>198</v>
      </c>
      <c r="J604" t="s">
        <v>198</v>
      </c>
      <c r="K604" t="s">
        <v>198</v>
      </c>
    </row>
    <row r="605" spans="1:11" ht="16.95" hidden="1" customHeight="1" x14ac:dyDescent="0.3">
      <c r="A605" s="42" t="s">
        <v>299</v>
      </c>
      <c r="B605" s="42" t="s">
        <v>239</v>
      </c>
      <c r="C605" s="42" t="s">
        <v>210</v>
      </c>
      <c r="D605" s="42" t="s">
        <v>262</v>
      </c>
      <c r="E605" s="42" t="s">
        <v>241</v>
      </c>
      <c r="F605" s="42" t="s">
        <v>249</v>
      </c>
      <c r="G605" s="44">
        <v>686917.27</v>
      </c>
      <c r="H605" s="44">
        <v>1124482.29</v>
      </c>
      <c r="I605" t="s">
        <v>198</v>
      </c>
      <c r="J605" t="s">
        <v>198</v>
      </c>
      <c r="K605" t="s">
        <v>198</v>
      </c>
    </row>
    <row r="606" spans="1:11" ht="16.95" hidden="1" customHeight="1" x14ac:dyDescent="0.3">
      <c r="A606" s="42" t="s">
        <v>299</v>
      </c>
      <c r="B606" s="42" t="s">
        <v>239</v>
      </c>
      <c r="C606" s="42" t="s">
        <v>210</v>
      </c>
      <c r="D606" s="42" t="s">
        <v>262</v>
      </c>
      <c r="E606" s="42" t="s">
        <v>241</v>
      </c>
      <c r="F606" s="42" t="s">
        <v>250</v>
      </c>
      <c r="G606" s="44">
        <v>732569.23</v>
      </c>
      <c r="H606" s="44">
        <v>1353243.01</v>
      </c>
      <c r="I606" t="s">
        <v>198</v>
      </c>
      <c r="J606" t="s">
        <v>198</v>
      </c>
      <c r="K606" t="s">
        <v>198</v>
      </c>
    </row>
    <row r="607" spans="1:11" ht="16.95" hidden="1" customHeight="1" x14ac:dyDescent="0.3">
      <c r="A607" s="42" t="s">
        <v>299</v>
      </c>
      <c r="B607" s="42" t="s">
        <v>239</v>
      </c>
      <c r="C607" s="42" t="s">
        <v>210</v>
      </c>
      <c r="D607" s="42" t="s">
        <v>262</v>
      </c>
      <c r="E607" s="42" t="s">
        <v>241</v>
      </c>
      <c r="F607" s="42" t="s">
        <v>251</v>
      </c>
      <c r="G607" s="44">
        <v>808973.01</v>
      </c>
      <c r="H607" s="44">
        <v>1401963.96</v>
      </c>
      <c r="I607" t="s">
        <v>198</v>
      </c>
      <c r="J607" t="s">
        <v>198</v>
      </c>
      <c r="K607" t="s">
        <v>198</v>
      </c>
    </row>
    <row r="608" spans="1:11" ht="16.95" hidden="1" customHeight="1" x14ac:dyDescent="0.3">
      <c r="A608" s="42" t="s">
        <v>299</v>
      </c>
      <c r="B608" s="42" t="s">
        <v>239</v>
      </c>
      <c r="C608" s="42" t="s">
        <v>210</v>
      </c>
      <c r="D608" s="42" t="s">
        <v>262</v>
      </c>
      <c r="E608" s="42" t="s">
        <v>241</v>
      </c>
      <c r="F608" s="42" t="s">
        <v>252</v>
      </c>
      <c r="G608" s="44">
        <v>751982.98</v>
      </c>
      <c r="H608" s="44">
        <v>1238827.57</v>
      </c>
      <c r="I608" t="s">
        <v>198</v>
      </c>
      <c r="J608" t="s">
        <v>198</v>
      </c>
      <c r="K608" t="s">
        <v>198</v>
      </c>
    </row>
    <row r="609" spans="1:11" ht="16.95" hidden="1" customHeight="1" x14ac:dyDescent="0.3">
      <c r="A609" s="42" t="s">
        <v>299</v>
      </c>
      <c r="B609" s="42" t="s">
        <v>239</v>
      </c>
      <c r="C609" s="42" t="s">
        <v>210</v>
      </c>
      <c r="D609" s="42" t="s">
        <v>262</v>
      </c>
      <c r="E609" s="42" t="s">
        <v>241</v>
      </c>
      <c r="F609" s="42" t="s">
        <v>253</v>
      </c>
      <c r="G609" s="44">
        <v>772565.27</v>
      </c>
      <c r="H609" s="44">
        <v>1227327.3500000001</v>
      </c>
      <c r="I609" t="s">
        <v>198</v>
      </c>
      <c r="J609" t="s">
        <v>198</v>
      </c>
      <c r="K609" t="s">
        <v>198</v>
      </c>
    </row>
    <row r="610" spans="1:11" ht="16.95" hidden="1" customHeight="1" x14ac:dyDescent="0.3">
      <c r="A610" s="42" t="s">
        <v>299</v>
      </c>
      <c r="B610" s="42" t="s">
        <v>239</v>
      </c>
      <c r="C610" s="42" t="s">
        <v>210</v>
      </c>
      <c r="D610" s="42" t="s">
        <v>302</v>
      </c>
      <c r="E610" s="42" t="s">
        <v>241</v>
      </c>
      <c r="F610" s="42" t="s">
        <v>242</v>
      </c>
      <c r="G610" s="44">
        <v>559877.54</v>
      </c>
      <c r="H610" t="s">
        <v>198</v>
      </c>
      <c r="I610" t="s">
        <v>198</v>
      </c>
      <c r="J610" t="s">
        <v>198</v>
      </c>
      <c r="K610" t="s">
        <v>198</v>
      </c>
    </row>
    <row r="611" spans="1:11" ht="16.95" hidden="1" customHeight="1" x14ac:dyDescent="0.3">
      <c r="A611" s="42" t="s">
        <v>299</v>
      </c>
      <c r="B611" s="42" t="s">
        <v>239</v>
      </c>
      <c r="C611" s="42" t="s">
        <v>210</v>
      </c>
      <c r="D611" s="42" t="s">
        <v>302</v>
      </c>
      <c r="E611" s="42" t="s">
        <v>241</v>
      </c>
      <c r="F611" s="42" t="s">
        <v>243</v>
      </c>
      <c r="G611" s="44">
        <v>544173.31999999995</v>
      </c>
      <c r="H611" t="s">
        <v>198</v>
      </c>
      <c r="I611" t="s">
        <v>198</v>
      </c>
      <c r="J611" t="s">
        <v>198</v>
      </c>
      <c r="K611" t="s">
        <v>198</v>
      </c>
    </row>
    <row r="612" spans="1:11" ht="16.95" hidden="1" customHeight="1" x14ac:dyDescent="0.3">
      <c r="A612" s="42" t="s">
        <v>299</v>
      </c>
      <c r="B612" s="42" t="s">
        <v>239</v>
      </c>
      <c r="C612" s="42" t="s">
        <v>210</v>
      </c>
      <c r="D612" s="42" t="s">
        <v>302</v>
      </c>
      <c r="E612" s="42" t="s">
        <v>241</v>
      </c>
      <c r="F612" s="42" t="s">
        <v>244</v>
      </c>
      <c r="G612" s="44">
        <v>551601.31000000006</v>
      </c>
      <c r="H612" t="s">
        <v>198</v>
      </c>
      <c r="I612" t="s">
        <v>198</v>
      </c>
      <c r="J612" t="s">
        <v>198</v>
      </c>
      <c r="K612" t="s">
        <v>198</v>
      </c>
    </row>
    <row r="613" spans="1:11" ht="16.95" hidden="1" customHeight="1" x14ac:dyDescent="0.3">
      <c r="A613" s="42" t="s">
        <v>299</v>
      </c>
      <c r="B613" s="42" t="s">
        <v>239</v>
      </c>
      <c r="C613" s="42" t="s">
        <v>210</v>
      </c>
      <c r="D613" s="42" t="s">
        <v>302</v>
      </c>
      <c r="E613" s="42" t="s">
        <v>241</v>
      </c>
      <c r="F613" s="42" t="s">
        <v>245</v>
      </c>
      <c r="G613" s="44">
        <v>559622.19999999995</v>
      </c>
      <c r="H613" t="s">
        <v>198</v>
      </c>
      <c r="I613" t="s">
        <v>198</v>
      </c>
      <c r="J613" t="s">
        <v>198</v>
      </c>
      <c r="K613" t="s">
        <v>198</v>
      </c>
    </row>
    <row r="614" spans="1:11" ht="16.95" hidden="1" customHeight="1" x14ac:dyDescent="0.3">
      <c r="A614" s="42" t="s">
        <v>299</v>
      </c>
      <c r="B614" s="42" t="s">
        <v>239</v>
      </c>
      <c r="C614" s="42" t="s">
        <v>210</v>
      </c>
      <c r="D614" s="42" t="s">
        <v>302</v>
      </c>
      <c r="E614" s="42" t="s">
        <v>241</v>
      </c>
      <c r="F614" s="42" t="s">
        <v>246</v>
      </c>
      <c r="G614" s="44">
        <v>551034.06999999995</v>
      </c>
      <c r="H614" t="s">
        <v>198</v>
      </c>
      <c r="I614" t="s">
        <v>198</v>
      </c>
      <c r="J614" t="s">
        <v>198</v>
      </c>
      <c r="K614" t="s">
        <v>198</v>
      </c>
    </row>
    <row r="615" spans="1:11" ht="16.95" hidden="1" customHeight="1" x14ac:dyDescent="0.3">
      <c r="A615" s="42" t="s">
        <v>299</v>
      </c>
      <c r="B615" s="42" t="s">
        <v>239</v>
      </c>
      <c r="C615" s="42" t="s">
        <v>210</v>
      </c>
      <c r="D615" s="42" t="s">
        <v>302</v>
      </c>
      <c r="E615" s="42" t="s">
        <v>241</v>
      </c>
      <c r="F615" s="42" t="s">
        <v>247</v>
      </c>
      <c r="G615" s="44">
        <v>582451.27</v>
      </c>
      <c r="H615" t="s">
        <v>198</v>
      </c>
      <c r="I615" t="s">
        <v>198</v>
      </c>
      <c r="J615" t="s">
        <v>198</v>
      </c>
      <c r="K615" t="s">
        <v>198</v>
      </c>
    </row>
    <row r="616" spans="1:11" ht="16.95" hidden="1" customHeight="1" x14ac:dyDescent="0.3">
      <c r="A616" s="42" t="s">
        <v>299</v>
      </c>
      <c r="B616" s="42" t="s">
        <v>239</v>
      </c>
      <c r="C616" s="42" t="s">
        <v>210</v>
      </c>
      <c r="D616" s="42" t="s">
        <v>302</v>
      </c>
      <c r="E616" s="42" t="s">
        <v>241</v>
      </c>
      <c r="F616" s="42" t="s">
        <v>248</v>
      </c>
      <c r="G616" s="44">
        <v>579436.43000000005</v>
      </c>
      <c r="H616" t="s">
        <v>198</v>
      </c>
      <c r="I616" t="s">
        <v>198</v>
      </c>
      <c r="J616" t="s">
        <v>198</v>
      </c>
      <c r="K616" t="s">
        <v>198</v>
      </c>
    </row>
    <row r="617" spans="1:11" ht="16.95" hidden="1" customHeight="1" x14ac:dyDescent="0.3">
      <c r="A617" s="42" t="s">
        <v>299</v>
      </c>
      <c r="B617" s="42" t="s">
        <v>239</v>
      </c>
      <c r="C617" s="42" t="s">
        <v>210</v>
      </c>
      <c r="D617" s="42" t="s">
        <v>302</v>
      </c>
      <c r="E617" s="42" t="s">
        <v>241</v>
      </c>
      <c r="F617" s="42" t="s">
        <v>249</v>
      </c>
      <c r="G617" s="44">
        <v>636882.25</v>
      </c>
      <c r="H617" t="s">
        <v>198</v>
      </c>
      <c r="I617" t="s">
        <v>198</v>
      </c>
      <c r="J617" t="s">
        <v>198</v>
      </c>
      <c r="K617" t="s">
        <v>198</v>
      </c>
    </row>
    <row r="618" spans="1:11" ht="16.95" hidden="1" customHeight="1" x14ac:dyDescent="0.3">
      <c r="A618" s="42" t="s">
        <v>299</v>
      </c>
      <c r="B618" s="42" t="s">
        <v>239</v>
      </c>
      <c r="C618" s="42" t="s">
        <v>210</v>
      </c>
      <c r="D618" s="42" t="s">
        <v>302</v>
      </c>
      <c r="E618" s="42" t="s">
        <v>241</v>
      </c>
      <c r="F618" s="42" t="s">
        <v>250</v>
      </c>
      <c r="G618" s="43">
        <v>923254</v>
      </c>
      <c r="H618" t="s">
        <v>198</v>
      </c>
      <c r="I618" t="s">
        <v>198</v>
      </c>
      <c r="J618" t="s">
        <v>198</v>
      </c>
      <c r="K618" t="s">
        <v>198</v>
      </c>
    </row>
    <row r="619" spans="1:11" ht="16.95" hidden="1" customHeight="1" x14ac:dyDescent="0.3">
      <c r="A619" s="42" t="s">
        <v>299</v>
      </c>
      <c r="B619" s="42" t="s">
        <v>239</v>
      </c>
      <c r="C619" s="42" t="s">
        <v>210</v>
      </c>
      <c r="D619" s="42" t="s">
        <v>302</v>
      </c>
      <c r="E619" s="42" t="s">
        <v>241</v>
      </c>
      <c r="F619" s="42" t="s">
        <v>251</v>
      </c>
      <c r="G619" s="43">
        <v>994439</v>
      </c>
      <c r="H619" t="s">
        <v>198</v>
      </c>
      <c r="I619" t="s">
        <v>198</v>
      </c>
      <c r="J619" t="s">
        <v>198</v>
      </c>
      <c r="K619" t="s">
        <v>198</v>
      </c>
    </row>
    <row r="620" spans="1:11" ht="16.95" hidden="1" customHeight="1" x14ac:dyDescent="0.3">
      <c r="A620" s="42" t="s">
        <v>299</v>
      </c>
      <c r="B620" s="42" t="s">
        <v>239</v>
      </c>
      <c r="C620" s="42" t="s">
        <v>210</v>
      </c>
      <c r="D620" s="42" t="s">
        <v>302</v>
      </c>
      <c r="E620" s="42" t="s">
        <v>241</v>
      </c>
      <c r="F620" s="42" t="s">
        <v>252</v>
      </c>
      <c r="G620" s="44">
        <v>804689.66</v>
      </c>
      <c r="H620" t="s">
        <v>198</v>
      </c>
      <c r="I620" t="s">
        <v>198</v>
      </c>
      <c r="J620" t="s">
        <v>198</v>
      </c>
      <c r="K620" t="s">
        <v>198</v>
      </c>
    </row>
    <row r="621" spans="1:11" ht="16.95" hidden="1" customHeight="1" x14ac:dyDescent="0.3">
      <c r="A621" s="42" t="s">
        <v>299</v>
      </c>
      <c r="B621" s="42" t="s">
        <v>239</v>
      </c>
      <c r="C621" s="42" t="s">
        <v>210</v>
      </c>
      <c r="D621" s="42" t="s">
        <v>302</v>
      </c>
      <c r="E621" s="42" t="s">
        <v>241</v>
      </c>
      <c r="F621" s="42" t="s">
        <v>253</v>
      </c>
      <c r="G621" s="44">
        <v>838840.4</v>
      </c>
      <c r="H621" t="s">
        <v>198</v>
      </c>
      <c r="I621" t="s">
        <v>198</v>
      </c>
      <c r="J621" t="s">
        <v>198</v>
      </c>
      <c r="K621" t="s">
        <v>198</v>
      </c>
    </row>
    <row r="622" spans="1:11" ht="16.95" hidden="1" customHeight="1" x14ac:dyDescent="0.3">
      <c r="A622" s="42" t="s">
        <v>299</v>
      </c>
      <c r="B622" s="42" t="s">
        <v>239</v>
      </c>
      <c r="C622" s="42" t="s">
        <v>210</v>
      </c>
      <c r="D622" s="42" t="s">
        <v>303</v>
      </c>
      <c r="E622" s="42" t="s">
        <v>241</v>
      </c>
      <c r="F622" s="42" t="s">
        <v>242</v>
      </c>
      <c r="G622" s="44">
        <v>94487.48</v>
      </c>
      <c r="H622" s="44">
        <v>130398.03</v>
      </c>
      <c r="I622" s="44">
        <v>142308.25</v>
      </c>
      <c r="J622" s="44">
        <v>117184.49</v>
      </c>
      <c r="K622" t="s">
        <v>198</v>
      </c>
    </row>
    <row r="623" spans="1:11" ht="16.95" hidden="1" customHeight="1" x14ac:dyDescent="0.3">
      <c r="A623" s="42" t="s">
        <v>299</v>
      </c>
      <c r="B623" s="42" t="s">
        <v>239</v>
      </c>
      <c r="C623" s="42" t="s">
        <v>210</v>
      </c>
      <c r="D623" s="42" t="s">
        <v>303</v>
      </c>
      <c r="E623" s="42" t="s">
        <v>241</v>
      </c>
      <c r="F623" s="42" t="s">
        <v>243</v>
      </c>
      <c r="G623" s="44">
        <v>90438.48</v>
      </c>
      <c r="H623" s="44">
        <v>135100.46</v>
      </c>
      <c r="I623" s="44">
        <v>130883.09</v>
      </c>
      <c r="J623" s="44">
        <v>120085.89</v>
      </c>
      <c r="K623" t="s">
        <v>198</v>
      </c>
    </row>
    <row r="624" spans="1:11" ht="16.95" hidden="1" customHeight="1" x14ac:dyDescent="0.3">
      <c r="A624" s="42" t="s">
        <v>299</v>
      </c>
      <c r="B624" s="42" t="s">
        <v>239</v>
      </c>
      <c r="C624" s="42" t="s">
        <v>210</v>
      </c>
      <c r="D624" s="42" t="s">
        <v>303</v>
      </c>
      <c r="E624" s="42" t="s">
        <v>241</v>
      </c>
      <c r="F624" s="42" t="s">
        <v>244</v>
      </c>
      <c r="G624" s="44">
        <v>91063.99</v>
      </c>
      <c r="H624" s="44">
        <v>144935.57</v>
      </c>
      <c r="I624" s="44">
        <v>125147.15</v>
      </c>
      <c r="J624" s="44">
        <v>127866.41</v>
      </c>
      <c r="K624" t="s">
        <v>198</v>
      </c>
    </row>
    <row r="625" spans="1:11" ht="16.95" hidden="1" customHeight="1" x14ac:dyDescent="0.3">
      <c r="A625" s="42" t="s">
        <v>299</v>
      </c>
      <c r="B625" s="42" t="s">
        <v>239</v>
      </c>
      <c r="C625" s="42" t="s">
        <v>210</v>
      </c>
      <c r="D625" s="42" t="s">
        <v>303</v>
      </c>
      <c r="E625" s="42" t="s">
        <v>241</v>
      </c>
      <c r="F625" s="42" t="s">
        <v>245</v>
      </c>
      <c r="G625" s="44">
        <v>90104.89</v>
      </c>
      <c r="H625" s="44">
        <v>169087.13</v>
      </c>
      <c r="I625" s="44">
        <v>130404.7</v>
      </c>
      <c r="J625" t="s">
        <v>198</v>
      </c>
      <c r="K625" t="s">
        <v>198</v>
      </c>
    </row>
    <row r="626" spans="1:11" ht="16.95" hidden="1" customHeight="1" x14ac:dyDescent="0.3">
      <c r="A626" s="42" t="s">
        <v>299</v>
      </c>
      <c r="B626" s="42" t="s">
        <v>239</v>
      </c>
      <c r="C626" s="42" t="s">
        <v>210</v>
      </c>
      <c r="D626" s="42" t="s">
        <v>303</v>
      </c>
      <c r="E626" s="42" t="s">
        <v>241</v>
      </c>
      <c r="F626" s="42" t="s">
        <v>246</v>
      </c>
      <c r="G626" s="44">
        <v>87751.86</v>
      </c>
      <c r="H626" s="44">
        <v>131666.98000000001</v>
      </c>
      <c r="I626" s="44">
        <v>150136.15</v>
      </c>
      <c r="J626" t="s">
        <v>198</v>
      </c>
      <c r="K626" t="s">
        <v>198</v>
      </c>
    </row>
    <row r="627" spans="1:11" ht="16.95" hidden="1" customHeight="1" x14ac:dyDescent="0.3">
      <c r="A627" s="42" t="s">
        <v>299</v>
      </c>
      <c r="B627" s="42" t="s">
        <v>239</v>
      </c>
      <c r="C627" s="42" t="s">
        <v>210</v>
      </c>
      <c r="D627" s="42" t="s">
        <v>303</v>
      </c>
      <c r="E627" s="42" t="s">
        <v>241</v>
      </c>
      <c r="F627" s="42" t="s">
        <v>247</v>
      </c>
      <c r="G627" s="44">
        <v>88367.85</v>
      </c>
      <c r="H627" s="44">
        <v>124470.08</v>
      </c>
      <c r="I627" s="43">
        <v>152395</v>
      </c>
      <c r="J627" t="s">
        <v>198</v>
      </c>
      <c r="K627" t="s">
        <v>198</v>
      </c>
    </row>
    <row r="628" spans="1:11" ht="16.95" hidden="1" customHeight="1" x14ac:dyDescent="0.3">
      <c r="A628" s="42" t="s">
        <v>299</v>
      </c>
      <c r="B628" s="42" t="s">
        <v>239</v>
      </c>
      <c r="C628" s="42" t="s">
        <v>210</v>
      </c>
      <c r="D628" s="42" t="s">
        <v>303</v>
      </c>
      <c r="E628" s="42" t="s">
        <v>241</v>
      </c>
      <c r="F628" s="42" t="s">
        <v>248</v>
      </c>
      <c r="G628" s="44">
        <v>105232.49</v>
      </c>
      <c r="H628" s="44">
        <v>125887.83</v>
      </c>
      <c r="I628" s="44">
        <v>142798.41</v>
      </c>
      <c r="J628" t="s">
        <v>198</v>
      </c>
      <c r="K628" t="s">
        <v>198</v>
      </c>
    </row>
    <row r="629" spans="1:11" ht="16.95" hidden="1" customHeight="1" x14ac:dyDescent="0.3">
      <c r="A629" s="42" t="s">
        <v>299</v>
      </c>
      <c r="B629" s="42" t="s">
        <v>239</v>
      </c>
      <c r="C629" s="42" t="s">
        <v>210</v>
      </c>
      <c r="D629" s="42" t="s">
        <v>303</v>
      </c>
      <c r="E629" s="42" t="s">
        <v>241</v>
      </c>
      <c r="F629" s="42" t="s">
        <v>249</v>
      </c>
      <c r="G629" s="44">
        <v>112689.95</v>
      </c>
      <c r="H629" s="44">
        <v>132310.76</v>
      </c>
      <c r="I629" s="44">
        <v>137535.72</v>
      </c>
      <c r="J629" t="s">
        <v>198</v>
      </c>
      <c r="K629" t="s">
        <v>198</v>
      </c>
    </row>
    <row r="630" spans="1:11" ht="16.95" hidden="1" customHeight="1" x14ac:dyDescent="0.3">
      <c r="A630" s="42" t="s">
        <v>299</v>
      </c>
      <c r="B630" s="42" t="s">
        <v>239</v>
      </c>
      <c r="C630" s="42" t="s">
        <v>210</v>
      </c>
      <c r="D630" s="42" t="s">
        <v>303</v>
      </c>
      <c r="E630" s="42" t="s">
        <v>241</v>
      </c>
      <c r="F630" s="42" t="s">
        <v>250</v>
      </c>
      <c r="G630" s="44">
        <v>107526.96</v>
      </c>
      <c r="H630" s="44">
        <v>156750.16</v>
      </c>
      <c r="I630" s="44">
        <v>136713.84</v>
      </c>
      <c r="J630" t="s">
        <v>198</v>
      </c>
      <c r="K630" t="s">
        <v>198</v>
      </c>
    </row>
    <row r="631" spans="1:11" ht="16.95" hidden="1" customHeight="1" x14ac:dyDescent="0.3">
      <c r="A631" s="42" t="s">
        <v>299</v>
      </c>
      <c r="B631" s="42" t="s">
        <v>239</v>
      </c>
      <c r="C631" s="42" t="s">
        <v>210</v>
      </c>
      <c r="D631" s="42" t="s">
        <v>303</v>
      </c>
      <c r="E631" s="42" t="s">
        <v>241</v>
      </c>
      <c r="F631" s="42" t="s">
        <v>251</v>
      </c>
      <c r="G631" s="44">
        <v>116793.36</v>
      </c>
      <c r="H631" s="44">
        <v>167741.53</v>
      </c>
      <c r="I631" s="44">
        <v>136104.87</v>
      </c>
      <c r="J631" t="s">
        <v>198</v>
      </c>
      <c r="K631" t="s">
        <v>198</v>
      </c>
    </row>
    <row r="632" spans="1:11" ht="16.95" hidden="1" customHeight="1" x14ac:dyDescent="0.3">
      <c r="A632" s="42" t="s">
        <v>299</v>
      </c>
      <c r="B632" s="42" t="s">
        <v>239</v>
      </c>
      <c r="C632" s="42" t="s">
        <v>210</v>
      </c>
      <c r="D632" s="42" t="s">
        <v>303</v>
      </c>
      <c r="E632" s="42" t="s">
        <v>241</v>
      </c>
      <c r="F632" s="42" t="s">
        <v>252</v>
      </c>
      <c r="G632" s="43">
        <v>124948</v>
      </c>
      <c r="H632" s="44">
        <v>170566.17</v>
      </c>
      <c r="I632" s="44">
        <v>127876.25</v>
      </c>
      <c r="J632" t="s">
        <v>198</v>
      </c>
      <c r="K632" t="s">
        <v>198</v>
      </c>
    </row>
    <row r="633" spans="1:11" ht="16.95" hidden="1" customHeight="1" x14ac:dyDescent="0.3">
      <c r="A633" s="42" t="s">
        <v>299</v>
      </c>
      <c r="B633" s="42" t="s">
        <v>239</v>
      </c>
      <c r="C633" s="42" t="s">
        <v>210</v>
      </c>
      <c r="D633" s="42" t="s">
        <v>303</v>
      </c>
      <c r="E633" s="42" t="s">
        <v>241</v>
      </c>
      <c r="F633" s="42" t="s">
        <v>253</v>
      </c>
      <c r="G633" s="44">
        <v>135747.95000000001</v>
      </c>
      <c r="H633" s="44">
        <v>152292.4</v>
      </c>
      <c r="I633" s="44">
        <v>118906.97</v>
      </c>
      <c r="J633" t="s">
        <v>198</v>
      </c>
      <c r="K633" t="s">
        <v>198</v>
      </c>
    </row>
    <row r="634" spans="1:11" ht="16.95" hidden="1" customHeight="1" x14ac:dyDescent="0.3">
      <c r="A634" s="42" t="s">
        <v>299</v>
      </c>
      <c r="B634" s="42" t="s">
        <v>239</v>
      </c>
      <c r="C634" s="42" t="s">
        <v>210</v>
      </c>
      <c r="D634" s="42" t="s">
        <v>263</v>
      </c>
      <c r="E634" s="42" t="s">
        <v>241</v>
      </c>
      <c r="F634" s="42" t="s">
        <v>242</v>
      </c>
      <c r="G634" s="44">
        <v>117304.34</v>
      </c>
      <c r="H634" s="44">
        <v>106113.05</v>
      </c>
      <c r="I634" s="44">
        <v>122499.54</v>
      </c>
      <c r="J634" s="44">
        <v>94063.3</v>
      </c>
      <c r="K634" s="44">
        <v>92582.65</v>
      </c>
    </row>
    <row r="635" spans="1:11" ht="16.95" hidden="1" customHeight="1" x14ac:dyDescent="0.3">
      <c r="A635" s="42" t="s">
        <v>299</v>
      </c>
      <c r="B635" s="42" t="s">
        <v>239</v>
      </c>
      <c r="C635" s="42" t="s">
        <v>210</v>
      </c>
      <c r="D635" s="42" t="s">
        <v>263</v>
      </c>
      <c r="E635" s="42" t="s">
        <v>241</v>
      </c>
      <c r="F635" s="42" t="s">
        <v>243</v>
      </c>
      <c r="G635" s="44">
        <v>105683.13</v>
      </c>
      <c r="H635" s="44">
        <v>113896.52</v>
      </c>
      <c r="I635" s="44">
        <v>115763.77</v>
      </c>
      <c r="J635" s="44">
        <v>95199.96</v>
      </c>
      <c r="K635" s="44">
        <v>94097.43</v>
      </c>
    </row>
    <row r="636" spans="1:11" ht="16.95" hidden="1" customHeight="1" x14ac:dyDescent="0.3">
      <c r="A636" s="42" t="s">
        <v>299</v>
      </c>
      <c r="B636" s="42" t="s">
        <v>239</v>
      </c>
      <c r="C636" s="42" t="s">
        <v>210</v>
      </c>
      <c r="D636" s="42" t="s">
        <v>263</v>
      </c>
      <c r="E636" s="42" t="s">
        <v>241</v>
      </c>
      <c r="F636" s="42" t="s">
        <v>244</v>
      </c>
      <c r="G636" s="44">
        <v>111026.06</v>
      </c>
      <c r="H636" s="44">
        <v>114456.53</v>
      </c>
      <c r="I636" s="44">
        <v>113615.74</v>
      </c>
      <c r="J636" s="44">
        <v>103451.1</v>
      </c>
      <c r="K636" s="44">
        <v>102864.75</v>
      </c>
    </row>
    <row r="637" spans="1:11" ht="16.95" hidden="1" customHeight="1" x14ac:dyDescent="0.3">
      <c r="A637" s="42" t="s">
        <v>299</v>
      </c>
      <c r="B637" s="42" t="s">
        <v>239</v>
      </c>
      <c r="C637" s="42" t="s">
        <v>210</v>
      </c>
      <c r="D637" s="42" t="s">
        <v>263</v>
      </c>
      <c r="E637" s="42" t="s">
        <v>241</v>
      </c>
      <c r="F637" s="42" t="s">
        <v>245</v>
      </c>
      <c r="G637" s="44">
        <v>124585.4</v>
      </c>
      <c r="H637" s="44">
        <v>117012.4</v>
      </c>
      <c r="I637" s="44">
        <v>109446.18</v>
      </c>
      <c r="J637" s="44">
        <v>96976.56</v>
      </c>
      <c r="K637" t="s">
        <v>198</v>
      </c>
    </row>
    <row r="638" spans="1:11" ht="16.95" hidden="1" customHeight="1" x14ac:dyDescent="0.3">
      <c r="A638" s="42" t="s">
        <v>299</v>
      </c>
      <c r="B638" s="42" t="s">
        <v>239</v>
      </c>
      <c r="C638" s="42" t="s">
        <v>210</v>
      </c>
      <c r="D638" s="42" t="s">
        <v>263</v>
      </c>
      <c r="E638" s="42" t="s">
        <v>241</v>
      </c>
      <c r="F638" s="42" t="s">
        <v>246</v>
      </c>
      <c r="G638" s="44">
        <v>126153.84</v>
      </c>
      <c r="H638" s="44">
        <v>123346.07</v>
      </c>
      <c r="I638" s="44">
        <v>103739.77</v>
      </c>
      <c r="J638" s="44">
        <v>95913.91</v>
      </c>
      <c r="K638" t="s">
        <v>198</v>
      </c>
    </row>
    <row r="639" spans="1:11" ht="16.95" hidden="1" customHeight="1" x14ac:dyDescent="0.3">
      <c r="A639" s="42" t="s">
        <v>299</v>
      </c>
      <c r="B639" s="42" t="s">
        <v>239</v>
      </c>
      <c r="C639" s="42" t="s">
        <v>210</v>
      </c>
      <c r="D639" s="42" t="s">
        <v>263</v>
      </c>
      <c r="E639" s="42" t="s">
        <v>241</v>
      </c>
      <c r="F639" s="42" t="s">
        <v>247</v>
      </c>
      <c r="G639" s="44">
        <v>123610.71</v>
      </c>
      <c r="H639" s="44">
        <v>118965.75999999999</v>
      </c>
      <c r="I639" s="44">
        <v>101855.95</v>
      </c>
      <c r="J639" s="44">
        <v>90423.74</v>
      </c>
      <c r="K639" t="s">
        <v>198</v>
      </c>
    </row>
    <row r="640" spans="1:11" ht="16.95" hidden="1" customHeight="1" x14ac:dyDescent="0.3">
      <c r="A640" s="42" t="s">
        <v>299</v>
      </c>
      <c r="B640" s="42" t="s">
        <v>239</v>
      </c>
      <c r="C640" s="42" t="s">
        <v>210</v>
      </c>
      <c r="D640" s="42" t="s">
        <v>263</v>
      </c>
      <c r="E640" s="42" t="s">
        <v>241</v>
      </c>
      <c r="F640" s="42" t="s">
        <v>248</v>
      </c>
      <c r="G640" s="44">
        <v>120783.64</v>
      </c>
      <c r="H640" s="44">
        <v>119096.46</v>
      </c>
      <c r="I640" s="43">
        <v>107729</v>
      </c>
      <c r="J640" s="44">
        <v>95979.41</v>
      </c>
      <c r="K640" t="s">
        <v>198</v>
      </c>
    </row>
    <row r="641" spans="1:11" ht="16.95" hidden="1" customHeight="1" x14ac:dyDescent="0.3">
      <c r="A641" s="42" t="s">
        <v>299</v>
      </c>
      <c r="B641" s="42" t="s">
        <v>239</v>
      </c>
      <c r="C641" s="42" t="s">
        <v>210</v>
      </c>
      <c r="D641" s="42" t="s">
        <v>263</v>
      </c>
      <c r="E641" s="42" t="s">
        <v>241</v>
      </c>
      <c r="F641" s="42" t="s">
        <v>249</v>
      </c>
      <c r="G641" s="44">
        <v>102477.22</v>
      </c>
      <c r="H641" s="44">
        <v>127356.08</v>
      </c>
      <c r="I641" s="44">
        <v>101935.8</v>
      </c>
      <c r="J641" s="44">
        <v>98231.42</v>
      </c>
      <c r="K641" t="s">
        <v>198</v>
      </c>
    </row>
    <row r="642" spans="1:11" ht="16.95" hidden="1" customHeight="1" x14ac:dyDescent="0.3">
      <c r="A642" s="42" t="s">
        <v>299</v>
      </c>
      <c r="B642" s="42" t="s">
        <v>239</v>
      </c>
      <c r="C642" s="42" t="s">
        <v>210</v>
      </c>
      <c r="D642" s="42" t="s">
        <v>263</v>
      </c>
      <c r="E642" s="42" t="s">
        <v>241</v>
      </c>
      <c r="F642" s="42" t="s">
        <v>250</v>
      </c>
      <c r="G642" s="44">
        <v>100700.91</v>
      </c>
      <c r="H642" s="44">
        <v>123706.42</v>
      </c>
      <c r="I642" s="44">
        <v>97680.48</v>
      </c>
      <c r="J642" s="44">
        <v>93758.7</v>
      </c>
      <c r="K642" t="s">
        <v>198</v>
      </c>
    </row>
    <row r="643" spans="1:11" ht="16.95" hidden="1" customHeight="1" x14ac:dyDescent="0.3">
      <c r="A643" s="42" t="s">
        <v>299</v>
      </c>
      <c r="B643" s="42" t="s">
        <v>239</v>
      </c>
      <c r="C643" s="42" t="s">
        <v>210</v>
      </c>
      <c r="D643" s="42" t="s">
        <v>263</v>
      </c>
      <c r="E643" s="42" t="s">
        <v>241</v>
      </c>
      <c r="F643" s="42" t="s">
        <v>251</v>
      </c>
      <c r="G643" s="44">
        <v>103148.98</v>
      </c>
      <c r="H643" s="44">
        <v>125841.75</v>
      </c>
      <c r="I643" s="44">
        <v>98447.35</v>
      </c>
      <c r="J643" s="44">
        <v>107134.24</v>
      </c>
      <c r="K643" t="s">
        <v>198</v>
      </c>
    </row>
    <row r="644" spans="1:11" ht="16.95" hidden="1" customHeight="1" x14ac:dyDescent="0.3">
      <c r="A644" s="42" t="s">
        <v>299</v>
      </c>
      <c r="B644" s="42" t="s">
        <v>239</v>
      </c>
      <c r="C644" s="42" t="s">
        <v>210</v>
      </c>
      <c r="D644" s="42" t="s">
        <v>263</v>
      </c>
      <c r="E644" s="42" t="s">
        <v>241</v>
      </c>
      <c r="F644" s="42" t="s">
        <v>252</v>
      </c>
      <c r="G644" s="43">
        <v>111274</v>
      </c>
      <c r="H644" s="44">
        <v>126697.05</v>
      </c>
      <c r="I644" s="44">
        <v>94470.45</v>
      </c>
      <c r="J644" s="44">
        <v>103918.15</v>
      </c>
      <c r="K644" t="s">
        <v>198</v>
      </c>
    </row>
    <row r="645" spans="1:11" ht="16.95" hidden="1" customHeight="1" x14ac:dyDescent="0.3">
      <c r="A645" s="42" t="s">
        <v>299</v>
      </c>
      <c r="B645" s="42" t="s">
        <v>239</v>
      </c>
      <c r="C645" s="42" t="s">
        <v>210</v>
      </c>
      <c r="D645" s="42" t="s">
        <v>263</v>
      </c>
      <c r="E645" s="42" t="s">
        <v>241</v>
      </c>
      <c r="F645" s="42" t="s">
        <v>253</v>
      </c>
      <c r="G645" s="44">
        <v>111970.21</v>
      </c>
      <c r="H645" s="44">
        <v>121294.42</v>
      </c>
      <c r="I645" s="44">
        <v>93536.15</v>
      </c>
      <c r="J645" s="44">
        <v>97404.17</v>
      </c>
      <c r="K645" t="s">
        <v>198</v>
      </c>
    </row>
    <row r="646" spans="1:11" ht="16.95" customHeight="1" x14ac:dyDescent="0.3">
      <c r="A646" s="42" t="s">
        <v>299</v>
      </c>
      <c r="B646" s="42" t="s">
        <v>239</v>
      </c>
      <c r="C646" s="42" t="s">
        <v>210</v>
      </c>
      <c r="D646" s="42" t="s">
        <v>264</v>
      </c>
      <c r="E646" s="42" t="s">
        <v>241</v>
      </c>
      <c r="F646" s="42" t="s">
        <v>242</v>
      </c>
      <c r="G646" s="44">
        <v>20256.66</v>
      </c>
      <c r="H646" s="44">
        <v>23828.68</v>
      </c>
      <c r="I646" s="44">
        <v>26548.2</v>
      </c>
      <c r="J646" s="44">
        <v>21922.21</v>
      </c>
      <c r="K646" s="44">
        <v>33714.99</v>
      </c>
    </row>
    <row r="647" spans="1:11" ht="16.95" customHeight="1" x14ac:dyDescent="0.3">
      <c r="A647" s="42" t="s">
        <v>299</v>
      </c>
      <c r="B647" s="42" t="s">
        <v>239</v>
      </c>
      <c r="C647" s="42" t="s">
        <v>210</v>
      </c>
      <c r="D647" s="42" t="s">
        <v>264</v>
      </c>
      <c r="E647" s="42" t="s">
        <v>241</v>
      </c>
      <c r="F647" s="42" t="s">
        <v>243</v>
      </c>
      <c r="G647" s="44">
        <v>20325.939999999999</v>
      </c>
      <c r="H647" s="44">
        <v>24121.75</v>
      </c>
      <c r="I647" s="44">
        <v>24195.98</v>
      </c>
      <c r="J647" s="44">
        <v>22583.95</v>
      </c>
      <c r="K647" s="44">
        <v>38083.82</v>
      </c>
    </row>
    <row r="648" spans="1:11" ht="16.95" customHeight="1" x14ac:dyDescent="0.3">
      <c r="A648" s="42" t="s">
        <v>299</v>
      </c>
      <c r="B648" s="42" t="s">
        <v>239</v>
      </c>
      <c r="C648" s="42" t="s">
        <v>210</v>
      </c>
      <c r="D648" s="42" t="s">
        <v>264</v>
      </c>
      <c r="E648" s="42" t="s">
        <v>241</v>
      </c>
      <c r="F648" s="42" t="s">
        <v>244</v>
      </c>
      <c r="G648" s="44">
        <v>20384.23</v>
      </c>
      <c r="H648" s="44">
        <v>25206.49</v>
      </c>
      <c r="I648" s="44">
        <v>25536.38</v>
      </c>
      <c r="J648" s="44">
        <v>25063.47</v>
      </c>
      <c r="K648" s="44">
        <v>41418.550000000003</v>
      </c>
    </row>
    <row r="649" spans="1:11" ht="16.95" customHeight="1" x14ac:dyDescent="0.3">
      <c r="A649" s="42" t="s">
        <v>299</v>
      </c>
      <c r="B649" s="42" t="s">
        <v>239</v>
      </c>
      <c r="C649" s="42" t="s">
        <v>210</v>
      </c>
      <c r="D649" s="42" t="s">
        <v>264</v>
      </c>
      <c r="E649" s="42" t="s">
        <v>241</v>
      </c>
      <c r="F649" s="42" t="s">
        <v>245</v>
      </c>
      <c r="G649" s="44">
        <v>19813.86</v>
      </c>
      <c r="H649" s="44">
        <v>28066.47</v>
      </c>
      <c r="I649" s="44">
        <v>26537.42</v>
      </c>
      <c r="J649" s="44">
        <v>26058.33</v>
      </c>
      <c r="K649" t="s">
        <v>198</v>
      </c>
    </row>
    <row r="650" spans="1:11" ht="16.95" customHeight="1" x14ac:dyDescent="0.3">
      <c r="A650" s="42" t="s">
        <v>299</v>
      </c>
      <c r="B650" s="42" t="s">
        <v>239</v>
      </c>
      <c r="C650" s="42" t="s">
        <v>210</v>
      </c>
      <c r="D650" s="42" t="s">
        <v>264</v>
      </c>
      <c r="E650" s="42" t="s">
        <v>241</v>
      </c>
      <c r="F650" s="42" t="s">
        <v>246</v>
      </c>
      <c r="G650" s="44">
        <v>19213.8</v>
      </c>
      <c r="H650" s="44">
        <v>28793.1</v>
      </c>
      <c r="I650" s="44">
        <v>25735.93</v>
      </c>
      <c r="J650" s="44">
        <v>23181.55</v>
      </c>
      <c r="K650" t="s">
        <v>198</v>
      </c>
    </row>
    <row r="651" spans="1:11" ht="16.95" customHeight="1" x14ac:dyDescent="0.3">
      <c r="A651" s="42" t="s">
        <v>299</v>
      </c>
      <c r="B651" s="42" t="s">
        <v>239</v>
      </c>
      <c r="C651" s="42" t="s">
        <v>210</v>
      </c>
      <c r="D651" s="42" t="s">
        <v>264</v>
      </c>
      <c r="E651" s="42" t="s">
        <v>241</v>
      </c>
      <c r="F651" s="42" t="s">
        <v>247</v>
      </c>
      <c r="G651" s="44">
        <v>18649.37</v>
      </c>
      <c r="H651" s="44">
        <v>28585.14</v>
      </c>
      <c r="I651" s="44">
        <v>24982.35</v>
      </c>
      <c r="J651" s="44">
        <v>23376.880000000001</v>
      </c>
      <c r="K651" t="s">
        <v>198</v>
      </c>
    </row>
    <row r="652" spans="1:11" ht="16.95" customHeight="1" x14ac:dyDescent="0.3">
      <c r="A652" s="42" t="s">
        <v>299</v>
      </c>
      <c r="B652" s="42" t="s">
        <v>239</v>
      </c>
      <c r="C652" s="42" t="s">
        <v>210</v>
      </c>
      <c r="D652" s="42" t="s">
        <v>264</v>
      </c>
      <c r="E652" s="42" t="s">
        <v>241</v>
      </c>
      <c r="F652" s="42" t="s">
        <v>248</v>
      </c>
      <c r="G652" s="44">
        <v>18599.490000000002</v>
      </c>
      <c r="H652" s="44">
        <v>28041.02</v>
      </c>
      <c r="I652" s="44">
        <v>24357.09</v>
      </c>
      <c r="J652" s="44">
        <v>23176.15</v>
      </c>
      <c r="K652" t="s">
        <v>198</v>
      </c>
    </row>
    <row r="653" spans="1:11" ht="16.95" customHeight="1" x14ac:dyDescent="0.3">
      <c r="A653" s="42" t="s">
        <v>299</v>
      </c>
      <c r="B653" s="42" t="s">
        <v>239</v>
      </c>
      <c r="C653" s="42" t="s">
        <v>210</v>
      </c>
      <c r="D653" s="42" t="s">
        <v>264</v>
      </c>
      <c r="E653" s="42" t="s">
        <v>241</v>
      </c>
      <c r="F653" s="42" t="s">
        <v>249</v>
      </c>
      <c r="G653" s="44">
        <v>20857.22</v>
      </c>
      <c r="H653" s="44">
        <v>28503.69</v>
      </c>
      <c r="I653" s="44">
        <v>24070.89</v>
      </c>
      <c r="J653" s="44">
        <v>24545.64</v>
      </c>
      <c r="K653" t="s">
        <v>198</v>
      </c>
    </row>
    <row r="654" spans="1:11" ht="16.95" customHeight="1" x14ac:dyDescent="0.3">
      <c r="A654" s="42" t="s">
        <v>299</v>
      </c>
      <c r="B654" s="42" t="s">
        <v>239</v>
      </c>
      <c r="C654" s="42" t="s">
        <v>210</v>
      </c>
      <c r="D654" s="42" t="s">
        <v>264</v>
      </c>
      <c r="E654" s="42" t="s">
        <v>241</v>
      </c>
      <c r="F654" s="42" t="s">
        <v>250</v>
      </c>
      <c r="G654" s="44">
        <v>22951.21</v>
      </c>
      <c r="H654" s="44">
        <v>28892.33</v>
      </c>
      <c r="I654" s="44">
        <v>23996.33</v>
      </c>
      <c r="J654" s="44">
        <v>26536.25</v>
      </c>
      <c r="K654" t="s">
        <v>198</v>
      </c>
    </row>
    <row r="655" spans="1:11" ht="16.95" customHeight="1" x14ac:dyDescent="0.3">
      <c r="A655" s="42" t="s">
        <v>299</v>
      </c>
      <c r="B655" s="42" t="s">
        <v>239</v>
      </c>
      <c r="C655" s="42" t="s">
        <v>210</v>
      </c>
      <c r="D655" s="42" t="s">
        <v>264</v>
      </c>
      <c r="E655" s="42" t="s">
        <v>241</v>
      </c>
      <c r="F655" s="42" t="s">
        <v>251</v>
      </c>
      <c r="G655" s="44">
        <v>23986.47</v>
      </c>
      <c r="H655" s="44">
        <v>28320.720000000001</v>
      </c>
      <c r="I655" s="44">
        <v>21607.65</v>
      </c>
      <c r="J655" s="44">
        <v>28880.09</v>
      </c>
      <c r="K655" t="s">
        <v>198</v>
      </c>
    </row>
    <row r="656" spans="1:11" ht="16.95" customHeight="1" x14ac:dyDescent="0.3">
      <c r="A656" s="42" t="s">
        <v>299</v>
      </c>
      <c r="B656" s="42" t="s">
        <v>239</v>
      </c>
      <c r="C656" s="42" t="s">
        <v>210</v>
      </c>
      <c r="D656" s="42" t="s">
        <v>264</v>
      </c>
      <c r="E656" s="42" t="s">
        <v>241</v>
      </c>
      <c r="F656" s="42" t="s">
        <v>252</v>
      </c>
      <c r="G656" s="44">
        <v>24500.52</v>
      </c>
      <c r="H656" s="44">
        <v>25550.6</v>
      </c>
      <c r="I656" s="44">
        <v>20229.79</v>
      </c>
      <c r="J656" s="44">
        <v>31118.38</v>
      </c>
      <c r="K656" t="s">
        <v>198</v>
      </c>
    </row>
    <row r="657" spans="1:11" ht="16.95" customHeight="1" x14ac:dyDescent="0.3">
      <c r="A657" s="42" t="s">
        <v>299</v>
      </c>
      <c r="B657" s="42" t="s">
        <v>239</v>
      </c>
      <c r="C657" s="42" t="s">
        <v>210</v>
      </c>
      <c r="D657" s="42" t="s">
        <v>264</v>
      </c>
      <c r="E657" s="42" t="s">
        <v>241</v>
      </c>
      <c r="F657" s="42" t="s">
        <v>253</v>
      </c>
      <c r="G657" s="44">
        <v>23171.49</v>
      </c>
      <c r="H657" s="44">
        <v>26008.63</v>
      </c>
      <c r="I657" s="44">
        <v>20288.599999999999</v>
      </c>
      <c r="J657" s="44">
        <v>31487.89</v>
      </c>
      <c r="K657" t="s">
        <v>198</v>
      </c>
    </row>
    <row r="658" spans="1:11" ht="16.95" hidden="1" customHeight="1" x14ac:dyDescent="0.3">
      <c r="A658" s="42" t="s">
        <v>299</v>
      </c>
      <c r="B658" s="42" t="s">
        <v>239</v>
      </c>
      <c r="C658" s="42" t="s">
        <v>210</v>
      </c>
      <c r="D658" s="42" t="s">
        <v>265</v>
      </c>
      <c r="E658" s="42" t="s">
        <v>241</v>
      </c>
      <c r="F658" s="42" t="s">
        <v>242</v>
      </c>
      <c r="G658" s="44">
        <v>22368.61</v>
      </c>
      <c r="H658" s="44">
        <v>26782.06</v>
      </c>
      <c r="I658" s="44">
        <v>31902.68</v>
      </c>
      <c r="J658" s="44">
        <v>70460.479999999996</v>
      </c>
      <c r="K658" s="44">
        <v>133436.1</v>
      </c>
    </row>
    <row r="659" spans="1:11" ht="16.95" hidden="1" customHeight="1" x14ac:dyDescent="0.3">
      <c r="A659" s="42" t="s">
        <v>299</v>
      </c>
      <c r="B659" s="42" t="s">
        <v>239</v>
      </c>
      <c r="C659" s="42" t="s">
        <v>210</v>
      </c>
      <c r="D659" s="42" t="s">
        <v>265</v>
      </c>
      <c r="E659" s="42" t="s">
        <v>241</v>
      </c>
      <c r="F659" s="42" t="s">
        <v>243</v>
      </c>
      <c r="G659" s="44">
        <v>24262.23</v>
      </c>
      <c r="H659" s="44">
        <v>27332.42</v>
      </c>
      <c r="I659" s="44">
        <v>32702.14</v>
      </c>
      <c r="J659" s="44">
        <v>105282.8</v>
      </c>
      <c r="K659" s="44">
        <v>151309.32</v>
      </c>
    </row>
    <row r="660" spans="1:11" ht="16.95" hidden="1" customHeight="1" x14ac:dyDescent="0.3">
      <c r="A660" s="42" t="s">
        <v>299</v>
      </c>
      <c r="B660" s="42" t="s">
        <v>239</v>
      </c>
      <c r="C660" s="42" t="s">
        <v>210</v>
      </c>
      <c r="D660" s="42" t="s">
        <v>265</v>
      </c>
      <c r="E660" s="42" t="s">
        <v>241</v>
      </c>
      <c r="F660" s="42" t="s">
        <v>244</v>
      </c>
      <c r="G660" s="44">
        <v>24027.52</v>
      </c>
      <c r="H660" s="44">
        <v>26792.9</v>
      </c>
      <c r="I660" s="44">
        <v>33669.629999999997</v>
      </c>
      <c r="J660" s="44">
        <v>75227.199999999997</v>
      </c>
      <c r="K660" s="44">
        <v>149815.54</v>
      </c>
    </row>
    <row r="661" spans="1:11" ht="16.95" hidden="1" customHeight="1" x14ac:dyDescent="0.3">
      <c r="A661" s="42" t="s">
        <v>299</v>
      </c>
      <c r="B661" s="42" t="s">
        <v>239</v>
      </c>
      <c r="C661" s="42" t="s">
        <v>210</v>
      </c>
      <c r="D661" s="42" t="s">
        <v>265</v>
      </c>
      <c r="E661" s="42" t="s">
        <v>241</v>
      </c>
      <c r="F661" s="42" t="s">
        <v>245</v>
      </c>
      <c r="G661" s="44">
        <v>24810.65</v>
      </c>
      <c r="H661" s="44">
        <v>27990.98</v>
      </c>
      <c r="I661" s="44">
        <v>31543.91</v>
      </c>
      <c r="J661" s="44">
        <v>80410.45</v>
      </c>
      <c r="K661" t="s">
        <v>198</v>
      </c>
    </row>
    <row r="662" spans="1:11" ht="16.95" hidden="1" customHeight="1" x14ac:dyDescent="0.3">
      <c r="A662" s="42" t="s">
        <v>299</v>
      </c>
      <c r="B662" s="42" t="s">
        <v>239</v>
      </c>
      <c r="C662" s="42" t="s">
        <v>210</v>
      </c>
      <c r="D662" s="42" t="s">
        <v>265</v>
      </c>
      <c r="E662" s="42" t="s">
        <v>241</v>
      </c>
      <c r="F662" s="42" t="s">
        <v>246</v>
      </c>
      <c r="G662" s="44">
        <v>24870.83</v>
      </c>
      <c r="H662" s="44">
        <v>29007.8</v>
      </c>
      <c r="I662" s="44">
        <v>31399.99</v>
      </c>
      <c r="J662" s="44">
        <v>133862.35999999999</v>
      </c>
      <c r="K662" t="s">
        <v>198</v>
      </c>
    </row>
    <row r="663" spans="1:11" ht="16.95" hidden="1" customHeight="1" x14ac:dyDescent="0.3">
      <c r="A663" s="42" t="s">
        <v>299</v>
      </c>
      <c r="B663" s="42" t="s">
        <v>239</v>
      </c>
      <c r="C663" s="42" t="s">
        <v>210</v>
      </c>
      <c r="D663" s="42" t="s">
        <v>265</v>
      </c>
      <c r="E663" s="42" t="s">
        <v>241</v>
      </c>
      <c r="F663" s="42" t="s">
        <v>247</v>
      </c>
      <c r="G663" s="44">
        <v>23172.81</v>
      </c>
      <c r="H663" s="44">
        <v>28907.68</v>
      </c>
      <c r="I663" s="44">
        <v>29868.7</v>
      </c>
      <c r="J663" s="44">
        <v>122478.82</v>
      </c>
      <c r="K663" t="s">
        <v>198</v>
      </c>
    </row>
    <row r="664" spans="1:11" ht="16.95" hidden="1" customHeight="1" x14ac:dyDescent="0.3">
      <c r="A664" s="42" t="s">
        <v>299</v>
      </c>
      <c r="B664" s="42" t="s">
        <v>239</v>
      </c>
      <c r="C664" s="42" t="s">
        <v>210</v>
      </c>
      <c r="D664" s="42" t="s">
        <v>265</v>
      </c>
      <c r="E664" s="42" t="s">
        <v>241</v>
      </c>
      <c r="F664" s="42" t="s">
        <v>248</v>
      </c>
      <c r="G664" s="44">
        <v>24641.37</v>
      </c>
      <c r="H664" s="44">
        <v>30337.48</v>
      </c>
      <c r="I664" s="44">
        <v>28486.07</v>
      </c>
      <c r="J664" s="44">
        <v>93761.43</v>
      </c>
      <c r="K664" t="s">
        <v>198</v>
      </c>
    </row>
    <row r="665" spans="1:11" ht="16.95" hidden="1" customHeight="1" x14ac:dyDescent="0.3">
      <c r="A665" s="42" t="s">
        <v>299</v>
      </c>
      <c r="B665" s="42" t="s">
        <v>239</v>
      </c>
      <c r="C665" s="42" t="s">
        <v>210</v>
      </c>
      <c r="D665" s="42" t="s">
        <v>265</v>
      </c>
      <c r="E665" s="42" t="s">
        <v>241</v>
      </c>
      <c r="F665" s="42" t="s">
        <v>249</v>
      </c>
      <c r="G665" s="44">
        <v>25189.93</v>
      </c>
      <c r="H665" s="44">
        <v>32955.25</v>
      </c>
      <c r="I665" s="44">
        <v>29768.75</v>
      </c>
      <c r="J665" s="44">
        <v>175183.79</v>
      </c>
      <c r="K665" t="s">
        <v>198</v>
      </c>
    </row>
    <row r="666" spans="1:11" ht="16.95" hidden="1" customHeight="1" x14ac:dyDescent="0.3">
      <c r="A666" s="42" t="s">
        <v>299</v>
      </c>
      <c r="B666" s="42" t="s">
        <v>239</v>
      </c>
      <c r="C666" s="42" t="s">
        <v>210</v>
      </c>
      <c r="D666" s="42" t="s">
        <v>265</v>
      </c>
      <c r="E666" s="42" t="s">
        <v>241</v>
      </c>
      <c r="F666" s="42" t="s">
        <v>250</v>
      </c>
      <c r="G666" s="44">
        <v>27285.919999999998</v>
      </c>
      <c r="H666" s="44">
        <v>33687.480000000003</v>
      </c>
      <c r="I666" s="44">
        <v>30572.799999999999</v>
      </c>
      <c r="J666" s="44">
        <v>96947.53</v>
      </c>
      <c r="K666" t="s">
        <v>198</v>
      </c>
    </row>
    <row r="667" spans="1:11" ht="16.95" hidden="1" customHeight="1" x14ac:dyDescent="0.3">
      <c r="A667" s="42" t="s">
        <v>299</v>
      </c>
      <c r="B667" s="42" t="s">
        <v>239</v>
      </c>
      <c r="C667" s="42" t="s">
        <v>210</v>
      </c>
      <c r="D667" s="42" t="s">
        <v>265</v>
      </c>
      <c r="E667" s="42" t="s">
        <v>241</v>
      </c>
      <c r="F667" s="42" t="s">
        <v>251</v>
      </c>
      <c r="G667" s="44">
        <v>29321.66</v>
      </c>
      <c r="H667" s="44">
        <v>32976.68</v>
      </c>
      <c r="I667" s="44">
        <v>29906.81</v>
      </c>
      <c r="J667" s="44">
        <v>137025.85999999999</v>
      </c>
      <c r="K667" t="s">
        <v>198</v>
      </c>
    </row>
    <row r="668" spans="1:11" ht="16.95" hidden="1" customHeight="1" x14ac:dyDescent="0.3">
      <c r="A668" s="42" t="s">
        <v>299</v>
      </c>
      <c r="B668" s="42" t="s">
        <v>239</v>
      </c>
      <c r="C668" s="42" t="s">
        <v>210</v>
      </c>
      <c r="D668" s="42" t="s">
        <v>265</v>
      </c>
      <c r="E668" s="42" t="s">
        <v>241</v>
      </c>
      <c r="F668" s="42" t="s">
        <v>252</v>
      </c>
      <c r="G668" s="44">
        <v>29312.240000000002</v>
      </c>
      <c r="H668" s="44">
        <v>31217.11</v>
      </c>
      <c r="I668" s="44">
        <v>25482.9</v>
      </c>
      <c r="J668" s="44">
        <v>106024.53</v>
      </c>
      <c r="K668" t="s">
        <v>198</v>
      </c>
    </row>
    <row r="669" spans="1:11" ht="16.95" hidden="1" customHeight="1" x14ac:dyDescent="0.3">
      <c r="A669" s="42" t="s">
        <v>299</v>
      </c>
      <c r="B669" s="42" t="s">
        <v>239</v>
      </c>
      <c r="C669" s="42" t="s">
        <v>210</v>
      </c>
      <c r="D669" s="42" t="s">
        <v>265</v>
      </c>
      <c r="E669" s="42" t="s">
        <v>241</v>
      </c>
      <c r="F669" s="42" t="s">
        <v>253</v>
      </c>
      <c r="G669" s="44">
        <v>29047.73</v>
      </c>
      <c r="H669" s="44">
        <v>29815.64</v>
      </c>
      <c r="I669" s="44">
        <v>24371.32</v>
      </c>
      <c r="J669" s="44">
        <v>179591.23</v>
      </c>
      <c r="K669" t="s">
        <v>198</v>
      </c>
    </row>
    <row r="670" spans="1:11" ht="16.95" hidden="1" customHeight="1" x14ac:dyDescent="0.3">
      <c r="A670" s="42" t="s">
        <v>299</v>
      </c>
      <c r="B670" s="42" t="s">
        <v>239</v>
      </c>
      <c r="C670" s="42" t="s">
        <v>210</v>
      </c>
      <c r="D670" s="42" t="s">
        <v>266</v>
      </c>
      <c r="E670" s="42" t="s">
        <v>241</v>
      </c>
      <c r="F670" s="42" t="s">
        <v>242</v>
      </c>
      <c r="G670" s="44">
        <v>18750.59</v>
      </c>
      <c r="H670" s="44">
        <v>25724.98</v>
      </c>
      <c r="I670" s="44">
        <v>37671.089999999997</v>
      </c>
      <c r="J670" s="44">
        <v>32028.38</v>
      </c>
      <c r="K670" s="44">
        <v>50071.88</v>
      </c>
    </row>
    <row r="671" spans="1:11" ht="16.95" hidden="1" customHeight="1" x14ac:dyDescent="0.3">
      <c r="A671" s="42" t="s">
        <v>299</v>
      </c>
      <c r="B671" s="42" t="s">
        <v>239</v>
      </c>
      <c r="C671" s="42" t="s">
        <v>210</v>
      </c>
      <c r="D671" s="42" t="s">
        <v>266</v>
      </c>
      <c r="E671" s="42" t="s">
        <v>241</v>
      </c>
      <c r="F671" s="42" t="s">
        <v>243</v>
      </c>
      <c r="G671" s="44">
        <v>30221.94</v>
      </c>
      <c r="H671" s="44">
        <v>28555.81</v>
      </c>
      <c r="I671" s="44">
        <v>26944.39</v>
      </c>
      <c r="J671" s="44">
        <v>35476.75</v>
      </c>
      <c r="K671" s="44">
        <v>59657.59</v>
      </c>
    </row>
    <row r="672" spans="1:11" ht="16.95" hidden="1" customHeight="1" x14ac:dyDescent="0.3">
      <c r="A672" s="42" t="s">
        <v>299</v>
      </c>
      <c r="B672" s="42" t="s">
        <v>239</v>
      </c>
      <c r="C672" s="42" t="s">
        <v>210</v>
      </c>
      <c r="D672" s="42" t="s">
        <v>266</v>
      </c>
      <c r="E672" s="42" t="s">
        <v>241</v>
      </c>
      <c r="F672" s="42" t="s">
        <v>244</v>
      </c>
      <c r="G672" s="44">
        <v>24826.19</v>
      </c>
      <c r="H672" s="44">
        <v>25688.65</v>
      </c>
      <c r="I672" s="44">
        <v>29858.68</v>
      </c>
      <c r="J672" s="44">
        <v>36148.42</v>
      </c>
      <c r="K672" s="44">
        <v>55485.13</v>
      </c>
    </row>
    <row r="673" spans="1:11" ht="16.95" hidden="1" customHeight="1" x14ac:dyDescent="0.3">
      <c r="A673" s="42" t="s">
        <v>299</v>
      </c>
      <c r="B673" s="42" t="s">
        <v>239</v>
      </c>
      <c r="C673" s="42" t="s">
        <v>210</v>
      </c>
      <c r="D673" s="42" t="s">
        <v>266</v>
      </c>
      <c r="E673" s="42" t="s">
        <v>241</v>
      </c>
      <c r="F673" s="42" t="s">
        <v>245</v>
      </c>
      <c r="G673" s="44">
        <v>24858.69</v>
      </c>
      <c r="H673" s="44">
        <v>28099.599999999999</v>
      </c>
      <c r="I673" s="44">
        <v>29600.1</v>
      </c>
      <c r="J673" s="44">
        <v>40028.67</v>
      </c>
      <c r="K673" t="s">
        <v>198</v>
      </c>
    </row>
    <row r="674" spans="1:11" ht="16.95" hidden="1" customHeight="1" x14ac:dyDescent="0.3">
      <c r="A674" s="42" t="s">
        <v>299</v>
      </c>
      <c r="B674" s="42" t="s">
        <v>239</v>
      </c>
      <c r="C674" s="42" t="s">
        <v>210</v>
      </c>
      <c r="D674" s="42" t="s">
        <v>266</v>
      </c>
      <c r="E674" s="42" t="s">
        <v>241</v>
      </c>
      <c r="F674" s="42" t="s">
        <v>246</v>
      </c>
      <c r="G674" s="44">
        <v>24553.59</v>
      </c>
      <c r="H674" s="44">
        <v>26411.75</v>
      </c>
      <c r="I674" s="44">
        <v>26359.08</v>
      </c>
      <c r="J674" s="44">
        <v>31986.07</v>
      </c>
      <c r="K674" t="s">
        <v>198</v>
      </c>
    </row>
    <row r="675" spans="1:11" ht="16.95" hidden="1" customHeight="1" x14ac:dyDescent="0.3">
      <c r="A675" s="42" t="s">
        <v>299</v>
      </c>
      <c r="B675" s="42" t="s">
        <v>239</v>
      </c>
      <c r="C675" s="42" t="s">
        <v>210</v>
      </c>
      <c r="D675" s="42" t="s">
        <v>266</v>
      </c>
      <c r="E675" s="42" t="s">
        <v>241</v>
      </c>
      <c r="F675" s="42" t="s">
        <v>247</v>
      </c>
      <c r="G675" s="44">
        <v>22070.720000000001</v>
      </c>
      <c r="H675" s="44">
        <v>29768.63</v>
      </c>
      <c r="I675" s="44">
        <v>28125.7</v>
      </c>
      <c r="J675" s="44">
        <v>31298.54</v>
      </c>
      <c r="K675" t="s">
        <v>198</v>
      </c>
    </row>
    <row r="676" spans="1:11" ht="16.95" hidden="1" customHeight="1" x14ac:dyDescent="0.3">
      <c r="A676" s="42" t="s">
        <v>299</v>
      </c>
      <c r="B676" s="42" t="s">
        <v>239</v>
      </c>
      <c r="C676" s="42" t="s">
        <v>210</v>
      </c>
      <c r="D676" s="42" t="s">
        <v>266</v>
      </c>
      <c r="E676" s="42" t="s">
        <v>241</v>
      </c>
      <c r="F676" s="42" t="s">
        <v>248</v>
      </c>
      <c r="G676" s="44">
        <v>23365.82</v>
      </c>
      <c r="H676" s="44">
        <v>29972.15</v>
      </c>
      <c r="I676" s="44">
        <v>26211.24</v>
      </c>
      <c r="J676" s="44">
        <v>34065.56</v>
      </c>
      <c r="K676" t="s">
        <v>198</v>
      </c>
    </row>
    <row r="677" spans="1:11" ht="16.95" hidden="1" customHeight="1" x14ac:dyDescent="0.3">
      <c r="A677" s="42" t="s">
        <v>299</v>
      </c>
      <c r="B677" s="42" t="s">
        <v>239</v>
      </c>
      <c r="C677" s="42" t="s">
        <v>210</v>
      </c>
      <c r="D677" s="42" t="s">
        <v>266</v>
      </c>
      <c r="E677" s="42" t="s">
        <v>241</v>
      </c>
      <c r="F677" s="42" t="s">
        <v>249</v>
      </c>
      <c r="G677" s="44">
        <v>27994.41</v>
      </c>
      <c r="H677" s="44">
        <v>30758.67</v>
      </c>
      <c r="I677" s="44">
        <v>31302.17</v>
      </c>
      <c r="J677" s="44">
        <v>32639.360000000001</v>
      </c>
      <c r="K677" t="s">
        <v>198</v>
      </c>
    </row>
    <row r="678" spans="1:11" ht="16.95" hidden="1" customHeight="1" x14ac:dyDescent="0.3">
      <c r="A678" s="42" t="s">
        <v>299</v>
      </c>
      <c r="B678" s="42" t="s">
        <v>239</v>
      </c>
      <c r="C678" s="42" t="s">
        <v>210</v>
      </c>
      <c r="D678" s="42" t="s">
        <v>266</v>
      </c>
      <c r="E678" s="42" t="s">
        <v>241</v>
      </c>
      <c r="F678" s="42" t="s">
        <v>250</v>
      </c>
      <c r="G678" s="44">
        <v>25138.57</v>
      </c>
      <c r="H678" s="44">
        <v>30112.45</v>
      </c>
      <c r="I678" s="44">
        <v>28192.09</v>
      </c>
      <c r="J678" s="44">
        <v>38116.69</v>
      </c>
      <c r="K678" t="s">
        <v>198</v>
      </c>
    </row>
    <row r="679" spans="1:11" ht="16.95" hidden="1" customHeight="1" x14ac:dyDescent="0.3">
      <c r="A679" s="42" t="s">
        <v>299</v>
      </c>
      <c r="B679" s="42" t="s">
        <v>239</v>
      </c>
      <c r="C679" s="42" t="s">
        <v>210</v>
      </c>
      <c r="D679" s="42" t="s">
        <v>266</v>
      </c>
      <c r="E679" s="42" t="s">
        <v>241</v>
      </c>
      <c r="F679" s="42" t="s">
        <v>251</v>
      </c>
      <c r="G679" s="44">
        <v>26806.92</v>
      </c>
      <c r="H679" s="44">
        <v>30588.93</v>
      </c>
      <c r="I679" s="44">
        <v>28056.85</v>
      </c>
      <c r="J679" s="44">
        <v>40501.1</v>
      </c>
      <c r="K679" t="s">
        <v>198</v>
      </c>
    </row>
    <row r="680" spans="1:11" ht="16.95" hidden="1" customHeight="1" x14ac:dyDescent="0.3">
      <c r="A680" s="42" t="s">
        <v>299</v>
      </c>
      <c r="B680" s="42" t="s">
        <v>239</v>
      </c>
      <c r="C680" s="42" t="s">
        <v>210</v>
      </c>
      <c r="D680" s="42" t="s">
        <v>266</v>
      </c>
      <c r="E680" s="42" t="s">
        <v>241</v>
      </c>
      <c r="F680" s="42" t="s">
        <v>252</v>
      </c>
      <c r="G680" s="44">
        <v>26007.95</v>
      </c>
      <c r="H680" s="44">
        <v>26426.9</v>
      </c>
      <c r="I680" s="44">
        <v>25538.53</v>
      </c>
      <c r="J680" s="44">
        <v>41791.11</v>
      </c>
      <c r="K680" t="s">
        <v>198</v>
      </c>
    </row>
    <row r="681" spans="1:11" ht="16.95" hidden="1" customHeight="1" x14ac:dyDescent="0.3">
      <c r="A681" s="42" t="s">
        <v>299</v>
      </c>
      <c r="B681" s="42" t="s">
        <v>239</v>
      </c>
      <c r="C681" s="42" t="s">
        <v>210</v>
      </c>
      <c r="D681" s="42" t="s">
        <v>266</v>
      </c>
      <c r="E681" s="42" t="s">
        <v>241</v>
      </c>
      <c r="F681" s="42" t="s">
        <v>253</v>
      </c>
      <c r="G681" s="44">
        <v>27538.52</v>
      </c>
      <c r="H681" s="44">
        <v>31821.52</v>
      </c>
      <c r="I681" s="44">
        <v>31081.49</v>
      </c>
      <c r="J681" s="44">
        <v>42221.36</v>
      </c>
      <c r="K681" t="s">
        <v>198</v>
      </c>
    </row>
    <row r="682" spans="1:11" ht="16.95" hidden="1" customHeight="1" x14ac:dyDescent="0.3">
      <c r="A682" s="42" t="s">
        <v>299</v>
      </c>
      <c r="B682" s="42" t="s">
        <v>239</v>
      </c>
      <c r="C682" s="42" t="s">
        <v>210</v>
      </c>
      <c r="D682" s="42" t="s">
        <v>267</v>
      </c>
      <c r="E682" s="42" t="s">
        <v>241</v>
      </c>
      <c r="F682" s="42" t="s">
        <v>242</v>
      </c>
      <c r="G682" s="44">
        <v>33890.86</v>
      </c>
      <c r="H682" s="44">
        <v>34580.32</v>
      </c>
      <c r="I682" s="44">
        <v>35547.47</v>
      </c>
      <c r="J682" s="44">
        <v>34333.300000000003</v>
      </c>
      <c r="K682" s="44">
        <v>47060.82</v>
      </c>
    </row>
    <row r="683" spans="1:11" ht="16.95" hidden="1" customHeight="1" x14ac:dyDescent="0.3">
      <c r="A683" s="42" t="s">
        <v>299</v>
      </c>
      <c r="B683" s="42" t="s">
        <v>239</v>
      </c>
      <c r="C683" s="42" t="s">
        <v>210</v>
      </c>
      <c r="D683" s="42" t="s">
        <v>267</v>
      </c>
      <c r="E683" s="42" t="s">
        <v>241</v>
      </c>
      <c r="F683" s="42" t="s">
        <v>243</v>
      </c>
      <c r="G683" s="44">
        <v>34139.480000000003</v>
      </c>
      <c r="H683" s="44">
        <v>36692.21</v>
      </c>
      <c r="I683" s="44">
        <v>35342.949999999997</v>
      </c>
      <c r="J683" s="44">
        <v>35055.94</v>
      </c>
      <c r="K683" s="44">
        <v>55085.05</v>
      </c>
    </row>
    <row r="684" spans="1:11" ht="16.95" hidden="1" customHeight="1" x14ac:dyDescent="0.3">
      <c r="A684" s="42" t="s">
        <v>299</v>
      </c>
      <c r="B684" s="42" t="s">
        <v>239</v>
      </c>
      <c r="C684" s="42" t="s">
        <v>210</v>
      </c>
      <c r="D684" s="42" t="s">
        <v>267</v>
      </c>
      <c r="E684" s="42" t="s">
        <v>241</v>
      </c>
      <c r="F684" s="42" t="s">
        <v>244</v>
      </c>
      <c r="G684" s="44">
        <v>34498.379999999997</v>
      </c>
      <c r="H684" s="44">
        <v>37301.96</v>
      </c>
      <c r="I684" s="44">
        <v>36650.26</v>
      </c>
      <c r="J684" s="44">
        <v>36566.99</v>
      </c>
      <c r="K684" s="44">
        <v>55483.14</v>
      </c>
    </row>
    <row r="685" spans="1:11" ht="16.95" hidden="1" customHeight="1" x14ac:dyDescent="0.3">
      <c r="A685" s="42" t="s">
        <v>299</v>
      </c>
      <c r="B685" s="42" t="s">
        <v>239</v>
      </c>
      <c r="C685" s="42" t="s">
        <v>210</v>
      </c>
      <c r="D685" s="42" t="s">
        <v>267</v>
      </c>
      <c r="E685" s="42" t="s">
        <v>241</v>
      </c>
      <c r="F685" s="42" t="s">
        <v>245</v>
      </c>
      <c r="G685" s="44">
        <v>33060.080000000002</v>
      </c>
      <c r="H685" s="44">
        <v>38984.42</v>
      </c>
      <c r="I685" s="44">
        <v>38066.51</v>
      </c>
      <c r="J685" s="44">
        <v>38236.29</v>
      </c>
      <c r="K685" t="s">
        <v>198</v>
      </c>
    </row>
    <row r="686" spans="1:11" ht="16.95" hidden="1" customHeight="1" x14ac:dyDescent="0.3">
      <c r="A686" s="42" t="s">
        <v>299</v>
      </c>
      <c r="B686" s="42" t="s">
        <v>239</v>
      </c>
      <c r="C686" s="42" t="s">
        <v>210</v>
      </c>
      <c r="D686" s="42" t="s">
        <v>267</v>
      </c>
      <c r="E686" s="42" t="s">
        <v>241</v>
      </c>
      <c r="F686" s="42" t="s">
        <v>246</v>
      </c>
      <c r="G686" s="44">
        <v>32736.46</v>
      </c>
      <c r="H686" s="44">
        <v>40253.64</v>
      </c>
      <c r="I686" s="44">
        <v>38298.17</v>
      </c>
      <c r="J686" s="44">
        <v>35903.56</v>
      </c>
      <c r="K686" t="s">
        <v>198</v>
      </c>
    </row>
    <row r="687" spans="1:11" ht="16.95" hidden="1" customHeight="1" x14ac:dyDescent="0.3">
      <c r="A687" s="42" t="s">
        <v>299</v>
      </c>
      <c r="B687" s="42" t="s">
        <v>239</v>
      </c>
      <c r="C687" s="42" t="s">
        <v>210</v>
      </c>
      <c r="D687" s="42" t="s">
        <v>267</v>
      </c>
      <c r="E687" s="42" t="s">
        <v>241</v>
      </c>
      <c r="F687" s="42" t="s">
        <v>247</v>
      </c>
      <c r="G687" s="44">
        <v>30763.93</v>
      </c>
      <c r="H687" s="44">
        <v>41035.32</v>
      </c>
      <c r="I687" s="44">
        <v>38023.589999999997</v>
      </c>
      <c r="J687" s="44">
        <v>34320.080000000002</v>
      </c>
      <c r="K687" t="s">
        <v>198</v>
      </c>
    </row>
    <row r="688" spans="1:11" ht="16.95" hidden="1" customHeight="1" x14ac:dyDescent="0.3">
      <c r="A688" s="42" t="s">
        <v>299</v>
      </c>
      <c r="B688" s="42" t="s">
        <v>239</v>
      </c>
      <c r="C688" s="42" t="s">
        <v>210</v>
      </c>
      <c r="D688" s="42" t="s">
        <v>267</v>
      </c>
      <c r="E688" s="42" t="s">
        <v>241</v>
      </c>
      <c r="F688" s="42" t="s">
        <v>248</v>
      </c>
      <c r="G688" s="44">
        <v>28789.919999999998</v>
      </c>
      <c r="H688" s="44">
        <v>38521.949999999997</v>
      </c>
      <c r="I688" s="44">
        <v>38142.75</v>
      </c>
      <c r="J688" s="44">
        <v>34120.980000000003</v>
      </c>
      <c r="K688" t="s">
        <v>198</v>
      </c>
    </row>
    <row r="689" spans="1:11" ht="16.95" hidden="1" customHeight="1" x14ac:dyDescent="0.3">
      <c r="A689" s="42" t="s">
        <v>299</v>
      </c>
      <c r="B689" s="42" t="s">
        <v>239</v>
      </c>
      <c r="C689" s="42" t="s">
        <v>210</v>
      </c>
      <c r="D689" s="42" t="s">
        <v>267</v>
      </c>
      <c r="E689" s="42" t="s">
        <v>241</v>
      </c>
      <c r="F689" s="42" t="s">
        <v>249</v>
      </c>
      <c r="G689" s="44">
        <v>30072.63</v>
      </c>
      <c r="H689" s="44">
        <v>38305.99</v>
      </c>
      <c r="I689" s="44">
        <v>38835.699999999997</v>
      </c>
      <c r="J689" s="44">
        <v>34681.910000000003</v>
      </c>
      <c r="K689" t="s">
        <v>198</v>
      </c>
    </row>
    <row r="690" spans="1:11" ht="16.95" hidden="1" customHeight="1" x14ac:dyDescent="0.3">
      <c r="A690" s="42" t="s">
        <v>299</v>
      </c>
      <c r="B690" s="42" t="s">
        <v>239</v>
      </c>
      <c r="C690" s="42" t="s">
        <v>210</v>
      </c>
      <c r="D690" s="42" t="s">
        <v>267</v>
      </c>
      <c r="E690" s="42" t="s">
        <v>241</v>
      </c>
      <c r="F690" s="42" t="s">
        <v>250</v>
      </c>
      <c r="G690" s="44">
        <v>33268.22</v>
      </c>
      <c r="H690" s="44">
        <v>39839.14</v>
      </c>
      <c r="I690" s="44">
        <v>37916.400000000001</v>
      </c>
      <c r="J690" s="44">
        <v>35772.980000000003</v>
      </c>
      <c r="K690" t="s">
        <v>198</v>
      </c>
    </row>
    <row r="691" spans="1:11" ht="16.95" hidden="1" customHeight="1" x14ac:dyDescent="0.3">
      <c r="A691" s="42" t="s">
        <v>299</v>
      </c>
      <c r="B691" s="42" t="s">
        <v>239</v>
      </c>
      <c r="C691" s="42" t="s">
        <v>210</v>
      </c>
      <c r="D691" s="42" t="s">
        <v>267</v>
      </c>
      <c r="E691" s="42" t="s">
        <v>241</v>
      </c>
      <c r="F691" s="42" t="s">
        <v>251</v>
      </c>
      <c r="G691" s="44">
        <v>36635.22</v>
      </c>
      <c r="H691" s="44">
        <v>37423.33</v>
      </c>
      <c r="I691" s="44">
        <v>37070.89</v>
      </c>
      <c r="J691" s="44">
        <v>36389.01</v>
      </c>
      <c r="K691" t="s">
        <v>198</v>
      </c>
    </row>
    <row r="692" spans="1:11" ht="16.95" hidden="1" customHeight="1" x14ac:dyDescent="0.3">
      <c r="A692" s="42" t="s">
        <v>299</v>
      </c>
      <c r="B692" s="42" t="s">
        <v>239</v>
      </c>
      <c r="C692" s="42" t="s">
        <v>210</v>
      </c>
      <c r="D692" s="42" t="s">
        <v>267</v>
      </c>
      <c r="E692" s="42" t="s">
        <v>241</v>
      </c>
      <c r="F692" s="42" t="s">
        <v>252</v>
      </c>
      <c r="G692" s="44">
        <v>35731.31</v>
      </c>
      <c r="H692" s="44">
        <v>37133.449999999997</v>
      </c>
      <c r="I692" s="44">
        <v>35950.65</v>
      </c>
      <c r="J692" s="44">
        <v>37518.46</v>
      </c>
      <c r="K692" t="s">
        <v>198</v>
      </c>
    </row>
    <row r="693" spans="1:11" ht="16.95" hidden="1" customHeight="1" x14ac:dyDescent="0.3">
      <c r="A693" s="42" t="s">
        <v>299</v>
      </c>
      <c r="B693" s="42" t="s">
        <v>239</v>
      </c>
      <c r="C693" s="42" t="s">
        <v>210</v>
      </c>
      <c r="D693" s="42" t="s">
        <v>267</v>
      </c>
      <c r="E693" s="42" t="s">
        <v>241</v>
      </c>
      <c r="F693" s="42" t="s">
        <v>253</v>
      </c>
      <c r="G693" s="44">
        <v>34432.82</v>
      </c>
      <c r="H693" s="44">
        <v>35833.449999999997</v>
      </c>
      <c r="I693" s="44">
        <v>33038.14</v>
      </c>
      <c r="J693" s="44">
        <v>40139.730000000003</v>
      </c>
      <c r="K693" t="s">
        <v>198</v>
      </c>
    </row>
    <row r="694" spans="1:11" ht="16.95" hidden="1" customHeight="1" x14ac:dyDescent="0.3">
      <c r="A694" s="42" t="s">
        <v>299</v>
      </c>
      <c r="B694" s="42" t="s">
        <v>239</v>
      </c>
      <c r="C694" s="42" t="s">
        <v>210</v>
      </c>
      <c r="D694" s="42" t="s">
        <v>268</v>
      </c>
      <c r="E694" s="42" t="s">
        <v>241</v>
      </c>
      <c r="F694" s="42" t="s">
        <v>242</v>
      </c>
      <c r="G694" s="44">
        <v>26934.05</v>
      </c>
      <c r="H694" s="44">
        <v>26461.19</v>
      </c>
      <c r="I694" s="44">
        <v>30812.59</v>
      </c>
      <c r="J694" s="44">
        <v>27874.01</v>
      </c>
      <c r="K694" s="44">
        <v>38586.67</v>
      </c>
    </row>
    <row r="695" spans="1:11" ht="16.95" hidden="1" customHeight="1" x14ac:dyDescent="0.3">
      <c r="A695" s="42" t="s">
        <v>299</v>
      </c>
      <c r="B695" s="42" t="s">
        <v>239</v>
      </c>
      <c r="C695" s="42" t="s">
        <v>210</v>
      </c>
      <c r="D695" s="42" t="s">
        <v>268</v>
      </c>
      <c r="E695" s="42" t="s">
        <v>241</v>
      </c>
      <c r="F695" s="42" t="s">
        <v>243</v>
      </c>
      <c r="G695" s="44">
        <v>26499.200000000001</v>
      </c>
      <c r="H695" s="44">
        <v>27094.99</v>
      </c>
      <c r="I695" s="44">
        <v>28399.45</v>
      </c>
      <c r="J695" s="44">
        <v>28615.4</v>
      </c>
      <c r="K695" s="44">
        <v>41502.82</v>
      </c>
    </row>
    <row r="696" spans="1:11" ht="16.95" hidden="1" customHeight="1" x14ac:dyDescent="0.3">
      <c r="A696" s="42" t="s">
        <v>299</v>
      </c>
      <c r="B696" s="42" t="s">
        <v>239</v>
      </c>
      <c r="C696" s="42" t="s">
        <v>210</v>
      </c>
      <c r="D696" s="42" t="s">
        <v>268</v>
      </c>
      <c r="E696" s="42" t="s">
        <v>241</v>
      </c>
      <c r="F696" s="42" t="s">
        <v>244</v>
      </c>
      <c r="G696" s="44">
        <v>26130.75</v>
      </c>
      <c r="H696" s="44">
        <v>27915.23</v>
      </c>
      <c r="I696" s="44">
        <v>29453.45</v>
      </c>
      <c r="J696" s="44">
        <v>28057.89</v>
      </c>
      <c r="K696" s="44">
        <v>41980.27</v>
      </c>
    </row>
    <row r="697" spans="1:11" ht="16.95" hidden="1" customHeight="1" x14ac:dyDescent="0.3">
      <c r="A697" s="42" t="s">
        <v>299</v>
      </c>
      <c r="B697" s="42" t="s">
        <v>239</v>
      </c>
      <c r="C697" s="42" t="s">
        <v>210</v>
      </c>
      <c r="D697" s="42" t="s">
        <v>268</v>
      </c>
      <c r="E697" s="42" t="s">
        <v>241</v>
      </c>
      <c r="F697" s="42" t="s">
        <v>245</v>
      </c>
      <c r="G697" s="44">
        <v>24653.14</v>
      </c>
      <c r="H697" s="44">
        <v>28504.880000000001</v>
      </c>
      <c r="I697" s="44">
        <v>29838.16</v>
      </c>
      <c r="J697" s="44">
        <v>29707.360000000001</v>
      </c>
      <c r="K697" t="s">
        <v>198</v>
      </c>
    </row>
    <row r="698" spans="1:11" ht="16.95" hidden="1" customHeight="1" x14ac:dyDescent="0.3">
      <c r="A698" s="42" t="s">
        <v>299</v>
      </c>
      <c r="B698" s="42" t="s">
        <v>239</v>
      </c>
      <c r="C698" s="42" t="s">
        <v>210</v>
      </c>
      <c r="D698" s="42" t="s">
        <v>268</v>
      </c>
      <c r="E698" s="42" t="s">
        <v>241</v>
      </c>
      <c r="F698" s="42" t="s">
        <v>246</v>
      </c>
      <c r="G698" s="44">
        <v>23510.97</v>
      </c>
      <c r="H698" s="44">
        <v>29771.08</v>
      </c>
      <c r="I698" s="44">
        <v>30879.95</v>
      </c>
      <c r="J698" s="44">
        <v>28621.87</v>
      </c>
      <c r="K698" t="s">
        <v>198</v>
      </c>
    </row>
    <row r="699" spans="1:11" ht="16.95" hidden="1" customHeight="1" x14ac:dyDescent="0.3">
      <c r="A699" s="42" t="s">
        <v>299</v>
      </c>
      <c r="B699" s="42" t="s">
        <v>239</v>
      </c>
      <c r="C699" s="42" t="s">
        <v>210</v>
      </c>
      <c r="D699" s="42" t="s">
        <v>268</v>
      </c>
      <c r="E699" s="42" t="s">
        <v>241</v>
      </c>
      <c r="F699" s="42" t="s">
        <v>247</v>
      </c>
      <c r="G699" s="44">
        <v>22172.75</v>
      </c>
      <c r="H699" s="44">
        <v>30865.06</v>
      </c>
      <c r="I699" s="44">
        <v>30829.31</v>
      </c>
      <c r="J699" s="44">
        <v>28030.35</v>
      </c>
      <c r="K699" t="s">
        <v>198</v>
      </c>
    </row>
    <row r="700" spans="1:11" ht="16.95" hidden="1" customHeight="1" x14ac:dyDescent="0.3">
      <c r="A700" s="42" t="s">
        <v>299</v>
      </c>
      <c r="B700" s="42" t="s">
        <v>239</v>
      </c>
      <c r="C700" s="42" t="s">
        <v>210</v>
      </c>
      <c r="D700" s="42" t="s">
        <v>268</v>
      </c>
      <c r="E700" s="42" t="s">
        <v>241</v>
      </c>
      <c r="F700" s="42" t="s">
        <v>248</v>
      </c>
      <c r="G700" s="44">
        <v>22816.97</v>
      </c>
      <c r="H700" s="44">
        <v>30686.75</v>
      </c>
      <c r="I700" s="44">
        <v>31241.01</v>
      </c>
      <c r="J700" s="44">
        <v>28305.94</v>
      </c>
      <c r="K700" t="s">
        <v>198</v>
      </c>
    </row>
    <row r="701" spans="1:11" ht="16.95" hidden="1" customHeight="1" x14ac:dyDescent="0.3">
      <c r="A701" s="42" t="s">
        <v>299</v>
      </c>
      <c r="B701" s="42" t="s">
        <v>239</v>
      </c>
      <c r="C701" s="42" t="s">
        <v>210</v>
      </c>
      <c r="D701" s="42" t="s">
        <v>268</v>
      </c>
      <c r="E701" s="42" t="s">
        <v>241</v>
      </c>
      <c r="F701" s="42" t="s">
        <v>249</v>
      </c>
      <c r="G701" s="44">
        <v>23970.12</v>
      </c>
      <c r="H701" s="44">
        <v>32111.96</v>
      </c>
      <c r="I701" s="44">
        <v>31245.84</v>
      </c>
      <c r="J701" s="44">
        <v>29379.41</v>
      </c>
      <c r="K701" t="s">
        <v>198</v>
      </c>
    </row>
    <row r="702" spans="1:11" ht="16.95" hidden="1" customHeight="1" x14ac:dyDescent="0.3">
      <c r="A702" s="42" t="s">
        <v>299</v>
      </c>
      <c r="B702" s="42" t="s">
        <v>239</v>
      </c>
      <c r="C702" s="42" t="s">
        <v>210</v>
      </c>
      <c r="D702" s="42" t="s">
        <v>268</v>
      </c>
      <c r="E702" s="42" t="s">
        <v>241</v>
      </c>
      <c r="F702" s="42" t="s">
        <v>250</v>
      </c>
      <c r="G702" s="44">
        <v>26624.69</v>
      </c>
      <c r="H702" s="44">
        <v>32768.019999999997</v>
      </c>
      <c r="I702" s="44">
        <v>29625.41</v>
      </c>
      <c r="J702" s="44">
        <v>30899.65</v>
      </c>
      <c r="K702" t="s">
        <v>198</v>
      </c>
    </row>
    <row r="703" spans="1:11" ht="16.95" hidden="1" customHeight="1" x14ac:dyDescent="0.3">
      <c r="A703" s="42" t="s">
        <v>299</v>
      </c>
      <c r="B703" s="42" t="s">
        <v>239</v>
      </c>
      <c r="C703" s="42" t="s">
        <v>210</v>
      </c>
      <c r="D703" s="42" t="s">
        <v>268</v>
      </c>
      <c r="E703" s="42" t="s">
        <v>241</v>
      </c>
      <c r="F703" s="42" t="s">
        <v>251</v>
      </c>
      <c r="G703" s="44">
        <v>27899.51</v>
      </c>
      <c r="H703" s="44">
        <v>32250.720000000001</v>
      </c>
      <c r="I703" s="44">
        <v>28317.15</v>
      </c>
      <c r="J703" s="44">
        <v>32864.400000000001</v>
      </c>
      <c r="K703" t="s">
        <v>198</v>
      </c>
    </row>
    <row r="704" spans="1:11" ht="16.95" hidden="1" customHeight="1" x14ac:dyDescent="0.3">
      <c r="A704" s="42" t="s">
        <v>299</v>
      </c>
      <c r="B704" s="42" t="s">
        <v>239</v>
      </c>
      <c r="C704" s="42" t="s">
        <v>210</v>
      </c>
      <c r="D704" s="42" t="s">
        <v>268</v>
      </c>
      <c r="E704" s="42" t="s">
        <v>241</v>
      </c>
      <c r="F704" s="42" t="s">
        <v>252</v>
      </c>
      <c r="G704" s="44">
        <v>27681.43</v>
      </c>
      <c r="H704" s="44">
        <v>30882.34</v>
      </c>
      <c r="I704" s="44">
        <v>27154.74</v>
      </c>
      <c r="J704" s="44">
        <v>34318.81</v>
      </c>
      <c r="K704" t="s">
        <v>198</v>
      </c>
    </row>
    <row r="705" spans="1:11" ht="16.95" hidden="1" customHeight="1" x14ac:dyDescent="0.3">
      <c r="A705" s="42" t="s">
        <v>299</v>
      </c>
      <c r="B705" s="42" t="s">
        <v>239</v>
      </c>
      <c r="C705" s="42" t="s">
        <v>210</v>
      </c>
      <c r="D705" s="42" t="s">
        <v>268</v>
      </c>
      <c r="E705" s="42" t="s">
        <v>241</v>
      </c>
      <c r="F705" s="42" t="s">
        <v>253</v>
      </c>
      <c r="G705" s="44">
        <v>27210.02</v>
      </c>
      <c r="H705" s="44">
        <v>30128.41</v>
      </c>
      <c r="I705" s="44">
        <v>26067.21</v>
      </c>
      <c r="J705" s="44">
        <v>34689.69</v>
      </c>
      <c r="K705" t="s">
        <v>198</v>
      </c>
    </row>
    <row r="706" spans="1:11" ht="16.95" hidden="1" customHeight="1" x14ac:dyDescent="0.3">
      <c r="A706" s="42" t="s">
        <v>299</v>
      </c>
      <c r="B706" s="42" t="s">
        <v>239</v>
      </c>
      <c r="C706" s="42" t="s">
        <v>210</v>
      </c>
      <c r="D706" s="42" t="s">
        <v>269</v>
      </c>
      <c r="E706" s="42" t="s">
        <v>241</v>
      </c>
      <c r="F706" s="42" t="s">
        <v>242</v>
      </c>
      <c r="G706" s="44">
        <v>171846.1</v>
      </c>
      <c r="H706" t="s">
        <v>198</v>
      </c>
      <c r="I706" s="44">
        <v>40856.65</v>
      </c>
      <c r="J706" t="s">
        <v>198</v>
      </c>
      <c r="K706" t="s">
        <v>198</v>
      </c>
    </row>
    <row r="707" spans="1:11" ht="16.95" hidden="1" customHeight="1" x14ac:dyDescent="0.3">
      <c r="A707" s="42" t="s">
        <v>299</v>
      </c>
      <c r="B707" s="42" t="s">
        <v>239</v>
      </c>
      <c r="C707" s="42" t="s">
        <v>210</v>
      </c>
      <c r="D707" s="42" t="s">
        <v>269</v>
      </c>
      <c r="E707" s="42" t="s">
        <v>241</v>
      </c>
      <c r="F707" s="42" t="s">
        <v>243</v>
      </c>
      <c r="G707" s="44">
        <v>171782.93</v>
      </c>
      <c r="H707" t="s">
        <v>198</v>
      </c>
      <c r="I707" s="44">
        <v>36626.269999999997</v>
      </c>
      <c r="J707" t="s">
        <v>198</v>
      </c>
      <c r="K707" t="s">
        <v>198</v>
      </c>
    </row>
    <row r="708" spans="1:11" ht="16.95" hidden="1" customHeight="1" x14ac:dyDescent="0.3">
      <c r="A708" s="42" t="s">
        <v>299</v>
      </c>
      <c r="B708" s="42" t="s">
        <v>239</v>
      </c>
      <c r="C708" s="42" t="s">
        <v>210</v>
      </c>
      <c r="D708" s="42" t="s">
        <v>269</v>
      </c>
      <c r="E708" s="42" t="s">
        <v>241</v>
      </c>
      <c r="F708" s="42" t="s">
        <v>244</v>
      </c>
      <c r="G708" s="44">
        <v>179099.54</v>
      </c>
      <c r="H708" t="s">
        <v>198</v>
      </c>
      <c r="I708" s="44">
        <v>38441.65</v>
      </c>
      <c r="J708" t="s">
        <v>198</v>
      </c>
      <c r="K708" t="s">
        <v>198</v>
      </c>
    </row>
    <row r="709" spans="1:11" ht="16.95" hidden="1" customHeight="1" x14ac:dyDescent="0.3">
      <c r="A709" s="42" t="s">
        <v>299</v>
      </c>
      <c r="B709" s="42" t="s">
        <v>239</v>
      </c>
      <c r="C709" s="42" t="s">
        <v>210</v>
      </c>
      <c r="D709" s="42" t="s">
        <v>269</v>
      </c>
      <c r="E709" s="42" t="s">
        <v>241</v>
      </c>
      <c r="F709" s="42" t="s">
        <v>245</v>
      </c>
      <c r="G709" s="44">
        <v>172694.68</v>
      </c>
      <c r="H709" t="s">
        <v>198</v>
      </c>
      <c r="I709" s="44">
        <v>38174.01</v>
      </c>
      <c r="J709" t="s">
        <v>198</v>
      </c>
      <c r="K709" t="s">
        <v>198</v>
      </c>
    </row>
    <row r="710" spans="1:11" ht="16.95" hidden="1" customHeight="1" x14ac:dyDescent="0.3">
      <c r="A710" s="42" t="s">
        <v>299</v>
      </c>
      <c r="B710" s="42" t="s">
        <v>239</v>
      </c>
      <c r="C710" s="42" t="s">
        <v>210</v>
      </c>
      <c r="D710" s="42" t="s">
        <v>269</v>
      </c>
      <c r="E710" s="42" t="s">
        <v>241</v>
      </c>
      <c r="F710" s="42" t="s">
        <v>246</v>
      </c>
      <c r="G710" s="44">
        <v>171865.35</v>
      </c>
      <c r="H710" t="s">
        <v>198</v>
      </c>
      <c r="I710" s="43">
        <v>40902</v>
      </c>
      <c r="J710" t="s">
        <v>198</v>
      </c>
      <c r="K710" t="s">
        <v>198</v>
      </c>
    </row>
    <row r="711" spans="1:11" ht="16.95" hidden="1" customHeight="1" x14ac:dyDescent="0.3">
      <c r="A711" s="42" t="s">
        <v>299</v>
      </c>
      <c r="B711" s="42" t="s">
        <v>239</v>
      </c>
      <c r="C711" s="42" t="s">
        <v>210</v>
      </c>
      <c r="D711" s="42" t="s">
        <v>269</v>
      </c>
      <c r="E711" s="42" t="s">
        <v>241</v>
      </c>
      <c r="F711" s="42" t="s">
        <v>247</v>
      </c>
      <c r="G711" s="44">
        <v>168512.95</v>
      </c>
      <c r="H711" t="s">
        <v>198</v>
      </c>
      <c r="I711" s="44">
        <v>38611.14</v>
      </c>
      <c r="J711" t="s">
        <v>198</v>
      </c>
      <c r="K711" t="s">
        <v>198</v>
      </c>
    </row>
    <row r="712" spans="1:11" ht="16.95" hidden="1" customHeight="1" x14ac:dyDescent="0.3">
      <c r="A712" s="42" t="s">
        <v>299</v>
      </c>
      <c r="B712" s="42" t="s">
        <v>239</v>
      </c>
      <c r="C712" s="42" t="s">
        <v>210</v>
      </c>
      <c r="D712" s="42" t="s">
        <v>269</v>
      </c>
      <c r="E712" s="42" t="s">
        <v>241</v>
      </c>
      <c r="F712" s="42" t="s">
        <v>248</v>
      </c>
      <c r="G712" s="44">
        <v>168881.27</v>
      </c>
      <c r="H712" t="s">
        <v>198</v>
      </c>
      <c r="I712" s="44">
        <v>39349.97</v>
      </c>
      <c r="J712" t="s">
        <v>198</v>
      </c>
      <c r="K712" t="s">
        <v>198</v>
      </c>
    </row>
    <row r="713" spans="1:11" ht="16.95" hidden="1" customHeight="1" x14ac:dyDescent="0.3">
      <c r="A713" s="42" t="s">
        <v>299</v>
      </c>
      <c r="B713" s="42" t="s">
        <v>239</v>
      </c>
      <c r="C713" s="42" t="s">
        <v>210</v>
      </c>
      <c r="D713" s="42" t="s">
        <v>269</v>
      </c>
      <c r="E713" s="42" t="s">
        <v>241</v>
      </c>
      <c r="F713" s="42" t="s">
        <v>249</v>
      </c>
      <c r="G713" s="44">
        <v>176444.81</v>
      </c>
      <c r="H713" t="s">
        <v>198</v>
      </c>
      <c r="I713" s="44">
        <v>39366.160000000003</v>
      </c>
      <c r="J713" t="s">
        <v>198</v>
      </c>
      <c r="K713" t="s">
        <v>198</v>
      </c>
    </row>
    <row r="714" spans="1:11" ht="16.95" hidden="1" customHeight="1" x14ac:dyDescent="0.3">
      <c r="A714" s="42" t="s">
        <v>299</v>
      </c>
      <c r="B714" s="42" t="s">
        <v>239</v>
      </c>
      <c r="C714" s="42" t="s">
        <v>210</v>
      </c>
      <c r="D714" s="42" t="s">
        <v>269</v>
      </c>
      <c r="E714" s="42" t="s">
        <v>241</v>
      </c>
      <c r="F714" s="42" t="s">
        <v>250</v>
      </c>
      <c r="G714" s="44">
        <v>175963.57</v>
      </c>
      <c r="H714" t="s">
        <v>198</v>
      </c>
      <c r="I714" s="44">
        <v>39242.61</v>
      </c>
      <c r="J714" t="s">
        <v>198</v>
      </c>
      <c r="K714" t="s">
        <v>198</v>
      </c>
    </row>
    <row r="715" spans="1:11" ht="16.95" hidden="1" customHeight="1" x14ac:dyDescent="0.3">
      <c r="A715" s="42" t="s">
        <v>299</v>
      </c>
      <c r="B715" s="42" t="s">
        <v>239</v>
      </c>
      <c r="C715" s="42" t="s">
        <v>210</v>
      </c>
      <c r="D715" s="42" t="s">
        <v>269</v>
      </c>
      <c r="E715" s="42" t="s">
        <v>241</v>
      </c>
      <c r="F715" s="42" t="s">
        <v>251</v>
      </c>
      <c r="G715" s="44">
        <v>164734.54</v>
      </c>
      <c r="H715" t="s">
        <v>198</v>
      </c>
      <c r="I715" s="44">
        <v>36620.14</v>
      </c>
      <c r="J715" t="s">
        <v>198</v>
      </c>
      <c r="K715" t="s">
        <v>198</v>
      </c>
    </row>
    <row r="716" spans="1:11" ht="16.95" hidden="1" customHeight="1" x14ac:dyDescent="0.3">
      <c r="A716" s="42" t="s">
        <v>299</v>
      </c>
      <c r="B716" s="42" t="s">
        <v>239</v>
      </c>
      <c r="C716" s="42" t="s">
        <v>210</v>
      </c>
      <c r="D716" s="42" t="s">
        <v>269</v>
      </c>
      <c r="E716" s="42" t="s">
        <v>241</v>
      </c>
      <c r="F716" s="42" t="s">
        <v>252</v>
      </c>
      <c r="G716" s="44">
        <v>175409.28</v>
      </c>
      <c r="H716" t="s">
        <v>198</v>
      </c>
      <c r="I716" s="44">
        <v>36278.51</v>
      </c>
      <c r="J716" t="s">
        <v>198</v>
      </c>
      <c r="K716" t="s">
        <v>198</v>
      </c>
    </row>
    <row r="717" spans="1:11" ht="16.95" hidden="1" customHeight="1" x14ac:dyDescent="0.3">
      <c r="A717" s="42" t="s">
        <v>299</v>
      </c>
      <c r="B717" s="42" t="s">
        <v>239</v>
      </c>
      <c r="C717" s="42" t="s">
        <v>210</v>
      </c>
      <c r="D717" s="42" t="s">
        <v>269</v>
      </c>
      <c r="E717" s="42" t="s">
        <v>241</v>
      </c>
      <c r="F717" s="42" t="s">
        <v>253</v>
      </c>
      <c r="G717" s="44">
        <v>163529.32</v>
      </c>
      <c r="H717" t="s">
        <v>198</v>
      </c>
      <c r="I717" s="44">
        <v>34563.1</v>
      </c>
      <c r="J717" t="s">
        <v>198</v>
      </c>
      <c r="K717" t="s">
        <v>198</v>
      </c>
    </row>
    <row r="718" spans="1:11" ht="16.95" hidden="1" customHeight="1" x14ac:dyDescent="0.3">
      <c r="A718" s="42" t="s">
        <v>299</v>
      </c>
      <c r="B718" s="42" t="s">
        <v>239</v>
      </c>
      <c r="C718" s="42" t="s">
        <v>210</v>
      </c>
      <c r="D718" s="42" t="s">
        <v>270</v>
      </c>
      <c r="E718" s="42" t="s">
        <v>241</v>
      </c>
      <c r="F718" s="42" t="s">
        <v>242</v>
      </c>
      <c r="G718" s="44">
        <v>42694.47</v>
      </c>
      <c r="H718" s="44">
        <v>41630.58</v>
      </c>
      <c r="I718" s="44">
        <v>48287.76</v>
      </c>
      <c r="J718" s="44">
        <v>41388.769999999997</v>
      </c>
      <c r="K718" s="44">
        <v>47782.69</v>
      </c>
    </row>
    <row r="719" spans="1:11" ht="16.95" hidden="1" customHeight="1" x14ac:dyDescent="0.3">
      <c r="A719" s="42" t="s">
        <v>299</v>
      </c>
      <c r="B719" s="42" t="s">
        <v>239</v>
      </c>
      <c r="C719" s="42" t="s">
        <v>210</v>
      </c>
      <c r="D719" s="42" t="s">
        <v>270</v>
      </c>
      <c r="E719" s="42" t="s">
        <v>241</v>
      </c>
      <c r="F719" s="42" t="s">
        <v>243</v>
      </c>
      <c r="G719" s="44">
        <v>38665.879999999997</v>
      </c>
      <c r="H719" s="44">
        <v>42196.12</v>
      </c>
      <c r="I719" s="44">
        <v>47534.19</v>
      </c>
      <c r="J719" s="44">
        <v>37936.6</v>
      </c>
      <c r="K719" s="44">
        <v>51613.84</v>
      </c>
    </row>
    <row r="720" spans="1:11" ht="16.95" hidden="1" customHeight="1" x14ac:dyDescent="0.3">
      <c r="A720" s="42" t="s">
        <v>299</v>
      </c>
      <c r="B720" s="42" t="s">
        <v>239</v>
      </c>
      <c r="C720" s="42" t="s">
        <v>210</v>
      </c>
      <c r="D720" s="42" t="s">
        <v>270</v>
      </c>
      <c r="E720" s="42" t="s">
        <v>241</v>
      </c>
      <c r="F720" s="42" t="s">
        <v>244</v>
      </c>
      <c r="G720" s="44">
        <v>41281.61</v>
      </c>
      <c r="H720" s="44">
        <v>45849.53</v>
      </c>
      <c r="I720" s="44">
        <v>46740.74</v>
      </c>
      <c r="J720" s="44">
        <v>40459.86</v>
      </c>
      <c r="K720" s="44">
        <v>54669.75</v>
      </c>
    </row>
    <row r="721" spans="1:11" ht="16.95" hidden="1" customHeight="1" x14ac:dyDescent="0.3">
      <c r="A721" s="42" t="s">
        <v>299</v>
      </c>
      <c r="B721" s="42" t="s">
        <v>239</v>
      </c>
      <c r="C721" s="42" t="s">
        <v>210</v>
      </c>
      <c r="D721" s="42" t="s">
        <v>270</v>
      </c>
      <c r="E721" s="42" t="s">
        <v>241</v>
      </c>
      <c r="F721" s="42" t="s">
        <v>245</v>
      </c>
      <c r="G721" s="44">
        <v>43092.41</v>
      </c>
      <c r="H721" s="44">
        <v>46460.73</v>
      </c>
      <c r="I721" s="44">
        <v>47874.44</v>
      </c>
      <c r="J721" s="44">
        <v>43051.05</v>
      </c>
      <c r="K721" t="s">
        <v>198</v>
      </c>
    </row>
    <row r="722" spans="1:11" ht="16.95" hidden="1" customHeight="1" x14ac:dyDescent="0.3">
      <c r="A722" s="42" t="s">
        <v>299</v>
      </c>
      <c r="B722" s="42" t="s">
        <v>239</v>
      </c>
      <c r="C722" s="42" t="s">
        <v>210</v>
      </c>
      <c r="D722" s="42" t="s">
        <v>270</v>
      </c>
      <c r="E722" s="42" t="s">
        <v>241</v>
      </c>
      <c r="F722" s="42" t="s">
        <v>246</v>
      </c>
      <c r="G722" s="44">
        <v>44536.56</v>
      </c>
      <c r="H722" s="44">
        <v>47115.47</v>
      </c>
      <c r="I722" s="44">
        <v>50139.39</v>
      </c>
      <c r="J722" s="44">
        <v>42556.19</v>
      </c>
      <c r="K722" t="s">
        <v>198</v>
      </c>
    </row>
    <row r="723" spans="1:11" ht="16.95" hidden="1" customHeight="1" x14ac:dyDescent="0.3">
      <c r="A723" s="42" t="s">
        <v>299</v>
      </c>
      <c r="B723" s="42" t="s">
        <v>239</v>
      </c>
      <c r="C723" s="42" t="s">
        <v>210</v>
      </c>
      <c r="D723" s="42" t="s">
        <v>270</v>
      </c>
      <c r="E723" s="42" t="s">
        <v>241</v>
      </c>
      <c r="F723" s="42" t="s">
        <v>247</v>
      </c>
      <c r="G723" s="44">
        <v>41963.77</v>
      </c>
      <c r="H723" s="44">
        <v>48476.39</v>
      </c>
      <c r="I723" s="44">
        <v>50225.69</v>
      </c>
      <c r="J723" s="44">
        <v>40404.46</v>
      </c>
      <c r="K723" t="s">
        <v>198</v>
      </c>
    </row>
    <row r="724" spans="1:11" ht="16.95" hidden="1" customHeight="1" x14ac:dyDescent="0.3">
      <c r="A724" s="42" t="s">
        <v>299</v>
      </c>
      <c r="B724" s="42" t="s">
        <v>239</v>
      </c>
      <c r="C724" s="42" t="s">
        <v>210</v>
      </c>
      <c r="D724" s="42" t="s">
        <v>270</v>
      </c>
      <c r="E724" s="42" t="s">
        <v>241</v>
      </c>
      <c r="F724" s="42" t="s">
        <v>248</v>
      </c>
      <c r="G724" s="44">
        <v>42783.18</v>
      </c>
      <c r="H724" s="44">
        <v>50492.22</v>
      </c>
      <c r="I724" s="44">
        <v>49273.97</v>
      </c>
      <c r="J724" s="44">
        <v>41436.629999999997</v>
      </c>
      <c r="K724" t="s">
        <v>198</v>
      </c>
    </row>
    <row r="725" spans="1:11" ht="16.95" hidden="1" customHeight="1" x14ac:dyDescent="0.3">
      <c r="A725" s="42" t="s">
        <v>299</v>
      </c>
      <c r="B725" s="42" t="s">
        <v>239</v>
      </c>
      <c r="C725" s="42" t="s">
        <v>210</v>
      </c>
      <c r="D725" s="42" t="s">
        <v>270</v>
      </c>
      <c r="E725" s="42" t="s">
        <v>241</v>
      </c>
      <c r="F725" s="42" t="s">
        <v>249</v>
      </c>
      <c r="G725" s="44">
        <v>41909.919999999998</v>
      </c>
      <c r="H725" s="44">
        <v>49646.21</v>
      </c>
      <c r="I725" s="44">
        <v>46359.64</v>
      </c>
      <c r="J725" s="44">
        <v>39664.5</v>
      </c>
      <c r="K725" t="s">
        <v>198</v>
      </c>
    </row>
    <row r="726" spans="1:11" ht="16.95" hidden="1" customHeight="1" x14ac:dyDescent="0.3">
      <c r="A726" s="42" t="s">
        <v>299</v>
      </c>
      <c r="B726" s="42" t="s">
        <v>239</v>
      </c>
      <c r="C726" s="42" t="s">
        <v>210</v>
      </c>
      <c r="D726" s="42" t="s">
        <v>270</v>
      </c>
      <c r="E726" s="42" t="s">
        <v>241</v>
      </c>
      <c r="F726" s="42" t="s">
        <v>250</v>
      </c>
      <c r="G726" s="44">
        <v>42111.360000000001</v>
      </c>
      <c r="H726" s="44">
        <v>49003.18</v>
      </c>
      <c r="I726" s="44">
        <v>47493.35</v>
      </c>
      <c r="J726" s="44">
        <v>40846.79</v>
      </c>
      <c r="K726" t="s">
        <v>198</v>
      </c>
    </row>
    <row r="727" spans="1:11" ht="16.95" hidden="1" customHeight="1" x14ac:dyDescent="0.3">
      <c r="A727" s="42" t="s">
        <v>299</v>
      </c>
      <c r="B727" s="42" t="s">
        <v>239</v>
      </c>
      <c r="C727" s="42" t="s">
        <v>210</v>
      </c>
      <c r="D727" s="42" t="s">
        <v>270</v>
      </c>
      <c r="E727" s="42" t="s">
        <v>241</v>
      </c>
      <c r="F727" s="42" t="s">
        <v>251</v>
      </c>
      <c r="G727" s="44">
        <v>44396.69</v>
      </c>
      <c r="H727" s="44">
        <v>50707.82</v>
      </c>
      <c r="I727" s="44">
        <v>49436.01</v>
      </c>
      <c r="J727" s="44">
        <v>45835.41</v>
      </c>
      <c r="K727" t="s">
        <v>198</v>
      </c>
    </row>
    <row r="728" spans="1:11" ht="16.95" hidden="1" customHeight="1" x14ac:dyDescent="0.3">
      <c r="A728" s="42" t="s">
        <v>299</v>
      </c>
      <c r="B728" s="42" t="s">
        <v>239</v>
      </c>
      <c r="C728" s="42" t="s">
        <v>210</v>
      </c>
      <c r="D728" s="42" t="s">
        <v>270</v>
      </c>
      <c r="E728" s="42" t="s">
        <v>241</v>
      </c>
      <c r="F728" s="42" t="s">
        <v>252</v>
      </c>
      <c r="G728" s="44">
        <v>47232.95</v>
      </c>
      <c r="H728" s="44">
        <v>51124.04</v>
      </c>
      <c r="I728" s="44">
        <v>47569.52</v>
      </c>
      <c r="J728" s="44">
        <v>44441.99</v>
      </c>
      <c r="K728" t="s">
        <v>198</v>
      </c>
    </row>
    <row r="729" spans="1:11" ht="16.95" hidden="1" customHeight="1" x14ac:dyDescent="0.3">
      <c r="A729" s="42" t="s">
        <v>299</v>
      </c>
      <c r="B729" s="42" t="s">
        <v>239</v>
      </c>
      <c r="C729" s="42" t="s">
        <v>210</v>
      </c>
      <c r="D729" s="42" t="s">
        <v>270</v>
      </c>
      <c r="E729" s="42" t="s">
        <v>241</v>
      </c>
      <c r="F729" s="42" t="s">
        <v>253</v>
      </c>
      <c r="G729" s="44">
        <v>48374.55</v>
      </c>
      <c r="H729" s="44">
        <v>49160.22</v>
      </c>
      <c r="I729" s="44">
        <v>44396.39</v>
      </c>
      <c r="J729" s="44">
        <v>45101.42</v>
      </c>
      <c r="K729" t="s">
        <v>198</v>
      </c>
    </row>
    <row r="730" spans="1:11" ht="16.95" hidden="1" customHeight="1" x14ac:dyDescent="0.3">
      <c r="A730" s="42" t="s">
        <v>299</v>
      </c>
      <c r="B730" s="42" t="s">
        <v>239</v>
      </c>
      <c r="C730" s="42" t="s">
        <v>210</v>
      </c>
      <c r="D730" s="42" t="s">
        <v>271</v>
      </c>
      <c r="E730" s="42" t="s">
        <v>241</v>
      </c>
      <c r="F730" s="42" t="s">
        <v>242</v>
      </c>
      <c r="G730" s="43">
        <v>100000</v>
      </c>
      <c r="H730" t="s">
        <v>198</v>
      </c>
      <c r="I730" t="s">
        <v>198</v>
      </c>
      <c r="J730" t="s">
        <v>198</v>
      </c>
      <c r="K730" t="s">
        <v>198</v>
      </c>
    </row>
    <row r="731" spans="1:11" ht="16.95" hidden="1" customHeight="1" x14ac:dyDescent="0.3">
      <c r="A731" s="42" t="s">
        <v>299</v>
      </c>
      <c r="B731" s="42" t="s">
        <v>239</v>
      </c>
      <c r="C731" s="42" t="s">
        <v>210</v>
      </c>
      <c r="D731" s="42" t="s">
        <v>271</v>
      </c>
      <c r="E731" s="42" t="s">
        <v>241</v>
      </c>
      <c r="F731" s="42" t="s">
        <v>243</v>
      </c>
      <c r="G731" s="43">
        <v>100000</v>
      </c>
      <c r="H731" t="s">
        <v>198</v>
      </c>
      <c r="I731" t="s">
        <v>198</v>
      </c>
      <c r="J731" t="s">
        <v>198</v>
      </c>
      <c r="K731" t="s">
        <v>198</v>
      </c>
    </row>
    <row r="732" spans="1:11" ht="16.95" hidden="1" customHeight="1" x14ac:dyDescent="0.3">
      <c r="A732" s="42" t="s">
        <v>299</v>
      </c>
      <c r="B732" s="42" t="s">
        <v>239</v>
      </c>
      <c r="C732" s="42" t="s">
        <v>210</v>
      </c>
      <c r="D732" s="42" t="s">
        <v>271</v>
      </c>
      <c r="E732" s="42" t="s">
        <v>241</v>
      </c>
      <c r="F732" s="42" t="s">
        <v>244</v>
      </c>
      <c r="G732" s="43">
        <v>0</v>
      </c>
      <c r="H732" t="s">
        <v>198</v>
      </c>
      <c r="I732" t="s">
        <v>198</v>
      </c>
      <c r="J732" t="s">
        <v>198</v>
      </c>
      <c r="K732" t="s">
        <v>198</v>
      </c>
    </row>
    <row r="733" spans="1:11" ht="16.95" hidden="1" customHeight="1" x14ac:dyDescent="0.3">
      <c r="A733" s="42" t="s">
        <v>299</v>
      </c>
      <c r="B733" s="42" t="s">
        <v>239</v>
      </c>
      <c r="C733" s="42" t="s">
        <v>210</v>
      </c>
      <c r="D733" s="42" t="s">
        <v>271</v>
      </c>
      <c r="E733" s="42" t="s">
        <v>241</v>
      </c>
      <c r="F733" s="42" t="s">
        <v>245</v>
      </c>
      <c r="G733" s="43">
        <v>0</v>
      </c>
      <c r="H733" t="s">
        <v>198</v>
      </c>
      <c r="I733" t="s">
        <v>198</v>
      </c>
      <c r="J733" t="s">
        <v>198</v>
      </c>
      <c r="K733" t="s">
        <v>198</v>
      </c>
    </row>
    <row r="734" spans="1:11" ht="16.95" hidden="1" customHeight="1" x14ac:dyDescent="0.3">
      <c r="A734" s="42" t="s">
        <v>299</v>
      </c>
      <c r="B734" s="42" t="s">
        <v>239</v>
      </c>
      <c r="C734" s="42" t="s">
        <v>210</v>
      </c>
      <c r="D734" s="42" t="s">
        <v>271</v>
      </c>
      <c r="E734" s="42" t="s">
        <v>241</v>
      </c>
      <c r="F734" s="42" t="s">
        <v>246</v>
      </c>
      <c r="G734" s="43">
        <v>0</v>
      </c>
      <c r="H734" t="s">
        <v>198</v>
      </c>
      <c r="I734" t="s">
        <v>198</v>
      </c>
      <c r="J734" t="s">
        <v>198</v>
      </c>
      <c r="K734" t="s">
        <v>198</v>
      </c>
    </row>
    <row r="735" spans="1:11" ht="16.95" hidden="1" customHeight="1" x14ac:dyDescent="0.3">
      <c r="A735" s="42" t="s">
        <v>299</v>
      </c>
      <c r="B735" s="42" t="s">
        <v>239</v>
      </c>
      <c r="C735" s="42" t="s">
        <v>210</v>
      </c>
      <c r="D735" s="42" t="s">
        <v>271</v>
      </c>
      <c r="E735" s="42" t="s">
        <v>241</v>
      </c>
      <c r="F735" s="42" t="s">
        <v>247</v>
      </c>
      <c r="G735" s="43">
        <v>60000</v>
      </c>
      <c r="H735" t="s">
        <v>198</v>
      </c>
      <c r="I735" t="s">
        <v>198</v>
      </c>
      <c r="J735" t="s">
        <v>198</v>
      </c>
      <c r="K735" t="s">
        <v>198</v>
      </c>
    </row>
    <row r="736" spans="1:11" ht="16.95" hidden="1" customHeight="1" x14ac:dyDescent="0.3">
      <c r="A736" s="42" t="s">
        <v>299</v>
      </c>
      <c r="B736" s="42" t="s">
        <v>239</v>
      </c>
      <c r="C736" s="42" t="s">
        <v>210</v>
      </c>
      <c r="D736" s="42" t="s">
        <v>271</v>
      </c>
      <c r="E736" s="42" t="s">
        <v>241</v>
      </c>
      <c r="F736" s="42" t="s">
        <v>248</v>
      </c>
      <c r="G736" s="43">
        <v>0</v>
      </c>
      <c r="H736" t="s">
        <v>198</v>
      </c>
      <c r="I736" t="s">
        <v>198</v>
      </c>
      <c r="J736" t="s">
        <v>198</v>
      </c>
      <c r="K736" t="s">
        <v>198</v>
      </c>
    </row>
    <row r="737" spans="1:11" ht="16.95" hidden="1" customHeight="1" x14ac:dyDescent="0.3">
      <c r="A737" s="42" t="s">
        <v>299</v>
      </c>
      <c r="B737" s="42" t="s">
        <v>239</v>
      </c>
      <c r="C737" s="42" t="s">
        <v>210</v>
      </c>
      <c r="D737" s="42" t="s">
        <v>271</v>
      </c>
      <c r="E737" s="42" t="s">
        <v>241</v>
      </c>
      <c r="F737" s="42" t="s">
        <v>249</v>
      </c>
      <c r="G737" s="44">
        <v>101499.75</v>
      </c>
      <c r="H737" t="s">
        <v>198</v>
      </c>
      <c r="I737" t="s">
        <v>198</v>
      </c>
      <c r="J737" t="s">
        <v>198</v>
      </c>
      <c r="K737" t="s">
        <v>198</v>
      </c>
    </row>
    <row r="738" spans="1:11" ht="16.95" hidden="1" customHeight="1" x14ac:dyDescent="0.3">
      <c r="A738" s="42" t="s">
        <v>299</v>
      </c>
      <c r="B738" s="42" t="s">
        <v>239</v>
      </c>
      <c r="C738" s="42" t="s">
        <v>210</v>
      </c>
      <c r="D738" s="42" t="s">
        <v>271</v>
      </c>
      <c r="E738" s="42" t="s">
        <v>241</v>
      </c>
      <c r="F738" s="42" t="s">
        <v>250</v>
      </c>
      <c r="G738" s="44">
        <v>101499.14</v>
      </c>
      <c r="H738" t="s">
        <v>198</v>
      </c>
      <c r="I738" t="s">
        <v>198</v>
      </c>
      <c r="J738" t="s">
        <v>198</v>
      </c>
      <c r="K738" t="s">
        <v>198</v>
      </c>
    </row>
    <row r="739" spans="1:11" ht="16.95" hidden="1" customHeight="1" x14ac:dyDescent="0.3">
      <c r="A739" s="42" t="s">
        <v>299</v>
      </c>
      <c r="B739" s="42" t="s">
        <v>239</v>
      </c>
      <c r="C739" s="42" t="s">
        <v>210</v>
      </c>
      <c r="D739" s="42" t="s">
        <v>271</v>
      </c>
      <c r="E739" s="42" t="s">
        <v>241</v>
      </c>
      <c r="F739" s="42" t="s">
        <v>251</v>
      </c>
      <c r="G739" s="43">
        <v>101500</v>
      </c>
      <c r="H739" t="s">
        <v>198</v>
      </c>
      <c r="I739" t="s">
        <v>198</v>
      </c>
      <c r="J739" t="s">
        <v>198</v>
      </c>
      <c r="K739" t="s">
        <v>198</v>
      </c>
    </row>
    <row r="740" spans="1:11" ht="16.95" hidden="1" customHeight="1" x14ac:dyDescent="0.3">
      <c r="A740" s="42" t="s">
        <v>299</v>
      </c>
      <c r="B740" s="42" t="s">
        <v>239</v>
      </c>
      <c r="C740" s="42" t="s">
        <v>210</v>
      </c>
      <c r="D740" s="42" t="s">
        <v>271</v>
      </c>
      <c r="E740" s="42" t="s">
        <v>241</v>
      </c>
      <c r="F740" s="42" t="s">
        <v>252</v>
      </c>
      <c r="G740" s="43">
        <v>102000</v>
      </c>
      <c r="H740" t="s">
        <v>198</v>
      </c>
      <c r="I740" t="s">
        <v>198</v>
      </c>
      <c r="J740" t="s">
        <v>198</v>
      </c>
      <c r="K740" t="s">
        <v>198</v>
      </c>
    </row>
    <row r="741" spans="1:11" ht="16.95" hidden="1" customHeight="1" x14ac:dyDescent="0.3">
      <c r="A741" s="42" t="s">
        <v>299</v>
      </c>
      <c r="B741" s="42" t="s">
        <v>239</v>
      </c>
      <c r="C741" s="42" t="s">
        <v>210</v>
      </c>
      <c r="D741" s="42" t="s">
        <v>271</v>
      </c>
      <c r="E741" s="42" t="s">
        <v>241</v>
      </c>
      <c r="F741" s="42" t="s">
        <v>253</v>
      </c>
      <c r="G741" s="43">
        <v>0</v>
      </c>
      <c r="H741" t="s">
        <v>198</v>
      </c>
      <c r="I741" t="s">
        <v>198</v>
      </c>
      <c r="J741" t="s">
        <v>198</v>
      </c>
      <c r="K741" t="s">
        <v>198</v>
      </c>
    </row>
    <row r="742" spans="1:11" ht="16.95" hidden="1" customHeight="1" x14ac:dyDescent="0.3">
      <c r="A742" s="42" t="s">
        <v>299</v>
      </c>
      <c r="B742" s="42" t="s">
        <v>239</v>
      </c>
      <c r="C742" s="42" t="s">
        <v>210</v>
      </c>
      <c r="D742" s="42" t="s">
        <v>272</v>
      </c>
      <c r="E742" s="42" t="s">
        <v>241</v>
      </c>
      <c r="F742" s="42" t="s">
        <v>242</v>
      </c>
      <c r="G742" s="44">
        <v>33116.07</v>
      </c>
      <c r="H742" s="44">
        <v>44483.98</v>
      </c>
      <c r="I742" s="44">
        <v>39391.14</v>
      </c>
      <c r="J742" s="44">
        <v>32734.18</v>
      </c>
      <c r="K742" s="44">
        <v>44519.85</v>
      </c>
    </row>
    <row r="743" spans="1:11" ht="16.95" hidden="1" customHeight="1" x14ac:dyDescent="0.3">
      <c r="A743" s="42" t="s">
        <v>299</v>
      </c>
      <c r="B743" s="42" t="s">
        <v>239</v>
      </c>
      <c r="C743" s="42" t="s">
        <v>210</v>
      </c>
      <c r="D743" s="42" t="s">
        <v>272</v>
      </c>
      <c r="E743" s="42" t="s">
        <v>241</v>
      </c>
      <c r="F743" s="42" t="s">
        <v>243</v>
      </c>
      <c r="G743" s="44">
        <v>32253.81</v>
      </c>
      <c r="H743" s="44">
        <v>46036.53</v>
      </c>
      <c r="I743" s="44">
        <v>39051.870000000003</v>
      </c>
      <c r="J743" s="44">
        <v>32688.71</v>
      </c>
      <c r="K743" s="44">
        <v>46781.9</v>
      </c>
    </row>
    <row r="744" spans="1:11" ht="16.95" hidden="1" customHeight="1" x14ac:dyDescent="0.3">
      <c r="A744" s="42" t="s">
        <v>299</v>
      </c>
      <c r="B744" s="42" t="s">
        <v>239</v>
      </c>
      <c r="C744" s="42" t="s">
        <v>210</v>
      </c>
      <c r="D744" s="42" t="s">
        <v>272</v>
      </c>
      <c r="E744" s="42" t="s">
        <v>241</v>
      </c>
      <c r="F744" s="42" t="s">
        <v>244</v>
      </c>
      <c r="G744" s="44">
        <v>31845.25</v>
      </c>
      <c r="H744" s="44">
        <v>46454.559999999998</v>
      </c>
      <c r="I744" s="44">
        <v>39159.58</v>
      </c>
      <c r="J744" s="44">
        <v>32750.58</v>
      </c>
      <c r="K744" s="44">
        <v>47848.35</v>
      </c>
    </row>
    <row r="745" spans="1:11" ht="16.95" hidden="1" customHeight="1" x14ac:dyDescent="0.3">
      <c r="A745" s="42" t="s">
        <v>299</v>
      </c>
      <c r="B745" s="42" t="s">
        <v>239</v>
      </c>
      <c r="C745" s="42" t="s">
        <v>210</v>
      </c>
      <c r="D745" s="42" t="s">
        <v>272</v>
      </c>
      <c r="E745" s="42" t="s">
        <v>241</v>
      </c>
      <c r="F745" s="42" t="s">
        <v>245</v>
      </c>
      <c r="G745" s="44">
        <v>30291.78</v>
      </c>
      <c r="H745" s="44">
        <v>45903.18</v>
      </c>
      <c r="I745" s="44">
        <v>42541.3</v>
      </c>
      <c r="J745" s="44">
        <v>34041.83</v>
      </c>
      <c r="K745" t="s">
        <v>198</v>
      </c>
    </row>
    <row r="746" spans="1:11" ht="16.95" hidden="1" customHeight="1" x14ac:dyDescent="0.3">
      <c r="A746" s="42" t="s">
        <v>299</v>
      </c>
      <c r="B746" s="42" t="s">
        <v>239</v>
      </c>
      <c r="C746" s="42" t="s">
        <v>210</v>
      </c>
      <c r="D746" s="42" t="s">
        <v>272</v>
      </c>
      <c r="E746" s="42" t="s">
        <v>241</v>
      </c>
      <c r="F746" s="42" t="s">
        <v>246</v>
      </c>
      <c r="G746" s="44">
        <v>31821.21</v>
      </c>
      <c r="H746" s="44">
        <v>44718.69</v>
      </c>
      <c r="I746" s="44">
        <v>41883.14</v>
      </c>
      <c r="J746" s="44">
        <v>33245.22</v>
      </c>
      <c r="K746" t="s">
        <v>198</v>
      </c>
    </row>
    <row r="747" spans="1:11" ht="16.95" hidden="1" customHeight="1" x14ac:dyDescent="0.3">
      <c r="A747" s="42" t="s">
        <v>299</v>
      </c>
      <c r="B747" s="42" t="s">
        <v>239</v>
      </c>
      <c r="C747" s="42" t="s">
        <v>210</v>
      </c>
      <c r="D747" s="42" t="s">
        <v>272</v>
      </c>
      <c r="E747" s="42" t="s">
        <v>241</v>
      </c>
      <c r="F747" s="42" t="s">
        <v>247</v>
      </c>
      <c r="G747" s="44">
        <v>29927.72</v>
      </c>
      <c r="H747" s="44">
        <v>43116.55</v>
      </c>
      <c r="I747" s="44">
        <v>41983.34</v>
      </c>
      <c r="J747" s="44">
        <v>32934.49</v>
      </c>
      <c r="K747" t="s">
        <v>198</v>
      </c>
    </row>
    <row r="748" spans="1:11" ht="16.95" hidden="1" customHeight="1" x14ac:dyDescent="0.3">
      <c r="A748" s="42" t="s">
        <v>299</v>
      </c>
      <c r="B748" s="42" t="s">
        <v>239</v>
      </c>
      <c r="C748" s="42" t="s">
        <v>210</v>
      </c>
      <c r="D748" s="42" t="s">
        <v>272</v>
      </c>
      <c r="E748" s="42" t="s">
        <v>241</v>
      </c>
      <c r="F748" s="42" t="s">
        <v>248</v>
      </c>
      <c r="G748" s="44">
        <v>30943.8</v>
      </c>
      <c r="H748" s="44">
        <v>46462.15</v>
      </c>
      <c r="I748" s="44">
        <v>43510.26</v>
      </c>
      <c r="J748" s="44">
        <v>33532.1</v>
      </c>
      <c r="K748" t="s">
        <v>198</v>
      </c>
    </row>
    <row r="749" spans="1:11" ht="16.95" hidden="1" customHeight="1" x14ac:dyDescent="0.3">
      <c r="A749" s="42" t="s">
        <v>299</v>
      </c>
      <c r="B749" s="42" t="s">
        <v>239</v>
      </c>
      <c r="C749" s="42" t="s">
        <v>210</v>
      </c>
      <c r="D749" s="42" t="s">
        <v>272</v>
      </c>
      <c r="E749" s="42" t="s">
        <v>241</v>
      </c>
      <c r="F749" s="42" t="s">
        <v>249</v>
      </c>
      <c r="G749" s="44">
        <v>32611.23</v>
      </c>
      <c r="H749" s="44">
        <v>44771.81</v>
      </c>
      <c r="I749" s="44">
        <v>44119.95</v>
      </c>
      <c r="J749" s="44">
        <v>34583.56</v>
      </c>
      <c r="K749" t="s">
        <v>198</v>
      </c>
    </row>
    <row r="750" spans="1:11" ht="16.95" hidden="1" customHeight="1" x14ac:dyDescent="0.3">
      <c r="A750" s="42" t="s">
        <v>299</v>
      </c>
      <c r="B750" s="42" t="s">
        <v>239</v>
      </c>
      <c r="C750" s="42" t="s">
        <v>210</v>
      </c>
      <c r="D750" s="42" t="s">
        <v>272</v>
      </c>
      <c r="E750" s="42" t="s">
        <v>241</v>
      </c>
      <c r="F750" s="42" t="s">
        <v>250</v>
      </c>
      <c r="G750" s="44">
        <v>34669.089999999997</v>
      </c>
      <c r="H750" s="44">
        <v>42977.35</v>
      </c>
      <c r="I750" s="44">
        <v>39822.620000000003</v>
      </c>
      <c r="J750" s="44">
        <v>35197.24</v>
      </c>
      <c r="K750" t="s">
        <v>198</v>
      </c>
    </row>
    <row r="751" spans="1:11" ht="16.95" hidden="1" customHeight="1" x14ac:dyDescent="0.3">
      <c r="A751" s="42" t="s">
        <v>299</v>
      </c>
      <c r="B751" s="42" t="s">
        <v>239</v>
      </c>
      <c r="C751" s="42" t="s">
        <v>210</v>
      </c>
      <c r="D751" s="42" t="s">
        <v>272</v>
      </c>
      <c r="E751" s="42" t="s">
        <v>241</v>
      </c>
      <c r="F751" s="42" t="s">
        <v>251</v>
      </c>
      <c r="G751" s="44">
        <v>35793.61</v>
      </c>
      <c r="H751" s="44">
        <v>43479.51</v>
      </c>
      <c r="I751" s="44">
        <v>40110.14</v>
      </c>
      <c r="J751" s="44">
        <v>37004.31</v>
      </c>
      <c r="K751" t="s">
        <v>198</v>
      </c>
    </row>
    <row r="752" spans="1:11" ht="16.95" hidden="1" customHeight="1" x14ac:dyDescent="0.3">
      <c r="A752" s="42" t="s">
        <v>299</v>
      </c>
      <c r="B752" s="42" t="s">
        <v>239</v>
      </c>
      <c r="C752" s="42" t="s">
        <v>210</v>
      </c>
      <c r="D752" s="42" t="s">
        <v>272</v>
      </c>
      <c r="E752" s="42" t="s">
        <v>241</v>
      </c>
      <c r="F752" s="42" t="s">
        <v>252</v>
      </c>
      <c r="G752" s="44">
        <v>42130.03</v>
      </c>
      <c r="H752" s="44">
        <v>40951.58</v>
      </c>
      <c r="I752" s="44">
        <v>37088.97</v>
      </c>
      <c r="J752" s="44">
        <v>37778.400000000001</v>
      </c>
      <c r="K752" t="s">
        <v>198</v>
      </c>
    </row>
    <row r="753" spans="1:11" ht="16.95" hidden="1" customHeight="1" x14ac:dyDescent="0.3">
      <c r="A753" s="42" t="s">
        <v>299</v>
      </c>
      <c r="B753" s="42" t="s">
        <v>239</v>
      </c>
      <c r="C753" s="42" t="s">
        <v>210</v>
      </c>
      <c r="D753" s="42" t="s">
        <v>272</v>
      </c>
      <c r="E753" s="42" t="s">
        <v>241</v>
      </c>
      <c r="F753" s="42" t="s">
        <v>253</v>
      </c>
      <c r="G753" s="44">
        <v>44935.360000000001</v>
      </c>
      <c r="H753" s="44">
        <v>40037.589999999997</v>
      </c>
      <c r="I753" s="44">
        <v>36074.26</v>
      </c>
      <c r="J753" s="44">
        <v>38263.17</v>
      </c>
      <c r="K753" t="s">
        <v>198</v>
      </c>
    </row>
    <row r="754" spans="1:11" ht="16.95" hidden="1" customHeight="1" x14ac:dyDescent="0.3">
      <c r="A754" s="42" t="s">
        <v>299</v>
      </c>
      <c r="B754" s="42" t="s">
        <v>239</v>
      </c>
      <c r="C754" s="42" t="s">
        <v>210</v>
      </c>
      <c r="D754" s="42" t="s">
        <v>273</v>
      </c>
      <c r="E754" s="42" t="s">
        <v>241</v>
      </c>
      <c r="F754" s="42" t="s">
        <v>242</v>
      </c>
      <c r="G754" s="44">
        <v>34534.76</v>
      </c>
      <c r="H754" t="s">
        <v>198</v>
      </c>
      <c r="I754" s="44">
        <v>51674.19</v>
      </c>
      <c r="J754" s="44">
        <v>34911.32</v>
      </c>
      <c r="K754" s="44">
        <v>45209.2</v>
      </c>
    </row>
    <row r="755" spans="1:11" ht="16.95" hidden="1" customHeight="1" x14ac:dyDescent="0.3">
      <c r="A755" s="42" t="s">
        <v>299</v>
      </c>
      <c r="B755" s="42" t="s">
        <v>239</v>
      </c>
      <c r="C755" s="42" t="s">
        <v>210</v>
      </c>
      <c r="D755" s="42" t="s">
        <v>273</v>
      </c>
      <c r="E755" s="42" t="s">
        <v>241</v>
      </c>
      <c r="F755" s="42" t="s">
        <v>243</v>
      </c>
      <c r="G755" s="43">
        <v>0</v>
      </c>
      <c r="H755" t="s">
        <v>198</v>
      </c>
      <c r="I755" s="44">
        <v>44181.72</v>
      </c>
      <c r="J755" s="44">
        <v>35691.660000000003</v>
      </c>
      <c r="K755" s="44">
        <v>47338.54</v>
      </c>
    </row>
    <row r="756" spans="1:11" ht="16.95" hidden="1" customHeight="1" x14ac:dyDescent="0.3">
      <c r="A756" s="42" t="s">
        <v>299</v>
      </c>
      <c r="B756" s="42" t="s">
        <v>239</v>
      </c>
      <c r="C756" s="42" t="s">
        <v>210</v>
      </c>
      <c r="D756" s="42" t="s">
        <v>273</v>
      </c>
      <c r="E756" s="42" t="s">
        <v>241</v>
      </c>
      <c r="F756" s="42" t="s">
        <v>244</v>
      </c>
      <c r="G756" s="43">
        <v>0</v>
      </c>
      <c r="H756" t="s">
        <v>198</v>
      </c>
      <c r="I756" s="44">
        <v>48288.53</v>
      </c>
      <c r="J756" s="44">
        <v>43819.47</v>
      </c>
      <c r="K756" s="44">
        <v>48459.51</v>
      </c>
    </row>
    <row r="757" spans="1:11" ht="16.95" hidden="1" customHeight="1" x14ac:dyDescent="0.3">
      <c r="A757" s="42" t="s">
        <v>299</v>
      </c>
      <c r="B757" s="42" t="s">
        <v>239</v>
      </c>
      <c r="C757" s="42" t="s">
        <v>210</v>
      </c>
      <c r="D757" s="42" t="s">
        <v>273</v>
      </c>
      <c r="E757" s="42" t="s">
        <v>241</v>
      </c>
      <c r="F757" s="42" t="s">
        <v>245</v>
      </c>
      <c r="G757" s="43">
        <v>0</v>
      </c>
      <c r="H757" t="s">
        <v>198</v>
      </c>
      <c r="I757" s="44">
        <v>43051.29</v>
      </c>
      <c r="J757" s="44">
        <v>35637.019999999997</v>
      </c>
      <c r="K757" t="s">
        <v>198</v>
      </c>
    </row>
    <row r="758" spans="1:11" ht="16.95" hidden="1" customHeight="1" x14ac:dyDescent="0.3">
      <c r="A758" s="42" t="s">
        <v>299</v>
      </c>
      <c r="B758" s="42" t="s">
        <v>239</v>
      </c>
      <c r="C758" s="42" t="s">
        <v>210</v>
      </c>
      <c r="D758" s="42" t="s">
        <v>273</v>
      </c>
      <c r="E758" s="42" t="s">
        <v>241</v>
      </c>
      <c r="F758" s="42" t="s">
        <v>246</v>
      </c>
      <c r="G758" s="43">
        <v>0</v>
      </c>
      <c r="H758" t="s">
        <v>198</v>
      </c>
      <c r="I758" s="44">
        <v>44309.98</v>
      </c>
      <c r="J758" s="44">
        <v>33192.93</v>
      </c>
      <c r="K758" t="s">
        <v>198</v>
      </c>
    </row>
    <row r="759" spans="1:11" ht="16.95" hidden="1" customHeight="1" x14ac:dyDescent="0.3">
      <c r="A759" s="42" t="s">
        <v>299</v>
      </c>
      <c r="B759" s="42" t="s">
        <v>239</v>
      </c>
      <c r="C759" s="42" t="s">
        <v>210</v>
      </c>
      <c r="D759" s="42" t="s">
        <v>273</v>
      </c>
      <c r="E759" s="42" t="s">
        <v>241</v>
      </c>
      <c r="F759" s="42" t="s">
        <v>247</v>
      </c>
      <c r="G759" s="43">
        <v>0</v>
      </c>
      <c r="H759" t="s">
        <v>198</v>
      </c>
      <c r="I759" s="44">
        <v>44314.96</v>
      </c>
      <c r="J759" s="44">
        <v>36556.730000000003</v>
      </c>
      <c r="K759" t="s">
        <v>198</v>
      </c>
    </row>
    <row r="760" spans="1:11" ht="16.95" hidden="1" customHeight="1" x14ac:dyDescent="0.3">
      <c r="A760" s="42" t="s">
        <v>299</v>
      </c>
      <c r="B760" s="42" t="s">
        <v>239</v>
      </c>
      <c r="C760" s="42" t="s">
        <v>210</v>
      </c>
      <c r="D760" s="42" t="s">
        <v>273</v>
      </c>
      <c r="E760" s="42" t="s">
        <v>241</v>
      </c>
      <c r="F760" s="42" t="s">
        <v>248</v>
      </c>
      <c r="G760" s="43">
        <v>0</v>
      </c>
      <c r="H760" t="s">
        <v>198</v>
      </c>
      <c r="I760" s="44">
        <v>45687.44</v>
      </c>
      <c r="J760" s="44">
        <v>33329.370000000003</v>
      </c>
      <c r="K760" t="s">
        <v>198</v>
      </c>
    </row>
    <row r="761" spans="1:11" ht="16.95" hidden="1" customHeight="1" x14ac:dyDescent="0.3">
      <c r="A761" s="42" t="s">
        <v>299</v>
      </c>
      <c r="B761" s="42" t="s">
        <v>239</v>
      </c>
      <c r="C761" s="42" t="s">
        <v>210</v>
      </c>
      <c r="D761" s="42" t="s">
        <v>273</v>
      </c>
      <c r="E761" s="42" t="s">
        <v>241</v>
      </c>
      <c r="F761" s="42" t="s">
        <v>249</v>
      </c>
      <c r="G761" s="43">
        <v>0</v>
      </c>
      <c r="H761" t="s">
        <v>198</v>
      </c>
      <c r="I761" s="44">
        <v>50182.29</v>
      </c>
      <c r="J761" s="44">
        <v>35997.69</v>
      </c>
      <c r="K761" t="s">
        <v>198</v>
      </c>
    </row>
    <row r="762" spans="1:11" ht="16.95" hidden="1" customHeight="1" x14ac:dyDescent="0.3">
      <c r="A762" s="42" t="s">
        <v>299</v>
      </c>
      <c r="B762" s="42" t="s">
        <v>239</v>
      </c>
      <c r="C762" s="42" t="s">
        <v>210</v>
      </c>
      <c r="D762" s="42" t="s">
        <v>273</v>
      </c>
      <c r="E762" s="42" t="s">
        <v>241</v>
      </c>
      <c r="F762" s="42" t="s">
        <v>250</v>
      </c>
      <c r="G762" s="43">
        <v>0</v>
      </c>
      <c r="H762" t="s">
        <v>198</v>
      </c>
      <c r="I762" s="44">
        <v>47757.99</v>
      </c>
      <c r="J762" s="44">
        <v>35884.519999999997</v>
      </c>
      <c r="K762" t="s">
        <v>198</v>
      </c>
    </row>
    <row r="763" spans="1:11" ht="16.95" hidden="1" customHeight="1" x14ac:dyDescent="0.3">
      <c r="A763" s="42" t="s">
        <v>299</v>
      </c>
      <c r="B763" s="42" t="s">
        <v>239</v>
      </c>
      <c r="C763" s="42" t="s">
        <v>210</v>
      </c>
      <c r="D763" s="42" t="s">
        <v>273</v>
      </c>
      <c r="E763" s="42" t="s">
        <v>241</v>
      </c>
      <c r="F763" s="42" t="s">
        <v>251</v>
      </c>
      <c r="G763" s="43">
        <v>0</v>
      </c>
      <c r="H763" t="s">
        <v>198</v>
      </c>
      <c r="I763" s="44">
        <v>46692.68</v>
      </c>
      <c r="J763" s="44">
        <v>37301.51</v>
      </c>
      <c r="K763" t="s">
        <v>198</v>
      </c>
    </row>
    <row r="764" spans="1:11" ht="16.95" hidden="1" customHeight="1" x14ac:dyDescent="0.3">
      <c r="A764" s="42" t="s">
        <v>299</v>
      </c>
      <c r="B764" s="42" t="s">
        <v>239</v>
      </c>
      <c r="C764" s="42" t="s">
        <v>210</v>
      </c>
      <c r="D764" s="42" t="s">
        <v>273</v>
      </c>
      <c r="E764" s="42" t="s">
        <v>241</v>
      </c>
      <c r="F764" s="42" t="s">
        <v>252</v>
      </c>
      <c r="G764" s="43">
        <v>0</v>
      </c>
      <c r="H764" t="s">
        <v>198</v>
      </c>
      <c r="I764" s="44">
        <v>47879.38</v>
      </c>
      <c r="J764" s="44">
        <v>39114.449999999997</v>
      </c>
      <c r="K764" t="s">
        <v>198</v>
      </c>
    </row>
    <row r="765" spans="1:11" ht="16.95" hidden="1" customHeight="1" x14ac:dyDescent="0.3">
      <c r="A765" s="42" t="s">
        <v>299</v>
      </c>
      <c r="B765" s="42" t="s">
        <v>239</v>
      </c>
      <c r="C765" s="42" t="s">
        <v>210</v>
      </c>
      <c r="D765" s="42" t="s">
        <v>273</v>
      </c>
      <c r="E765" s="42" t="s">
        <v>241</v>
      </c>
      <c r="F765" s="42" t="s">
        <v>253</v>
      </c>
      <c r="G765" s="43">
        <v>0</v>
      </c>
      <c r="H765" t="s">
        <v>198</v>
      </c>
      <c r="I765" s="44">
        <v>47870.44</v>
      </c>
      <c r="J765" s="44">
        <v>42279.78</v>
      </c>
      <c r="K765" t="s">
        <v>198</v>
      </c>
    </row>
    <row r="766" spans="1:11" ht="16.95" hidden="1" customHeight="1" x14ac:dyDescent="0.3">
      <c r="A766" s="42" t="s">
        <v>299</v>
      </c>
      <c r="B766" s="42" t="s">
        <v>239</v>
      </c>
      <c r="C766" s="42" t="s">
        <v>210</v>
      </c>
      <c r="D766" s="42" t="s">
        <v>274</v>
      </c>
      <c r="E766" s="42" t="s">
        <v>241</v>
      </c>
      <c r="F766" s="42" t="s">
        <v>242</v>
      </c>
      <c r="G766" s="44">
        <v>32543.58</v>
      </c>
      <c r="H766" s="44">
        <v>33756.15</v>
      </c>
      <c r="I766" s="44">
        <v>33845.29</v>
      </c>
      <c r="J766" s="44">
        <v>39191.99</v>
      </c>
      <c r="K766" s="44">
        <v>41121.370000000003</v>
      </c>
    </row>
    <row r="767" spans="1:11" ht="16.95" hidden="1" customHeight="1" x14ac:dyDescent="0.3">
      <c r="A767" s="42" t="s">
        <v>299</v>
      </c>
      <c r="B767" s="42" t="s">
        <v>239</v>
      </c>
      <c r="C767" s="42" t="s">
        <v>210</v>
      </c>
      <c r="D767" s="42" t="s">
        <v>274</v>
      </c>
      <c r="E767" s="42" t="s">
        <v>241</v>
      </c>
      <c r="F767" s="42" t="s">
        <v>243</v>
      </c>
      <c r="G767" s="44">
        <v>34132.480000000003</v>
      </c>
      <c r="H767" s="44">
        <v>34413.339999999997</v>
      </c>
      <c r="I767" s="44">
        <v>34458.629999999997</v>
      </c>
      <c r="J767" s="44">
        <v>39718.69</v>
      </c>
      <c r="K767" t="s">
        <v>198</v>
      </c>
    </row>
    <row r="768" spans="1:11" ht="16.95" hidden="1" customHeight="1" x14ac:dyDescent="0.3">
      <c r="A768" s="42" t="s">
        <v>299</v>
      </c>
      <c r="B768" s="42" t="s">
        <v>239</v>
      </c>
      <c r="C768" s="42" t="s">
        <v>210</v>
      </c>
      <c r="D768" s="42" t="s">
        <v>274</v>
      </c>
      <c r="E768" s="42" t="s">
        <v>241</v>
      </c>
      <c r="F768" s="42" t="s">
        <v>244</v>
      </c>
      <c r="G768" s="44">
        <v>34217.71</v>
      </c>
      <c r="H768" s="44">
        <v>32277.66</v>
      </c>
      <c r="I768" s="44">
        <v>35508.550000000003</v>
      </c>
      <c r="J768" s="44">
        <v>39930.769999999997</v>
      </c>
      <c r="K768" s="44">
        <v>40944.36</v>
      </c>
    </row>
    <row r="769" spans="1:11" ht="16.95" hidden="1" customHeight="1" x14ac:dyDescent="0.3">
      <c r="A769" s="42" t="s">
        <v>299</v>
      </c>
      <c r="B769" s="42" t="s">
        <v>239</v>
      </c>
      <c r="C769" s="42" t="s">
        <v>210</v>
      </c>
      <c r="D769" s="42" t="s">
        <v>274</v>
      </c>
      <c r="E769" s="42" t="s">
        <v>241</v>
      </c>
      <c r="F769" s="42" t="s">
        <v>245</v>
      </c>
      <c r="G769" s="44">
        <v>34250.49</v>
      </c>
      <c r="H769" s="44">
        <v>32891.49</v>
      </c>
      <c r="I769" s="44">
        <v>35197.74</v>
      </c>
      <c r="J769" s="44">
        <v>39977.67</v>
      </c>
      <c r="K769" t="s">
        <v>198</v>
      </c>
    </row>
    <row r="770" spans="1:11" ht="16.95" hidden="1" customHeight="1" x14ac:dyDescent="0.3">
      <c r="A770" s="42" t="s">
        <v>299</v>
      </c>
      <c r="B770" s="42" t="s">
        <v>239</v>
      </c>
      <c r="C770" s="42" t="s">
        <v>210</v>
      </c>
      <c r="D770" s="42" t="s">
        <v>274</v>
      </c>
      <c r="E770" s="42" t="s">
        <v>241</v>
      </c>
      <c r="F770" s="42" t="s">
        <v>246</v>
      </c>
      <c r="G770" s="44">
        <v>34409.69</v>
      </c>
      <c r="H770" s="44">
        <v>33628.81</v>
      </c>
      <c r="I770" s="44">
        <v>34650.980000000003</v>
      </c>
      <c r="J770" s="44">
        <v>39300.5</v>
      </c>
      <c r="K770" t="s">
        <v>198</v>
      </c>
    </row>
    <row r="771" spans="1:11" ht="16.95" hidden="1" customHeight="1" x14ac:dyDescent="0.3">
      <c r="A771" s="42" t="s">
        <v>299</v>
      </c>
      <c r="B771" s="42" t="s">
        <v>239</v>
      </c>
      <c r="C771" s="42" t="s">
        <v>210</v>
      </c>
      <c r="D771" s="42" t="s">
        <v>274</v>
      </c>
      <c r="E771" s="42" t="s">
        <v>241</v>
      </c>
      <c r="F771" s="42" t="s">
        <v>247</v>
      </c>
      <c r="G771" s="44">
        <v>34429.5</v>
      </c>
      <c r="H771" s="44">
        <v>33325.33</v>
      </c>
      <c r="I771" s="44">
        <v>34551.53</v>
      </c>
      <c r="J771" s="44">
        <v>39850.550000000003</v>
      </c>
      <c r="K771" t="s">
        <v>198</v>
      </c>
    </row>
    <row r="772" spans="1:11" ht="16.95" hidden="1" customHeight="1" x14ac:dyDescent="0.3">
      <c r="A772" s="42" t="s">
        <v>299</v>
      </c>
      <c r="B772" s="42" t="s">
        <v>239</v>
      </c>
      <c r="C772" s="42" t="s">
        <v>210</v>
      </c>
      <c r="D772" s="42" t="s">
        <v>274</v>
      </c>
      <c r="E772" s="42" t="s">
        <v>241</v>
      </c>
      <c r="F772" s="42" t="s">
        <v>248</v>
      </c>
      <c r="G772" s="44">
        <v>34268.78</v>
      </c>
      <c r="H772" s="44">
        <v>33409.910000000003</v>
      </c>
      <c r="I772" s="44">
        <v>34481.199999999997</v>
      </c>
      <c r="J772" s="44">
        <v>40173.730000000003</v>
      </c>
      <c r="K772" t="s">
        <v>198</v>
      </c>
    </row>
    <row r="773" spans="1:11" ht="16.95" hidden="1" customHeight="1" x14ac:dyDescent="0.3">
      <c r="A773" s="42" t="s">
        <v>299</v>
      </c>
      <c r="B773" s="42" t="s">
        <v>239</v>
      </c>
      <c r="C773" s="42" t="s">
        <v>210</v>
      </c>
      <c r="D773" s="42" t="s">
        <v>274</v>
      </c>
      <c r="E773" s="42" t="s">
        <v>241</v>
      </c>
      <c r="F773" s="42" t="s">
        <v>249</v>
      </c>
      <c r="G773" s="44">
        <v>34427.5</v>
      </c>
      <c r="H773" s="44">
        <v>33517.83</v>
      </c>
      <c r="I773" s="44">
        <v>34344.129999999997</v>
      </c>
      <c r="J773" s="44">
        <v>40545.550000000003</v>
      </c>
      <c r="K773" t="s">
        <v>198</v>
      </c>
    </row>
    <row r="774" spans="1:11" ht="16.95" hidden="1" customHeight="1" x14ac:dyDescent="0.3">
      <c r="A774" s="42" t="s">
        <v>299</v>
      </c>
      <c r="B774" s="42" t="s">
        <v>239</v>
      </c>
      <c r="C774" s="42" t="s">
        <v>210</v>
      </c>
      <c r="D774" s="42" t="s">
        <v>274</v>
      </c>
      <c r="E774" s="42" t="s">
        <v>241</v>
      </c>
      <c r="F774" s="42" t="s">
        <v>250</v>
      </c>
      <c r="G774" s="44">
        <v>34298.410000000003</v>
      </c>
      <c r="H774" s="44">
        <v>32466.82</v>
      </c>
      <c r="I774" s="44">
        <v>34223.17</v>
      </c>
      <c r="J774" s="44">
        <v>40326.050000000003</v>
      </c>
      <c r="K774" t="s">
        <v>198</v>
      </c>
    </row>
    <row r="775" spans="1:11" ht="16.95" hidden="1" customHeight="1" x14ac:dyDescent="0.3">
      <c r="A775" s="42" t="s">
        <v>299</v>
      </c>
      <c r="B775" s="42" t="s">
        <v>239</v>
      </c>
      <c r="C775" s="42" t="s">
        <v>210</v>
      </c>
      <c r="D775" s="42" t="s">
        <v>274</v>
      </c>
      <c r="E775" s="42" t="s">
        <v>241</v>
      </c>
      <c r="F775" s="42" t="s">
        <v>251</v>
      </c>
      <c r="G775" s="44">
        <v>34447.94</v>
      </c>
      <c r="H775" s="44">
        <v>32638.63</v>
      </c>
      <c r="I775" s="44">
        <v>34905.620000000003</v>
      </c>
      <c r="J775" s="44">
        <v>38472.699999999997</v>
      </c>
      <c r="K775" t="s">
        <v>198</v>
      </c>
    </row>
    <row r="776" spans="1:11" ht="16.95" hidden="1" customHeight="1" x14ac:dyDescent="0.3">
      <c r="A776" s="42" t="s">
        <v>299</v>
      </c>
      <c r="B776" s="42" t="s">
        <v>239</v>
      </c>
      <c r="C776" s="42" t="s">
        <v>210</v>
      </c>
      <c r="D776" s="42" t="s">
        <v>274</v>
      </c>
      <c r="E776" s="42" t="s">
        <v>241</v>
      </c>
      <c r="F776" s="42" t="s">
        <v>252</v>
      </c>
      <c r="G776" s="44">
        <v>34243.599999999999</v>
      </c>
      <c r="H776" s="44">
        <v>33083.660000000003</v>
      </c>
      <c r="I776" s="44">
        <v>35363.75</v>
      </c>
      <c r="J776" s="44">
        <v>38922.300000000003</v>
      </c>
      <c r="K776" t="s">
        <v>198</v>
      </c>
    </row>
    <row r="777" spans="1:11" ht="16.95" hidden="1" customHeight="1" x14ac:dyDescent="0.3">
      <c r="A777" s="42" t="s">
        <v>299</v>
      </c>
      <c r="B777" s="42" t="s">
        <v>239</v>
      </c>
      <c r="C777" s="42" t="s">
        <v>210</v>
      </c>
      <c r="D777" s="42" t="s">
        <v>274</v>
      </c>
      <c r="E777" s="42" t="s">
        <v>241</v>
      </c>
      <c r="F777" s="42" t="s">
        <v>253</v>
      </c>
      <c r="G777" s="44">
        <v>34203.54</v>
      </c>
      <c r="H777" s="44">
        <v>32531.94</v>
      </c>
      <c r="I777" s="44">
        <v>36279.449999999997</v>
      </c>
      <c r="J777" s="44">
        <v>38967.379999999997</v>
      </c>
      <c r="K777" t="s">
        <v>198</v>
      </c>
    </row>
    <row r="778" spans="1:11" ht="16.95" hidden="1" customHeight="1" x14ac:dyDescent="0.3">
      <c r="A778" s="42" t="s">
        <v>299</v>
      </c>
      <c r="B778" s="42" t="s">
        <v>239</v>
      </c>
      <c r="C778" s="42" t="s">
        <v>210</v>
      </c>
      <c r="D778" s="42" t="s">
        <v>275</v>
      </c>
      <c r="E778" s="42" t="s">
        <v>241</v>
      </c>
      <c r="F778" s="42" t="s">
        <v>242</v>
      </c>
      <c r="G778" t="s">
        <v>198</v>
      </c>
      <c r="H778" t="s">
        <v>198</v>
      </c>
      <c r="I778" t="s">
        <v>198</v>
      </c>
      <c r="J778" s="43">
        <v>78036</v>
      </c>
      <c r="K778" t="s">
        <v>198</v>
      </c>
    </row>
    <row r="779" spans="1:11" ht="16.95" hidden="1" customHeight="1" x14ac:dyDescent="0.3">
      <c r="A779" s="42" t="s">
        <v>299</v>
      </c>
      <c r="B779" s="42" t="s">
        <v>239</v>
      </c>
      <c r="C779" s="42" t="s">
        <v>210</v>
      </c>
      <c r="D779" s="42" t="s">
        <v>275</v>
      </c>
      <c r="E779" s="42" t="s">
        <v>241</v>
      </c>
      <c r="F779" s="42" t="s">
        <v>243</v>
      </c>
      <c r="G779" t="s">
        <v>198</v>
      </c>
      <c r="H779" t="s">
        <v>198</v>
      </c>
      <c r="I779" t="s">
        <v>198</v>
      </c>
      <c r="J779" s="43">
        <v>78105</v>
      </c>
      <c r="K779" s="43">
        <v>97477</v>
      </c>
    </row>
    <row r="780" spans="1:11" ht="16.95" hidden="1" customHeight="1" x14ac:dyDescent="0.3">
      <c r="A780" s="42" t="s">
        <v>299</v>
      </c>
      <c r="B780" s="42" t="s">
        <v>239</v>
      </c>
      <c r="C780" s="42" t="s">
        <v>210</v>
      </c>
      <c r="D780" s="42" t="s">
        <v>275</v>
      </c>
      <c r="E780" s="42" t="s">
        <v>241</v>
      </c>
      <c r="F780" s="42" t="s">
        <v>244</v>
      </c>
      <c r="G780" t="s">
        <v>198</v>
      </c>
      <c r="H780" t="s">
        <v>198</v>
      </c>
      <c r="I780" t="s">
        <v>198</v>
      </c>
      <c r="J780" s="43">
        <v>78105</v>
      </c>
      <c r="K780" t="s">
        <v>198</v>
      </c>
    </row>
    <row r="781" spans="1:11" ht="16.95" hidden="1" customHeight="1" x14ac:dyDescent="0.3">
      <c r="A781" s="42" t="s">
        <v>299</v>
      </c>
      <c r="B781" s="42" t="s">
        <v>239</v>
      </c>
      <c r="C781" s="42" t="s">
        <v>210</v>
      </c>
      <c r="D781" s="42" t="s">
        <v>275</v>
      </c>
      <c r="E781" s="42" t="s">
        <v>241</v>
      </c>
      <c r="F781" s="42" t="s">
        <v>245</v>
      </c>
      <c r="G781" t="s">
        <v>198</v>
      </c>
      <c r="H781" t="s">
        <v>198</v>
      </c>
      <c r="I781" t="s">
        <v>198</v>
      </c>
      <c r="J781" s="43">
        <v>78105</v>
      </c>
      <c r="K781" t="s">
        <v>198</v>
      </c>
    </row>
    <row r="782" spans="1:11" ht="16.95" hidden="1" customHeight="1" x14ac:dyDescent="0.3">
      <c r="A782" s="42" t="s">
        <v>299</v>
      </c>
      <c r="B782" s="42" t="s">
        <v>239</v>
      </c>
      <c r="C782" s="42" t="s">
        <v>210</v>
      </c>
      <c r="D782" s="42" t="s">
        <v>275</v>
      </c>
      <c r="E782" s="42" t="s">
        <v>241</v>
      </c>
      <c r="F782" s="42" t="s">
        <v>246</v>
      </c>
      <c r="G782" t="s">
        <v>198</v>
      </c>
      <c r="H782" t="s">
        <v>198</v>
      </c>
      <c r="I782" t="s">
        <v>198</v>
      </c>
      <c r="J782" s="43">
        <v>78105</v>
      </c>
      <c r="K782" t="s">
        <v>198</v>
      </c>
    </row>
    <row r="783" spans="1:11" ht="16.95" hidden="1" customHeight="1" x14ac:dyDescent="0.3">
      <c r="A783" s="42" t="s">
        <v>299</v>
      </c>
      <c r="B783" s="42" t="s">
        <v>239</v>
      </c>
      <c r="C783" s="42" t="s">
        <v>210</v>
      </c>
      <c r="D783" s="42" t="s">
        <v>275</v>
      </c>
      <c r="E783" s="42" t="s">
        <v>241</v>
      </c>
      <c r="F783" s="42" t="s">
        <v>247</v>
      </c>
      <c r="G783" t="s">
        <v>198</v>
      </c>
      <c r="H783" t="s">
        <v>198</v>
      </c>
      <c r="I783" t="s">
        <v>198</v>
      </c>
      <c r="J783" s="43">
        <v>80077</v>
      </c>
      <c r="K783" t="s">
        <v>198</v>
      </c>
    </row>
    <row r="784" spans="1:11" ht="16.95" hidden="1" customHeight="1" x14ac:dyDescent="0.3">
      <c r="A784" s="42" t="s">
        <v>299</v>
      </c>
      <c r="B784" s="42" t="s">
        <v>239</v>
      </c>
      <c r="C784" s="42" t="s">
        <v>210</v>
      </c>
      <c r="D784" s="42" t="s">
        <v>275</v>
      </c>
      <c r="E784" s="42" t="s">
        <v>241</v>
      </c>
      <c r="F784" s="42" t="s">
        <v>248</v>
      </c>
      <c r="G784" t="s">
        <v>198</v>
      </c>
      <c r="H784" t="s">
        <v>198</v>
      </c>
      <c r="I784" t="s">
        <v>198</v>
      </c>
      <c r="J784" s="43">
        <v>80077</v>
      </c>
      <c r="K784" t="s">
        <v>198</v>
      </c>
    </row>
    <row r="785" spans="1:11" ht="16.95" hidden="1" customHeight="1" x14ac:dyDescent="0.3">
      <c r="A785" s="42" t="s">
        <v>299</v>
      </c>
      <c r="B785" s="42" t="s">
        <v>239</v>
      </c>
      <c r="C785" s="42" t="s">
        <v>210</v>
      </c>
      <c r="D785" s="42" t="s">
        <v>275</v>
      </c>
      <c r="E785" s="42" t="s">
        <v>241</v>
      </c>
      <c r="F785" s="42" t="s">
        <v>249</v>
      </c>
      <c r="G785" t="s">
        <v>198</v>
      </c>
      <c r="H785" t="s">
        <v>198</v>
      </c>
      <c r="I785" t="s">
        <v>198</v>
      </c>
      <c r="J785" s="43">
        <v>80077</v>
      </c>
      <c r="K785" t="s">
        <v>198</v>
      </c>
    </row>
    <row r="786" spans="1:11" ht="16.95" hidden="1" customHeight="1" x14ac:dyDescent="0.3">
      <c r="A786" s="42" t="s">
        <v>299</v>
      </c>
      <c r="B786" s="42" t="s">
        <v>239</v>
      </c>
      <c r="C786" s="42" t="s">
        <v>210</v>
      </c>
      <c r="D786" s="42" t="s">
        <v>275</v>
      </c>
      <c r="E786" s="42" t="s">
        <v>241</v>
      </c>
      <c r="F786" s="42" t="s">
        <v>250</v>
      </c>
      <c r="G786" t="s">
        <v>198</v>
      </c>
      <c r="H786" t="s">
        <v>198</v>
      </c>
      <c r="I786" t="s">
        <v>198</v>
      </c>
      <c r="J786" s="43">
        <v>80077</v>
      </c>
      <c r="K786" t="s">
        <v>198</v>
      </c>
    </row>
    <row r="787" spans="1:11" ht="16.95" hidden="1" customHeight="1" x14ac:dyDescent="0.3">
      <c r="A787" s="42" t="s">
        <v>299</v>
      </c>
      <c r="B787" s="42" t="s">
        <v>239</v>
      </c>
      <c r="C787" s="42" t="s">
        <v>210</v>
      </c>
      <c r="D787" s="42" t="s">
        <v>275</v>
      </c>
      <c r="E787" s="42" t="s">
        <v>241</v>
      </c>
      <c r="F787" s="42" t="s">
        <v>251</v>
      </c>
      <c r="G787" t="s">
        <v>198</v>
      </c>
      <c r="H787" t="s">
        <v>198</v>
      </c>
      <c r="I787" t="s">
        <v>198</v>
      </c>
      <c r="J787" s="43">
        <v>82049</v>
      </c>
      <c r="K787" t="s">
        <v>198</v>
      </c>
    </row>
    <row r="788" spans="1:11" ht="16.95" hidden="1" customHeight="1" x14ac:dyDescent="0.3">
      <c r="A788" s="42" t="s">
        <v>299</v>
      </c>
      <c r="B788" s="42" t="s">
        <v>239</v>
      </c>
      <c r="C788" s="42" t="s">
        <v>210</v>
      </c>
      <c r="D788" s="42" t="s">
        <v>275</v>
      </c>
      <c r="E788" s="42" t="s">
        <v>241</v>
      </c>
      <c r="F788" s="42" t="s">
        <v>252</v>
      </c>
      <c r="G788" t="s">
        <v>198</v>
      </c>
      <c r="H788" t="s">
        <v>198</v>
      </c>
      <c r="I788" t="s">
        <v>198</v>
      </c>
      <c r="J788" s="43">
        <v>82049</v>
      </c>
      <c r="K788" t="s">
        <v>198</v>
      </c>
    </row>
    <row r="789" spans="1:11" ht="16.95" hidden="1" customHeight="1" x14ac:dyDescent="0.3">
      <c r="A789" s="42" t="s">
        <v>299</v>
      </c>
      <c r="B789" s="42" t="s">
        <v>239</v>
      </c>
      <c r="C789" s="42" t="s">
        <v>210</v>
      </c>
      <c r="D789" s="42" t="s">
        <v>275</v>
      </c>
      <c r="E789" s="42" t="s">
        <v>241</v>
      </c>
      <c r="F789" s="42" t="s">
        <v>253</v>
      </c>
      <c r="G789" t="s">
        <v>198</v>
      </c>
      <c r="H789" t="s">
        <v>198</v>
      </c>
      <c r="I789" t="s">
        <v>198</v>
      </c>
      <c r="J789" s="44">
        <v>82049.009999999995</v>
      </c>
      <c r="K789" t="s">
        <v>198</v>
      </c>
    </row>
    <row r="790" spans="1:11" ht="16.95" hidden="1" customHeight="1" x14ac:dyDescent="0.3">
      <c r="A790" s="42" t="s">
        <v>299</v>
      </c>
      <c r="B790" s="42" t="s">
        <v>239</v>
      </c>
      <c r="C790" s="42" t="s">
        <v>210</v>
      </c>
      <c r="D790" s="42" t="s">
        <v>276</v>
      </c>
      <c r="E790" s="42" t="s">
        <v>241</v>
      </c>
      <c r="F790" s="42" t="s">
        <v>242</v>
      </c>
      <c r="G790" t="s">
        <v>198</v>
      </c>
      <c r="H790" t="s">
        <v>198</v>
      </c>
      <c r="I790" t="s">
        <v>198</v>
      </c>
      <c r="J790" s="44">
        <v>61870.47</v>
      </c>
      <c r="K790" s="44">
        <v>63117.09</v>
      </c>
    </row>
    <row r="791" spans="1:11" ht="16.95" hidden="1" customHeight="1" x14ac:dyDescent="0.3">
      <c r="A791" s="42" t="s">
        <v>299</v>
      </c>
      <c r="B791" s="42" t="s">
        <v>239</v>
      </c>
      <c r="C791" s="42" t="s">
        <v>210</v>
      </c>
      <c r="D791" s="42" t="s">
        <v>276</v>
      </c>
      <c r="E791" s="42" t="s">
        <v>241</v>
      </c>
      <c r="F791" s="42" t="s">
        <v>243</v>
      </c>
      <c r="G791" t="s">
        <v>198</v>
      </c>
      <c r="H791" t="s">
        <v>198</v>
      </c>
      <c r="I791" t="s">
        <v>198</v>
      </c>
      <c r="J791" s="44">
        <v>59115.14</v>
      </c>
      <c r="K791" s="44">
        <v>71728.14</v>
      </c>
    </row>
    <row r="792" spans="1:11" ht="16.95" hidden="1" customHeight="1" x14ac:dyDescent="0.3">
      <c r="A792" s="42" t="s">
        <v>299</v>
      </c>
      <c r="B792" s="42" t="s">
        <v>239</v>
      </c>
      <c r="C792" s="42" t="s">
        <v>210</v>
      </c>
      <c r="D792" s="42" t="s">
        <v>276</v>
      </c>
      <c r="E792" s="42" t="s">
        <v>241</v>
      </c>
      <c r="F792" s="42" t="s">
        <v>244</v>
      </c>
      <c r="G792" t="s">
        <v>198</v>
      </c>
      <c r="H792" t="s">
        <v>198</v>
      </c>
      <c r="I792" t="s">
        <v>198</v>
      </c>
      <c r="J792" s="43">
        <v>60371</v>
      </c>
      <c r="K792" s="44">
        <v>72105.23</v>
      </c>
    </row>
    <row r="793" spans="1:11" ht="16.95" hidden="1" customHeight="1" x14ac:dyDescent="0.3">
      <c r="A793" s="42" t="s">
        <v>299</v>
      </c>
      <c r="B793" s="42" t="s">
        <v>239</v>
      </c>
      <c r="C793" s="42" t="s">
        <v>210</v>
      </c>
      <c r="D793" s="42" t="s">
        <v>276</v>
      </c>
      <c r="E793" s="42" t="s">
        <v>241</v>
      </c>
      <c r="F793" s="42" t="s">
        <v>245</v>
      </c>
      <c r="G793" t="s">
        <v>198</v>
      </c>
      <c r="H793" t="s">
        <v>198</v>
      </c>
      <c r="I793" t="s">
        <v>198</v>
      </c>
      <c r="J793" s="44">
        <v>60442.2</v>
      </c>
      <c r="K793" t="s">
        <v>198</v>
      </c>
    </row>
    <row r="794" spans="1:11" ht="16.95" hidden="1" customHeight="1" x14ac:dyDescent="0.3">
      <c r="A794" s="42" t="s">
        <v>299</v>
      </c>
      <c r="B794" s="42" t="s">
        <v>239</v>
      </c>
      <c r="C794" s="42" t="s">
        <v>210</v>
      </c>
      <c r="D794" s="42" t="s">
        <v>276</v>
      </c>
      <c r="E794" s="42" t="s">
        <v>241</v>
      </c>
      <c r="F794" s="42" t="s">
        <v>246</v>
      </c>
      <c r="G794" t="s">
        <v>198</v>
      </c>
      <c r="H794" t="s">
        <v>198</v>
      </c>
      <c r="I794" t="s">
        <v>198</v>
      </c>
      <c r="J794" s="44">
        <v>59632.1</v>
      </c>
      <c r="K794" t="s">
        <v>198</v>
      </c>
    </row>
    <row r="795" spans="1:11" ht="16.95" hidden="1" customHeight="1" x14ac:dyDescent="0.3">
      <c r="A795" s="42" t="s">
        <v>299</v>
      </c>
      <c r="B795" s="42" t="s">
        <v>239</v>
      </c>
      <c r="C795" s="42" t="s">
        <v>210</v>
      </c>
      <c r="D795" s="42" t="s">
        <v>276</v>
      </c>
      <c r="E795" s="42" t="s">
        <v>241</v>
      </c>
      <c r="F795" s="42" t="s">
        <v>247</v>
      </c>
      <c r="G795" t="s">
        <v>198</v>
      </c>
      <c r="H795" t="s">
        <v>198</v>
      </c>
      <c r="I795" t="s">
        <v>198</v>
      </c>
      <c r="J795" s="44">
        <v>61691.37</v>
      </c>
      <c r="K795" t="s">
        <v>198</v>
      </c>
    </row>
    <row r="796" spans="1:11" ht="16.95" hidden="1" customHeight="1" x14ac:dyDescent="0.3">
      <c r="A796" s="42" t="s">
        <v>299</v>
      </c>
      <c r="B796" s="42" t="s">
        <v>239</v>
      </c>
      <c r="C796" s="42" t="s">
        <v>210</v>
      </c>
      <c r="D796" s="42" t="s">
        <v>276</v>
      </c>
      <c r="E796" s="42" t="s">
        <v>241</v>
      </c>
      <c r="F796" s="42" t="s">
        <v>248</v>
      </c>
      <c r="G796" t="s">
        <v>198</v>
      </c>
      <c r="H796" t="s">
        <v>198</v>
      </c>
      <c r="I796" t="s">
        <v>198</v>
      </c>
      <c r="J796" s="44">
        <v>61538.61</v>
      </c>
      <c r="K796" t="s">
        <v>198</v>
      </c>
    </row>
    <row r="797" spans="1:11" ht="16.95" hidden="1" customHeight="1" x14ac:dyDescent="0.3">
      <c r="A797" s="42" t="s">
        <v>299</v>
      </c>
      <c r="B797" s="42" t="s">
        <v>239</v>
      </c>
      <c r="C797" s="42" t="s">
        <v>210</v>
      </c>
      <c r="D797" s="42" t="s">
        <v>276</v>
      </c>
      <c r="E797" s="42" t="s">
        <v>241</v>
      </c>
      <c r="F797" s="42" t="s">
        <v>249</v>
      </c>
      <c r="G797" t="s">
        <v>198</v>
      </c>
      <c r="H797" t="s">
        <v>198</v>
      </c>
      <c r="I797" t="s">
        <v>198</v>
      </c>
      <c r="J797" s="44">
        <v>59837.47</v>
      </c>
      <c r="K797" t="s">
        <v>198</v>
      </c>
    </row>
    <row r="798" spans="1:11" ht="16.95" hidden="1" customHeight="1" x14ac:dyDescent="0.3">
      <c r="A798" s="42" t="s">
        <v>299</v>
      </c>
      <c r="B798" s="42" t="s">
        <v>239</v>
      </c>
      <c r="C798" s="42" t="s">
        <v>210</v>
      </c>
      <c r="D798" s="42" t="s">
        <v>276</v>
      </c>
      <c r="E798" s="42" t="s">
        <v>241</v>
      </c>
      <c r="F798" s="42" t="s">
        <v>250</v>
      </c>
      <c r="G798" t="s">
        <v>198</v>
      </c>
      <c r="H798" t="s">
        <v>198</v>
      </c>
      <c r="I798" t="s">
        <v>198</v>
      </c>
      <c r="J798" s="44">
        <v>60020.73</v>
      </c>
      <c r="K798" t="s">
        <v>198</v>
      </c>
    </row>
    <row r="799" spans="1:11" ht="16.95" hidden="1" customHeight="1" x14ac:dyDescent="0.3">
      <c r="A799" s="42" t="s">
        <v>299</v>
      </c>
      <c r="B799" s="42" t="s">
        <v>239</v>
      </c>
      <c r="C799" s="42" t="s">
        <v>210</v>
      </c>
      <c r="D799" s="42" t="s">
        <v>276</v>
      </c>
      <c r="E799" s="42" t="s">
        <v>241</v>
      </c>
      <c r="F799" s="42" t="s">
        <v>251</v>
      </c>
      <c r="G799" t="s">
        <v>198</v>
      </c>
      <c r="H799" t="s">
        <v>198</v>
      </c>
      <c r="I799" t="s">
        <v>198</v>
      </c>
      <c r="J799" s="44">
        <v>60900.99</v>
      </c>
      <c r="K799" t="s">
        <v>198</v>
      </c>
    </row>
    <row r="800" spans="1:11" ht="16.95" hidden="1" customHeight="1" x14ac:dyDescent="0.3">
      <c r="A800" s="42" t="s">
        <v>299</v>
      </c>
      <c r="B800" s="42" t="s">
        <v>239</v>
      </c>
      <c r="C800" s="42" t="s">
        <v>210</v>
      </c>
      <c r="D800" s="42" t="s">
        <v>276</v>
      </c>
      <c r="E800" s="42" t="s">
        <v>241</v>
      </c>
      <c r="F800" s="42" t="s">
        <v>252</v>
      </c>
      <c r="G800" t="s">
        <v>198</v>
      </c>
      <c r="H800" t="s">
        <v>198</v>
      </c>
      <c r="I800" t="s">
        <v>198</v>
      </c>
      <c r="J800" s="44">
        <v>60627.64</v>
      </c>
      <c r="K800" t="s">
        <v>198</v>
      </c>
    </row>
    <row r="801" spans="1:11" ht="16.95" hidden="1" customHeight="1" x14ac:dyDescent="0.3">
      <c r="A801" s="42" t="s">
        <v>299</v>
      </c>
      <c r="B801" s="42" t="s">
        <v>239</v>
      </c>
      <c r="C801" s="42" t="s">
        <v>210</v>
      </c>
      <c r="D801" s="42" t="s">
        <v>276</v>
      </c>
      <c r="E801" s="42" t="s">
        <v>241</v>
      </c>
      <c r="F801" s="42" t="s">
        <v>253</v>
      </c>
      <c r="G801" t="s">
        <v>198</v>
      </c>
      <c r="H801" t="s">
        <v>198</v>
      </c>
      <c r="I801" t="s">
        <v>198</v>
      </c>
      <c r="J801" s="44">
        <v>61838.13</v>
      </c>
      <c r="K801" t="s">
        <v>198</v>
      </c>
    </row>
    <row r="802" spans="1:11" ht="16.95" hidden="1" customHeight="1" x14ac:dyDescent="0.3">
      <c r="A802" s="42" t="s">
        <v>299</v>
      </c>
      <c r="B802" s="42" t="s">
        <v>239</v>
      </c>
      <c r="C802" s="42" t="s">
        <v>210</v>
      </c>
      <c r="D802" s="42" t="s">
        <v>277</v>
      </c>
      <c r="E802" s="42" t="s">
        <v>241</v>
      </c>
      <c r="F802" s="42" t="s">
        <v>242</v>
      </c>
      <c r="G802" s="44">
        <v>45049.14</v>
      </c>
      <c r="H802" s="44">
        <v>55951.57</v>
      </c>
      <c r="I802" s="44">
        <v>76703.570000000007</v>
      </c>
      <c r="J802" s="44">
        <v>73583.98</v>
      </c>
      <c r="K802" s="44">
        <v>67463.12</v>
      </c>
    </row>
    <row r="803" spans="1:11" ht="16.95" hidden="1" customHeight="1" x14ac:dyDescent="0.3">
      <c r="A803" s="42" t="s">
        <v>299</v>
      </c>
      <c r="B803" s="42" t="s">
        <v>239</v>
      </c>
      <c r="C803" s="42" t="s">
        <v>210</v>
      </c>
      <c r="D803" s="42" t="s">
        <v>277</v>
      </c>
      <c r="E803" s="42" t="s">
        <v>241</v>
      </c>
      <c r="F803" s="42" t="s">
        <v>243</v>
      </c>
      <c r="G803" s="44">
        <v>45423.3</v>
      </c>
      <c r="H803" s="44">
        <v>59220.77</v>
      </c>
      <c r="I803" s="44">
        <v>69667.63</v>
      </c>
      <c r="J803" s="44">
        <v>66965.89</v>
      </c>
      <c r="K803" s="44">
        <v>67978.429999999993</v>
      </c>
    </row>
    <row r="804" spans="1:11" ht="16.95" hidden="1" customHeight="1" x14ac:dyDescent="0.3">
      <c r="A804" s="42" t="s">
        <v>299</v>
      </c>
      <c r="B804" s="42" t="s">
        <v>239</v>
      </c>
      <c r="C804" s="42" t="s">
        <v>210</v>
      </c>
      <c r="D804" s="42" t="s">
        <v>277</v>
      </c>
      <c r="E804" s="42" t="s">
        <v>241</v>
      </c>
      <c r="F804" s="42" t="s">
        <v>244</v>
      </c>
      <c r="G804" s="44">
        <v>48301.63</v>
      </c>
      <c r="H804" s="44">
        <v>57285.5</v>
      </c>
      <c r="I804" s="44">
        <v>68534.710000000006</v>
      </c>
      <c r="J804" s="44">
        <v>67919.070000000007</v>
      </c>
      <c r="K804" s="44">
        <v>69608.91</v>
      </c>
    </row>
    <row r="805" spans="1:11" ht="16.95" hidden="1" customHeight="1" x14ac:dyDescent="0.3">
      <c r="A805" s="42" t="s">
        <v>299</v>
      </c>
      <c r="B805" s="42" t="s">
        <v>239</v>
      </c>
      <c r="C805" s="42" t="s">
        <v>210</v>
      </c>
      <c r="D805" s="42" t="s">
        <v>277</v>
      </c>
      <c r="E805" s="42" t="s">
        <v>241</v>
      </c>
      <c r="F805" s="42" t="s">
        <v>245</v>
      </c>
      <c r="G805" s="44">
        <v>49007.07</v>
      </c>
      <c r="H805" s="44">
        <v>60769.29</v>
      </c>
      <c r="I805" s="44">
        <v>72778.100000000006</v>
      </c>
      <c r="J805" s="44">
        <v>68514.649999999994</v>
      </c>
      <c r="K805" t="s">
        <v>198</v>
      </c>
    </row>
    <row r="806" spans="1:11" ht="16.95" hidden="1" customHeight="1" x14ac:dyDescent="0.3">
      <c r="A806" s="42" t="s">
        <v>299</v>
      </c>
      <c r="B806" s="42" t="s">
        <v>239</v>
      </c>
      <c r="C806" s="42" t="s">
        <v>210</v>
      </c>
      <c r="D806" s="42" t="s">
        <v>277</v>
      </c>
      <c r="E806" s="42" t="s">
        <v>241</v>
      </c>
      <c r="F806" s="42" t="s">
        <v>246</v>
      </c>
      <c r="G806" s="44">
        <v>48017.23</v>
      </c>
      <c r="H806" s="44">
        <v>63508.32</v>
      </c>
      <c r="I806" s="44">
        <v>69728.59</v>
      </c>
      <c r="J806" s="44">
        <v>67287.850000000006</v>
      </c>
      <c r="K806" t="s">
        <v>198</v>
      </c>
    </row>
    <row r="807" spans="1:11" ht="16.95" hidden="1" customHeight="1" x14ac:dyDescent="0.3">
      <c r="A807" s="42" t="s">
        <v>299</v>
      </c>
      <c r="B807" s="42" t="s">
        <v>239</v>
      </c>
      <c r="C807" s="42" t="s">
        <v>210</v>
      </c>
      <c r="D807" s="42" t="s">
        <v>277</v>
      </c>
      <c r="E807" s="42" t="s">
        <v>241</v>
      </c>
      <c r="F807" s="42" t="s">
        <v>247</v>
      </c>
      <c r="G807" s="44">
        <v>48429.23</v>
      </c>
      <c r="H807" s="44">
        <v>61469.79</v>
      </c>
      <c r="I807" s="44">
        <v>66963.67</v>
      </c>
      <c r="J807" s="44">
        <v>70163.72</v>
      </c>
      <c r="K807" t="s">
        <v>198</v>
      </c>
    </row>
    <row r="808" spans="1:11" ht="16.95" hidden="1" customHeight="1" x14ac:dyDescent="0.3">
      <c r="A808" s="42" t="s">
        <v>299</v>
      </c>
      <c r="B808" s="42" t="s">
        <v>239</v>
      </c>
      <c r="C808" s="42" t="s">
        <v>210</v>
      </c>
      <c r="D808" s="42" t="s">
        <v>277</v>
      </c>
      <c r="E808" s="42" t="s">
        <v>241</v>
      </c>
      <c r="F808" s="42" t="s">
        <v>248</v>
      </c>
      <c r="G808" s="44">
        <v>48760.49</v>
      </c>
      <c r="H808" s="44">
        <v>67784.73</v>
      </c>
      <c r="I808" s="44">
        <v>71214.05</v>
      </c>
      <c r="J808" s="44">
        <v>61981.53</v>
      </c>
      <c r="K808" t="s">
        <v>198</v>
      </c>
    </row>
    <row r="809" spans="1:11" ht="16.95" hidden="1" customHeight="1" x14ac:dyDescent="0.3">
      <c r="A809" s="42" t="s">
        <v>299</v>
      </c>
      <c r="B809" s="42" t="s">
        <v>239</v>
      </c>
      <c r="C809" s="42" t="s">
        <v>210</v>
      </c>
      <c r="D809" s="42" t="s">
        <v>277</v>
      </c>
      <c r="E809" s="42" t="s">
        <v>241</v>
      </c>
      <c r="F809" s="42" t="s">
        <v>249</v>
      </c>
      <c r="G809" s="44">
        <v>50668.21</v>
      </c>
      <c r="H809" s="44">
        <v>66648.38</v>
      </c>
      <c r="I809" s="44">
        <v>68775.41</v>
      </c>
      <c r="J809" s="44">
        <v>67239.73</v>
      </c>
      <c r="K809" t="s">
        <v>198</v>
      </c>
    </row>
    <row r="810" spans="1:11" ht="16.95" hidden="1" customHeight="1" x14ac:dyDescent="0.3">
      <c r="A810" s="42" t="s">
        <v>299</v>
      </c>
      <c r="B810" s="42" t="s">
        <v>239</v>
      </c>
      <c r="C810" s="42" t="s">
        <v>210</v>
      </c>
      <c r="D810" s="42" t="s">
        <v>277</v>
      </c>
      <c r="E810" s="42" t="s">
        <v>241</v>
      </c>
      <c r="F810" s="42" t="s">
        <v>250</v>
      </c>
      <c r="G810" s="44">
        <v>48937.46</v>
      </c>
      <c r="H810" s="44">
        <v>66225.73</v>
      </c>
      <c r="I810" s="44">
        <v>73016.929999999993</v>
      </c>
      <c r="J810" s="44">
        <v>67367.100000000006</v>
      </c>
      <c r="K810" t="s">
        <v>198</v>
      </c>
    </row>
    <row r="811" spans="1:11" ht="16.95" hidden="1" customHeight="1" x14ac:dyDescent="0.3">
      <c r="A811" s="42" t="s">
        <v>299</v>
      </c>
      <c r="B811" s="42" t="s">
        <v>239</v>
      </c>
      <c r="C811" s="42" t="s">
        <v>210</v>
      </c>
      <c r="D811" s="42" t="s">
        <v>277</v>
      </c>
      <c r="E811" s="42" t="s">
        <v>241</v>
      </c>
      <c r="F811" s="42" t="s">
        <v>251</v>
      </c>
      <c r="G811" s="44">
        <v>53033.07</v>
      </c>
      <c r="H811" s="44">
        <v>71649.62</v>
      </c>
      <c r="I811" s="44">
        <v>73989.7</v>
      </c>
      <c r="J811" s="44">
        <v>63070.27</v>
      </c>
      <c r="K811" t="s">
        <v>198</v>
      </c>
    </row>
    <row r="812" spans="1:11" ht="16.95" hidden="1" customHeight="1" x14ac:dyDescent="0.3">
      <c r="A812" s="42" t="s">
        <v>299</v>
      </c>
      <c r="B812" s="42" t="s">
        <v>239</v>
      </c>
      <c r="C812" s="42" t="s">
        <v>210</v>
      </c>
      <c r="D812" s="42" t="s">
        <v>277</v>
      </c>
      <c r="E812" s="42" t="s">
        <v>241</v>
      </c>
      <c r="F812" s="42" t="s">
        <v>252</v>
      </c>
      <c r="G812" s="44">
        <v>55525.35</v>
      </c>
      <c r="H812" s="44">
        <v>73481.210000000006</v>
      </c>
      <c r="I812" s="44">
        <v>71785.61</v>
      </c>
      <c r="J812" s="44">
        <v>69056.27</v>
      </c>
      <c r="K812" t="s">
        <v>198</v>
      </c>
    </row>
    <row r="813" spans="1:11" ht="16.95" hidden="1" customHeight="1" x14ac:dyDescent="0.3">
      <c r="A813" s="42" t="s">
        <v>299</v>
      </c>
      <c r="B813" s="42" t="s">
        <v>239</v>
      </c>
      <c r="C813" s="42" t="s">
        <v>210</v>
      </c>
      <c r="D813" s="42" t="s">
        <v>277</v>
      </c>
      <c r="E813" s="42" t="s">
        <v>241</v>
      </c>
      <c r="F813" s="42" t="s">
        <v>253</v>
      </c>
      <c r="G813" s="44">
        <v>56449.53</v>
      </c>
      <c r="H813" s="44">
        <v>72131.56</v>
      </c>
      <c r="I813" s="44">
        <v>70690.990000000005</v>
      </c>
      <c r="J813" s="44">
        <v>68040.820000000007</v>
      </c>
      <c r="K813" t="s">
        <v>198</v>
      </c>
    </row>
    <row r="814" spans="1:11" ht="16.95" hidden="1" customHeight="1" x14ac:dyDescent="0.3">
      <c r="A814" s="42" t="s">
        <v>299</v>
      </c>
      <c r="B814" s="42" t="s">
        <v>239</v>
      </c>
      <c r="C814" s="42" t="s">
        <v>210</v>
      </c>
      <c r="D814" s="42" t="s">
        <v>278</v>
      </c>
      <c r="E814" s="42" t="s">
        <v>241</v>
      </c>
      <c r="F814" s="42" t="s">
        <v>242</v>
      </c>
      <c r="G814" s="44">
        <v>53152.46</v>
      </c>
      <c r="H814" s="44">
        <v>57395.21</v>
      </c>
      <c r="I814" s="44">
        <v>61202.91</v>
      </c>
      <c r="J814" s="44">
        <v>63018.23</v>
      </c>
      <c r="K814" s="44">
        <v>79589.14</v>
      </c>
    </row>
    <row r="815" spans="1:11" ht="16.95" hidden="1" customHeight="1" x14ac:dyDescent="0.3">
      <c r="A815" s="42" t="s">
        <v>299</v>
      </c>
      <c r="B815" s="42" t="s">
        <v>239</v>
      </c>
      <c r="C815" s="42" t="s">
        <v>210</v>
      </c>
      <c r="D815" s="42" t="s">
        <v>278</v>
      </c>
      <c r="E815" s="42" t="s">
        <v>241</v>
      </c>
      <c r="F815" s="42" t="s">
        <v>243</v>
      </c>
      <c r="G815" s="44">
        <v>52306.879999999997</v>
      </c>
      <c r="H815" s="44">
        <v>57306.69</v>
      </c>
      <c r="I815" s="44">
        <v>61010.5</v>
      </c>
      <c r="J815" s="44">
        <v>59970.19</v>
      </c>
      <c r="K815" s="44">
        <v>83037.52</v>
      </c>
    </row>
    <row r="816" spans="1:11" ht="16.95" hidden="1" customHeight="1" x14ac:dyDescent="0.3">
      <c r="A816" s="42" t="s">
        <v>299</v>
      </c>
      <c r="B816" s="42" t="s">
        <v>239</v>
      </c>
      <c r="C816" s="42" t="s">
        <v>210</v>
      </c>
      <c r="D816" s="42" t="s">
        <v>278</v>
      </c>
      <c r="E816" s="42" t="s">
        <v>241</v>
      </c>
      <c r="F816" s="42" t="s">
        <v>244</v>
      </c>
      <c r="G816" s="44">
        <v>57249.3</v>
      </c>
      <c r="H816" s="44">
        <v>58804.34</v>
      </c>
      <c r="I816" s="44">
        <v>61474.65</v>
      </c>
      <c r="J816" s="44">
        <v>61566.38</v>
      </c>
      <c r="K816" s="44">
        <v>84244.01</v>
      </c>
    </row>
    <row r="817" spans="1:11" ht="16.95" hidden="1" customHeight="1" x14ac:dyDescent="0.3">
      <c r="A817" s="42" t="s">
        <v>299</v>
      </c>
      <c r="B817" s="42" t="s">
        <v>239</v>
      </c>
      <c r="C817" s="42" t="s">
        <v>210</v>
      </c>
      <c r="D817" s="42" t="s">
        <v>278</v>
      </c>
      <c r="E817" s="42" t="s">
        <v>241</v>
      </c>
      <c r="F817" s="42" t="s">
        <v>245</v>
      </c>
      <c r="G817" s="44">
        <v>53098.36</v>
      </c>
      <c r="H817" s="44">
        <v>58365.8</v>
      </c>
      <c r="I817" s="44">
        <v>63593.82</v>
      </c>
      <c r="J817" s="44">
        <v>65629.2</v>
      </c>
      <c r="K817" t="s">
        <v>198</v>
      </c>
    </row>
    <row r="818" spans="1:11" ht="16.95" hidden="1" customHeight="1" x14ac:dyDescent="0.3">
      <c r="A818" s="42" t="s">
        <v>299</v>
      </c>
      <c r="B818" s="42" t="s">
        <v>239</v>
      </c>
      <c r="C818" s="42" t="s">
        <v>210</v>
      </c>
      <c r="D818" s="42" t="s">
        <v>278</v>
      </c>
      <c r="E818" s="42" t="s">
        <v>241</v>
      </c>
      <c r="F818" s="42" t="s">
        <v>246</v>
      </c>
      <c r="G818" s="44">
        <v>53198.09</v>
      </c>
      <c r="H818" s="44">
        <v>59999.64</v>
      </c>
      <c r="I818" s="44">
        <v>60310.59</v>
      </c>
      <c r="J818" s="44">
        <v>64792.09</v>
      </c>
      <c r="K818" t="s">
        <v>198</v>
      </c>
    </row>
    <row r="819" spans="1:11" ht="16.95" hidden="1" customHeight="1" x14ac:dyDescent="0.3">
      <c r="A819" s="42" t="s">
        <v>299</v>
      </c>
      <c r="B819" s="42" t="s">
        <v>239</v>
      </c>
      <c r="C819" s="42" t="s">
        <v>210</v>
      </c>
      <c r="D819" s="42" t="s">
        <v>278</v>
      </c>
      <c r="E819" s="42" t="s">
        <v>241</v>
      </c>
      <c r="F819" s="42" t="s">
        <v>247</v>
      </c>
      <c r="G819" s="44">
        <v>53447.51</v>
      </c>
      <c r="H819" s="44">
        <v>60882.38</v>
      </c>
      <c r="I819" s="44">
        <v>58373.32</v>
      </c>
      <c r="J819" s="44">
        <v>63562.47</v>
      </c>
      <c r="K819" t="s">
        <v>198</v>
      </c>
    </row>
    <row r="820" spans="1:11" ht="16.95" hidden="1" customHeight="1" x14ac:dyDescent="0.3">
      <c r="A820" s="42" t="s">
        <v>299</v>
      </c>
      <c r="B820" s="42" t="s">
        <v>239</v>
      </c>
      <c r="C820" s="42" t="s">
        <v>210</v>
      </c>
      <c r="D820" s="42" t="s">
        <v>278</v>
      </c>
      <c r="E820" s="42" t="s">
        <v>241</v>
      </c>
      <c r="F820" s="42" t="s">
        <v>248</v>
      </c>
      <c r="G820" s="44">
        <v>53785.05</v>
      </c>
      <c r="H820" s="44">
        <v>59386.8</v>
      </c>
      <c r="I820" s="44">
        <v>63651.79</v>
      </c>
      <c r="J820" s="44">
        <v>60144.26</v>
      </c>
      <c r="K820" t="s">
        <v>198</v>
      </c>
    </row>
    <row r="821" spans="1:11" ht="16.95" hidden="1" customHeight="1" x14ac:dyDescent="0.3">
      <c r="A821" s="42" t="s">
        <v>299</v>
      </c>
      <c r="B821" s="42" t="s">
        <v>239</v>
      </c>
      <c r="C821" s="42" t="s">
        <v>210</v>
      </c>
      <c r="D821" s="42" t="s">
        <v>278</v>
      </c>
      <c r="E821" s="42" t="s">
        <v>241</v>
      </c>
      <c r="F821" s="42" t="s">
        <v>249</v>
      </c>
      <c r="G821" s="44">
        <v>55048.66</v>
      </c>
      <c r="H821" s="44">
        <v>60374.84</v>
      </c>
      <c r="I821" s="44">
        <v>59650.65</v>
      </c>
      <c r="J821" s="44">
        <v>61272.480000000003</v>
      </c>
      <c r="K821" t="s">
        <v>198</v>
      </c>
    </row>
    <row r="822" spans="1:11" ht="16.95" hidden="1" customHeight="1" x14ac:dyDescent="0.3">
      <c r="A822" s="42" t="s">
        <v>299</v>
      </c>
      <c r="B822" s="42" t="s">
        <v>239</v>
      </c>
      <c r="C822" s="42" t="s">
        <v>210</v>
      </c>
      <c r="D822" s="42" t="s">
        <v>278</v>
      </c>
      <c r="E822" s="42" t="s">
        <v>241</v>
      </c>
      <c r="F822" s="42" t="s">
        <v>250</v>
      </c>
      <c r="G822" s="44">
        <v>54675.42</v>
      </c>
      <c r="H822" s="44">
        <v>61653.4</v>
      </c>
      <c r="I822" s="44">
        <v>60041.62</v>
      </c>
      <c r="J822" s="44">
        <v>60228.83</v>
      </c>
      <c r="K822" t="s">
        <v>198</v>
      </c>
    </row>
    <row r="823" spans="1:11" ht="16.95" hidden="1" customHeight="1" x14ac:dyDescent="0.3">
      <c r="A823" s="42" t="s">
        <v>299</v>
      </c>
      <c r="B823" s="42" t="s">
        <v>239</v>
      </c>
      <c r="C823" s="42" t="s">
        <v>210</v>
      </c>
      <c r="D823" s="42" t="s">
        <v>278</v>
      </c>
      <c r="E823" s="42" t="s">
        <v>241</v>
      </c>
      <c r="F823" s="42" t="s">
        <v>251</v>
      </c>
      <c r="G823" s="44">
        <v>58456.66</v>
      </c>
      <c r="H823" s="44">
        <v>61927.72</v>
      </c>
      <c r="I823" s="44">
        <v>65586.63</v>
      </c>
      <c r="J823" s="44">
        <v>59774.83</v>
      </c>
      <c r="K823" t="s">
        <v>198</v>
      </c>
    </row>
    <row r="824" spans="1:11" ht="16.95" hidden="1" customHeight="1" x14ac:dyDescent="0.3">
      <c r="A824" s="42" t="s">
        <v>299</v>
      </c>
      <c r="B824" s="42" t="s">
        <v>239</v>
      </c>
      <c r="C824" s="42" t="s">
        <v>210</v>
      </c>
      <c r="D824" s="42" t="s">
        <v>278</v>
      </c>
      <c r="E824" s="42" t="s">
        <v>241</v>
      </c>
      <c r="F824" s="42" t="s">
        <v>252</v>
      </c>
      <c r="G824" s="44">
        <v>57532.08</v>
      </c>
      <c r="H824" s="44">
        <v>62240.959999999999</v>
      </c>
      <c r="I824" s="44">
        <v>60731.33</v>
      </c>
      <c r="J824" s="44">
        <v>57099.08</v>
      </c>
      <c r="K824" t="s">
        <v>198</v>
      </c>
    </row>
    <row r="825" spans="1:11" ht="16.95" hidden="1" customHeight="1" x14ac:dyDescent="0.3">
      <c r="A825" s="42" t="s">
        <v>299</v>
      </c>
      <c r="B825" s="42" t="s">
        <v>239</v>
      </c>
      <c r="C825" s="42" t="s">
        <v>210</v>
      </c>
      <c r="D825" s="42" t="s">
        <v>278</v>
      </c>
      <c r="E825" s="42" t="s">
        <v>241</v>
      </c>
      <c r="F825" s="42" t="s">
        <v>253</v>
      </c>
      <c r="G825" s="44">
        <v>55255.66</v>
      </c>
      <c r="H825" s="44">
        <v>63526.02</v>
      </c>
      <c r="I825" s="44">
        <v>61900.87</v>
      </c>
      <c r="J825" s="44">
        <v>63397.8</v>
      </c>
      <c r="K825" t="s">
        <v>198</v>
      </c>
    </row>
    <row r="826" spans="1:11" ht="16.95" hidden="1" customHeight="1" x14ac:dyDescent="0.3">
      <c r="A826" s="42" t="s">
        <v>299</v>
      </c>
      <c r="B826" s="42" t="s">
        <v>239</v>
      </c>
      <c r="C826" s="42" t="s">
        <v>210</v>
      </c>
      <c r="D826" s="42" t="s">
        <v>279</v>
      </c>
      <c r="E826" s="42" t="s">
        <v>241</v>
      </c>
      <c r="F826" s="42" t="s">
        <v>242</v>
      </c>
      <c r="G826" s="44">
        <v>34357.33</v>
      </c>
      <c r="H826" s="44">
        <v>32787.65</v>
      </c>
      <c r="I826" s="44">
        <v>35248.81</v>
      </c>
      <c r="J826" s="44">
        <v>34560.29</v>
      </c>
      <c r="K826" s="44">
        <v>49328.1</v>
      </c>
    </row>
    <row r="827" spans="1:11" ht="16.95" hidden="1" customHeight="1" x14ac:dyDescent="0.3">
      <c r="A827" s="42" t="s">
        <v>299</v>
      </c>
      <c r="B827" s="42" t="s">
        <v>239</v>
      </c>
      <c r="C827" s="42" t="s">
        <v>210</v>
      </c>
      <c r="D827" s="42" t="s">
        <v>279</v>
      </c>
      <c r="E827" s="42" t="s">
        <v>241</v>
      </c>
      <c r="F827" s="42" t="s">
        <v>243</v>
      </c>
      <c r="G827" s="44">
        <v>34834.660000000003</v>
      </c>
      <c r="H827" s="44">
        <v>34105.800000000003</v>
      </c>
      <c r="I827" s="44">
        <v>36171.69</v>
      </c>
      <c r="J827" s="44">
        <v>41202.9</v>
      </c>
      <c r="K827" s="44">
        <v>56809.62</v>
      </c>
    </row>
    <row r="828" spans="1:11" ht="16.95" hidden="1" customHeight="1" x14ac:dyDescent="0.3">
      <c r="A828" s="42" t="s">
        <v>299</v>
      </c>
      <c r="B828" s="42" t="s">
        <v>239</v>
      </c>
      <c r="C828" s="42" t="s">
        <v>210</v>
      </c>
      <c r="D828" s="42" t="s">
        <v>279</v>
      </c>
      <c r="E828" s="42" t="s">
        <v>241</v>
      </c>
      <c r="F828" s="42" t="s">
        <v>244</v>
      </c>
      <c r="G828" s="43">
        <v>34595</v>
      </c>
      <c r="H828" s="44">
        <v>35834.050000000003</v>
      </c>
      <c r="I828" s="44">
        <v>35330.35</v>
      </c>
      <c r="J828" s="44">
        <v>43069.15</v>
      </c>
      <c r="K828" s="44">
        <v>55095.44</v>
      </c>
    </row>
    <row r="829" spans="1:11" ht="16.95" hidden="1" customHeight="1" x14ac:dyDescent="0.3">
      <c r="A829" s="42" t="s">
        <v>299</v>
      </c>
      <c r="B829" s="42" t="s">
        <v>239</v>
      </c>
      <c r="C829" s="42" t="s">
        <v>210</v>
      </c>
      <c r="D829" s="42" t="s">
        <v>279</v>
      </c>
      <c r="E829" s="42" t="s">
        <v>241</v>
      </c>
      <c r="F829" s="42" t="s">
        <v>245</v>
      </c>
      <c r="G829" s="44">
        <v>35379.629999999997</v>
      </c>
      <c r="H829" s="44">
        <v>36642.559999999998</v>
      </c>
      <c r="I829" s="44">
        <v>38528.69</v>
      </c>
      <c r="J829" s="44">
        <v>41045.56</v>
      </c>
      <c r="K829" t="s">
        <v>198</v>
      </c>
    </row>
    <row r="830" spans="1:11" ht="16.95" hidden="1" customHeight="1" x14ac:dyDescent="0.3">
      <c r="A830" s="42" t="s">
        <v>299</v>
      </c>
      <c r="B830" s="42" t="s">
        <v>239</v>
      </c>
      <c r="C830" s="42" t="s">
        <v>210</v>
      </c>
      <c r="D830" s="42" t="s">
        <v>279</v>
      </c>
      <c r="E830" s="42" t="s">
        <v>241</v>
      </c>
      <c r="F830" s="42" t="s">
        <v>246</v>
      </c>
      <c r="G830" s="44">
        <v>34079.74</v>
      </c>
      <c r="H830" s="44">
        <v>38900.639999999999</v>
      </c>
      <c r="I830" s="44">
        <v>37480.53</v>
      </c>
      <c r="J830" s="44">
        <v>40230.97</v>
      </c>
      <c r="K830" t="s">
        <v>198</v>
      </c>
    </row>
    <row r="831" spans="1:11" ht="16.95" hidden="1" customHeight="1" x14ac:dyDescent="0.3">
      <c r="A831" s="42" t="s">
        <v>299</v>
      </c>
      <c r="B831" s="42" t="s">
        <v>239</v>
      </c>
      <c r="C831" s="42" t="s">
        <v>210</v>
      </c>
      <c r="D831" s="42" t="s">
        <v>279</v>
      </c>
      <c r="E831" s="42" t="s">
        <v>241</v>
      </c>
      <c r="F831" s="42" t="s">
        <v>247</v>
      </c>
      <c r="G831" s="44">
        <v>30642.560000000001</v>
      </c>
      <c r="H831" s="44">
        <v>37294.67</v>
      </c>
      <c r="I831" s="44">
        <v>35006.76</v>
      </c>
      <c r="J831" s="44">
        <v>37927.72</v>
      </c>
      <c r="K831" t="s">
        <v>198</v>
      </c>
    </row>
    <row r="832" spans="1:11" ht="16.95" hidden="1" customHeight="1" x14ac:dyDescent="0.3">
      <c r="A832" s="42" t="s">
        <v>299</v>
      </c>
      <c r="B832" s="42" t="s">
        <v>239</v>
      </c>
      <c r="C832" s="42" t="s">
        <v>210</v>
      </c>
      <c r="D832" s="42" t="s">
        <v>279</v>
      </c>
      <c r="E832" s="42" t="s">
        <v>241</v>
      </c>
      <c r="F832" s="42" t="s">
        <v>248</v>
      </c>
      <c r="G832" s="44">
        <v>29802.93</v>
      </c>
      <c r="H832" s="44">
        <v>36377.18</v>
      </c>
      <c r="I832" s="44">
        <v>36859.519999999997</v>
      </c>
      <c r="J832" s="44">
        <v>37422.720000000001</v>
      </c>
      <c r="K832" t="s">
        <v>198</v>
      </c>
    </row>
    <row r="833" spans="1:11" ht="16.95" hidden="1" customHeight="1" x14ac:dyDescent="0.3">
      <c r="A833" s="42" t="s">
        <v>299</v>
      </c>
      <c r="B833" s="42" t="s">
        <v>239</v>
      </c>
      <c r="C833" s="42" t="s">
        <v>210</v>
      </c>
      <c r="D833" s="42" t="s">
        <v>279</v>
      </c>
      <c r="E833" s="42" t="s">
        <v>241</v>
      </c>
      <c r="F833" s="42" t="s">
        <v>249</v>
      </c>
      <c r="G833" s="44">
        <v>30872.78</v>
      </c>
      <c r="H833" s="44">
        <v>37643.129999999997</v>
      </c>
      <c r="I833" s="44">
        <v>38256.300000000003</v>
      </c>
      <c r="J833" s="44">
        <v>36375.68</v>
      </c>
      <c r="K833" t="s">
        <v>198</v>
      </c>
    </row>
    <row r="834" spans="1:11" ht="16.95" hidden="1" customHeight="1" x14ac:dyDescent="0.3">
      <c r="A834" s="42" t="s">
        <v>299</v>
      </c>
      <c r="B834" s="42" t="s">
        <v>239</v>
      </c>
      <c r="C834" s="42" t="s">
        <v>210</v>
      </c>
      <c r="D834" s="42" t="s">
        <v>279</v>
      </c>
      <c r="E834" s="42" t="s">
        <v>241</v>
      </c>
      <c r="F834" s="42" t="s">
        <v>250</v>
      </c>
      <c r="G834" s="44">
        <v>35574.550000000003</v>
      </c>
      <c r="H834" s="44">
        <v>37641.01</v>
      </c>
      <c r="I834" s="44">
        <v>36467.01</v>
      </c>
      <c r="J834" s="44">
        <v>37564.32</v>
      </c>
      <c r="K834" t="s">
        <v>198</v>
      </c>
    </row>
    <row r="835" spans="1:11" ht="16.95" hidden="1" customHeight="1" x14ac:dyDescent="0.3">
      <c r="A835" s="42" t="s">
        <v>299</v>
      </c>
      <c r="B835" s="42" t="s">
        <v>239</v>
      </c>
      <c r="C835" s="42" t="s">
        <v>210</v>
      </c>
      <c r="D835" s="42" t="s">
        <v>279</v>
      </c>
      <c r="E835" s="42" t="s">
        <v>241</v>
      </c>
      <c r="F835" s="42" t="s">
        <v>251</v>
      </c>
      <c r="G835" s="44">
        <v>36615.620000000003</v>
      </c>
      <c r="H835" s="44">
        <v>36089.1</v>
      </c>
      <c r="I835" s="44">
        <v>37455.9</v>
      </c>
      <c r="J835" s="44">
        <v>36592.76</v>
      </c>
      <c r="K835" t="s">
        <v>198</v>
      </c>
    </row>
    <row r="836" spans="1:11" ht="16.95" hidden="1" customHeight="1" x14ac:dyDescent="0.3">
      <c r="A836" s="42" t="s">
        <v>299</v>
      </c>
      <c r="B836" s="42" t="s">
        <v>239</v>
      </c>
      <c r="C836" s="42" t="s">
        <v>210</v>
      </c>
      <c r="D836" s="42" t="s">
        <v>279</v>
      </c>
      <c r="E836" s="42" t="s">
        <v>241</v>
      </c>
      <c r="F836" s="42" t="s">
        <v>252</v>
      </c>
      <c r="G836" s="44">
        <v>35543.35</v>
      </c>
      <c r="H836" s="44">
        <v>36115.660000000003</v>
      </c>
      <c r="I836" s="44">
        <v>32718.25</v>
      </c>
      <c r="J836" s="44">
        <v>39777.120000000003</v>
      </c>
      <c r="K836" t="s">
        <v>198</v>
      </c>
    </row>
    <row r="837" spans="1:11" ht="16.95" hidden="1" customHeight="1" x14ac:dyDescent="0.3">
      <c r="A837" s="42" t="s">
        <v>299</v>
      </c>
      <c r="B837" s="42" t="s">
        <v>239</v>
      </c>
      <c r="C837" s="42" t="s">
        <v>210</v>
      </c>
      <c r="D837" s="42" t="s">
        <v>279</v>
      </c>
      <c r="E837" s="42" t="s">
        <v>241</v>
      </c>
      <c r="F837" s="42" t="s">
        <v>253</v>
      </c>
      <c r="G837" s="44">
        <v>33983.279999999999</v>
      </c>
      <c r="H837" s="44">
        <v>33060.79</v>
      </c>
      <c r="I837" s="44">
        <v>31581.57</v>
      </c>
      <c r="J837" s="44">
        <v>40273.769999999997</v>
      </c>
      <c r="K837" t="s">
        <v>198</v>
      </c>
    </row>
    <row r="838" spans="1:11" ht="16.95" hidden="1" customHeight="1" x14ac:dyDescent="0.3">
      <c r="A838" s="42" t="s">
        <v>299</v>
      </c>
      <c r="B838" s="42" t="s">
        <v>239</v>
      </c>
      <c r="C838" s="42" t="s">
        <v>210</v>
      </c>
      <c r="D838" s="42" t="s">
        <v>280</v>
      </c>
      <c r="E838" s="42" t="s">
        <v>241</v>
      </c>
      <c r="F838" s="42" t="s">
        <v>242</v>
      </c>
      <c r="G838" s="44">
        <v>141324.39000000001</v>
      </c>
      <c r="H838" s="44">
        <v>128610.42</v>
      </c>
      <c r="I838" s="44">
        <v>129136.11</v>
      </c>
      <c r="J838" s="44">
        <v>116296.43</v>
      </c>
      <c r="K838" s="44">
        <v>146238.32999999999</v>
      </c>
    </row>
    <row r="839" spans="1:11" ht="16.95" hidden="1" customHeight="1" x14ac:dyDescent="0.3">
      <c r="A839" s="42" t="s">
        <v>299</v>
      </c>
      <c r="B839" s="42" t="s">
        <v>239</v>
      </c>
      <c r="C839" s="42" t="s">
        <v>210</v>
      </c>
      <c r="D839" s="42" t="s">
        <v>280</v>
      </c>
      <c r="E839" s="42" t="s">
        <v>241</v>
      </c>
      <c r="F839" s="42" t="s">
        <v>243</v>
      </c>
      <c r="G839" s="44">
        <v>141505.26</v>
      </c>
      <c r="H839" s="44">
        <v>130790.78</v>
      </c>
      <c r="I839" s="44">
        <v>124519.77</v>
      </c>
      <c r="J839" s="44">
        <v>113732.8</v>
      </c>
      <c r="K839" s="44">
        <v>132385.03</v>
      </c>
    </row>
    <row r="840" spans="1:11" ht="16.95" hidden="1" customHeight="1" x14ac:dyDescent="0.3">
      <c r="A840" s="42" t="s">
        <v>299</v>
      </c>
      <c r="B840" s="42" t="s">
        <v>239</v>
      </c>
      <c r="C840" s="42" t="s">
        <v>210</v>
      </c>
      <c r="D840" s="42" t="s">
        <v>280</v>
      </c>
      <c r="E840" s="42" t="s">
        <v>241</v>
      </c>
      <c r="F840" s="42" t="s">
        <v>244</v>
      </c>
      <c r="G840" s="44">
        <v>140940.76999999999</v>
      </c>
      <c r="H840" s="44">
        <v>132605.5</v>
      </c>
      <c r="I840" s="44">
        <v>124141.75</v>
      </c>
      <c r="J840" s="44">
        <v>118180.47</v>
      </c>
      <c r="K840" s="44">
        <v>133842.26999999999</v>
      </c>
    </row>
    <row r="841" spans="1:11" ht="16.95" hidden="1" customHeight="1" x14ac:dyDescent="0.3">
      <c r="A841" s="42" t="s">
        <v>299</v>
      </c>
      <c r="B841" s="42" t="s">
        <v>239</v>
      </c>
      <c r="C841" s="42" t="s">
        <v>210</v>
      </c>
      <c r="D841" s="42" t="s">
        <v>280</v>
      </c>
      <c r="E841" s="42" t="s">
        <v>241</v>
      </c>
      <c r="F841" s="42" t="s">
        <v>245</v>
      </c>
      <c r="G841" s="44">
        <v>138359.31</v>
      </c>
      <c r="H841" s="44">
        <v>130432.09</v>
      </c>
      <c r="I841" s="44">
        <v>124122.94</v>
      </c>
      <c r="J841" s="44">
        <v>125886.59</v>
      </c>
      <c r="K841" t="s">
        <v>198</v>
      </c>
    </row>
    <row r="842" spans="1:11" ht="16.95" hidden="1" customHeight="1" x14ac:dyDescent="0.3">
      <c r="A842" s="42" t="s">
        <v>299</v>
      </c>
      <c r="B842" s="42" t="s">
        <v>239</v>
      </c>
      <c r="C842" s="42" t="s">
        <v>210</v>
      </c>
      <c r="D842" s="42" t="s">
        <v>280</v>
      </c>
      <c r="E842" s="42" t="s">
        <v>241</v>
      </c>
      <c r="F842" s="42" t="s">
        <v>246</v>
      </c>
      <c r="G842" s="44">
        <v>135885.85999999999</v>
      </c>
      <c r="H842" s="44">
        <v>111343.05</v>
      </c>
      <c r="I842" s="44">
        <v>126041.47</v>
      </c>
      <c r="J842" s="44">
        <v>129671.73</v>
      </c>
      <c r="K842" t="s">
        <v>198</v>
      </c>
    </row>
    <row r="843" spans="1:11" ht="16.95" hidden="1" customHeight="1" x14ac:dyDescent="0.3">
      <c r="A843" s="42" t="s">
        <v>299</v>
      </c>
      <c r="B843" s="42" t="s">
        <v>239</v>
      </c>
      <c r="C843" s="42" t="s">
        <v>210</v>
      </c>
      <c r="D843" s="42" t="s">
        <v>280</v>
      </c>
      <c r="E843" s="42" t="s">
        <v>241</v>
      </c>
      <c r="F843" s="42" t="s">
        <v>247</v>
      </c>
      <c r="G843" s="44">
        <v>139008.64000000001</v>
      </c>
      <c r="H843" s="44">
        <v>122189.48</v>
      </c>
      <c r="I843" s="44">
        <v>123956.14</v>
      </c>
      <c r="J843" s="44">
        <v>133016.73000000001</v>
      </c>
      <c r="K843" t="s">
        <v>198</v>
      </c>
    </row>
    <row r="844" spans="1:11" ht="16.95" hidden="1" customHeight="1" x14ac:dyDescent="0.3">
      <c r="A844" s="42" t="s">
        <v>299</v>
      </c>
      <c r="B844" s="42" t="s">
        <v>239</v>
      </c>
      <c r="C844" s="42" t="s">
        <v>210</v>
      </c>
      <c r="D844" s="42" t="s">
        <v>280</v>
      </c>
      <c r="E844" s="42" t="s">
        <v>241</v>
      </c>
      <c r="F844" s="42" t="s">
        <v>248</v>
      </c>
      <c r="G844" s="44">
        <v>140152.23000000001</v>
      </c>
      <c r="H844" s="44">
        <v>121126.5</v>
      </c>
      <c r="I844" s="44">
        <v>130307.01</v>
      </c>
      <c r="J844" s="44">
        <v>130998.02</v>
      </c>
      <c r="K844" t="s">
        <v>198</v>
      </c>
    </row>
    <row r="845" spans="1:11" ht="16.95" hidden="1" customHeight="1" x14ac:dyDescent="0.3">
      <c r="A845" s="42" t="s">
        <v>299</v>
      </c>
      <c r="B845" s="42" t="s">
        <v>239</v>
      </c>
      <c r="C845" s="42" t="s">
        <v>210</v>
      </c>
      <c r="D845" s="42" t="s">
        <v>280</v>
      </c>
      <c r="E845" s="42" t="s">
        <v>241</v>
      </c>
      <c r="F845" s="42" t="s">
        <v>249</v>
      </c>
      <c r="G845" s="44">
        <v>140712.95999999999</v>
      </c>
      <c r="H845" s="44">
        <v>126432.95</v>
      </c>
      <c r="I845" s="44">
        <v>126078.31</v>
      </c>
      <c r="J845" s="44">
        <v>130578.14</v>
      </c>
      <c r="K845" t="s">
        <v>198</v>
      </c>
    </row>
    <row r="846" spans="1:11" ht="16.95" hidden="1" customHeight="1" x14ac:dyDescent="0.3">
      <c r="A846" s="42" t="s">
        <v>299</v>
      </c>
      <c r="B846" s="42" t="s">
        <v>239</v>
      </c>
      <c r="C846" s="42" t="s">
        <v>210</v>
      </c>
      <c r="D846" s="42" t="s">
        <v>280</v>
      </c>
      <c r="E846" s="42" t="s">
        <v>241</v>
      </c>
      <c r="F846" s="42" t="s">
        <v>250</v>
      </c>
      <c r="G846" s="44">
        <v>141140.26</v>
      </c>
      <c r="H846" s="44">
        <v>128607.83</v>
      </c>
      <c r="I846" s="44">
        <v>125398.23</v>
      </c>
      <c r="J846" s="44">
        <v>122398.1</v>
      </c>
      <c r="K846" t="s">
        <v>198</v>
      </c>
    </row>
    <row r="847" spans="1:11" ht="16.95" hidden="1" customHeight="1" x14ac:dyDescent="0.3">
      <c r="A847" s="42" t="s">
        <v>299</v>
      </c>
      <c r="B847" s="42" t="s">
        <v>239</v>
      </c>
      <c r="C847" s="42" t="s">
        <v>210</v>
      </c>
      <c r="D847" s="42" t="s">
        <v>280</v>
      </c>
      <c r="E847" s="42" t="s">
        <v>241</v>
      </c>
      <c r="F847" s="42" t="s">
        <v>251</v>
      </c>
      <c r="G847" s="44">
        <v>140511.76999999999</v>
      </c>
      <c r="H847" s="44">
        <v>129407.35</v>
      </c>
      <c r="I847" s="44">
        <v>128274.08</v>
      </c>
      <c r="J847" s="44">
        <v>122295.69</v>
      </c>
      <c r="K847" t="s">
        <v>198</v>
      </c>
    </row>
    <row r="848" spans="1:11" ht="16.95" hidden="1" customHeight="1" x14ac:dyDescent="0.3">
      <c r="A848" s="42" t="s">
        <v>299</v>
      </c>
      <c r="B848" s="42" t="s">
        <v>239</v>
      </c>
      <c r="C848" s="42" t="s">
        <v>210</v>
      </c>
      <c r="D848" s="42" t="s">
        <v>280</v>
      </c>
      <c r="E848" s="42" t="s">
        <v>241</v>
      </c>
      <c r="F848" s="42" t="s">
        <v>252</v>
      </c>
      <c r="G848" s="44">
        <v>140003.62</v>
      </c>
      <c r="H848" s="44">
        <v>129106.22</v>
      </c>
      <c r="I848" s="44">
        <v>119158.22</v>
      </c>
      <c r="J848" s="44">
        <v>126718.84</v>
      </c>
      <c r="K848" t="s">
        <v>198</v>
      </c>
    </row>
    <row r="849" spans="1:11" ht="16.95" hidden="1" customHeight="1" x14ac:dyDescent="0.3">
      <c r="A849" s="42" t="s">
        <v>299</v>
      </c>
      <c r="B849" s="42" t="s">
        <v>239</v>
      </c>
      <c r="C849" s="42" t="s">
        <v>210</v>
      </c>
      <c r="D849" s="42" t="s">
        <v>280</v>
      </c>
      <c r="E849" s="42" t="s">
        <v>241</v>
      </c>
      <c r="F849" s="42" t="s">
        <v>253</v>
      </c>
      <c r="G849" s="44">
        <v>140913.5</v>
      </c>
      <c r="H849" s="44">
        <v>134744.75</v>
      </c>
      <c r="I849" s="44">
        <v>118075.22</v>
      </c>
      <c r="J849" s="44">
        <v>124883.26</v>
      </c>
      <c r="K849" t="s">
        <v>198</v>
      </c>
    </row>
    <row r="850" spans="1:11" ht="16.95" hidden="1" customHeight="1" x14ac:dyDescent="0.3">
      <c r="A850" s="42" t="s">
        <v>299</v>
      </c>
      <c r="B850" s="42" t="s">
        <v>239</v>
      </c>
      <c r="C850" s="42" t="s">
        <v>210</v>
      </c>
      <c r="D850" s="42" t="s">
        <v>281</v>
      </c>
      <c r="E850" s="42" t="s">
        <v>241</v>
      </c>
      <c r="F850" s="42" t="s">
        <v>242</v>
      </c>
      <c r="G850" s="44">
        <v>33670.550000000003</v>
      </c>
      <c r="H850" s="44">
        <v>41210.67</v>
      </c>
      <c r="I850" s="44">
        <v>47057.54</v>
      </c>
      <c r="J850" s="44">
        <v>31934.83</v>
      </c>
      <c r="K850" s="44">
        <v>40815.1</v>
      </c>
    </row>
    <row r="851" spans="1:11" ht="16.95" hidden="1" customHeight="1" x14ac:dyDescent="0.3">
      <c r="A851" s="42" t="s">
        <v>299</v>
      </c>
      <c r="B851" s="42" t="s">
        <v>239</v>
      </c>
      <c r="C851" s="42" t="s">
        <v>210</v>
      </c>
      <c r="D851" s="42" t="s">
        <v>281</v>
      </c>
      <c r="E851" s="42" t="s">
        <v>241</v>
      </c>
      <c r="F851" s="42" t="s">
        <v>243</v>
      </c>
      <c r="G851" s="44">
        <v>33199.599999999999</v>
      </c>
      <c r="H851" s="44">
        <v>43109.85</v>
      </c>
      <c r="I851" s="44">
        <v>33490.6</v>
      </c>
      <c r="J851" s="44">
        <v>33601.08</v>
      </c>
      <c r="K851" s="44">
        <v>42561.45</v>
      </c>
    </row>
    <row r="852" spans="1:11" ht="16.95" hidden="1" customHeight="1" x14ac:dyDescent="0.3">
      <c r="A852" s="42" t="s">
        <v>299</v>
      </c>
      <c r="B852" s="42" t="s">
        <v>239</v>
      </c>
      <c r="C852" s="42" t="s">
        <v>210</v>
      </c>
      <c r="D852" s="42" t="s">
        <v>281</v>
      </c>
      <c r="E852" s="42" t="s">
        <v>241</v>
      </c>
      <c r="F852" s="42" t="s">
        <v>244</v>
      </c>
      <c r="G852" s="44">
        <v>32799.96</v>
      </c>
      <c r="H852" s="44">
        <v>39581.19</v>
      </c>
      <c r="I852" s="44">
        <v>34583.46</v>
      </c>
      <c r="J852" s="44">
        <v>36149.94</v>
      </c>
      <c r="K852" s="44">
        <v>41967.23</v>
      </c>
    </row>
    <row r="853" spans="1:11" ht="16.95" hidden="1" customHeight="1" x14ac:dyDescent="0.3">
      <c r="A853" s="42" t="s">
        <v>299</v>
      </c>
      <c r="B853" s="42" t="s">
        <v>239</v>
      </c>
      <c r="C853" s="42" t="s">
        <v>210</v>
      </c>
      <c r="D853" s="42" t="s">
        <v>281</v>
      </c>
      <c r="E853" s="42" t="s">
        <v>241</v>
      </c>
      <c r="F853" s="42" t="s">
        <v>245</v>
      </c>
      <c r="G853" s="44">
        <v>34548.480000000003</v>
      </c>
      <c r="H853" s="44">
        <v>40763.71</v>
      </c>
      <c r="I853" s="44">
        <v>39602.51</v>
      </c>
      <c r="J853" s="44">
        <v>35377.97</v>
      </c>
      <c r="K853" t="s">
        <v>198</v>
      </c>
    </row>
    <row r="854" spans="1:11" ht="16.95" hidden="1" customHeight="1" x14ac:dyDescent="0.3">
      <c r="A854" s="42" t="s">
        <v>299</v>
      </c>
      <c r="B854" s="42" t="s">
        <v>239</v>
      </c>
      <c r="C854" s="42" t="s">
        <v>210</v>
      </c>
      <c r="D854" s="42" t="s">
        <v>281</v>
      </c>
      <c r="E854" s="42" t="s">
        <v>241</v>
      </c>
      <c r="F854" s="42" t="s">
        <v>246</v>
      </c>
      <c r="G854" s="44">
        <v>32698.71</v>
      </c>
      <c r="H854" s="44">
        <v>40447.730000000003</v>
      </c>
      <c r="I854" s="44">
        <v>37685.43</v>
      </c>
      <c r="J854" s="44">
        <v>32901.01</v>
      </c>
      <c r="K854" t="s">
        <v>198</v>
      </c>
    </row>
    <row r="855" spans="1:11" ht="16.95" hidden="1" customHeight="1" x14ac:dyDescent="0.3">
      <c r="A855" s="42" t="s">
        <v>299</v>
      </c>
      <c r="B855" s="42" t="s">
        <v>239</v>
      </c>
      <c r="C855" s="42" t="s">
        <v>210</v>
      </c>
      <c r="D855" s="42" t="s">
        <v>281</v>
      </c>
      <c r="E855" s="42" t="s">
        <v>241</v>
      </c>
      <c r="F855" s="42" t="s">
        <v>247</v>
      </c>
      <c r="G855" s="44">
        <v>32064.52</v>
      </c>
      <c r="H855" s="44">
        <v>37980.99</v>
      </c>
      <c r="I855" s="44">
        <v>36264.47</v>
      </c>
      <c r="J855" s="44">
        <v>32164.57</v>
      </c>
      <c r="K855" t="s">
        <v>198</v>
      </c>
    </row>
    <row r="856" spans="1:11" ht="16.95" hidden="1" customHeight="1" x14ac:dyDescent="0.3">
      <c r="A856" s="42" t="s">
        <v>299</v>
      </c>
      <c r="B856" s="42" t="s">
        <v>239</v>
      </c>
      <c r="C856" s="42" t="s">
        <v>210</v>
      </c>
      <c r="D856" s="42" t="s">
        <v>281</v>
      </c>
      <c r="E856" s="42" t="s">
        <v>241</v>
      </c>
      <c r="F856" s="42" t="s">
        <v>248</v>
      </c>
      <c r="G856" s="44">
        <v>32011.84</v>
      </c>
      <c r="H856" s="44">
        <v>38093.17</v>
      </c>
      <c r="I856" s="44">
        <v>39016.65</v>
      </c>
      <c r="J856" s="44">
        <v>33523.360000000001</v>
      </c>
      <c r="K856" t="s">
        <v>198</v>
      </c>
    </row>
    <row r="857" spans="1:11" ht="16.95" hidden="1" customHeight="1" x14ac:dyDescent="0.3">
      <c r="A857" s="42" t="s">
        <v>299</v>
      </c>
      <c r="B857" s="42" t="s">
        <v>239</v>
      </c>
      <c r="C857" s="42" t="s">
        <v>210</v>
      </c>
      <c r="D857" s="42" t="s">
        <v>281</v>
      </c>
      <c r="E857" s="42" t="s">
        <v>241</v>
      </c>
      <c r="F857" s="42" t="s">
        <v>249</v>
      </c>
      <c r="G857" s="44">
        <v>32606.73</v>
      </c>
      <c r="H857" s="44">
        <v>39521.81</v>
      </c>
      <c r="I857" s="44">
        <v>39286.120000000003</v>
      </c>
      <c r="J857" s="44">
        <v>32758.240000000002</v>
      </c>
      <c r="K857" t="s">
        <v>198</v>
      </c>
    </row>
    <row r="858" spans="1:11" ht="16.95" hidden="1" customHeight="1" x14ac:dyDescent="0.3">
      <c r="A858" s="42" t="s">
        <v>299</v>
      </c>
      <c r="B858" s="42" t="s">
        <v>239</v>
      </c>
      <c r="C858" s="42" t="s">
        <v>210</v>
      </c>
      <c r="D858" s="42" t="s">
        <v>281</v>
      </c>
      <c r="E858" s="42" t="s">
        <v>241</v>
      </c>
      <c r="F858" s="42" t="s">
        <v>250</v>
      </c>
      <c r="G858" s="44">
        <v>34093.480000000003</v>
      </c>
      <c r="H858" s="44">
        <v>37770.050000000003</v>
      </c>
      <c r="I858" s="44">
        <v>35989.599999999999</v>
      </c>
      <c r="J858" s="44">
        <v>35794.9</v>
      </c>
      <c r="K858" t="s">
        <v>198</v>
      </c>
    </row>
    <row r="859" spans="1:11" ht="16.95" hidden="1" customHeight="1" x14ac:dyDescent="0.3">
      <c r="A859" s="42" t="s">
        <v>299</v>
      </c>
      <c r="B859" s="42" t="s">
        <v>239</v>
      </c>
      <c r="C859" s="42" t="s">
        <v>210</v>
      </c>
      <c r="D859" s="42" t="s">
        <v>281</v>
      </c>
      <c r="E859" s="42" t="s">
        <v>241</v>
      </c>
      <c r="F859" s="42" t="s">
        <v>251</v>
      </c>
      <c r="G859" s="44">
        <v>34872.44</v>
      </c>
      <c r="H859" s="44">
        <v>38930.370000000003</v>
      </c>
      <c r="I859" s="44">
        <v>33598.92</v>
      </c>
      <c r="J859" s="44">
        <v>35119.1</v>
      </c>
      <c r="K859" t="s">
        <v>198</v>
      </c>
    </row>
    <row r="860" spans="1:11" ht="16.95" hidden="1" customHeight="1" x14ac:dyDescent="0.3">
      <c r="A860" s="42" t="s">
        <v>299</v>
      </c>
      <c r="B860" s="42" t="s">
        <v>239</v>
      </c>
      <c r="C860" s="42" t="s">
        <v>210</v>
      </c>
      <c r="D860" s="42" t="s">
        <v>281</v>
      </c>
      <c r="E860" s="42" t="s">
        <v>241</v>
      </c>
      <c r="F860" s="42" t="s">
        <v>252</v>
      </c>
      <c r="G860" s="44">
        <v>34389.519999999997</v>
      </c>
      <c r="H860" s="44">
        <v>36988.449999999997</v>
      </c>
      <c r="I860" s="44">
        <v>49819.01</v>
      </c>
      <c r="J860" s="44">
        <v>35502.35</v>
      </c>
      <c r="K860" t="s">
        <v>198</v>
      </c>
    </row>
    <row r="861" spans="1:11" ht="16.95" hidden="1" customHeight="1" x14ac:dyDescent="0.3">
      <c r="A861" s="42" t="s">
        <v>299</v>
      </c>
      <c r="B861" s="42" t="s">
        <v>239</v>
      </c>
      <c r="C861" s="42" t="s">
        <v>210</v>
      </c>
      <c r="D861" s="42" t="s">
        <v>281</v>
      </c>
      <c r="E861" s="42" t="s">
        <v>241</v>
      </c>
      <c r="F861" s="42" t="s">
        <v>253</v>
      </c>
      <c r="G861" s="44">
        <v>37256.910000000003</v>
      </c>
      <c r="H861" s="44">
        <v>35605.949999999997</v>
      </c>
      <c r="I861" s="44">
        <v>33931.769999999997</v>
      </c>
      <c r="J861" s="44">
        <v>37509.800000000003</v>
      </c>
      <c r="K861" t="s">
        <v>198</v>
      </c>
    </row>
    <row r="862" spans="1:11" ht="16.95" hidden="1" customHeight="1" x14ac:dyDescent="0.3">
      <c r="A862" s="42" t="s">
        <v>299</v>
      </c>
      <c r="B862" s="42" t="s">
        <v>239</v>
      </c>
      <c r="C862" s="42" t="s">
        <v>210</v>
      </c>
      <c r="D862" s="42" t="s">
        <v>282</v>
      </c>
      <c r="E862" s="42" t="s">
        <v>241</v>
      </c>
      <c r="F862" s="42" t="s">
        <v>242</v>
      </c>
      <c r="G862" t="s">
        <v>198</v>
      </c>
      <c r="H862" t="s">
        <v>198</v>
      </c>
      <c r="I862" s="44">
        <v>577436.52</v>
      </c>
      <c r="J862" s="44">
        <v>637402.75</v>
      </c>
      <c r="K862" s="44">
        <v>659406.11</v>
      </c>
    </row>
    <row r="863" spans="1:11" ht="16.95" hidden="1" customHeight="1" x14ac:dyDescent="0.3">
      <c r="A863" s="42" t="s">
        <v>299</v>
      </c>
      <c r="B863" s="42" t="s">
        <v>239</v>
      </c>
      <c r="C863" s="42" t="s">
        <v>210</v>
      </c>
      <c r="D863" s="42" t="s">
        <v>282</v>
      </c>
      <c r="E863" s="42" t="s">
        <v>241</v>
      </c>
      <c r="F863" s="42" t="s">
        <v>243</v>
      </c>
      <c r="G863" t="s">
        <v>198</v>
      </c>
      <c r="H863" t="s">
        <v>198</v>
      </c>
      <c r="I863" s="44">
        <v>608555.13</v>
      </c>
      <c r="J863" s="44">
        <v>644382.86</v>
      </c>
      <c r="K863" s="44">
        <v>672208.33</v>
      </c>
    </row>
    <row r="864" spans="1:11" ht="16.95" hidden="1" customHeight="1" x14ac:dyDescent="0.3">
      <c r="A864" s="42" t="s">
        <v>299</v>
      </c>
      <c r="B864" s="42" t="s">
        <v>239</v>
      </c>
      <c r="C864" s="42" t="s">
        <v>210</v>
      </c>
      <c r="D864" s="42" t="s">
        <v>282</v>
      </c>
      <c r="E864" s="42" t="s">
        <v>241</v>
      </c>
      <c r="F864" s="42" t="s">
        <v>244</v>
      </c>
      <c r="G864" t="s">
        <v>198</v>
      </c>
      <c r="H864" t="s">
        <v>198</v>
      </c>
      <c r="I864" s="43">
        <v>627000</v>
      </c>
      <c r="J864" s="44">
        <v>643516.85</v>
      </c>
      <c r="K864" s="44">
        <v>678533.33</v>
      </c>
    </row>
    <row r="865" spans="1:11" ht="16.95" hidden="1" customHeight="1" x14ac:dyDescent="0.3">
      <c r="A865" s="42" t="s">
        <v>299</v>
      </c>
      <c r="B865" s="42" t="s">
        <v>239</v>
      </c>
      <c r="C865" s="42" t="s">
        <v>210</v>
      </c>
      <c r="D865" s="42" t="s">
        <v>282</v>
      </c>
      <c r="E865" s="42" t="s">
        <v>241</v>
      </c>
      <c r="F865" s="42" t="s">
        <v>245</v>
      </c>
      <c r="G865" t="s">
        <v>198</v>
      </c>
      <c r="H865" t="s">
        <v>198</v>
      </c>
      <c r="I865" s="44">
        <v>596807.68999999994</v>
      </c>
      <c r="J865" s="44">
        <v>644847.03</v>
      </c>
      <c r="K865" t="s">
        <v>198</v>
      </c>
    </row>
    <row r="866" spans="1:11" ht="16.95" hidden="1" customHeight="1" x14ac:dyDescent="0.3">
      <c r="A866" s="42" t="s">
        <v>299</v>
      </c>
      <c r="B866" s="42" t="s">
        <v>239</v>
      </c>
      <c r="C866" s="42" t="s">
        <v>210</v>
      </c>
      <c r="D866" s="42" t="s">
        <v>282</v>
      </c>
      <c r="E866" s="42" t="s">
        <v>241</v>
      </c>
      <c r="F866" s="42" t="s">
        <v>246</v>
      </c>
      <c r="G866" t="s">
        <v>198</v>
      </c>
      <c r="H866" t="s">
        <v>198</v>
      </c>
      <c r="I866" s="44">
        <v>607939.24</v>
      </c>
      <c r="J866" s="44">
        <v>633838.27</v>
      </c>
      <c r="K866" t="s">
        <v>198</v>
      </c>
    </row>
    <row r="867" spans="1:11" ht="16.95" hidden="1" customHeight="1" x14ac:dyDescent="0.3">
      <c r="A867" s="42" t="s">
        <v>299</v>
      </c>
      <c r="B867" s="42" t="s">
        <v>239</v>
      </c>
      <c r="C867" s="42" t="s">
        <v>210</v>
      </c>
      <c r="D867" s="42" t="s">
        <v>282</v>
      </c>
      <c r="E867" s="42" t="s">
        <v>241</v>
      </c>
      <c r="F867" s="42" t="s">
        <v>247</v>
      </c>
      <c r="G867" t="s">
        <v>198</v>
      </c>
      <c r="H867" t="s">
        <v>198</v>
      </c>
      <c r="I867" s="44">
        <v>608195.18000000005</v>
      </c>
      <c r="J867" s="44">
        <v>641956.14</v>
      </c>
      <c r="K867" t="s">
        <v>198</v>
      </c>
    </row>
    <row r="868" spans="1:11" ht="16.95" hidden="1" customHeight="1" x14ac:dyDescent="0.3">
      <c r="A868" s="42" t="s">
        <v>299</v>
      </c>
      <c r="B868" s="42" t="s">
        <v>239</v>
      </c>
      <c r="C868" s="42" t="s">
        <v>210</v>
      </c>
      <c r="D868" s="42" t="s">
        <v>282</v>
      </c>
      <c r="E868" s="42" t="s">
        <v>241</v>
      </c>
      <c r="F868" s="42" t="s">
        <v>248</v>
      </c>
      <c r="G868" t="s">
        <v>198</v>
      </c>
      <c r="H868" t="s">
        <v>198</v>
      </c>
      <c r="I868" s="44">
        <v>597414.1</v>
      </c>
      <c r="J868" s="44">
        <v>641631.67000000004</v>
      </c>
      <c r="K868" t="s">
        <v>198</v>
      </c>
    </row>
    <row r="869" spans="1:11" ht="16.95" hidden="1" customHeight="1" x14ac:dyDescent="0.3">
      <c r="A869" s="42" t="s">
        <v>299</v>
      </c>
      <c r="B869" s="42" t="s">
        <v>239</v>
      </c>
      <c r="C869" s="42" t="s">
        <v>210</v>
      </c>
      <c r="D869" s="42" t="s">
        <v>282</v>
      </c>
      <c r="E869" s="42" t="s">
        <v>241</v>
      </c>
      <c r="F869" s="42" t="s">
        <v>249</v>
      </c>
      <c r="G869" t="s">
        <v>198</v>
      </c>
      <c r="H869" t="s">
        <v>198</v>
      </c>
      <c r="I869" s="44">
        <v>614754.65</v>
      </c>
      <c r="J869" s="44">
        <v>629741.38</v>
      </c>
      <c r="K869" t="s">
        <v>198</v>
      </c>
    </row>
    <row r="870" spans="1:11" ht="16.95" hidden="1" customHeight="1" x14ac:dyDescent="0.3">
      <c r="A870" s="42" t="s">
        <v>299</v>
      </c>
      <c r="B870" s="42" t="s">
        <v>239</v>
      </c>
      <c r="C870" s="42" t="s">
        <v>210</v>
      </c>
      <c r="D870" s="42" t="s">
        <v>282</v>
      </c>
      <c r="E870" s="42" t="s">
        <v>241</v>
      </c>
      <c r="F870" s="42" t="s">
        <v>250</v>
      </c>
      <c r="G870" t="s">
        <v>198</v>
      </c>
      <c r="H870" t="s">
        <v>198</v>
      </c>
      <c r="I870" s="44">
        <v>615522.88</v>
      </c>
      <c r="J870" s="44">
        <v>641510.09</v>
      </c>
      <c r="K870" t="s">
        <v>198</v>
      </c>
    </row>
    <row r="871" spans="1:11" ht="16.95" hidden="1" customHeight="1" x14ac:dyDescent="0.3">
      <c r="A871" s="42" t="s">
        <v>299</v>
      </c>
      <c r="B871" s="42" t="s">
        <v>239</v>
      </c>
      <c r="C871" s="42" t="s">
        <v>210</v>
      </c>
      <c r="D871" s="42" t="s">
        <v>282</v>
      </c>
      <c r="E871" s="42" t="s">
        <v>241</v>
      </c>
      <c r="F871" s="42" t="s">
        <v>251</v>
      </c>
      <c r="G871" t="s">
        <v>198</v>
      </c>
      <c r="H871" t="s">
        <v>198</v>
      </c>
      <c r="I871" s="44">
        <v>605583.21</v>
      </c>
      <c r="J871" s="44">
        <v>648334.86</v>
      </c>
      <c r="K871" t="s">
        <v>198</v>
      </c>
    </row>
    <row r="872" spans="1:11" ht="16.95" hidden="1" customHeight="1" x14ac:dyDescent="0.3">
      <c r="A872" s="42" t="s">
        <v>299</v>
      </c>
      <c r="B872" s="42" t="s">
        <v>239</v>
      </c>
      <c r="C872" s="42" t="s">
        <v>210</v>
      </c>
      <c r="D872" s="42" t="s">
        <v>282</v>
      </c>
      <c r="E872" s="42" t="s">
        <v>241</v>
      </c>
      <c r="F872" s="42" t="s">
        <v>252</v>
      </c>
      <c r="G872" t="s">
        <v>198</v>
      </c>
      <c r="H872" t="s">
        <v>198</v>
      </c>
      <c r="I872" s="44">
        <v>614656.42000000004</v>
      </c>
      <c r="J872" s="44">
        <v>667422.36</v>
      </c>
      <c r="K872" t="s">
        <v>198</v>
      </c>
    </row>
    <row r="873" spans="1:11" ht="16.95" hidden="1" customHeight="1" x14ac:dyDescent="0.3">
      <c r="A873" s="42" t="s">
        <v>299</v>
      </c>
      <c r="B873" s="42" t="s">
        <v>239</v>
      </c>
      <c r="C873" s="42" t="s">
        <v>210</v>
      </c>
      <c r="D873" s="42" t="s">
        <v>282</v>
      </c>
      <c r="E873" s="42" t="s">
        <v>241</v>
      </c>
      <c r="F873" s="42" t="s">
        <v>253</v>
      </c>
      <c r="G873" t="s">
        <v>198</v>
      </c>
      <c r="H873" t="s">
        <v>198</v>
      </c>
      <c r="I873" s="44">
        <v>643012.88</v>
      </c>
      <c r="J873" s="44">
        <v>685237.41</v>
      </c>
      <c r="K873" t="s">
        <v>198</v>
      </c>
    </row>
    <row r="874" spans="1:11" ht="16.95" hidden="1" customHeight="1" x14ac:dyDescent="0.3">
      <c r="A874" s="42" t="s">
        <v>299</v>
      </c>
      <c r="B874" s="42" t="s">
        <v>239</v>
      </c>
      <c r="C874" s="42" t="s">
        <v>210</v>
      </c>
      <c r="D874" s="42" t="s">
        <v>283</v>
      </c>
      <c r="E874" s="42" t="s">
        <v>241</v>
      </c>
      <c r="F874" s="42" t="s">
        <v>242</v>
      </c>
      <c r="G874" t="s">
        <v>198</v>
      </c>
      <c r="H874" t="s">
        <v>198</v>
      </c>
      <c r="I874" t="s">
        <v>198</v>
      </c>
      <c r="J874" s="44">
        <v>35889.980000000003</v>
      </c>
      <c r="K874" s="44">
        <v>42756.51</v>
      </c>
    </row>
    <row r="875" spans="1:11" ht="16.95" hidden="1" customHeight="1" x14ac:dyDescent="0.3">
      <c r="A875" s="42" t="s">
        <v>299</v>
      </c>
      <c r="B875" s="42" t="s">
        <v>239</v>
      </c>
      <c r="C875" s="42" t="s">
        <v>210</v>
      </c>
      <c r="D875" s="42" t="s">
        <v>283</v>
      </c>
      <c r="E875" s="42" t="s">
        <v>241</v>
      </c>
      <c r="F875" s="42" t="s">
        <v>243</v>
      </c>
      <c r="G875" t="s">
        <v>198</v>
      </c>
      <c r="H875" t="s">
        <v>198</v>
      </c>
      <c r="I875" t="s">
        <v>198</v>
      </c>
      <c r="J875" s="44">
        <v>37182.660000000003</v>
      </c>
      <c r="K875" s="44">
        <v>56024.99</v>
      </c>
    </row>
    <row r="876" spans="1:11" ht="16.95" hidden="1" customHeight="1" x14ac:dyDescent="0.3">
      <c r="A876" s="42" t="s">
        <v>299</v>
      </c>
      <c r="B876" s="42" t="s">
        <v>239</v>
      </c>
      <c r="C876" s="42" t="s">
        <v>210</v>
      </c>
      <c r="D876" s="42" t="s">
        <v>283</v>
      </c>
      <c r="E876" s="42" t="s">
        <v>241</v>
      </c>
      <c r="F876" s="42" t="s">
        <v>244</v>
      </c>
      <c r="G876" t="s">
        <v>198</v>
      </c>
      <c r="H876" t="s">
        <v>198</v>
      </c>
      <c r="I876" t="s">
        <v>198</v>
      </c>
      <c r="J876" s="44">
        <v>38459.67</v>
      </c>
      <c r="K876" s="44">
        <v>51912.27</v>
      </c>
    </row>
    <row r="877" spans="1:11" ht="16.95" hidden="1" customHeight="1" x14ac:dyDescent="0.3">
      <c r="A877" s="42" t="s">
        <v>299</v>
      </c>
      <c r="B877" s="42" t="s">
        <v>239</v>
      </c>
      <c r="C877" s="42" t="s">
        <v>210</v>
      </c>
      <c r="D877" s="42" t="s">
        <v>283</v>
      </c>
      <c r="E877" s="42" t="s">
        <v>241</v>
      </c>
      <c r="F877" s="42" t="s">
        <v>245</v>
      </c>
      <c r="G877" t="s">
        <v>198</v>
      </c>
      <c r="H877" t="s">
        <v>198</v>
      </c>
      <c r="I877" t="s">
        <v>198</v>
      </c>
      <c r="J877" s="44">
        <v>38213.199999999997</v>
      </c>
      <c r="K877" t="s">
        <v>198</v>
      </c>
    </row>
    <row r="878" spans="1:11" ht="16.95" hidden="1" customHeight="1" x14ac:dyDescent="0.3">
      <c r="A878" s="42" t="s">
        <v>299</v>
      </c>
      <c r="B878" s="42" t="s">
        <v>239</v>
      </c>
      <c r="C878" s="42" t="s">
        <v>210</v>
      </c>
      <c r="D878" s="42" t="s">
        <v>283</v>
      </c>
      <c r="E878" s="42" t="s">
        <v>241</v>
      </c>
      <c r="F878" s="42" t="s">
        <v>246</v>
      </c>
      <c r="G878" t="s">
        <v>198</v>
      </c>
      <c r="H878" t="s">
        <v>198</v>
      </c>
      <c r="I878" t="s">
        <v>198</v>
      </c>
      <c r="J878" s="44">
        <v>37857.39</v>
      </c>
      <c r="K878" t="s">
        <v>198</v>
      </c>
    </row>
    <row r="879" spans="1:11" ht="16.95" hidden="1" customHeight="1" x14ac:dyDescent="0.3">
      <c r="A879" s="42" t="s">
        <v>299</v>
      </c>
      <c r="B879" s="42" t="s">
        <v>239</v>
      </c>
      <c r="C879" s="42" t="s">
        <v>210</v>
      </c>
      <c r="D879" s="42" t="s">
        <v>283</v>
      </c>
      <c r="E879" s="42" t="s">
        <v>241</v>
      </c>
      <c r="F879" s="42" t="s">
        <v>247</v>
      </c>
      <c r="G879" t="s">
        <v>198</v>
      </c>
      <c r="H879" t="s">
        <v>198</v>
      </c>
      <c r="I879" t="s">
        <v>198</v>
      </c>
      <c r="J879" s="44">
        <v>37392.28</v>
      </c>
      <c r="K879" t="s">
        <v>198</v>
      </c>
    </row>
    <row r="880" spans="1:11" ht="16.95" hidden="1" customHeight="1" x14ac:dyDescent="0.3">
      <c r="A880" s="42" t="s">
        <v>299</v>
      </c>
      <c r="B880" s="42" t="s">
        <v>239</v>
      </c>
      <c r="C880" s="42" t="s">
        <v>210</v>
      </c>
      <c r="D880" s="42" t="s">
        <v>283</v>
      </c>
      <c r="E880" s="42" t="s">
        <v>241</v>
      </c>
      <c r="F880" s="42" t="s">
        <v>248</v>
      </c>
      <c r="G880" t="s">
        <v>198</v>
      </c>
      <c r="H880" t="s">
        <v>198</v>
      </c>
      <c r="I880" t="s">
        <v>198</v>
      </c>
      <c r="J880" s="44">
        <v>38302.269999999997</v>
      </c>
      <c r="K880" t="s">
        <v>198</v>
      </c>
    </row>
    <row r="881" spans="1:11" ht="16.95" hidden="1" customHeight="1" x14ac:dyDescent="0.3">
      <c r="A881" s="42" t="s">
        <v>299</v>
      </c>
      <c r="B881" s="42" t="s">
        <v>239</v>
      </c>
      <c r="C881" s="42" t="s">
        <v>210</v>
      </c>
      <c r="D881" s="42" t="s">
        <v>283</v>
      </c>
      <c r="E881" s="42" t="s">
        <v>241</v>
      </c>
      <c r="F881" s="42" t="s">
        <v>249</v>
      </c>
      <c r="G881" t="s">
        <v>198</v>
      </c>
      <c r="H881" t="s">
        <v>198</v>
      </c>
      <c r="I881" t="s">
        <v>198</v>
      </c>
      <c r="J881" s="44">
        <v>37235.03</v>
      </c>
      <c r="K881" t="s">
        <v>198</v>
      </c>
    </row>
    <row r="882" spans="1:11" ht="16.95" hidden="1" customHeight="1" x14ac:dyDescent="0.3">
      <c r="A882" s="42" t="s">
        <v>299</v>
      </c>
      <c r="B882" s="42" t="s">
        <v>239</v>
      </c>
      <c r="C882" s="42" t="s">
        <v>210</v>
      </c>
      <c r="D882" s="42" t="s">
        <v>283</v>
      </c>
      <c r="E882" s="42" t="s">
        <v>241</v>
      </c>
      <c r="F882" s="42" t="s">
        <v>250</v>
      </c>
      <c r="G882" t="s">
        <v>198</v>
      </c>
      <c r="H882" t="s">
        <v>198</v>
      </c>
      <c r="I882" t="s">
        <v>198</v>
      </c>
      <c r="J882" s="44">
        <v>37399.14</v>
      </c>
      <c r="K882" t="s">
        <v>198</v>
      </c>
    </row>
    <row r="883" spans="1:11" ht="16.95" hidden="1" customHeight="1" x14ac:dyDescent="0.3">
      <c r="A883" s="42" t="s">
        <v>299</v>
      </c>
      <c r="B883" s="42" t="s">
        <v>239</v>
      </c>
      <c r="C883" s="42" t="s">
        <v>210</v>
      </c>
      <c r="D883" s="42" t="s">
        <v>283</v>
      </c>
      <c r="E883" s="42" t="s">
        <v>241</v>
      </c>
      <c r="F883" s="42" t="s">
        <v>251</v>
      </c>
      <c r="G883" t="s">
        <v>198</v>
      </c>
      <c r="H883" t="s">
        <v>198</v>
      </c>
      <c r="I883" t="s">
        <v>198</v>
      </c>
      <c r="J883" s="44">
        <v>39378.879999999997</v>
      </c>
      <c r="K883" t="s">
        <v>198</v>
      </c>
    </row>
    <row r="884" spans="1:11" ht="16.95" hidden="1" customHeight="1" x14ac:dyDescent="0.3">
      <c r="A884" s="42" t="s">
        <v>299</v>
      </c>
      <c r="B884" s="42" t="s">
        <v>239</v>
      </c>
      <c r="C884" s="42" t="s">
        <v>210</v>
      </c>
      <c r="D884" s="42" t="s">
        <v>283</v>
      </c>
      <c r="E884" s="42" t="s">
        <v>241</v>
      </c>
      <c r="F884" s="42" t="s">
        <v>252</v>
      </c>
      <c r="G884" t="s">
        <v>198</v>
      </c>
      <c r="H884" t="s">
        <v>198</v>
      </c>
      <c r="I884" t="s">
        <v>198</v>
      </c>
      <c r="J884" s="44">
        <v>38897.910000000003</v>
      </c>
      <c r="K884" t="s">
        <v>198</v>
      </c>
    </row>
    <row r="885" spans="1:11" ht="16.95" hidden="1" customHeight="1" x14ac:dyDescent="0.3">
      <c r="A885" s="42" t="s">
        <v>299</v>
      </c>
      <c r="B885" s="42" t="s">
        <v>239</v>
      </c>
      <c r="C885" s="42" t="s">
        <v>210</v>
      </c>
      <c r="D885" s="42" t="s">
        <v>283</v>
      </c>
      <c r="E885" s="42" t="s">
        <v>241</v>
      </c>
      <c r="F885" s="42" t="s">
        <v>253</v>
      </c>
      <c r="G885" t="s">
        <v>198</v>
      </c>
      <c r="H885" t="s">
        <v>198</v>
      </c>
      <c r="I885" t="s">
        <v>198</v>
      </c>
      <c r="J885" s="44">
        <v>39570.400000000001</v>
      </c>
      <c r="K885" t="s">
        <v>198</v>
      </c>
    </row>
    <row r="886" spans="1:11" ht="16.95" hidden="1" customHeight="1" x14ac:dyDescent="0.3">
      <c r="A886" s="42" t="s">
        <v>299</v>
      </c>
      <c r="B886" s="42" t="s">
        <v>239</v>
      </c>
      <c r="C886" s="42" t="s">
        <v>210</v>
      </c>
      <c r="D886" s="42" t="s">
        <v>284</v>
      </c>
      <c r="E886" s="42" t="s">
        <v>241</v>
      </c>
      <c r="F886" s="42" t="s">
        <v>242</v>
      </c>
      <c r="G886" s="44">
        <v>66536.479999999996</v>
      </c>
      <c r="H886" s="44">
        <v>81490.25</v>
      </c>
      <c r="I886" s="44">
        <v>57318.49</v>
      </c>
      <c r="J886" s="44">
        <v>65150.25</v>
      </c>
      <c r="K886" s="44">
        <v>55448.11</v>
      </c>
    </row>
    <row r="887" spans="1:11" ht="16.95" hidden="1" customHeight="1" x14ac:dyDescent="0.3">
      <c r="A887" s="42" t="s">
        <v>299</v>
      </c>
      <c r="B887" s="42" t="s">
        <v>239</v>
      </c>
      <c r="C887" s="42" t="s">
        <v>210</v>
      </c>
      <c r="D887" s="42" t="s">
        <v>284</v>
      </c>
      <c r="E887" s="42" t="s">
        <v>241</v>
      </c>
      <c r="F887" s="42" t="s">
        <v>243</v>
      </c>
      <c r="G887" s="44">
        <v>74184.740000000005</v>
      </c>
      <c r="H887" s="44">
        <v>76916.56</v>
      </c>
      <c r="I887" s="44">
        <v>58025.94</v>
      </c>
      <c r="J887" s="44">
        <v>63659.1</v>
      </c>
      <c r="K887" s="44">
        <v>63866.82</v>
      </c>
    </row>
    <row r="888" spans="1:11" ht="16.95" hidden="1" customHeight="1" x14ac:dyDescent="0.3">
      <c r="A888" s="42" t="s">
        <v>299</v>
      </c>
      <c r="B888" s="42" t="s">
        <v>239</v>
      </c>
      <c r="C888" s="42" t="s">
        <v>210</v>
      </c>
      <c r="D888" s="42" t="s">
        <v>284</v>
      </c>
      <c r="E888" s="42" t="s">
        <v>241</v>
      </c>
      <c r="F888" s="42" t="s">
        <v>244</v>
      </c>
      <c r="G888" s="44">
        <v>65671.360000000001</v>
      </c>
      <c r="H888" s="44">
        <v>74931.8</v>
      </c>
      <c r="I888" s="44">
        <v>57932.08</v>
      </c>
      <c r="J888" s="44">
        <v>55002.86</v>
      </c>
      <c r="K888" s="44">
        <v>63698.09</v>
      </c>
    </row>
    <row r="889" spans="1:11" ht="16.95" hidden="1" customHeight="1" x14ac:dyDescent="0.3">
      <c r="A889" s="42" t="s">
        <v>299</v>
      </c>
      <c r="B889" s="42" t="s">
        <v>239</v>
      </c>
      <c r="C889" s="42" t="s">
        <v>210</v>
      </c>
      <c r="D889" s="42" t="s">
        <v>284</v>
      </c>
      <c r="E889" s="42" t="s">
        <v>241</v>
      </c>
      <c r="F889" s="42" t="s">
        <v>245</v>
      </c>
      <c r="G889" s="44">
        <v>66727.53</v>
      </c>
      <c r="H889" s="44">
        <v>75354.91</v>
      </c>
      <c r="I889" s="44">
        <v>59200.92</v>
      </c>
      <c r="J889" s="44">
        <v>56360.97</v>
      </c>
      <c r="K889" t="s">
        <v>198</v>
      </c>
    </row>
    <row r="890" spans="1:11" ht="16.95" hidden="1" customHeight="1" x14ac:dyDescent="0.3">
      <c r="A890" s="42" t="s">
        <v>299</v>
      </c>
      <c r="B890" s="42" t="s">
        <v>239</v>
      </c>
      <c r="C890" s="42" t="s">
        <v>210</v>
      </c>
      <c r="D890" s="42" t="s">
        <v>284</v>
      </c>
      <c r="E890" s="42" t="s">
        <v>241</v>
      </c>
      <c r="F890" s="42" t="s">
        <v>246</v>
      </c>
      <c r="G890" s="44">
        <v>72765.399999999994</v>
      </c>
      <c r="H890" s="44">
        <v>75254.960000000006</v>
      </c>
      <c r="I890" s="44">
        <v>60882.8</v>
      </c>
      <c r="J890" s="44">
        <v>53597.02</v>
      </c>
      <c r="K890" t="s">
        <v>198</v>
      </c>
    </row>
    <row r="891" spans="1:11" ht="16.95" hidden="1" customHeight="1" x14ac:dyDescent="0.3">
      <c r="A891" s="42" t="s">
        <v>299</v>
      </c>
      <c r="B891" s="42" t="s">
        <v>239</v>
      </c>
      <c r="C891" s="42" t="s">
        <v>210</v>
      </c>
      <c r="D891" s="42" t="s">
        <v>284</v>
      </c>
      <c r="E891" s="42" t="s">
        <v>241</v>
      </c>
      <c r="F891" s="42" t="s">
        <v>247</v>
      </c>
      <c r="G891" s="44">
        <v>71849.25</v>
      </c>
      <c r="H891" s="44">
        <v>73466.740000000005</v>
      </c>
      <c r="I891" s="44">
        <v>64398.44</v>
      </c>
      <c r="J891" s="44">
        <v>50690.15</v>
      </c>
      <c r="K891" t="s">
        <v>198</v>
      </c>
    </row>
    <row r="892" spans="1:11" ht="16.95" hidden="1" customHeight="1" x14ac:dyDescent="0.3">
      <c r="A892" s="42" t="s">
        <v>299</v>
      </c>
      <c r="B892" s="42" t="s">
        <v>239</v>
      </c>
      <c r="C892" s="42" t="s">
        <v>210</v>
      </c>
      <c r="D892" s="42" t="s">
        <v>284</v>
      </c>
      <c r="E892" s="42" t="s">
        <v>241</v>
      </c>
      <c r="F892" s="42" t="s">
        <v>248</v>
      </c>
      <c r="G892" s="44">
        <v>67481.3</v>
      </c>
      <c r="H892" s="44">
        <v>72808.78</v>
      </c>
      <c r="I892" s="44">
        <v>63662.25</v>
      </c>
      <c r="J892" s="44">
        <v>53011.65</v>
      </c>
      <c r="K892" t="s">
        <v>198</v>
      </c>
    </row>
    <row r="893" spans="1:11" ht="16.95" hidden="1" customHeight="1" x14ac:dyDescent="0.3">
      <c r="A893" s="42" t="s">
        <v>299</v>
      </c>
      <c r="B893" s="42" t="s">
        <v>239</v>
      </c>
      <c r="C893" s="42" t="s">
        <v>210</v>
      </c>
      <c r="D893" s="42" t="s">
        <v>284</v>
      </c>
      <c r="E893" s="42" t="s">
        <v>241</v>
      </c>
      <c r="F893" s="42" t="s">
        <v>249</v>
      </c>
      <c r="G893" s="44">
        <v>69016.570000000007</v>
      </c>
      <c r="H893" s="44">
        <v>72166.97</v>
      </c>
      <c r="I893" s="44">
        <v>67648.86</v>
      </c>
      <c r="J893" s="44">
        <v>55298.36</v>
      </c>
      <c r="K893" t="s">
        <v>198</v>
      </c>
    </row>
    <row r="894" spans="1:11" ht="16.95" hidden="1" customHeight="1" x14ac:dyDescent="0.3">
      <c r="A894" s="42" t="s">
        <v>299</v>
      </c>
      <c r="B894" s="42" t="s">
        <v>239</v>
      </c>
      <c r="C894" s="42" t="s">
        <v>210</v>
      </c>
      <c r="D894" s="42" t="s">
        <v>284</v>
      </c>
      <c r="E894" s="42" t="s">
        <v>241</v>
      </c>
      <c r="F894" s="42" t="s">
        <v>250</v>
      </c>
      <c r="G894" s="44">
        <v>71463.98</v>
      </c>
      <c r="H894" s="44">
        <v>72074.11</v>
      </c>
      <c r="I894" s="44">
        <v>68291.87</v>
      </c>
      <c r="J894" s="44">
        <v>53455.44</v>
      </c>
      <c r="K894" t="s">
        <v>198</v>
      </c>
    </row>
    <row r="895" spans="1:11" ht="16.95" hidden="1" customHeight="1" x14ac:dyDescent="0.3">
      <c r="A895" s="42" t="s">
        <v>299</v>
      </c>
      <c r="B895" s="42" t="s">
        <v>239</v>
      </c>
      <c r="C895" s="42" t="s">
        <v>210</v>
      </c>
      <c r="D895" s="42" t="s">
        <v>284</v>
      </c>
      <c r="E895" s="42" t="s">
        <v>241</v>
      </c>
      <c r="F895" s="42" t="s">
        <v>251</v>
      </c>
      <c r="G895" s="44">
        <v>72452.5</v>
      </c>
      <c r="H895" s="44">
        <v>67417.88</v>
      </c>
      <c r="I895" s="44">
        <v>70900.25</v>
      </c>
      <c r="J895" s="44">
        <v>54727.43</v>
      </c>
      <c r="K895" t="s">
        <v>198</v>
      </c>
    </row>
    <row r="896" spans="1:11" ht="16.95" hidden="1" customHeight="1" x14ac:dyDescent="0.3">
      <c r="A896" s="42" t="s">
        <v>299</v>
      </c>
      <c r="B896" s="42" t="s">
        <v>239</v>
      </c>
      <c r="C896" s="42" t="s">
        <v>210</v>
      </c>
      <c r="D896" s="42" t="s">
        <v>284</v>
      </c>
      <c r="E896" s="42" t="s">
        <v>241</v>
      </c>
      <c r="F896" s="42" t="s">
        <v>252</v>
      </c>
      <c r="G896" s="44">
        <v>78732.37</v>
      </c>
      <c r="H896" s="44">
        <v>67203.55</v>
      </c>
      <c r="I896" s="44">
        <v>74058.63</v>
      </c>
      <c r="J896" s="44">
        <v>55158.7</v>
      </c>
      <c r="K896" t="s">
        <v>198</v>
      </c>
    </row>
    <row r="897" spans="1:11" ht="16.95" hidden="1" customHeight="1" x14ac:dyDescent="0.3">
      <c r="A897" s="42" t="s">
        <v>299</v>
      </c>
      <c r="B897" s="42" t="s">
        <v>239</v>
      </c>
      <c r="C897" s="42" t="s">
        <v>210</v>
      </c>
      <c r="D897" s="42" t="s">
        <v>284</v>
      </c>
      <c r="E897" s="42" t="s">
        <v>241</v>
      </c>
      <c r="F897" s="42" t="s">
        <v>253</v>
      </c>
      <c r="G897" s="44">
        <v>76765.89</v>
      </c>
      <c r="H897" s="44">
        <v>66214.06</v>
      </c>
      <c r="I897" s="44">
        <v>68098.679999999993</v>
      </c>
      <c r="J897" s="44">
        <v>54075.47</v>
      </c>
      <c r="K897" t="s">
        <v>198</v>
      </c>
    </row>
    <row r="898" spans="1:11" ht="16.95" hidden="1" customHeight="1" x14ac:dyDescent="0.3">
      <c r="A898" s="42" t="s">
        <v>299</v>
      </c>
      <c r="B898" s="42" t="s">
        <v>239</v>
      </c>
      <c r="C898" s="42" t="s">
        <v>210</v>
      </c>
      <c r="D898" s="42" t="s">
        <v>285</v>
      </c>
      <c r="E898" s="42" t="s">
        <v>241</v>
      </c>
      <c r="F898" s="42" t="s">
        <v>242</v>
      </c>
      <c r="G898" s="44">
        <v>35569.129999999997</v>
      </c>
      <c r="H898" s="44">
        <v>36035.64</v>
      </c>
      <c r="I898" s="44">
        <v>37392.67</v>
      </c>
      <c r="J898" s="44">
        <v>37074.89</v>
      </c>
      <c r="K898" s="44">
        <v>48394.1</v>
      </c>
    </row>
    <row r="899" spans="1:11" ht="16.95" hidden="1" customHeight="1" x14ac:dyDescent="0.3">
      <c r="A899" s="42" t="s">
        <v>299</v>
      </c>
      <c r="B899" s="42" t="s">
        <v>239</v>
      </c>
      <c r="C899" s="42" t="s">
        <v>210</v>
      </c>
      <c r="D899" s="42" t="s">
        <v>285</v>
      </c>
      <c r="E899" s="42" t="s">
        <v>241</v>
      </c>
      <c r="F899" s="42" t="s">
        <v>243</v>
      </c>
      <c r="G899" s="44">
        <v>38201.54</v>
      </c>
      <c r="H899" s="44">
        <v>40474.480000000003</v>
      </c>
      <c r="I899" s="44">
        <v>39619.769999999997</v>
      </c>
      <c r="J899" s="44">
        <v>41455.53</v>
      </c>
      <c r="K899" s="44">
        <v>50744.1</v>
      </c>
    </row>
    <row r="900" spans="1:11" ht="16.95" hidden="1" customHeight="1" x14ac:dyDescent="0.3">
      <c r="A900" s="42" t="s">
        <v>299</v>
      </c>
      <c r="B900" s="42" t="s">
        <v>239</v>
      </c>
      <c r="C900" s="42" t="s">
        <v>210</v>
      </c>
      <c r="D900" s="42" t="s">
        <v>285</v>
      </c>
      <c r="E900" s="42" t="s">
        <v>241</v>
      </c>
      <c r="F900" s="42" t="s">
        <v>244</v>
      </c>
      <c r="G900" s="44">
        <v>39904.5</v>
      </c>
      <c r="H900" s="44">
        <v>38759.629999999997</v>
      </c>
      <c r="I900" s="44">
        <v>41971.839999999997</v>
      </c>
      <c r="J900" s="44">
        <v>41293.919999999998</v>
      </c>
      <c r="K900" s="44">
        <v>54606.85</v>
      </c>
    </row>
    <row r="901" spans="1:11" ht="16.95" hidden="1" customHeight="1" x14ac:dyDescent="0.3">
      <c r="A901" s="42" t="s">
        <v>299</v>
      </c>
      <c r="B901" s="42" t="s">
        <v>239</v>
      </c>
      <c r="C901" s="42" t="s">
        <v>210</v>
      </c>
      <c r="D901" s="42" t="s">
        <v>285</v>
      </c>
      <c r="E901" s="42" t="s">
        <v>241</v>
      </c>
      <c r="F901" s="42" t="s">
        <v>245</v>
      </c>
      <c r="G901" s="44">
        <v>37410.36</v>
      </c>
      <c r="H901" s="44">
        <v>41619.99</v>
      </c>
      <c r="I901" s="44">
        <v>39139.93</v>
      </c>
      <c r="J901" s="44">
        <v>42652.14</v>
      </c>
      <c r="K901" t="s">
        <v>198</v>
      </c>
    </row>
    <row r="902" spans="1:11" ht="16.95" hidden="1" customHeight="1" x14ac:dyDescent="0.3">
      <c r="A902" s="42" t="s">
        <v>299</v>
      </c>
      <c r="B902" s="42" t="s">
        <v>239</v>
      </c>
      <c r="C902" s="42" t="s">
        <v>210</v>
      </c>
      <c r="D902" s="42" t="s">
        <v>285</v>
      </c>
      <c r="E902" s="42" t="s">
        <v>241</v>
      </c>
      <c r="F902" s="42" t="s">
        <v>246</v>
      </c>
      <c r="G902" s="44">
        <v>36232.910000000003</v>
      </c>
      <c r="H902" s="44">
        <v>39166.480000000003</v>
      </c>
      <c r="I902" s="44">
        <v>46641.33</v>
      </c>
      <c r="J902" s="44">
        <v>48099.6</v>
      </c>
      <c r="K902" t="s">
        <v>198</v>
      </c>
    </row>
    <row r="903" spans="1:11" ht="16.95" hidden="1" customHeight="1" x14ac:dyDescent="0.3">
      <c r="A903" s="42" t="s">
        <v>299</v>
      </c>
      <c r="B903" s="42" t="s">
        <v>239</v>
      </c>
      <c r="C903" s="42" t="s">
        <v>210</v>
      </c>
      <c r="D903" s="42" t="s">
        <v>285</v>
      </c>
      <c r="E903" s="42" t="s">
        <v>241</v>
      </c>
      <c r="F903" s="42" t="s">
        <v>247</v>
      </c>
      <c r="G903" s="44">
        <v>35459.980000000003</v>
      </c>
      <c r="H903" s="44">
        <v>41964.63</v>
      </c>
      <c r="I903" s="44">
        <v>41713.89</v>
      </c>
      <c r="J903" s="44">
        <v>47516.37</v>
      </c>
      <c r="K903" t="s">
        <v>198</v>
      </c>
    </row>
    <row r="904" spans="1:11" ht="16.95" hidden="1" customHeight="1" x14ac:dyDescent="0.3">
      <c r="A904" s="42" t="s">
        <v>299</v>
      </c>
      <c r="B904" s="42" t="s">
        <v>239</v>
      </c>
      <c r="C904" s="42" t="s">
        <v>210</v>
      </c>
      <c r="D904" s="42" t="s">
        <v>285</v>
      </c>
      <c r="E904" s="42" t="s">
        <v>241</v>
      </c>
      <c r="F904" s="42" t="s">
        <v>248</v>
      </c>
      <c r="G904" s="44">
        <v>34159.82</v>
      </c>
      <c r="H904" s="44">
        <v>42651.75</v>
      </c>
      <c r="I904" s="44">
        <v>37366.980000000003</v>
      </c>
      <c r="J904" s="44">
        <v>42012.04</v>
      </c>
      <c r="K904" t="s">
        <v>198</v>
      </c>
    </row>
    <row r="905" spans="1:11" ht="16.95" hidden="1" customHeight="1" x14ac:dyDescent="0.3">
      <c r="A905" s="42" t="s">
        <v>299</v>
      </c>
      <c r="B905" s="42" t="s">
        <v>239</v>
      </c>
      <c r="C905" s="42" t="s">
        <v>210</v>
      </c>
      <c r="D905" s="42" t="s">
        <v>285</v>
      </c>
      <c r="E905" s="42" t="s">
        <v>241</v>
      </c>
      <c r="F905" s="42" t="s">
        <v>249</v>
      </c>
      <c r="G905" s="44">
        <v>33441.82</v>
      </c>
      <c r="H905" s="44">
        <v>41250.97</v>
      </c>
      <c r="I905" s="44">
        <v>39252.57</v>
      </c>
      <c r="J905" s="44">
        <v>43288.41</v>
      </c>
      <c r="K905" t="s">
        <v>198</v>
      </c>
    </row>
    <row r="906" spans="1:11" ht="16.95" hidden="1" customHeight="1" x14ac:dyDescent="0.3">
      <c r="A906" s="42" t="s">
        <v>299</v>
      </c>
      <c r="B906" s="42" t="s">
        <v>239</v>
      </c>
      <c r="C906" s="42" t="s">
        <v>210</v>
      </c>
      <c r="D906" s="42" t="s">
        <v>285</v>
      </c>
      <c r="E906" s="42" t="s">
        <v>241</v>
      </c>
      <c r="F906" s="42" t="s">
        <v>250</v>
      </c>
      <c r="G906" s="44">
        <v>36255.08</v>
      </c>
      <c r="H906" s="44">
        <v>43472.81</v>
      </c>
      <c r="I906" s="44">
        <v>42191.01</v>
      </c>
      <c r="J906" s="44">
        <v>44309.58</v>
      </c>
      <c r="K906" t="s">
        <v>198</v>
      </c>
    </row>
    <row r="907" spans="1:11" ht="16.95" hidden="1" customHeight="1" x14ac:dyDescent="0.3">
      <c r="A907" s="42" t="s">
        <v>299</v>
      </c>
      <c r="B907" s="42" t="s">
        <v>239</v>
      </c>
      <c r="C907" s="42" t="s">
        <v>210</v>
      </c>
      <c r="D907" s="42" t="s">
        <v>285</v>
      </c>
      <c r="E907" s="42" t="s">
        <v>241</v>
      </c>
      <c r="F907" s="42" t="s">
        <v>251</v>
      </c>
      <c r="G907" s="44">
        <v>38548.68</v>
      </c>
      <c r="H907" s="44">
        <v>41928.33</v>
      </c>
      <c r="I907" s="44">
        <v>41109.32</v>
      </c>
      <c r="J907" s="44">
        <v>45073.47</v>
      </c>
      <c r="K907" t="s">
        <v>198</v>
      </c>
    </row>
    <row r="908" spans="1:11" ht="16.95" hidden="1" customHeight="1" x14ac:dyDescent="0.3">
      <c r="A908" s="42" t="s">
        <v>299</v>
      </c>
      <c r="B908" s="42" t="s">
        <v>239</v>
      </c>
      <c r="C908" s="42" t="s">
        <v>210</v>
      </c>
      <c r="D908" s="42" t="s">
        <v>285</v>
      </c>
      <c r="E908" s="42" t="s">
        <v>241</v>
      </c>
      <c r="F908" s="42" t="s">
        <v>252</v>
      </c>
      <c r="G908" s="44">
        <v>40728.910000000003</v>
      </c>
      <c r="H908" s="44">
        <v>40992.629999999997</v>
      </c>
      <c r="I908" s="43">
        <v>35590</v>
      </c>
      <c r="J908" s="44">
        <v>44541.67</v>
      </c>
      <c r="K908" t="s">
        <v>198</v>
      </c>
    </row>
    <row r="909" spans="1:11" ht="16.95" hidden="1" customHeight="1" x14ac:dyDescent="0.3">
      <c r="A909" s="42" t="s">
        <v>299</v>
      </c>
      <c r="B909" s="42" t="s">
        <v>239</v>
      </c>
      <c r="C909" s="42" t="s">
        <v>210</v>
      </c>
      <c r="D909" s="42" t="s">
        <v>285</v>
      </c>
      <c r="E909" s="42" t="s">
        <v>241</v>
      </c>
      <c r="F909" s="42" t="s">
        <v>253</v>
      </c>
      <c r="G909" s="44">
        <v>37989.730000000003</v>
      </c>
      <c r="H909" s="44">
        <v>41206.35</v>
      </c>
      <c r="I909" s="44">
        <v>33587.269999999997</v>
      </c>
      <c r="J909" s="44">
        <v>43783.26</v>
      </c>
      <c r="K909" t="s">
        <v>198</v>
      </c>
    </row>
    <row r="910" spans="1:11" ht="16.95" hidden="1" customHeight="1" x14ac:dyDescent="0.3">
      <c r="A910" s="42" t="s">
        <v>299</v>
      </c>
      <c r="B910" s="42" t="s">
        <v>239</v>
      </c>
      <c r="C910" s="42" t="s">
        <v>210</v>
      </c>
      <c r="D910" s="42" t="s">
        <v>286</v>
      </c>
      <c r="E910" s="42" t="s">
        <v>241</v>
      </c>
      <c r="F910" s="42" t="s">
        <v>242</v>
      </c>
      <c r="G910" t="s">
        <v>198</v>
      </c>
      <c r="H910" t="s">
        <v>198</v>
      </c>
      <c r="I910" t="s">
        <v>198</v>
      </c>
      <c r="J910" t="s">
        <v>198</v>
      </c>
      <c r="K910" s="44">
        <v>43183.17</v>
      </c>
    </row>
    <row r="911" spans="1:11" ht="16.95" hidden="1" customHeight="1" x14ac:dyDescent="0.3">
      <c r="A911" s="42" t="s">
        <v>299</v>
      </c>
      <c r="B911" s="42" t="s">
        <v>239</v>
      </c>
      <c r="C911" s="42" t="s">
        <v>210</v>
      </c>
      <c r="D911" s="42" t="s">
        <v>286</v>
      </c>
      <c r="E911" s="42" t="s">
        <v>241</v>
      </c>
      <c r="F911" s="42" t="s">
        <v>243</v>
      </c>
      <c r="G911" t="s">
        <v>198</v>
      </c>
      <c r="H911" t="s">
        <v>198</v>
      </c>
      <c r="I911" t="s">
        <v>198</v>
      </c>
      <c r="J911" t="s">
        <v>198</v>
      </c>
      <c r="K911" s="44">
        <v>49330.63</v>
      </c>
    </row>
    <row r="912" spans="1:11" ht="16.95" hidden="1" customHeight="1" x14ac:dyDescent="0.3">
      <c r="A912" s="42" t="s">
        <v>299</v>
      </c>
      <c r="B912" s="42" t="s">
        <v>239</v>
      </c>
      <c r="C912" s="42" t="s">
        <v>210</v>
      </c>
      <c r="D912" s="42" t="s">
        <v>286</v>
      </c>
      <c r="E912" s="42" t="s">
        <v>241</v>
      </c>
      <c r="F912" s="42" t="s">
        <v>244</v>
      </c>
      <c r="G912" t="s">
        <v>198</v>
      </c>
      <c r="H912" t="s">
        <v>198</v>
      </c>
      <c r="I912" t="s">
        <v>198</v>
      </c>
      <c r="J912" t="s">
        <v>198</v>
      </c>
      <c r="K912" s="44">
        <v>49514.82</v>
      </c>
    </row>
    <row r="913" spans="1:11" ht="16.95" hidden="1" customHeight="1" x14ac:dyDescent="0.3">
      <c r="A913" s="42" t="s">
        <v>299</v>
      </c>
      <c r="B913" s="42" t="s">
        <v>239</v>
      </c>
      <c r="C913" s="42" t="s">
        <v>210</v>
      </c>
      <c r="D913" s="42" t="s">
        <v>287</v>
      </c>
      <c r="E913" s="42" t="s">
        <v>241</v>
      </c>
      <c r="F913" s="42" t="s">
        <v>242</v>
      </c>
      <c r="G913" s="44">
        <v>32388.69</v>
      </c>
      <c r="H913" s="44">
        <v>35704.04</v>
      </c>
      <c r="I913" s="44">
        <v>42333.81</v>
      </c>
      <c r="J913" s="44">
        <v>37651.360000000001</v>
      </c>
      <c r="K913" s="44">
        <v>48282.31</v>
      </c>
    </row>
    <row r="914" spans="1:11" ht="16.95" hidden="1" customHeight="1" x14ac:dyDescent="0.3">
      <c r="A914" s="42" t="s">
        <v>299</v>
      </c>
      <c r="B914" s="42" t="s">
        <v>239</v>
      </c>
      <c r="C914" s="42" t="s">
        <v>210</v>
      </c>
      <c r="D914" s="42" t="s">
        <v>287</v>
      </c>
      <c r="E914" s="42" t="s">
        <v>241</v>
      </c>
      <c r="F914" s="42" t="s">
        <v>243</v>
      </c>
      <c r="G914" s="44">
        <v>33439.4</v>
      </c>
      <c r="H914" s="44">
        <v>35924.89</v>
      </c>
      <c r="I914" s="44">
        <v>37005.300000000003</v>
      </c>
      <c r="J914" s="44">
        <v>40718.86</v>
      </c>
      <c r="K914" s="44">
        <v>59084.92</v>
      </c>
    </row>
    <row r="915" spans="1:11" ht="16.95" hidden="1" customHeight="1" x14ac:dyDescent="0.3">
      <c r="A915" s="42" t="s">
        <v>299</v>
      </c>
      <c r="B915" s="42" t="s">
        <v>239</v>
      </c>
      <c r="C915" s="42" t="s">
        <v>210</v>
      </c>
      <c r="D915" s="42" t="s">
        <v>287</v>
      </c>
      <c r="E915" s="42" t="s">
        <v>241</v>
      </c>
      <c r="F915" s="42" t="s">
        <v>244</v>
      </c>
      <c r="G915" s="44">
        <v>38589.339999999997</v>
      </c>
      <c r="H915" s="44">
        <v>35584.71</v>
      </c>
      <c r="I915" s="44">
        <v>42657.91</v>
      </c>
      <c r="J915" s="44">
        <v>42090.14</v>
      </c>
      <c r="K915" s="44">
        <v>58051.33</v>
      </c>
    </row>
    <row r="916" spans="1:11" ht="16.95" hidden="1" customHeight="1" x14ac:dyDescent="0.3">
      <c r="A916" s="42" t="s">
        <v>299</v>
      </c>
      <c r="B916" s="42" t="s">
        <v>239</v>
      </c>
      <c r="C916" s="42" t="s">
        <v>210</v>
      </c>
      <c r="D916" s="42" t="s">
        <v>287</v>
      </c>
      <c r="E916" s="42" t="s">
        <v>241</v>
      </c>
      <c r="F916" s="42" t="s">
        <v>245</v>
      </c>
      <c r="G916" s="44">
        <v>33153.74</v>
      </c>
      <c r="H916" s="44">
        <v>36303.06</v>
      </c>
      <c r="I916" s="44">
        <v>41471.410000000003</v>
      </c>
      <c r="J916" s="44">
        <v>41549.78</v>
      </c>
      <c r="K916" t="s">
        <v>198</v>
      </c>
    </row>
    <row r="917" spans="1:11" ht="16.95" hidden="1" customHeight="1" x14ac:dyDescent="0.3">
      <c r="A917" s="42" t="s">
        <v>299</v>
      </c>
      <c r="B917" s="42" t="s">
        <v>239</v>
      </c>
      <c r="C917" s="42" t="s">
        <v>210</v>
      </c>
      <c r="D917" s="42" t="s">
        <v>287</v>
      </c>
      <c r="E917" s="42" t="s">
        <v>241</v>
      </c>
      <c r="F917" s="42" t="s">
        <v>246</v>
      </c>
      <c r="G917" s="44">
        <v>33218.449999999997</v>
      </c>
      <c r="H917" s="44">
        <v>39934.49</v>
      </c>
      <c r="I917" s="43">
        <v>40000</v>
      </c>
      <c r="J917" s="44">
        <v>37283.980000000003</v>
      </c>
      <c r="K917" t="s">
        <v>198</v>
      </c>
    </row>
    <row r="918" spans="1:11" ht="16.95" hidden="1" customHeight="1" x14ac:dyDescent="0.3">
      <c r="A918" s="42" t="s">
        <v>299</v>
      </c>
      <c r="B918" s="42" t="s">
        <v>239</v>
      </c>
      <c r="C918" s="42" t="s">
        <v>210</v>
      </c>
      <c r="D918" s="42" t="s">
        <v>287</v>
      </c>
      <c r="E918" s="42" t="s">
        <v>241</v>
      </c>
      <c r="F918" s="42" t="s">
        <v>247</v>
      </c>
      <c r="G918" s="44">
        <v>32722.85</v>
      </c>
      <c r="H918" s="44">
        <v>40089.96</v>
      </c>
      <c r="I918" s="43">
        <v>38000</v>
      </c>
      <c r="J918" s="44">
        <v>36925.440000000002</v>
      </c>
      <c r="K918" t="s">
        <v>198</v>
      </c>
    </row>
    <row r="919" spans="1:11" ht="16.95" hidden="1" customHeight="1" x14ac:dyDescent="0.3">
      <c r="A919" s="42" t="s">
        <v>299</v>
      </c>
      <c r="B919" s="42" t="s">
        <v>239</v>
      </c>
      <c r="C919" s="42" t="s">
        <v>210</v>
      </c>
      <c r="D919" s="42" t="s">
        <v>287</v>
      </c>
      <c r="E919" s="42" t="s">
        <v>241</v>
      </c>
      <c r="F919" s="42" t="s">
        <v>248</v>
      </c>
      <c r="G919" s="44">
        <v>32524.66</v>
      </c>
      <c r="H919" s="44">
        <v>40971.35</v>
      </c>
      <c r="I919" s="43">
        <v>40000</v>
      </c>
      <c r="J919" s="44">
        <v>40096.07</v>
      </c>
      <c r="K919" t="s">
        <v>198</v>
      </c>
    </row>
    <row r="920" spans="1:11" ht="16.95" hidden="1" customHeight="1" x14ac:dyDescent="0.3">
      <c r="A920" s="42" t="s">
        <v>299</v>
      </c>
      <c r="B920" s="42" t="s">
        <v>239</v>
      </c>
      <c r="C920" s="42" t="s">
        <v>210</v>
      </c>
      <c r="D920" s="42" t="s">
        <v>287</v>
      </c>
      <c r="E920" s="42" t="s">
        <v>241</v>
      </c>
      <c r="F920" s="42" t="s">
        <v>249</v>
      </c>
      <c r="G920" s="44">
        <v>32585.34</v>
      </c>
      <c r="H920" s="44">
        <v>40022.47</v>
      </c>
      <c r="I920" s="43">
        <v>38000</v>
      </c>
      <c r="J920" s="44">
        <v>39508.75</v>
      </c>
      <c r="K920" t="s">
        <v>198</v>
      </c>
    </row>
    <row r="921" spans="1:11" ht="16.95" hidden="1" customHeight="1" x14ac:dyDescent="0.3">
      <c r="A921" s="42" t="s">
        <v>299</v>
      </c>
      <c r="B921" s="42" t="s">
        <v>239</v>
      </c>
      <c r="C921" s="42" t="s">
        <v>210</v>
      </c>
      <c r="D921" s="42" t="s">
        <v>287</v>
      </c>
      <c r="E921" s="42" t="s">
        <v>241</v>
      </c>
      <c r="F921" s="42" t="s">
        <v>250</v>
      </c>
      <c r="G921" s="44">
        <v>32598.19</v>
      </c>
      <c r="H921" s="44">
        <v>40058.53</v>
      </c>
      <c r="I921" s="43">
        <v>39000</v>
      </c>
      <c r="J921" s="44">
        <v>38656.06</v>
      </c>
      <c r="K921" t="s">
        <v>198</v>
      </c>
    </row>
    <row r="922" spans="1:11" ht="16.95" hidden="1" customHeight="1" x14ac:dyDescent="0.3">
      <c r="A922" s="42" t="s">
        <v>299</v>
      </c>
      <c r="B922" s="42" t="s">
        <v>239</v>
      </c>
      <c r="C922" s="42" t="s">
        <v>210</v>
      </c>
      <c r="D922" s="42" t="s">
        <v>287</v>
      </c>
      <c r="E922" s="42" t="s">
        <v>241</v>
      </c>
      <c r="F922" s="42" t="s">
        <v>251</v>
      </c>
      <c r="G922" s="44">
        <v>32678.95</v>
      </c>
      <c r="H922" s="44">
        <v>40336.629999999997</v>
      </c>
      <c r="I922" s="43">
        <v>39000</v>
      </c>
      <c r="J922" s="44">
        <v>41670.65</v>
      </c>
      <c r="K922" t="s">
        <v>198</v>
      </c>
    </row>
    <row r="923" spans="1:11" ht="16.95" hidden="1" customHeight="1" x14ac:dyDescent="0.3">
      <c r="A923" s="42" t="s">
        <v>299</v>
      </c>
      <c r="B923" s="42" t="s">
        <v>239</v>
      </c>
      <c r="C923" s="42" t="s">
        <v>210</v>
      </c>
      <c r="D923" s="42" t="s">
        <v>287</v>
      </c>
      <c r="E923" s="42" t="s">
        <v>241</v>
      </c>
      <c r="F923" s="42" t="s">
        <v>252</v>
      </c>
      <c r="G923" s="44">
        <v>32541.4</v>
      </c>
      <c r="H923" s="44">
        <v>42698.9</v>
      </c>
      <c r="I923" s="43">
        <v>39000</v>
      </c>
      <c r="J923" s="44">
        <v>40878.1</v>
      </c>
      <c r="K923" t="s">
        <v>198</v>
      </c>
    </row>
    <row r="924" spans="1:11" ht="16.95" hidden="1" customHeight="1" x14ac:dyDescent="0.3">
      <c r="A924" s="42" t="s">
        <v>299</v>
      </c>
      <c r="B924" s="42" t="s">
        <v>239</v>
      </c>
      <c r="C924" s="42" t="s">
        <v>210</v>
      </c>
      <c r="D924" s="42" t="s">
        <v>287</v>
      </c>
      <c r="E924" s="42" t="s">
        <v>241</v>
      </c>
      <c r="F924" s="42" t="s">
        <v>253</v>
      </c>
      <c r="G924" s="44">
        <v>32552.86</v>
      </c>
      <c r="H924" s="44">
        <v>42874.9</v>
      </c>
      <c r="I924" s="44">
        <v>37050.080000000002</v>
      </c>
      <c r="J924" s="44">
        <v>46164.37</v>
      </c>
      <c r="K924" t="s">
        <v>198</v>
      </c>
    </row>
    <row r="925" spans="1:11" ht="16.95" hidden="1" customHeight="1" x14ac:dyDescent="0.3">
      <c r="A925" s="42" t="s">
        <v>299</v>
      </c>
      <c r="B925" s="42" t="s">
        <v>239</v>
      </c>
      <c r="C925" s="42" t="s">
        <v>210</v>
      </c>
      <c r="D925" s="42" t="s">
        <v>288</v>
      </c>
      <c r="E925" s="42" t="s">
        <v>241</v>
      </c>
      <c r="F925" s="42" t="s">
        <v>242</v>
      </c>
      <c r="G925" t="s">
        <v>198</v>
      </c>
      <c r="H925" t="s">
        <v>198</v>
      </c>
      <c r="I925" t="s">
        <v>198</v>
      </c>
      <c r="J925" t="s">
        <v>198</v>
      </c>
      <c r="K925" s="44">
        <v>390057.48</v>
      </c>
    </row>
    <row r="926" spans="1:11" ht="16.95" hidden="1" customHeight="1" x14ac:dyDescent="0.3">
      <c r="A926" s="42" t="s">
        <v>299</v>
      </c>
      <c r="B926" s="42" t="s">
        <v>239</v>
      </c>
      <c r="C926" s="42" t="s">
        <v>210</v>
      </c>
      <c r="D926" s="42" t="s">
        <v>288</v>
      </c>
      <c r="E926" s="42" t="s">
        <v>241</v>
      </c>
      <c r="F926" s="42" t="s">
        <v>243</v>
      </c>
      <c r="G926" t="s">
        <v>198</v>
      </c>
      <c r="H926" t="s">
        <v>198</v>
      </c>
      <c r="I926" t="s">
        <v>198</v>
      </c>
      <c r="J926" t="s">
        <v>198</v>
      </c>
      <c r="K926" s="44">
        <v>286092.89</v>
      </c>
    </row>
    <row r="927" spans="1:11" ht="16.95" hidden="1" customHeight="1" x14ac:dyDescent="0.3">
      <c r="A927" s="42" t="s">
        <v>299</v>
      </c>
      <c r="B927" s="42" t="s">
        <v>239</v>
      </c>
      <c r="C927" s="42" t="s">
        <v>210</v>
      </c>
      <c r="D927" s="42" t="s">
        <v>288</v>
      </c>
      <c r="E927" s="42" t="s">
        <v>241</v>
      </c>
      <c r="F927" s="42" t="s">
        <v>244</v>
      </c>
      <c r="G927" t="s">
        <v>198</v>
      </c>
      <c r="H927" t="s">
        <v>198</v>
      </c>
      <c r="I927" t="s">
        <v>198</v>
      </c>
      <c r="J927" t="s">
        <v>198</v>
      </c>
      <c r="K927" s="44">
        <v>291204.71999999997</v>
      </c>
    </row>
    <row r="928" spans="1:11" ht="16.95" hidden="1" customHeight="1" x14ac:dyDescent="0.3">
      <c r="A928" s="42" t="s">
        <v>299</v>
      </c>
      <c r="B928" s="42" t="s">
        <v>239</v>
      </c>
      <c r="C928" s="42" t="s">
        <v>210</v>
      </c>
      <c r="D928" s="42" t="s">
        <v>289</v>
      </c>
      <c r="E928" s="42" t="s">
        <v>241</v>
      </c>
      <c r="F928" s="42" t="s">
        <v>242</v>
      </c>
      <c r="G928" s="44">
        <v>45916.3</v>
      </c>
      <c r="H928" s="44">
        <v>46990.2</v>
      </c>
      <c r="I928" s="44">
        <v>60059.54</v>
      </c>
      <c r="J928" s="44">
        <v>59898.53</v>
      </c>
      <c r="K928" s="44">
        <v>59610.65</v>
      </c>
    </row>
    <row r="929" spans="1:11" ht="16.95" hidden="1" customHeight="1" x14ac:dyDescent="0.3">
      <c r="A929" s="42" t="s">
        <v>299</v>
      </c>
      <c r="B929" s="42" t="s">
        <v>239</v>
      </c>
      <c r="C929" s="42" t="s">
        <v>210</v>
      </c>
      <c r="D929" s="42" t="s">
        <v>289</v>
      </c>
      <c r="E929" s="42" t="s">
        <v>241</v>
      </c>
      <c r="F929" s="42" t="s">
        <v>243</v>
      </c>
      <c r="G929" s="44">
        <v>44740.7</v>
      </c>
      <c r="H929" s="43">
        <v>58643</v>
      </c>
      <c r="I929" s="44">
        <v>59791.13</v>
      </c>
      <c r="J929" s="44">
        <v>59325.06</v>
      </c>
      <c r="K929" s="44">
        <v>53047.97</v>
      </c>
    </row>
    <row r="930" spans="1:11" ht="16.95" hidden="1" customHeight="1" x14ac:dyDescent="0.3">
      <c r="A930" s="42" t="s">
        <v>299</v>
      </c>
      <c r="B930" s="42" t="s">
        <v>239</v>
      </c>
      <c r="C930" s="42" t="s">
        <v>210</v>
      </c>
      <c r="D930" s="42" t="s">
        <v>289</v>
      </c>
      <c r="E930" s="42" t="s">
        <v>241</v>
      </c>
      <c r="F930" s="42" t="s">
        <v>244</v>
      </c>
      <c r="G930" s="44">
        <v>44914.18</v>
      </c>
      <c r="H930" s="44">
        <v>57460.72</v>
      </c>
      <c r="I930" s="44">
        <v>60216.84</v>
      </c>
      <c r="J930" s="44">
        <v>58876.69</v>
      </c>
      <c r="K930" s="44">
        <v>61922.61</v>
      </c>
    </row>
    <row r="931" spans="1:11" ht="16.95" hidden="1" customHeight="1" x14ac:dyDescent="0.3">
      <c r="A931" s="42" t="s">
        <v>299</v>
      </c>
      <c r="B931" s="42" t="s">
        <v>239</v>
      </c>
      <c r="C931" s="42" t="s">
        <v>210</v>
      </c>
      <c r="D931" s="42" t="s">
        <v>289</v>
      </c>
      <c r="E931" s="42" t="s">
        <v>241</v>
      </c>
      <c r="F931" s="42" t="s">
        <v>245</v>
      </c>
      <c r="G931" s="44">
        <v>45032.95</v>
      </c>
      <c r="H931" s="44">
        <v>59553.06</v>
      </c>
      <c r="I931" s="44">
        <v>59681.86</v>
      </c>
      <c r="J931" s="44">
        <v>61720.72</v>
      </c>
      <c r="K931" t="s">
        <v>198</v>
      </c>
    </row>
    <row r="932" spans="1:11" ht="16.95" hidden="1" customHeight="1" x14ac:dyDescent="0.3">
      <c r="A932" s="42" t="s">
        <v>299</v>
      </c>
      <c r="B932" s="42" t="s">
        <v>239</v>
      </c>
      <c r="C932" s="42" t="s">
        <v>210</v>
      </c>
      <c r="D932" s="42" t="s">
        <v>289</v>
      </c>
      <c r="E932" s="42" t="s">
        <v>241</v>
      </c>
      <c r="F932" s="42" t="s">
        <v>246</v>
      </c>
      <c r="G932" s="44">
        <v>46704.79</v>
      </c>
      <c r="H932" s="44">
        <v>59394.720000000001</v>
      </c>
      <c r="I932" s="44">
        <v>59758.13</v>
      </c>
      <c r="J932" s="44">
        <v>59062.71</v>
      </c>
      <c r="K932" t="s">
        <v>198</v>
      </c>
    </row>
    <row r="933" spans="1:11" ht="16.95" hidden="1" customHeight="1" x14ac:dyDescent="0.3">
      <c r="A933" s="42" t="s">
        <v>299</v>
      </c>
      <c r="B933" s="42" t="s">
        <v>239</v>
      </c>
      <c r="C933" s="42" t="s">
        <v>210</v>
      </c>
      <c r="D933" s="42" t="s">
        <v>289</v>
      </c>
      <c r="E933" s="42" t="s">
        <v>241</v>
      </c>
      <c r="F933" s="42" t="s">
        <v>247</v>
      </c>
      <c r="G933" s="44">
        <v>42647.08</v>
      </c>
      <c r="H933" s="44">
        <v>57518.63</v>
      </c>
      <c r="I933" s="44">
        <v>59473.87</v>
      </c>
      <c r="J933" s="44">
        <v>61780.639999999999</v>
      </c>
      <c r="K933" t="s">
        <v>198</v>
      </c>
    </row>
    <row r="934" spans="1:11" ht="16.95" hidden="1" customHeight="1" x14ac:dyDescent="0.3">
      <c r="A934" s="42" t="s">
        <v>299</v>
      </c>
      <c r="B934" s="42" t="s">
        <v>239</v>
      </c>
      <c r="C934" s="42" t="s">
        <v>210</v>
      </c>
      <c r="D934" s="42" t="s">
        <v>289</v>
      </c>
      <c r="E934" s="42" t="s">
        <v>241</v>
      </c>
      <c r="F934" s="42" t="s">
        <v>248</v>
      </c>
      <c r="G934" s="44">
        <v>43555.59</v>
      </c>
      <c r="H934" s="44">
        <v>59642.32</v>
      </c>
      <c r="I934" s="44">
        <v>58838.53</v>
      </c>
      <c r="J934" s="44">
        <v>59637.09</v>
      </c>
      <c r="K934" t="s">
        <v>198</v>
      </c>
    </row>
    <row r="935" spans="1:11" ht="16.95" hidden="1" customHeight="1" x14ac:dyDescent="0.3">
      <c r="A935" s="42" t="s">
        <v>299</v>
      </c>
      <c r="B935" s="42" t="s">
        <v>239</v>
      </c>
      <c r="C935" s="42" t="s">
        <v>210</v>
      </c>
      <c r="D935" s="42" t="s">
        <v>289</v>
      </c>
      <c r="E935" s="42" t="s">
        <v>241</v>
      </c>
      <c r="F935" s="42" t="s">
        <v>249</v>
      </c>
      <c r="G935" s="44">
        <v>44419.31</v>
      </c>
      <c r="H935" s="44">
        <v>57684.71</v>
      </c>
      <c r="I935" s="44">
        <v>58114.04</v>
      </c>
      <c r="J935" s="44">
        <v>61072.29</v>
      </c>
      <c r="K935" t="s">
        <v>198</v>
      </c>
    </row>
    <row r="936" spans="1:11" ht="16.95" hidden="1" customHeight="1" x14ac:dyDescent="0.3">
      <c r="A936" s="42" t="s">
        <v>299</v>
      </c>
      <c r="B936" s="42" t="s">
        <v>239</v>
      </c>
      <c r="C936" s="42" t="s">
        <v>210</v>
      </c>
      <c r="D936" s="42" t="s">
        <v>289</v>
      </c>
      <c r="E936" s="42" t="s">
        <v>241</v>
      </c>
      <c r="F936" s="42" t="s">
        <v>250</v>
      </c>
      <c r="G936" s="44">
        <v>47124.69</v>
      </c>
      <c r="H936" s="44">
        <v>59721.120000000003</v>
      </c>
      <c r="I936" s="44">
        <v>57017.38</v>
      </c>
      <c r="J936" s="44">
        <v>62016.4</v>
      </c>
      <c r="K936" t="s">
        <v>198</v>
      </c>
    </row>
    <row r="937" spans="1:11" ht="16.95" hidden="1" customHeight="1" x14ac:dyDescent="0.3">
      <c r="A937" s="42" t="s">
        <v>299</v>
      </c>
      <c r="B937" s="42" t="s">
        <v>239</v>
      </c>
      <c r="C937" s="42" t="s">
        <v>210</v>
      </c>
      <c r="D937" s="42" t="s">
        <v>289</v>
      </c>
      <c r="E937" s="42" t="s">
        <v>241</v>
      </c>
      <c r="F937" s="42" t="s">
        <v>251</v>
      </c>
      <c r="G937" s="44">
        <v>48634.53</v>
      </c>
      <c r="H937" s="44">
        <v>60188.42</v>
      </c>
      <c r="I937" s="44">
        <v>58644.09</v>
      </c>
      <c r="J937" s="44">
        <v>60744.25</v>
      </c>
      <c r="K937" t="s">
        <v>198</v>
      </c>
    </row>
    <row r="938" spans="1:11" ht="16.95" hidden="1" customHeight="1" x14ac:dyDescent="0.3">
      <c r="A938" s="42" t="s">
        <v>299</v>
      </c>
      <c r="B938" s="42" t="s">
        <v>239</v>
      </c>
      <c r="C938" s="42" t="s">
        <v>210</v>
      </c>
      <c r="D938" s="42" t="s">
        <v>289</v>
      </c>
      <c r="E938" s="42" t="s">
        <v>241</v>
      </c>
      <c r="F938" s="42" t="s">
        <v>252</v>
      </c>
      <c r="G938" s="44">
        <v>47011.22</v>
      </c>
      <c r="H938" s="44">
        <v>60837.3</v>
      </c>
      <c r="I938" s="44">
        <v>58470.85</v>
      </c>
      <c r="J938" s="44">
        <v>61159.99</v>
      </c>
      <c r="K938" t="s">
        <v>198</v>
      </c>
    </row>
    <row r="939" spans="1:11" ht="16.95" hidden="1" customHeight="1" x14ac:dyDescent="0.3">
      <c r="A939" s="42" t="s">
        <v>299</v>
      </c>
      <c r="B939" s="42" t="s">
        <v>239</v>
      </c>
      <c r="C939" s="42" t="s">
        <v>210</v>
      </c>
      <c r="D939" s="42" t="s">
        <v>289</v>
      </c>
      <c r="E939" s="42" t="s">
        <v>241</v>
      </c>
      <c r="F939" s="42" t="s">
        <v>253</v>
      </c>
      <c r="G939" s="44">
        <v>46556.24</v>
      </c>
      <c r="H939" s="44">
        <v>60769.96</v>
      </c>
      <c r="I939" s="44">
        <v>59764.5</v>
      </c>
      <c r="J939" s="44">
        <v>64967.53</v>
      </c>
      <c r="K939" t="s">
        <v>198</v>
      </c>
    </row>
    <row r="940" spans="1:11" ht="16.95" hidden="1" customHeight="1" x14ac:dyDescent="0.3">
      <c r="A940" s="42" t="s">
        <v>299</v>
      </c>
      <c r="B940" s="42" t="s">
        <v>239</v>
      </c>
      <c r="C940" s="42" t="s">
        <v>210</v>
      </c>
      <c r="D940" s="42" t="s">
        <v>290</v>
      </c>
      <c r="E940" s="42" t="s">
        <v>241</v>
      </c>
      <c r="F940" s="42" t="s">
        <v>242</v>
      </c>
      <c r="G940" s="44">
        <v>36914.83</v>
      </c>
      <c r="H940" s="44">
        <v>40346.5</v>
      </c>
      <c r="I940" s="44">
        <v>41830.339999999997</v>
      </c>
      <c r="J940" s="44">
        <v>38874.93</v>
      </c>
      <c r="K940" s="44">
        <v>46526.81</v>
      </c>
    </row>
    <row r="941" spans="1:11" ht="16.95" hidden="1" customHeight="1" x14ac:dyDescent="0.3">
      <c r="A941" s="42" t="s">
        <v>299</v>
      </c>
      <c r="B941" s="42" t="s">
        <v>239</v>
      </c>
      <c r="C941" s="42" t="s">
        <v>210</v>
      </c>
      <c r="D941" s="42" t="s">
        <v>290</v>
      </c>
      <c r="E941" s="42" t="s">
        <v>241</v>
      </c>
      <c r="F941" s="42" t="s">
        <v>243</v>
      </c>
      <c r="G941" s="44">
        <v>40058.89</v>
      </c>
      <c r="H941" s="44">
        <v>38485.75</v>
      </c>
      <c r="I941" s="44">
        <v>39276.85</v>
      </c>
      <c r="J941" s="44">
        <v>38067.370000000003</v>
      </c>
      <c r="K941" s="44">
        <v>51875.4</v>
      </c>
    </row>
    <row r="942" spans="1:11" ht="16.95" hidden="1" customHeight="1" x14ac:dyDescent="0.3">
      <c r="A942" s="42" t="s">
        <v>299</v>
      </c>
      <c r="B942" s="42" t="s">
        <v>239</v>
      </c>
      <c r="C942" s="42" t="s">
        <v>210</v>
      </c>
      <c r="D942" s="42" t="s">
        <v>290</v>
      </c>
      <c r="E942" s="42" t="s">
        <v>241</v>
      </c>
      <c r="F942" s="42" t="s">
        <v>244</v>
      </c>
      <c r="G942" s="44">
        <v>42702.71</v>
      </c>
      <c r="H942" s="44">
        <v>41196.58</v>
      </c>
      <c r="I942" s="44">
        <v>40108.550000000003</v>
      </c>
      <c r="J942" s="44">
        <v>37913.29</v>
      </c>
      <c r="K942" s="44">
        <v>56977.21</v>
      </c>
    </row>
    <row r="943" spans="1:11" ht="16.95" hidden="1" customHeight="1" x14ac:dyDescent="0.3">
      <c r="A943" s="42" t="s">
        <v>299</v>
      </c>
      <c r="B943" s="42" t="s">
        <v>239</v>
      </c>
      <c r="C943" s="42" t="s">
        <v>210</v>
      </c>
      <c r="D943" s="42" t="s">
        <v>290</v>
      </c>
      <c r="E943" s="42" t="s">
        <v>241</v>
      </c>
      <c r="F943" s="42" t="s">
        <v>245</v>
      </c>
      <c r="G943" s="44">
        <v>41222.839999999997</v>
      </c>
      <c r="H943" s="44">
        <v>40981.32</v>
      </c>
      <c r="I943" s="44">
        <v>41182.94</v>
      </c>
      <c r="J943" s="44">
        <v>41355.599999999999</v>
      </c>
      <c r="K943" t="s">
        <v>198</v>
      </c>
    </row>
    <row r="944" spans="1:11" ht="16.95" hidden="1" customHeight="1" x14ac:dyDescent="0.3">
      <c r="A944" s="42" t="s">
        <v>299</v>
      </c>
      <c r="B944" s="42" t="s">
        <v>239</v>
      </c>
      <c r="C944" s="42" t="s">
        <v>210</v>
      </c>
      <c r="D944" s="42" t="s">
        <v>290</v>
      </c>
      <c r="E944" s="42" t="s">
        <v>241</v>
      </c>
      <c r="F944" s="42" t="s">
        <v>246</v>
      </c>
      <c r="G944" s="44">
        <v>39918.58</v>
      </c>
      <c r="H944" s="44">
        <v>41963.66</v>
      </c>
      <c r="I944" s="44">
        <v>43268.06</v>
      </c>
      <c r="J944" s="44">
        <v>40108.86</v>
      </c>
      <c r="K944" t="s">
        <v>198</v>
      </c>
    </row>
    <row r="945" spans="1:11" ht="16.95" hidden="1" customHeight="1" x14ac:dyDescent="0.3">
      <c r="A945" s="42" t="s">
        <v>299</v>
      </c>
      <c r="B945" s="42" t="s">
        <v>239</v>
      </c>
      <c r="C945" s="42" t="s">
        <v>210</v>
      </c>
      <c r="D945" s="42" t="s">
        <v>290</v>
      </c>
      <c r="E945" s="42" t="s">
        <v>241</v>
      </c>
      <c r="F945" s="42" t="s">
        <v>247</v>
      </c>
      <c r="G945" s="44">
        <v>35680.050000000003</v>
      </c>
      <c r="H945" s="44">
        <v>42139.46</v>
      </c>
      <c r="I945" s="44">
        <v>41800.97</v>
      </c>
      <c r="J945" s="44">
        <v>38133.300000000003</v>
      </c>
      <c r="K945" t="s">
        <v>198</v>
      </c>
    </row>
    <row r="946" spans="1:11" ht="16.95" hidden="1" customHeight="1" x14ac:dyDescent="0.3">
      <c r="A946" s="42" t="s">
        <v>299</v>
      </c>
      <c r="B946" s="42" t="s">
        <v>239</v>
      </c>
      <c r="C946" s="42" t="s">
        <v>210</v>
      </c>
      <c r="D946" s="42" t="s">
        <v>290</v>
      </c>
      <c r="E946" s="42" t="s">
        <v>241</v>
      </c>
      <c r="F946" s="42" t="s">
        <v>248</v>
      </c>
      <c r="G946" s="44">
        <v>35657.18</v>
      </c>
      <c r="H946" s="44">
        <v>41140.46</v>
      </c>
      <c r="I946" s="44">
        <v>42110.57</v>
      </c>
      <c r="J946" s="44">
        <v>37500.230000000003</v>
      </c>
      <c r="K946" t="s">
        <v>198</v>
      </c>
    </row>
    <row r="947" spans="1:11" ht="16.95" hidden="1" customHeight="1" x14ac:dyDescent="0.3">
      <c r="A947" s="42" t="s">
        <v>299</v>
      </c>
      <c r="B947" s="42" t="s">
        <v>239</v>
      </c>
      <c r="C947" s="42" t="s">
        <v>210</v>
      </c>
      <c r="D947" s="42" t="s">
        <v>290</v>
      </c>
      <c r="E947" s="42" t="s">
        <v>241</v>
      </c>
      <c r="F947" s="42" t="s">
        <v>249</v>
      </c>
      <c r="G947" s="44">
        <v>36469.910000000003</v>
      </c>
      <c r="H947" s="44">
        <v>39977.01</v>
      </c>
      <c r="I947" s="44">
        <v>43653.48</v>
      </c>
      <c r="J947" s="44">
        <v>37365.75</v>
      </c>
      <c r="K947" t="s">
        <v>198</v>
      </c>
    </row>
    <row r="948" spans="1:11" ht="16.95" hidden="1" customHeight="1" x14ac:dyDescent="0.3">
      <c r="A948" s="42" t="s">
        <v>299</v>
      </c>
      <c r="B948" s="42" t="s">
        <v>239</v>
      </c>
      <c r="C948" s="42" t="s">
        <v>210</v>
      </c>
      <c r="D948" s="42" t="s">
        <v>290</v>
      </c>
      <c r="E948" s="42" t="s">
        <v>241</v>
      </c>
      <c r="F948" s="42" t="s">
        <v>250</v>
      </c>
      <c r="G948" s="44">
        <v>35817.040000000001</v>
      </c>
      <c r="H948" s="44">
        <v>41623.33</v>
      </c>
      <c r="I948" s="44">
        <v>41576.75</v>
      </c>
      <c r="J948" s="44">
        <v>38510.44</v>
      </c>
      <c r="K948" t="s">
        <v>198</v>
      </c>
    </row>
    <row r="949" spans="1:11" ht="16.95" hidden="1" customHeight="1" x14ac:dyDescent="0.3">
      <c r="A949" s="42" t="s">
        <v>299</v>
      </c>
      <c r="B949" s="42" t="s">
        <v>239</v>
      </c>
      <c r="C949" s="42" t="s">
        <v>210</v>
      </c>
      <c r="D949" s="42" t="s">
        <v>290</v>
      </c>
      <c r="E949" s="42" t="s">
        <v>241</v>
      </c>
      <c r="F949" s="42" t="s">
        <v>251</v>
      </c>
      <c r="G949" s="44">
        <v>38383.79</v>
      </c>
      <c r="H949" s="44">
        <v>43235.59</v>
      </c>
      <c r="I949" s="44">
        <v>42443.28</v>
      </c>
      <c r="J949" s="44">
        <v>42745.29</v>
      </c>
      <c r="K949" t="s">
        <v>198</v>
      </c>
    </row>
    <row r="950" spans="1:11" ht="16.95" hidden="1" customHeight="1" x14ac:dyDescent="0.3">
      <c r="A950" s="42" t="s">
        <v>299</v>
      </c>
      <c r="B950" s="42" t="s">
        <v>239</v>
      </c>
      <c r="C950" s="42" t="s">
        <v>210</v>
      </c>
      <c r="D950" s="42" t="s">
        <v>290</v>
      </c>
      <c r="E950" s="42" t="s">
        <v>241</v>
      </c>
      <c r="F950" s="42" t="s">
        <v>252</v>
      </c>
      <c r="G950" s="44">
        <v>41606.22</v>
      </c>
      <c r="H950" s="44">
        <v>42740.85</v>
      </c>
      <c r="I950" s="44">
        <v>44506.76</v>
      </c>
      <c r="J950" s="44">
        <v>42568.49</v>
      </c>
      <c r="K950" t="s">
        <v>198</v>
      </c>
    </row>
    <row r="951" spans="1:11" ht="16.95" hidden="1" customHeight="1" x14ac:dyDescent="0.3">
      <c r="A951" s="42" t="s">
        <v>299</v>
      </c>
      <c r="B951" s="42" t="s">
        <v>239</v>
      </c>
      <c r="C951" s="42" t="s">
        <v>210</v>
      </c>
      <c r="D951" s="42" t="s">
        <v>290</v>
      </c>
      <c r="E951" s="42" t="s">
        <v>241</v>
      </c>
      <c r="F951" s="42" t="s">
        <v>253</v>
      </c>
      <c r="G951" s="44">
        <v>41764.61</v>
      </c>
      <c r="H951" s="44">
        <v>42353.42</v>
      </c>
      <c r="I951" s="44">
        <v>41675.81</v>
      </c>
      <c r="J951" s="44">
        <v>44233.32</v>
      </c>
      <c r="K951" t="s">
        <v>198</v>
      </c>
    </row>
    <row r="952" spans="1:11" ht="16.95" hidden="1" customHeight="1" x14ac:dyDescent="0.3">
      <c r="A952" s="42" t="s">
        <v>299</v>
      </c>
      <c r="B952" s="42" t="s">
        <v>239</v>
      </c>
      <c r="C952" s="42" t="s">
        <v>210</v>
      </c>
      <c r="D952" s="42" t="s">
        <v>291</v>
      </c>
      <c r="E952" s="42" t="s">
        <v>241</v>
      </c>
      <c r="F952" s="42" t="s">
        <v>242</v>
      </c>
      <c r="G952" s="44">
        <v>54301.79</v>
      </c>
      <c r="H952" s="44">
        <v>60170.6</v>
      </c>
      <c r="I952" s="44">
        <v>66370.679999999993</v>
      </c>
      <c r="J952" s="44">
        <v>55222.49</v>
      </c>
      <c r="K952" s="44">
        <v>58338.33</v>
      </c>
    </row>
    <row r="953" spans="1:11" ht="16.95" hidden="1" customHeight="1" x14ac:dyDescent="0.3">
      <c r="A953" s="42" t="s">
        <v>299</v>
      </c>
      <c r="B953" s="42" t="s">
        <v>239</v>
      </c>
      <c r="C953" s="42" t="s">
        <v>210</v>
      </c>
      <c r="D953" s="42" t="s">
        <v>291</v>
      </c>
      <c r="E953" s="42" t="s">
        <v>241</v>
      </c>
      <c r="F953" s="42" t="s">
        <v>243</v>
      </c>
      <c r="G953" s="44">
        <v>52772.88</v>
      </c>
      <c r="H953" s="44">
        <v>52392.82</v>
      </c>
      <c r="I953" s="44">
        <v>61831.55</v>
      </c>
      <c r="J953" s="44">
        <v>52621.41</v>
      </c>
      <c r="K953" s="44">
        <v>68241.070000000007</v>
      </c>
    </row>
    <row r="954" spans="1:11" ht="16.95" hidden="1" customHeight="1" x14ac:dyDescent="0.3">
      <c r="A954" s="42" t="s">
        <v>299</v>
      </c>
      <c r="B954" s="42" t="s">
        <v>239</v>
      </c>
      <c r="C954" s="42" t="s">
        <v>210</v>
      </c>
      <c r="D954" s="42" t="s">
        <v>291</v>
      </c>
      <c r="E954" s="42" t="s">
        <v>241</v>
      </c>
      <c r="F954" s="42" t="s">
        <v>244</v>
      </c>
      <c r="G954" s="44">
        <v>53831.37</v>
      </c>
      <c r="H954" s="44">
        <v>55360.19</v>
      </c>
      <c r="I954" s="44">
        <v>60461.72</v>
      </c>
      <c r="J954" s="44">
        <v>57694.65</v>
      </c>
      <c r="K954" s="44">
        <v>71097.77</v>
      </c>
    </row>
    <row r="955" spans="1:11" ht="16.95" hidden="1" customHeight="1" x14ac:dyDescent="0.3">
      <c r="A955" s="42" t="s">
        <v>299</v>
      </c>
      <c r="B955" s="42" t="s">
        <v>239</v>
      </c>
      <c r="C955" s="42" t="s">
        <v>210</v>
      </c>
      <c r="D955" s="42" t="s">
        <v>291</v>
      </c>
      <c r="E955" s="42" t="s">
        <v>241</v>
      </c>
      <c r="F955" s="42" t="s">
        <v>245</v>
      </c>
      <c r="G955" s="44">
        <v>54284.67</v>
      </c>
      <c r="H955" s="44">
        <v>60435.1</v>
      </c>
      <c r="I955" s="44">
        <v>59299.34</v>
      </c>
      <c r="J955" s="44">
        <v>53458.11</v>
      </c>
      <c r="K955" t="s">
        <v>198</v>
      </c>
    </row>
    <row r="956" spans="1:11" ht="16.95" hidden="1" customHeight="1" x14ac:dyDescent="0.3">
      <c r="A956" s="42" t="s">
        <v>299</v>
      </c>
      <c r="B956" s="42" t="s">
        <v>239</v>
      </c>
      <c r="C956" s="42" t="s">
        <v>210</v>
      </c>
      <c r="D956" s="42" t="s">
        <v>291</v>
      </c>
      <c r="E956" s="42" t="s">
        <v>241</v>
      </c>
      <c r="F956" s="42" t="s">
        <v>246</v>
      </c>
      <c r="G956" s="44">
        <v>51610.62</v>
      </c>
      <c r="H956" s="44">
        <v>62191.47</v>
      </c>
      <c r="I956" s="44">
        <v>59555.199999999997</v>
      </c>
      <c r="J956" s="44">
        <v>56559.5</v>
      </c>
      <c r="K956" t="s">
        <v>198</v>
      </c>
    </row>
    <row r="957" spans="1:11" ht="16.95" hidden="1" customHeight="1" x14ac:dyDescent="0.3">
      <c r="A957" s="42" t="s">
        <v>299</v>
      </c>
      <c r="B957" s="42" t="s">
        <v>239</v>
      </c>
      <c r="C957" s="42" t="s">
        <v>210</v>
      </c>
      <c r="D957" s="42" t="s">
        <v>291</v>
      </c>
      <c r="E957" s="42" t="s">
        <v>241</v>
      </c>
      <c r="F957" s="42" t="s">
        <v>247</v>
      </c>
      <c r="G957" s="44">
        <v>54717.26</v>
      </c>
      <c r="H957" s="44">
        <v>62444.639999999999</v>
      </c>
      <c r="I957" s="44">
        <v>58799.73</v>
      </c>
      <c r="J957" s="44">
        <v>60052.01</v>
      </c>
      <c r="K957" t="s">
        <v>198</v>
      </c>
    </row>
    <row r="958" spans="1:11" ht="16.95" hidden="1" customHeight="1" x14ac:dyDescent="0.3">
      <c r="A958" s="42" t="s">
        <v>299</v>
      </c>
      <c r="B958" s="42" t="s">
        <v>239</v>
      </c>
      <c r="C958" s="42" t="s">
        <v>210</v>
      </c>
      <c r="D958" s="42" t="s">
        <v>291</v>
      </c>
      <c r="E958" s="42" t="s">
        <v>241</v>
      </c>
      <c r="F958" s="42" t="s">
        <v>248</v>
      </c>
      <c r="G958" s="44">
        <v>61478.84</v>
      </c>
      <c r="H958" s="44">
        <v>66423.11</v>
      </c>
      <c r="I958" s="44">
        <v>59951.63</v>
      </c>
      <c r="J958" s="44">
        <v>57519.9</v>
      </c>
      <c r="K958" t="s">
        <v>198</v>
      </c>
    </row>
    <row r="959" spans="1:11" ht="16.95" hidden="1" customHeight="1" x14ac:dyDescent="0.3">
      <c r="A959" s="42" t="s">
        <v>299</v>
      </c>
      <c r="B959" s="42" t="s">
        <v>239</v>
      </c>
      <c r="C959" s="42" t="s">
        <v>210</v>
      </c>
      <c r="D959" s="42" t="s">
        <v>291</v>
      </c>
      <c r="E959" s="42" t="s">
        <v>241</v>
      </c>
      <c r="F959" s="42" t="s">
        <v>249</v>
      </c>
      <c r="G959" s="44">
        <v>59344.08</v>
      </c>
      <c r="H959" s="44">
        <v>66078.8</v>
      </c>
      <c r="I959" s="44">
        <v>60684.800000000003</v>
      </c>
      <c r="J959" s="44">
        <v>56132.99</v>
      </c>
      <c r="K959" t="s">
        <v>198</v>
      </c>
    </row>
    <row r="960" spans="1:11" ht="16.95" hidden="1" customHeight="1" x14ac:dyDescent="0.3">
      <c r="A960" s="42" t="s">
        <v>299</v>
      </c>
      <c r="B960" s="42" t="s">
        <v>239</v>
      </c>
      <c r="C960" s="42" t="s">
        <v>210</v>
      </c>
      <c r="D960" s="42" t="s">
        <v>291</v>
      </c>
      <c r="E960" s="42" t="s">
        <v>241</v>
      </c>
      <c r="F960" s="42" t="s">
        <v>250</v>
      </c>
      <c r="G960" s="44">
        <v>60637.13</v>
      </c>
      <c r="H960" s="44">
        <v>66138.61</v>
      </c>
      <c r="I960" s="44">
        <v>61763.360000000001</v>
      </c>
      <c r="J960" s="44">
        <v>55818.7</v>
      </c>
      <c r="K960" t="s">
        <v>198</v>
      </c>
    </row>
    <row r="961" spans="1:11" ht="16.95" hidden="1" customHeight="1" x14ac:dyDescent="0.3">
      <c r="A961" s="42" t="s">
        <v>299</v>
      </c>
      <c r="B961" s="42" t="s">
        <v>239</v>
      </c>
      <c r="C961" s="42" t="s">
        <v>210</v>
      </c>
      <c r="D961" s="42" t="s">
        <v>291</v>
      </c>
      <c r="E961" s="42" t="s">
        <v>241</v>
      </c>
      <c r="F961" s="42" t="s">
        <v>251</v>
      </c>
      <c r="G961" s="44">
        <v>59888.88</v>
      </c>
      <c r="H961" s="44">
        <v>64541.29</v>
      </c>
      <c r="I961" s="44">
        <v>59409.38</v>
      </c>
      <c r="J961" s="44">
        <v>57651.07</v>
      </c>
      <c r="K961" t="s">
        <v>198</v>
      </c>
    </row>
    <row r="962" spans="1:11" ht="16.95" hidden="1" customHeight="1" x14ac:dyDescent="0.3">
      <c r="A962" s="42" t="s">
        <v>299</v>
      </c>
      <c r="B962" s="42" t="s">
        <v>239</v>
      </c>
      <c r="C962" s="42" t="s">
        <v>210</v>
      </c>
      <c r="D962" s="42" t="s">
        <v>291</v>
      </c>
      <c r="E962" s="42" t="s">
        <v>241</v>
      </c>
      <c r="F962" s="42" t="s">
        <v>252</v>
      </c>
      <c r="G962" s="44">
        <v>60108.2</v>
      </c>
      <c r="H962" s="44">
        <v>70437.81</v>
      </c>
      <c r="I962" s="44">
        <v>59426.91</v>
      </c>
      <c r="J962" s="44">
        <v>57515.360000000001</v>
      </c>
      <c r="K962" t="s">
        <v>198</v>
      </c>
    </row>
    <row r="963" spans="1:11" ht="16.95" hidden="1" customHeight="1" x14ac:dyDescent="0.3">
      <c r="A963" s="42" t="s">
        <v>299</v>
      </c>
      <c r="B963" s="42" t="s">
        <v>239</v>
      </c>
      <c r="C963" s="42" t="s">
        <v>210</v>
      </c>
      <c r="D963" s="42" t="s">
        <v>291</v>
      </c>
      <c r="E963" s="42" t="s">
        <v>241</v>
      </c>
      <c r="F963" s="42" t="s">
        <v>253</v>
      </c>
      <c r="G963" s="44">
        <v>63548.26</v>
      </c>
      <c r="H963" s="44">
        <v>78446.44</v>
      </c>
      <c r="I963" s="44">
        <v>58445.66</v>
      </c>
      <c r="J963" s="44">
        <v>59187.14</v>
      </c>
      <c r="K963" t="s">
        <v>198</v>
      </c>
    </row>
    <row r="964" spans="1:11" ht="16.95" hidden="1" customHeight="1" x14ac:dyDescent="0.3">
      <c r="A964" s="42" t="s">
        <v>299</v>
      </c>
      <c r="B964" s="42" t="s">
        <v>239</v>
      </c>
      <c r="C964" s="42" t="s">
        <v>210</v>
      </c>
      <c r="D964" s="42" t="s">
        <v>292</v>
      </c>
      <c r="E964" s="42" t="s">
        <v>241</v>
      </c>
      <c r="F964" s="42" t="s">
        <v>242</v>
      </c>
      <c r="G964" s="44">
        <v>37829.269999999997</v>
      </c>
      <c r="H964" s="44">
        <v>44182.54</v>
      </c>
      <c r="I964" s="44">
        <v>41431.910000000003</v>
      </c>
      <c r="J964" s="44">
        <v>38441.69</v>
      </c>
      <c r="K964" s="44">
        <v>45289.39</v>
      </c>
    </row>
    <row r="965" spans="1:11" ht="16.95" hidden="1" customHeight="1" x14ac:dyDescent="0.3">
      <c r="A965" s="42" t="s">
        <v>299</v>
      </c>
      <c r="B965" s="42" t="s">
        <v>239</v>
      </c>
      <c r="C965" s="42" t="s">
        <v>210</v>
      </c>
      <c r="D965" s="42" t="s">
        <v>292</v>
      </c>
      <c r="E965" s="42" t="s">
        <v>241</v>
      </c>
      <c r="F965" s="42" t="s">
        <v>243</v>
      </c>
      <c r="G965" s="44">
        <v>37530.75</v>
      </c>
      <c r="H965" s="44">
        <v>43962.5</v>
      </c>
      <c r="I965" s="44">
        <v>41519.46</v>
      </c>
      <c r="J965" s="44">
        <v>38370.730000000003</v>
      </c>
      <c r="K965" s="44">
        <v>51058.14</v>
      </c>
    </row>
    <row r="966" spans="1:11" ht="16.95" hidden="1" customHeight="1" x14ac:dyDescent="0.3">
      <c r="A966" s="42" t="s">
        <v>299</v>
      </c>
      <c r="B966" s="42" t="s">
        <v>239</v>
      </c>
      <c r="C966" s="42" t="s">
        <v>210</v>
      </c>
      <c r="D966" s="42" t="s">
        <v>292</v>
      </c>
      <c r="E966" s="42" t="s">
        <v>241</v>
      </c>
      <c r="F966" s="42" t="s">
        <v>244</v>
      </c>
      <c r="G966" s="44">
        <v>39097.230000000003</v>
      </c>
      <c r="H966" s="44">
        <v>45142.76</v>
      </c>
      <c r="I966" s="44">
        <v>40483.25</v>
      </c>
      <c r="J966" s="44">
        <v>37318.080000000002</v>
      </c>
      <c r="K966" s="44">
        <v>49014.64</v>
      </c>
    </row>
    <row r="967" spans="1:11" ht="16.95" hidden="1" customHeight="1" x14ac:dyDescent="0.3">
      <c r="A967" s="42" t="s">
        <v>299</v>
      </c>
      <c r="B967" s="42" t="s">
        <v>239</v>
      </c>
      <c r="C967" s="42" t="s">
        <v>210</v>
      </c>
      <c r="D967" s="42" t="s">
        <v>292</v>
      </c>
      <c r="E967" s="42" t="s">
        <v>241</v>
      </c>
      <c r="F967" s="42" t="s">
        <v>245</v>
      </c>
      <c r="G967" s="44">
        <v>39381.629999999997</v>
      </c>
      <c r="H967" s="44">
        <v>44944.7</v>
      </c>
      <c r="I967" s="44">
        <v>40627.019999999997</v>
      </c>
      <c r="J967" s="44">
        <v>38510.04</v>
      </c>
      <c r="K967" t="s">
        <v>198</v>
      </c>
    </row>
    <row r="968" spans="1:11" ht="16.95" hidden="1" customHeight="1" x14ac:dyDescent="0.3">
      <c r="A968" s="42" t="s">
        <v>299</v>
      </c>
      <c r="B968" s="42" t="s">
        <v>239</v>
      </c>
      <c r="C968" s="42" t="s">
        <v>210</v>
      </c>
      <c r="D968" s="42" t="s">
        <v>292</v>
      </c>
      <c r="E968" s="42" t="s">
        <v>241</v>
      </c>
      <c r="F968" s="42" t="s">
        <v>246</v>
      </c>
      <c r="G968" s="44">
        <v>39276.269999999997</v>
      </c>
      <c r="H968" s="44">
        <v>46987.69</v>
      </c>
      <c r="I968" s="44">
        <v>42095.56</v>
      </c>
      <c r="J968" s="44">
        <v>39510.49</v>
      </c>
      <c r="K968" t="s">
        <v>198</v>
      </c>
    </row>
    <row r="969" spans="1:11" ht="16.95" hidden="1" customHeight="1" x14ac:dyDescent="0.3">
      <c r="A969" s="42" t="s">
        <v>299</v>
      </c>
      <c r="B969" s="42" t="s">
        <v>239</v>
      </c>
      <c r="C969" s="42" t="s">
        <v>210</v>
      </c>
      <c r="D969" s="42" t="s">
        <v>292</v>
      </c>
      <c r="E969" s="42" t="s">
        <v>241</v>
      </c>
      <c r="F969" s="42" t="s">
        <v>247</v>
      </c>
      <c r="G969" s="44">
        <v>39499.67</v>
      </c>
      <c r="H969" s="44">
        <v>46523.28</v>
      </c>
      <c r="I969" s="44">
        <v>42035.68</v>
      </c>
      <c r="J969" s="44">
        <v>38677.449999999997</v>
      </c>
      <c r="K969" t="s">
        <v>198</v>
      </c>
    </row>
    <row r="970" spans="1:11" ht="16.95" hidden="1" customHeight="1" x14ac:dyDescent="0.3">
      <c r="A970" s="42" t="s">
        <v>299</v>
      </c>
      <c r="B970" s="42" t="s">
        <v>239</v>
      </c>
      <c r="C970" s="42" t="s">
        <v>210</v>
      </c>
      <c r="D970" s="42" t="s">
        <v>292</v>
      </c>
      <c r="E970" s="42" t="s">
        <v>241</v>
      </c>
      <c r="F970" s="42" t="s">
        <v>248</v>
      </c>
      <c r="G970" s="44">
        <v>39293.300000000003</v>
      </c>
      <c r="H970" s="44">
        <v>46257.58</v>
      </c>
      <c r="I970" s="44">
        <v>42348.79</v>
      </c>
      <c r="J970" s="44">
        <v>37949.26</v>
      </c>
      <c r="K970" t="s">
        <v>198</v>
      </c>
    </row>
    <row r="971" spans="1:11" ht="16.95" hidden="1" customHeight="1" x14ac:dyDescent="0.3">
      <c r="A971" s="42" t="s">
        <v>299</v>
      </c>
      <c r="B971" s="42" t="s">
        <v>239</v>
      </c>
      <c r="C971" s="42" t="s">
        <v>210</v>
      </c>
      <c r="D971" s="42" t="s">
        <v>292</v>
      </c>
      <c r="E971" s="42" t="s">
        <v>241</v>
      </c>
      <c r="F971" s="42" t="s">
        <v>249</v>
      </c>
      <c r="G971" s="44">
        <v>39132.82</v>
      </c>
      <c r="H971" s="44">
        <v>46928.14</v>
      </c>
      <c r="I971" s="44">
        <v>43243.85</v>
      </c>
      <c r="J971" s="44">
        <v>37281.86</v>
      </c>
      <c r="K971" t="s">
        <v>198</v>
      </c>
    </row>
    <row r="972" spans="1:11" ht="16.95" hidden="1" customHeight="1" x14ac:dyDescent="0.3">
      <c r="A972" s="42" t="s">
        <v>299</v>
      </c>
      <c r="B972" s="42" t="s">
        <v>239</v>
      </c>
      <c r="C972" s="42" t="s">
        <v>210</v>
      </c>
      <c r="D972" s="42" t="s">
        <v>292</v>
      </c>
      <c r="E972" s="42" t="s">
        <v>241</v>
      </c>
      <c r="F972" s="42" t="s">
        <v>250</v>
      </c>
      <c r="G972" s="44">
        <v>40824.57</v>
      </c>
      <c r="H972" s="44">
        <v>47871.94</v>
      </c>
      <c r="I972" s="44">
        <v>43435.19</v>
      </c>
      <c r="J972" s="44">
        <v>37754.480000000003</v>
      </c>
      <c r="K972" t="s">
        <v>198</v>
      </c>
    </row>
    <row r="973" spans="1:11" ht="16.95" hidden="1" customHeight="1" x14ac:dyDescent="0.3">
      <c r="A973" s="42" t="s">
        <v>299</v>
      </c>
      <c r="B973" s="42" t="s">
        <v>239</v>
      </c>
      <c r="C973" s="42" t="s">
        <v>210</v>
      </c>
      <c r="D973" s="42" t="s">
        <v>292</v>
      </c>
      <c r="E973" s="42" t="s">
        <v>241</v>
      </c>
      <c r="F973" s="42" t="s">
        <v>251</v>
      </c>
      <c r="G973" s="44">
        <v>43688.94</v>
      </c>
      <c r="H973" s="44">
        <v>48519.29</v>
      </c>
      <c r="I973" s="44">
        <v>41387.5</v>
      </c>
      <c r="J973" s="44">
        <v>38950.51</v>
      </c>
      <c r="K973" t="s">
        <v>198</v>
      </c>
    </row>
    <row r="974" spans="1:11" ht="16.95" hidden="1" customHeight="1" x14ac:dyDescent="0.3">
      <c r="A974" s="42" t="s">
        <v>299</v>
      </c>
      <c r="B974" s="42" t="s">
        <v>239</v>
      </c>
      <c r="C974" s="42" t="s">
        <v>210</v>
      </c>
      <c r="D974" s="42" t="s">
        <v>292</v>
      </c>
      <c r="E974" s="42" t="s">
        <v>241</v>
      </c>
      <c r="F974" s="42" t="s">
        <v>252</v>
      </c>
      <c r="G974" s="44">
        <v>44699.44</v>
      </c>
      <c r="H974" s="44">
        <v>48849.29</v>
      </c>
      <c r="I974" s="44">
        <v>40484.11</v>
      </c>
      <c r="J974" s="44">
        <v>40368.559999999998</v>
      </c>
      <c r="K974" t="s">
        <v>198</v>
      </c>
    </row>
    <row r="975" spans="1:11" ht="16.95" hidden="1" customHeight="1" x14ac:dyDescent="0.3">
      <c r="A975" s="42" t="s">
        <v>299</v>
      </c>
      <c r="B975" s="42" t="s">
        <v>239</v>
      </c>
      <c r="C975" s="42" t="s">
        <v>210</v>
      </c>
      <c r="D975" s="42" t="s">
        <v>292</v>
      </c>
      <c r="E975" s="42" t="s">
        <v>241</v>
      </c>
      <c r="F975" s="42" t="s">
        <v>253</v>
      </c>
      <c r="G975" s="44">
        <v>45342.16</v>
      </c>
      <c r="H975" s="44">
        <v>48354.84</v>
      </c>
      <c r="I975" s="44">
        <v>38837.89</v>
      </c>
      <c r="J975" s="44">
        <v>40782.61</v>
      </c>
      <c r="K975" t="s">
        <v>198</v>
      </c>
    </row>
    <row r="976" spans="1:11" ht="16.95" hidden="1" customHeight="1" x14ac:dyDescent="0.3">
      <c r="A976" s="42" t="s">
        <v>299</v>
      </c>
      <c r="B976" s="42" t="s">
        <v>239</v>
      </c>
      <c r="C976" s="42" t="s">
        <v>210</v>
      </c>
      <c r="D976" s="42" t="s">
        <v>293</v>
      </c>
      <c r="E976" s="42" t="s">
        <v>241</v>
      </c>
      <c r="F976" s="42" t="s">
        <v>242</v>
      </c>
      <c r="G976" s="44">
        <v>47749.47</v>
      </c>
      <c r="H976" s="44">
        <v>44138.69</v>
      </c>
      <c r="I976" s="44">
        <v>51578.15</v>
      </c>
      <c r="J976" s="44">
        <v>45172.17</v>
      </c>
      <c r="K976" s="44">
        <v>64098.75</v>
      </c>
    </row>
    <row r="977" spans="1:11" ht="16.95" hidden="1" customHeight="1" x14ac:dyDescent="0.3">
      <c r="A977" s="42" t="s">
        <v>299</v>
      </c>
      <c r="B977" s="42" t="s">
        <v>239</v>
      </c>
      <c r="C977" s="42" t="s">
        <v>210</v>
      </c>
      <c r="D977" s="42" t="s">
        <v>293</v>
      </c>
      <c r="E977" s="42" t="s">
        <v>241</v>
      </c>
      <c r="F977" s="42" t="s">
        <v>243</v>
      </c>
      <c r="G977" s="44">
        <v>48028.6</v>
      </c>
      <c r="H977" s="44">
        <v>44873.9</v>
      </c>
      <c r="I977" s="44">
        <v>51237.52</v>
      </c>
      <c r="J977" s="44">
        <v>45127.11</v>
      </c>
      <c r="K977" s="44">
        <v>73667.92</v>
      </c>
    </row>
    <row r="978" spans="1:11" ht="16.95" hidden="1" customHeight="1" x14ac:dyDescent="0.3">
      <c r="A978" s="42" t="s">
        <v>299</v>
      </c>
      <c r="B978" s="42" t="s">
        <v>239</v>
      </c>
      <c r="C978" s="42" t="s">
        <v>210</v>
      </c>
      <c r="D978" s="42" t="s">
        <v>293</v>
      </c>
      <c r="E978" s="42" t="s">
        <v>241</v>
      </c>
      <c r="F978" s="42" t="s">
        <v>244</v>
      </c>
      <c r="G978" s="44">
        <v>48727.73</v>
      </c>
      <c r="H978" s="44">
        <v>45845.26</v>
      </c>
      <c r="I978" s="44">
        <v>51537.05</v>
      </c>
      <c r="J978" s="44">
        <v>46401.03</v>
      </c>
      <c r="K978" s="44">
        <v>80065.16</v>
      </c>
    </row>
    <row r="979" spans="1:11" ht="16.95" hidden="1" customHeight="1" x14ac:dyDescent="0.3">
      <c r="A979" s="42" t="s">
        <v>299</v>
      </c>
      <c r="B979" s="42" t="s">
        <v>239</v>
      </c>
      <c r="C979" s="42" t="s">
        <v>210</v>
      </c>
      <c r="D979" s="42" t="s">
        <v>293</v>
      </c>
      <c r="E979" s="42" t="s">
        <v>241</v>
      </c>
      <c r="F979" s="42" t="s">
        <v>245</v>
      </c>
      <c r="G979" s="44">
        <v>49273.79</v>
      </c>
      <c r="H979" s="44">
        <v>47006.559999999998</v>
      </c>
      <c r="I979" s="44">
        <v>53856.18</v>
      </c>
      <c r="J979" s="44">
        <v>49109.29</v>
      </c>
      <c r="K979" t="s">
        <v>198</v>
      </c>
    </row>
    <row r="980" spans="1:11" ht="16.95" hidden="1" customHeight="1" x14ac:dyDescent="0.3">
      <c r="A980" s="42" t="s">
        <v>299</v>
      </c>
      <c r="B980" s="42" t="s">
        <v>239</v>
      </c>
      <c r="C980" s="42" t="s">
        <v>210</v>
      </c>
      <c r="D980" s="42" t="s">
        <v>293</v>
      </c>
      <c r="E980" s="42" t="s">
        <v>241</v>
      </c>
      <c r="F980" s="42" t="s">
        <v>246</v>
      </c>
      <c r="G980" s="44">
        <v>46414.95</v>
      </c>
      <c r="H980" s="44">
        <v>50250.55</v>
      </c>
      <c r="I980" s="44">
        <v>53748.1</v>
      </c>
      <c r="J980" s="44">
        <v>49665.05</v>
      </c>
      <c r="K980" t="s">
        <v>198</v>
      </c>
    </row>
    <row r="981" spans="1:11" ht="16.95" hidden="1" customHeight="1" x14ac:dyDescent="0.3">
      <c r="A981" s="42" t="s">
        <v>299</v>
      </c>
      <c r="B981" s="42" t="s">
        <v>239</v>
      </c>
      <c r="C981" s="42" t="s">
        <v>210</v>
      </c>
      <c r="D981" s="42" t="s">
        <v>293</v>
      </c>
      <c r="E981" s="42" t="s">
        <v>241</v>
      </c>
      <c r="F981" s="42" t="s">
        <v>247</v>
      </c>
      <c r="G981" s="44">
        <v>45892.11</v>
      </c>
      <c r="H981" s="44">
        <v>54683.78</v>
      </c>
      <c r="I981" s="44">
        <v>54488.38</v>
      </c>
      <c r="J981" s="44">
        <v>49507.4</v>
      </c>
      <c r="K981" t="s">
        <v>198</v>
      </c>
    </row>
    <row r="982" spans="1:11" ht="16.95" hidden="1" customHeight="1" x14ac:dyDescent="0.3">
      <c r="A982" s="42" t="s">
        <v>299</v>
      </c>
      <c r="B982" s="42" t="s">
        <v>239</v>
      </c>
      <c r="C982" s="42" t="s">
        <v>210</v>
      </c>
      <c r="D982" s="42" t="s">
        <v>293</v>
      </c>
      <c r="E982" s="42" t="s">
        <v>241</v>
      </c>
      <c r="F982" s="42" t="s">
        <v>248</v>
      </c>
      <c r="G982" s="44">
        <v>43579.98</v>
      </c>
      <c r="H982" s="44">
        <v>56508.83</v>
      </c>
      <c r="I982" s="44">
        <v>54819.77</v>
      </c>
      <c r="J982" s="44">
        <v>49853.15</v>
      </c>
      <c r="K982" t="s">
        <v>198</v>
      </c>
    </row>
    <row r="983" spans="1:11" ht="16.95" hidden="1" customHeight="1" x14ac:dyDescent="0.3">
      <c r="A983" s="42" t="s">
        <v>299</v>
      </c>
      <c r="B983" s="42" t="s">
        <v>239</v>
      </c>
      <c r="C983" s="42" t="s">
        <v>210</v>
      </c>
      <c r="D983" s="42" t="s">
        <v>293</v>
      </c>
      <c r="E983" s="42" t="s">
        <v>241</v>
      </c>
      <c r="F983" s="42" t="s">
        <v>249</v>
      </c>
      <c r="G983" s="44">
        <v>43840.61</v>
      </c>
      <c r="H983" s="44">
        <v>55129.54</v>
      </c>
      <c r="I983" s="44">
        <v>54385.27</v>
      </c>
      <c r="J983" s="44">
        <v>50634.52</v>
      </c>
      <c r="K983" t="s">
        <v>198</v>
      </c>
    </row>
    <row r="984" spans="1:11" ht="16.95" hidden="1" customHeight="1" x14ac:dyDescent="0.3">
      <c r="A984" s="42" t="s">
        <v>299</v>
      </c>
      <c r="B984" s="42" t="s">
        <v>239</v>
      </c>
      <c r="C984" s="42" t="s">
        <v>210</v>
      </c>
      <c r="D984" s="42" t="s">
        <v>293</v>
      </c>
      <c r="E984" s="42" t="s">
        <v>241</v>
      </c>
      <c r="F984" s="42" t="s">
        <v>250</v>
      </c>
      <c r="G984" s="44">
        <v>46531.74</v>
      </c>
      <c r="H984" s="44">
        <v>54872.63</v>
      </c>
      <c r="I984" s="44">
        <v>51425.84</v>
      </c>
      <c r="J984" s="44">
        <v>51827.19</v>
      </c>
      <c r="K984" t="s">
        <v>198</v>
      </c>
    </row>
    <row r="985" spans="1:11" ht="16.95" hidden="1" customHeight="1" x14ac:dyDescent="0.3">
      <c r="A985" s="42" t="s">
        <v>299</v>
      </c>
      <c r="B985" s="42" t="s">
        <v>239</v>
      </c>
      <c r="C985" s="42" t="s">
        <v>210</v>
      </c>
      <c r="D985" s="42" t="s">
        <v>293</v>
      </c>
      <c r="E985" s="42" t="s">
        <v>241</v>
      </c>
      <c r="F985" s="42" t="s">
        <v>251</v>
      </c>
      <c r="G985" s="44">
        <v>48059.17</v>
      </c>
      <c r="H985" s="44">
        <v>54501.97</v>
      </c>
      <c r="I985" s="44">
        <v>48586.36</v>
      </c>
      <c r="J985" s="44">
        <v>54253.84</v>
      </c>
      <c r="K985" t="s">
        <v>198</v>
      </c>
    </row>
    <row r="986" spans="1:11" ht="16.95" hidden="1" customHeight="1" x14ac:dyDescent="0.3">
      <c r="A986" s="42" t="s">
        <v>299</v>
      </c>
      <c r="B986" s="42" t="s">
        <v>239</v>
      </c>
      <c r="C986" s="42" t="s">
        <v>210</v>
      </c>
      <c r="D986" s="42" t="s">
        <v>293</v>
      </c>
      <c r="E986" s="42" t="s">
        <v>241</v>
      </c>
      <c r="F986" s="42" t="s">
        <v>252</v>
      </c>
      <c r="G986" s="44">
        <v>48319.54</v>
      </c>
      <c r="H986" s="44">
        <v>53433.78</v>
      </c>
      <c r="I986" s="44">
        <v>47498.34</v>
      </c>
      <c r="J986" s="44">
        <v>56235.34</v>
      </c>
      <c r="K986" t="s">
        <v>198</v>
      </c>
    </row>
    <row r="987" spans="1:11" ht="16.95" hidden="1" customHeight="1" x14ac:dyDescent="0.3">
      <c r="A987" s="42" t="s">
        <v>299</v>
      </c>
      <c r="B987" s="42" t="s">
        <v>239</v>
      </c>
      <c r="C987" s="42" t="s">
        <v>210</v>
      </c>
      <c r="D987" s="42" t="s">
        <v>293</v>
      </c>
      <c r="E987" s="42" t="s">
        <v>241</v>
      </c>
      <c r="F987" s="42" t="s">
        <v>253</v>
      </c>
      <c r="G987" s="44">
        <v>45674.66</v>
      </c>
      <c r="H987" s="44">
        <v>52933.1</v>
      </c>
      <c r="I987" s="44">
        <v>45341.73</v>
      </c>
      <c r="J987" s="44">
        <v>58107.73</v>
      </c>
      <c r="K987" t="s">
        <v>198</v>
      </c>
    </row>
    <row r="988" spans="1:11" ht="16.95" hidden="1" customHeight="1" x14ac:dyDescent="0.3">
      <c r="A988" s="42" t="s">
        <v>299</v>
      </c>
      <c r="B988" s="42" t="s">
        <v>239</v>
      </c>
      <c r="C988" s="42" t="s">
        <v>210</v>
      </c>
      <c r="D988" s="42" t="s">
        <v>294</v>
      </c>
      <c r="E988" s="42" t="s">
        <v>241</v>
      </c>
      <c r="F988" s="42" t="s">
        <v>242</v>
      </c>
      <c r="G988" s="44">
        <v>43086.42</v>
      </c>
      <c r="H988" s="44">
        <v>47837.87</v>
      </c>
      <c r="I988" s="44">
        <v>67062.64</v>
      </c>
      <c r="J988" s="44">
        <v>63622.68</v>
      </c>
      <c r="K988" s="44">
        <v>77585.820000000007</v>
      </c>
    </row>
    <row r="989" spans="1:11" ht="16.95" hidden="1" customHeight="1" x14ac:dyDescent="0.3">
      <c r="A989" s="42" t="s">
        <v>299</v>
      </c>
      <c r="B989" s="42" t="s">
        <v>239</v>
      </c>
      <c r="C989" s="42" t="s">
        <v>210</v>
      </c>
      <c r="D989" s="42" t="s">
        <v>294</v>
      </c>
      <c r="E989" s="42" t="s">
        <v>241</v>
      </c>
      <c r="F989" s="42" t="s">
        <v>243</v>
      </c>
      <c r="G989" s="44">
        <v>42926.34</v>
      </c>
      <c r="H989" s="44">
        <v>48029.9</v>
      </c>
      <c r="I989" s="44">
        <v>78600.789999999994</v>
      </c>
      <c r="J989" s="44">
        <v>62947.49</v>
      </c>
      <c r="K989" s="44">
        <v>70304.289999999994</v>
      </c>
    </row>
    <row r="990" spans="1:11" ht="16.95" hidden="1" customHeight="1" x14ac:dyDescent="0.3">
      <c r="A990" s="42" t="s">
        <v>299</v>
      </c>
      <c r="B990" s="42" t="s">
        <v>239</v>
      </c>
      <c r="C990" s="42" t="s">
        <v>210</v>
      </c>
      <c r="D990" s="42" t="s">
        <v>294</v>
      </c>
      <c r="E990" s="42" t="s">
        <v>241</v>
      </c>
      <c r="F990" s="42" t="s">
        <v>244</v>
      </c>
      <c r="G990" s="44">
        <v>51739.41</v>
      </c>
      <c r="H990" s="44">
        <v>47011.3</v>
      </c>
      <c r="I990" s="44">
        <v>67675.28</v>
      </c>
      <c r="J990" s="44">
        <v>71265.84</v>
      </c>
      <c r="K990" s="44">
        <v>76811.44</v>
      </c>
    </row>
    <row r="991" spans="1:11" ht="16.95" hidden="1" customHeight="1" x14ac:dyDescent="0.3">
      <c r="A991" s="42" t="s">
        <v>299</v>
      </c>
      <c r="B991" s="42" t="s">
        <v>239</v>
      </c>
      <c r="C991" s="42" t="s">
        <v>210</v>
      </c>
      <c r="D991" s="42" t="s">
        <v>294</v>
      </c>
      <c r="E991" s="42" t="s">
        <v>241</v>
      </c>
      <c r="F991" s="42" t="s">
        <v>245</v>
      </c>
      <c r="G991" s="44">
        <v>44708.46</v>
      </c>
      <c r="H991" s="44">
        <v>48298.48</v>
      </c>
      <c r="I991" s="44">
        <v>71714.45</v>
      </c>
      <c r="J991" s="44">
        <v>72760.91</v>
      </c>
      <c r="K991" t="s">
        <v>198</v>
      </c>
    </row>
    <row r="992" spans="1:11" ht="16.95" hidden="1" customHeight="1" x14ac:dyDescent="0.3">
      <c r="A992" s="42" t="s">
        <v>299</v>
      </c>
      <c r="B992" s="42" t="s">
        <v>239</v>
      </c>
      <c r="C992" s="42" t="s">
        <v>210</v>
      </c>
      <c r="D992" s="42" t="s">
        <v>294</v>
      </c>
      <c r="E992" s="42" t="s">
        <v>241</v>
      </c>
      <c r="F992" s="42" t="s">
        <v>246</v>
      </c>
      <c r="G992" s="44">
        <v>44025.440000000002</v>
      </c>
      <c r="H992" s="44">
        <v>49248.14</v>
      </c>
      <c r="I992" s="44">
        <v>67854.02</v>
      </c>
      <c r="J992" s="44">
        <v>67834.39</v>
      </c>
      <c r="K992" t="s">
        <v>198</v>
      </c>
    </row>
    <row r="993" spans="1:11" ht="16.95" hidden="1" customHeight="1" x14ac:dyDescent="0.3">
      <c r="A993" s="42" t="s">
        <v>299</v>
      </c>
      <c r="B993" s="42" t="s">
        <v>239</v>
      </c>
      <c r="C993" s="42" t="s">
        <v>210</v>
      </c>
      <c r="D993" s="42" t="s">
        <v>294</v>
      </c>
      <c r="E993" s="42" t="s">
        <v>241</v>
      </c>
      <c r="F993" s="42" t="s">
        <v>247</v>
      </c>
      <c r="G993" s="44">
        <v>43980.57</v>
      </c>
      <c r="H993" s="44">
        <v>53220.47</v>
      </c>
      <c r="I993" s="44">
        <v>69482.509999999995</v>
      </c>
      <c r="J993" s="44">
        <v>69445.02</v>
      </c>
      <c r="K993" t="s">
        <v>198</v>
      </c>
    </row>
    <row r="994" spans="1:11" ht="16.95" hidden="1" customHeight="1" x14ac:dyDescent="0.3">
      <c r="A994" s="42" t="s">
        <v>299</v>
      </c>
      <c r="B994" s="42" t="s">
        <v>239</v>
      </c>
      <c r="C994" s="42" t="s">
        <v>210</v>
      </c>
      <c r="D994" s="42" t="s">
        <v>294</v>
      </c>
      <c r="E994" s="42" t="s">
        <v>241</v>
      </c>
      <c r="F994" s="42" t="s">
        <v>248</v>
      </c>
      <c r="G994" s="44">
        <v>41528.5</v>
      </c>
      <c r="H994" s="44">
        <v>54506.21</v>
      </c>
      <c r="I994" s="44">
        <v>81497.73</v>
      </c>
      <c r="J994" s="44">
        <v>68194.62</v>
      </c>
      <c r="K994" t="s">
        <v>198</v>
      </c>
    </row>
    <row r="995" spans="1:11" ht="16.95" hidden="1" customHeight="1" x14ac:dyDescent="0.3">
      <c r="A995" s="42" t="s">
        <v>299</v>
      </c>
      <c r="B995" s="42" t="s">
        <v>239</v>
      </c>
      <c r="C995" s="42" t="s">
        <v>210</v>
      </c>
      <c r="D995" s="42" t="s">
        <v>294</v>
      </c>
      <c r="E995" s="42" t="s">
        <v>241</v>
      </c>
      <c r="F995" s="42" t="s">
        <v>249</v>
      </c>
      <c r="G995" s="44">
        <v>40216.959999999999</v>
      </c>
      <c r="H995" s="44">
        <v>54694.6</v>
      </c>
      <c r="I995" s="44">
        <v>73052.02</v>
      </c>
      <c r="J995" s="44">
        <v>71075.100000000006</v>
      </c>
      <c r="K995" t="s">
        <v>198</v>
      </c>
    </row>
    <row r="996" spans="1:11" ht="16.95" hidden="1" customHeight="1" x14ac:dyDescent="0.3">
      <c r="A996" s="42" t="s">
        <v>299</v>
      </c>
      <c r="B996" s="42" t="s">
        <v>239</v>
      </c>
      <c r="C996" s="42" t="s">
        <v>210</v>
      </c>
      <c r="D996" s="42" t="s">
        <v>294</v>
      </c>
      <c r="E996" s="42" t="s">
        <v>241</v>
      </c>
      <c r="F996" s="42" t="s">
        <v>250</v>
      </c>
      <c r="G996" s="44">
        <v>44245.21</v>
      </c>
      <c r="H996" s="44">
        <v>49484.73</v>
      </c>
      <c r="I996" s="44">
        <v>69999.16</v>
      </c>
      <c r="J996" s="44">
        <v>66129.539999999994</v>
      </c>
      <c r="K996" t="s">
        <v>198</v>
      </c>
    </row>
    <row r="997" spans="1:11" ht="16.95" hidden="1" customHeight="1" x14ac:dyDescent="0.3">
      <c r="A997" s="42" t="s">
        <v>299</v>
      </c>
      <c r="B997" s="42" t="s">
        <v>239</v>
      </c>
      <c r="C997" s="42" t="s">
        <v>210</v>
      </c>
      <c r="D997" s="42" t="s">
        <v>294</v>
      </c>
      <c r="E997" s="42" t="s">
        <v>241</v>
      </c>
      <c r="F997" s="42" t="s">
        <v>251</v>
      </c>
      <c r="G997" s="44">
        <v>47396.37</v>
      </c>
      <c r="H997" s="44">
        <v>52885.760000000002</v>
      </c>
      <c r="I997" s="44">
        <v>68507.45</v>
      </c>
      <c r="J997" s="44">
        <v>71697.67</v>
      </c>
      <c r="K997" t="s">
        <v>198</v>
      </c>
    </row>
    <row r="998" spans="1:11" ht="16.95" hidden="1" customHeight="1" x14ac:dyDescent="0.3">
      <c r="A998" s="42" t="s">
        <v>299</v>
      </c>
      <c r="B998" s="42" t="s">
        <v>239</v>
      </c>
      <c r="C998" s="42" t="s">
        <v>210</v>
      </c>
      <c r="D998" s="42" t="s">
        <v>294</v>
      </c>
      <c r="E998" s="42" t="s">
        <v>241</v>
      </c>
      <c r="F998" s="42" t="s">
        <v>252</v>
      </c>
      <c r="G998" s="44">
        <v>47133.54</v>
      </c>
      <c r="H998" s="44">
        <v>54732.61</v>
      </c>
      <c r="I998" s="44">
        <v>64613.52</v>
      </c>
      <c r="J998" s="44">
        <v>69572.94</v>
      </c>
      <c r="K998" t="s">
        <v>198</v>
      </c>
    </row>
    <row r="999" spans="1:11" ht="16.95" hidden="1" customHeight="1" x14ac:dyDescent="0.3">
      <c r="A999" s="42" t="s">
        <v>299</v>
      </c>
      <c r="B999" s="42" t="s">
        <v>239</v>
      </c>
      <c r="C999" s="42" t="s">
        <v>210</v>
      </c>
      <c r="D999" s="42" t="s">
        <v>294</v>
      </c>
      <c r="E999" s="42" t="s">
        <v>241</v>
      </c>
      <c r="F999" s="42" t="s">
        <v>253</v>
      </c>
      <c r="G999" s="44">
        <v>47511.98</v>
      </c>
      <c r="H999" s="44">
        <v>59355.62</v>
      </c>
      <c r="I999" s="44">
        <v>68523.09</v>
      </c>
      <c r="J999" s="44">
        <v>78702.11</v>
      </c>
      <c r="K999" t="s">
        <v>198</v>
      </c>
    </row>
    <row r="1000" spans="1:11" ht="16.95" hidden="1" customHeight="1" x14ac:dyDescent="0.3">
      <c r="A1000" s="42" t="s">
        <v>299</v>
      </c>
      <c r="B1000" s="42" t="s">
        <v>239</v>
      </c>
      <c r="C1000" s="42" t="s">
        <v>210</v>
      </c>
      <c r="D1000" s="42" t="s">
        <v>295</v>
      </c>
      <c r="E1000" s="42" t="s">
        <v>241</v>
      </c>
      <c r="F1000" s="42" t="s">
        <v>242</v>
      </c>
      <c r="G1000" s="43">
        <v>52244</v>
      </c>
      <c r="H1000" s="44">
        <v>70421.47</v>
      </c>
      <c r="I1000" s="44">
        <v>87355.1</v>
      </c>
      <c r="J1000" s="44">
        <v>132835.32</v>
      </c>
      <c r="K1000" s="44">
        <v>128322.28</v>
      </c>
    </row>
    <row r="1001" spans="1:11" ht="16.95" hidden="1" customHeight="1" x14ac:dyDescent="0.3">
      <c r="A1001" s="42" t="s">
        <v>299</v>
      </c>
      <c r="B1001" s="42" t="s">
        <v>239</v>
      </c>
      <c r="C1001" s="42" t="s">
        <v>210</v>
      </c>
      <c r="D1001" s="42" t="s">
        <v>295</v>
      </c>
      <c r="E1001" s="42" t="s">
        <v>241</v>
      </c>
      <c r="F1001" s="42" t="s">
        <v>243</v>
      </c>
      <c r="G1001" s="43">
        <v>63049</v>
      </c>
      <c r="H1001" s="44">
        <v>72284.86</v>
      </c>
      <c r="I1001" s="44">
        <v>95774.54</v>
      </c>
      <c r="J1001" s="44">
        <v>126117.57</v>
      </c>
      <c r="K1001" s="44">
        <v>131129.95000000001</v>
      </c>
    </row>
    <row r="1002" spans="1:11" ht="16.95" hidden="1" customHeight="1" x14ac:dyDescent="0.3">
      <c r="A1002" s="42" t="s">
        <v>299</v>
      </c>
      <c r="B1002" s="42" t="s">
        <v>239</v>
      </c>
      <c r="C1002" s="42" t="s">
        <v>210</v>
      </c>
      <c r="D1002" s="42" t="s">
        <v>295</v>
      </c>
      <c r="E1002" s="42" t="s">
        <v>241</v>
      </c>
      <c r="F1002" s="42" t="s">
        <v>244</v>
      </c>
      <c r="G1002" s="44">
        <v>62979.96</v>
      </c>
      <c r="H1002" s="44">
        <v>75355.820000000007</v>
      </c>
      <c r="I1002" s="44">
        <v>96448.07</v>
      </c>
      <c r="J1002" s="44">
        <v>171724.31</v>
      </c>
      <c r="K1002" s="44">
        <v>134935.04999999999</v>
      </c>
    </row>
    <row r="1003" spans="1:11" ht="16.95" hidden="1" customHeight="1" x14ac:dyDescent="0.3">
      <c r="A1003" s="42" t="s">
        <v>299</v>
      </c>
      <c r="B1003" s="42" t="s">
        <v>239</v>
      </c>
      <c r="C1003" s="42" t="s">
        <v>210</v>
      </c>
      <c r="D1003" s="42" t="s">
        <v>295</v>
      </c>
      <c r="E1003" s="42" t="s">
        <v>241</v>
      </c>
      <c r="F1003" s="42" t="s">
        <v>245</v>
      </c>
      <c r="G1003" s="44">
        <v>61763.24</v>
      </c>
      <c r="H1003" s="44">
        <v>76225.320000000007</v>
      </c>
      <c r="I1003" s="44">
        <v>95887.06</v>
      </c>
      <c r="J1003" s="44">
        <v>164731.51999999999</v>
      </c>
      <c r="K1003" t="s">
        <v>198</v>
      </c>
    </row>
    <row r="1004" spans="1:11" ht="16.95" hidden="1" customHeight="1" x14ac:dyDescent="0.3">
      <c r="A1004" s="42" t="s">
        <v>299</v>
      </c>
      <c r="B1004" s="42" t="s">
        <v>239</v>
      </c>
      <c r="C1004" s="42" t="s">
        <v>210</v>
      </c>
      <c r="D1004" s="42" t="s">
        <v>295</v>
      </c>
      <c r="E1004" s="42" t="s">
        <v>241</v>
      </c>
      <c r="F1004" s="42" t="s">
        <v>246</v>
      </c>
      <c r="G1004" s="44">
        <v>65628.759999999995</v>
      </c>
      <c r="H1004" s="44">
        <v>76368.17</v>
      </c>
      <c r="I1004" s="44">
        <v>100383.39</v>
      </c>
      <c r="J1004" s="44">
        <v>146595.9</v>
      </c>
      <c r="K1004" t="s">
        <v>198</v>
      </c>
    </row>
    <row r="1005" spans="1:11" ht="16.95" hidden="1" customHeight="1" x14ac:dyDescent="0.3">
      <c r="A1005" s="42" t="s">
        <v>299</v>
      </c>
      <c r="B1005" s="42" t="s">
        <v>239</v>
      </c>
      <c r="C1005" s="42" t="s">
        <v>210</v>
      </c>
      <c r="D1005" s="42" t="s">
        <v>295</v>
      </c>
      <c r="E1005" s="42" t="s">
        <v>241</v>
      </c>
      <c r="F1005" s="42" t="s">
        <v>247</v>
      </c>
      <c r="G1005" s="44">
        <v>65813.67</v>
      </c>
      <c r="H1005" s="44">
        <v>74872.31</v>
      </c>
      <c r="I1005" s="44">
        <v>102265.45</v>
      </c>
      <c r="J1005" s="44">
        <v>143170.19</v>
      </c>
      <c r="K1005" t="s">
        <v>198</v>
      </c>
    </row>
    <row r="1006" spans="1:11" ht="16.95" hidden="1" customHeight="1" x14ac:dyDescent="0.3">
      <c r="A1006" s="42" t="s">
        <v>299</v>
      </c>
      <c r="B1006" s="42" t="s">
        <v>239</v>
      </c>
      <c r="C1006" s="42" t="s">
        <v>210</v>
      </c>
      <c r="D1006" s="42" t="s">
        <v>295</v>
      </c>
      <c r="E1006" s="42" t="s">
        <v>241</v>
      </c>
      <c r="F1006" s="42" t="s">
        <v>248</v>
      </c>
      <c r="G1006" s="44">
        <v>65114.18</v>
      </c>
      <c r="H1006" s="44">
        <v>76657.210000000006</v>
      </c>
      <c r="I1006" s="44">
        <v>109706.16</v>
      </c>
      <c r="J1006" s="44">
        <v>143043.5</v>
      </c>
      <c r="K1006" t="s">
        <v>198</v>
      </c>
    </row>
    <row r="1007" spans="1:11" ht="16.95" hidden="1" customHeight="1" x14ac:dyDescent="0.3">
      <c r="A1007" s="42" t="s">
        <v>299</v>
      </c>
      <c r="B1007" s="42" t="s">
        <v>239</v>
      </c>
      <c r="C1007" s="42" t="s">
        <v>210</v>
      </c>
      <c r="D1007" s="42" t="s">
        <v>295</v>
      </c>
      <c r="E1007" s="42" t="s">
        <v>241</v>
      </c>
      <c r="F1007" s="42" t="s">
        <v>249</v>
      </c>
      <c r="G1007" s="44">
        <v>65553.279999999999</v>
      </c>
      <c r="H1007" s="44">
        <v>81452.27</v>
      </c>
      <c r="I1007" s="44">
        <v>102806.42</v>
      </c>
      <c r="J1007" s="44">
        <v>146369.34</v>
      </c>
      <c r="K1007" t="s">
        <v>198</v>
      </c>
    </row>
    <row r="1008" spans="1:11" ht="16.95" hidden="1" customHeight="1" x14ac:dyDescent="0.3">
      <c r="A1008" s="42" t="s">
        <v>299</v>
      </c>
      <c r="B1008" s="42" t="s">
        <v>239</v>
      </c>
      <c r="C1008" s="42" t="s">
        <v>210</v>
      </c>
      <c r="D1008" s="42" t="s">
        <v>295</v>
      </c>
      <c r="E1008" s="42" t="s">
        <v>241</v>
      </c>
      <c r="F1008" s="42" t="s">
        <v>250</v>
      </c>
      <c r="G1008" s="44">
        <v>66094.460000000006</v>
      </c>
      <c r="H1008" s="44">
        <v>79166.490000000005</v>
      </c>
      <c r="I1008" s="44">
        <v>109602.85</v>
      </c>
      <c r="J1008" s="44">
        <v>147596.69</v>
      </c>
      <c r="K1008" t="s">
        <v>198</v>
      </c>
    </row>
    <row r="1009" spans="1:11" ht="16.95" hidden="1" customHeight="1" x14ac:dyDescent="0.3">
      <c r="A1009" s="42" t="s">
        <v>299</v>
      </c>
      <c r="B1009" s="42" t="s">
        <v>239</v>
      </c>
      <c r="C1009" s="42" t="s">
        <v>210</v>
      </c>
      <c r="D1009" s="42" t="s">
        <v>295</v>
      </c>
      <c r="E1009" s="42" t="s">
        <v>241</v>
      </c>
      <c r="F1009" s="42" t="s">
        <v>251</v>
      </c>
      <c r="G1009" s="44">
        <v>67767.56</v>
      </c>
      <c r="H1009" s="44">
        <v>81044.710000000006</v>
      </c>
      <c r="I1009" s="44">
        <v>109441.3</v>
      </c>
      <c r="J1009" s="44">
        <v>149633.82999999999</v>
      </c>
      <c r="K1009" t="s">
        <v>198</v>
      </c>
    </row>
    <row r="1010" spans="1:11" ht="16.95" hidden="1" customHeight="1" x14ac:dyDescent="0.3">
      <c r="A1010" s="42" t="s">
        <v>299</v>
      </c>
      <c r="B1010" s="42" t="s">
        <v>239</v>
      </c>
      <c r="C1010" s="42" t="s">
        <v>210</v>
      </c>
      <c r="D1010" s="42" t="s">
        <v>295</v>
      </c>
      <c r="E1010" s="42" t="s">
        <v>241</v>
      </c>
      <c r="F1010" s="42" t="s">
        <v>252</v>
      </c>
      <c r="G1010" s="44">
        <v>69986.23</v>
      </c>
      <c r="H1010" s="44">
        <v>81325.95</v>
      </c>
      <c r="I1010" s="44">
        <v>123388.79</v>
      </c>
      <c r="J1010" s="44">
        <v>151724.35</v>
      </c>
      <c r="K1010" t="s">
        <v>198</v>
      </c>
    </row>
    <row r="1011" spans="1:11" ht="16.95" hidden="1" customHeight="1" x14ac:dyDescent="0.3">
      <c r="A1011" s="42" t="s">
        <v>299</v>
      </c>
      <c r="B1011" s="42" t="s">
        <v>239</v>
      </c>
      <c r="C1011" s="42" t="s">
        <v>210</v>
      </c>
      <c r="D1011" s="42" t="s">
        <v>295</v>
      </c>
      <c r="E1011" s="42" t="s">
        <v>241</v>
      </c>
      <c r="F1011" s="42" t="s">
        <v>253</v>
      </c>
      <c r="G1011" s="44">
        <v>69304.039999999994</v>
      </c>
      <c r="H1011" s="44">
        <v>83683.179999999993</v>
      </c>
      <c r="I1011" s="44">
        <v>139319.94</v>
      </c>
      <c r="J1011" s="44">
        <v>147135.70000000001</v>
      </c>
      <c r="K1011" t="s">
        <v>198</v>
      </c>
    </row>
    <row r="1012" spans="1:11" ht="16.95" hidden="1" customHeight="1" x14ac:dyDescent="0.3">
      <c r="A1012" s="42" t="s">
        <v>299</v>
      </c>
      <c r="B1012" s="42" t="s">
        <v>239</v>
      </c>
      <c r="C1012" s="42" t="s">
        <v>210</v>
      </c>
      <c r="D1012" s="42" t="s">
        <v>296</v>
      </c>
      <c r="E1012" s="42" t="s">
        <v>241</v>
      </c>
      <c r="F1012" s="42" t="s">
        <v>242</v>
      </c>
      <c r="G1012" s="44">
        <v>49371.93</v>
      </c>
      <c r="H1012" s="44">
        <v>53804.25</v>
      </c>
      <c r="I1012" s="44">
        <v>62374.57</v>
      </c>
      <c r="J1012" s="44">
        <v>62281.14</v>
      </c>
      <c r="K1012" s="44">
        <v>62741.31</v>
      </c>
    </row>
    <row r="1013" spans="1:11" ht="16.95" hidden="1" customHeight="1" x14ac:dyDescent="0.3">
      <c r="A1013" s="42" t="s">
        <v>299</v>
      </c>
      <c r="B1013" s="42" t="s">
        <v>239</v>
      </c>
      <c r="C1013" s="42" t="s">
        <v>210</v>
      </c>
      <c r="D1013" s="42" t="s">
        <v>296</v>
      </c>
      <c r="E1013" s="42" t="s">
        <v>241</v>
      </c>
      <c r="F1013" s="42" t="s">
        <v>243</v>
      </c>
      <c r="G1013" s="44">
        <v>47617.93</v>
      </c>
      <c r="H1013" s="44">
        <v>55599.61</v>
      </c>
      <c r="I1013" s="44">
        <v>66167.509999999995</v>
      </c>
      <c r="J1013" s="44">
        <v>60019.57</v>
      </c>
      <c r="K1013" s="44">
        <v>61326.03</v>
      </c>
    </row>
    <row r="1014" spans="1:11" ht="16.95" hidden="1" customHeight="1" x14ac:dyDescent="0.3">
      <c r="A1014" s="42" t="s">
        <v>299</v>
      </c>
      <c r="B1014" s="42" t="s">
        <v>239</v>
      </c>
      <c r="C1014" s="42" t="s">
        <v>210</v>
      </c>
      <c r="D1014" s="42" t="s">
        <v>296</v>
      </c>
      <c r="E1014" s="42" t="s">
        <v>241</v>
      </c>
      <c r="F1014" s="42" t="s">
        <v>244</v>
      </c>
      <c r="G1014" s="44">
        <v>46948.12</v>
      </c>
      <c r="H1014" s="44">
        <v>55670.18</v>
      </c>
      <c r="I1014" s="44">
        <v>65696.320000000007</v>
      </c>
      <c r="J1014" s="44">
        <v>62900.61</v>
      </c>
      <c r="K1014" s="44">
        <v>62349.58</v>
      </c>
    </row>
    <row r="1015" spans="1:11" ht="16.95" hidden="1" customHeight="1" x14ac:dyDescent="0.3">
      <c r="A1015" s="42" t="s">
        <v>299</v>
      </c>
      <c r="B1015" s="42" t="s">
        <v>239</v>
      </c>
      <c r="C1015" s="42" t="s">
        <v>210</v>
      </c>
      <c r="D1015" s="42" t="s">
        <v>296</v>
      </c>
      <c r="E1015" s="42" t="s">
        <v>241</v>
      </c>
      <c r="F1015" s="42" t="s">
        <v>245</v>
      </c>
      <c r="G1015" s="44">
        <v>49231.09</v>
      </c>
      <c r="H1015" s="44">
        <v>55957.04</v>
      </c>
      <c r="I1015" s="44">
        <v>65071.98</v>
      </c>
      <c r="J1015" s="44">
        <v>61011.360000000001</v>
      </c>
      <c r="K1015" t="s">
        <v>198</v>
      </c>
    </row>
    <row r="1016" spans="1:11" ht="16.95" hidden="1" customHeight="1" x14ac:dyDescent="0.3">
      <c r="A1016" s="42" t="s">
        <v>299</v>
      </c>
      <c r="B1016" s="42" t="s">
        <v>239</v>
      </c>
      <c r="C1016" s="42" t="s">
        <v>210</v>
      </c>
      <c r="D1016" s="42" t="s">
        <v>296</v>
      </c>
      <c r="E1016" s="42" t="s">
        <v>241</v>
      </c>
      <c r="F1016" s="42" t="s">
        <v>246</v>
      </c>
      <c r="G1016" s="44">
        <v>47316.78</v>
      </c>
      <c r="H1016" s="44">
        <v>60040.65</v>
      </c>
      <c r="I1016" s="44">
        <v>66632.94</v>
      </c>
      <c r="J1016" s="44">
        <v>60064.66</v>
      </c>
      <c r="K1016" t="s">
        <v>198</v>
      </c>
    </row>
    <row r="1017" spans="1:11" ht="16.95" hidden="1" customHeight="1" x14ac:dyDescent="0.3">
      <c r="A1017" s="42" t="s">
        <v>299</v>
      </c>
      <c r="B1017" s="42" t="s">
        <v>239</v>
      </c>
      <c r="C1017" s="42" t="s">
        <v>210</v>
      </c>
      <c r="D1017" s="42" t="s">
        <v>296</v>
      </c>
      <c r="E1017" s="42" t="s">
        <v>241</v>
      </c>
      <c r="F1017" s="42" t="s">
        <v>247</v>
      </c>
      <c r="G1017" s="44">
        <v>47533.4</v>
      </c>
      <c r="H1017" s="44">
        <v>58480.78</v>
      </c>
      <c r="I1017" s="44">
        <v>64533.54</v>
      </c>
      <c r="J1017" s="44">
        <v>59050.99</v>
      </c>
      <c r="K1017" t="s">
        <v>198</v>
      </c>
    </row>
    <row r="1018" spans="1:11" ht="16.95" hidden="1" customHeight="1" x14ac:dyDescent="0.3">
      <c r="A1018" s="42" t="s">
        <v>299</v>
      </c>
      <c r="B1018" s="42" t="s">
        <v>239</v>
      </c>
      <c r="C1018" s="42" t="s">
        <v>210</v>
      </c>
      <c r="D1018" s="42" t="s">
        <v>296</v>
      </c>
      <c r="E1018" s="42" t="s">
        <v>241</v>
      </c>
      <c r="F1018" s="42" t="s">
        <v>248</v>
      </c>
      <c r="G1018" s="44">
        <v>50031.71</v>
      </c>
      <c r="H1018" s="44">
        <v>58539.68</v>
      </c>
      <c r="I1018" s="44">
        <v>61496.51</v>
      </c>
      <c r="J1018" s="44">
        <v>58762.73</v>
      </c>
      <c r="K1018" t="s">
        <v>198</v>
      </c>
    </row>
    <row r="1019" spans="1:11" ht="16.95" hidden="1" customHeight="1" x14ac:dyDescent="0.3">
      <c r="A1019" s="42" t="s">
        <v>299</v>
      </c>
      <c r="B1019" s="42" t="s">
        <v>239</v>
      </c>
      <c r="C1019" s="42" t="s">
        <v>210</v>
      </c>
      <c r="D1019" s="42" t="s">
        <v>296</v>
      </c>
      <c r="E1019" s="42" t="s">
        <v>241</v>
      </c>
      <c r="F1019" s="42" t="s">
        <v>249</v>
      </c>
      <c r="G1019" s="44">
        <v>50648.54</v>
      </c>
      <c r="H1019" s="44">
        <v>60486.28</v>
      </c>
      <c r="I1019" s="44">
        <v>61852.81</v>
      </c>
      <c r="J1019" s="44">
        <v>60363.83</v>
      </c>
      <c r="K1019" t="s">
        <v>198</v>
      </c>
    </row>
    <row r="1020" spans="1:11" ht="16.95" hidden="1" customHeight="1" x14ac:dyDescent="0.3">
      <c r="A1020" s="42" t="s">
        <v>299</v>
      </c>
      <c r="B1020" s="42" t="s">
        <v>239</v>
      </c>
      <c r="C1020" s="42" t="s">
        <v>210</v>
      </c>
      <c r="D1020" s="42" t="s">
        <v>296</v>
      </c>
      <c r="E1020" s="42" t="s">
        <v>241</v>
      </c>
      <c r="F1020" s="42" t="s">
        <v>250</v>
      </c>
      <c r="G1020" s="44">
        <v>50190.46</v>
      </c>
      <c r="H1020" s="44">
        <v>62082.02</v>
      </c>
      <c r="I1020" s="44">
        <v>59691.93</v>
      </c>
      <c r="J1020" s="44">
        <v>58355.37</v>
      </c>
      <c r="K1020" t="s">
        <v>198</v>
      </c>
    </row>
    <row r="1021" spans="1:11" ht="16.95" hidden="1" customHeight="1" x14ac:dyDescent="0.3">
      <c r="A1021" s="42" t="s">
        <v>299</v>
      </c>
      <c r="B1021" s="42" t="s">
        <v>239</v>
      </c>
      <c r="C1021" s="42" t="s">
        <v>210</v>
      </c>
      <c r="D1021" s="42" t="s">
        <v>296</v>
      </c>
      <c r="E1021" s="42" t="s">
        <v>241</v>
      </c>
      <c r="F1021" s="42" t="s">
        <v>251</v>
      </c>
      <c r="G1021" s="44">
        <v>50532.99</v>
      </c>
      <c r="H1021" s="44">
        <v>61567.199999999997</v>
      </c>
      <c r="I1021" s="44">
        <v>61230.2</v>
      </c>
      <c r="J1021" s="44">
        <v>60804.46</v>
      </c>
      <c r="K1021" t="s">
        <v>198</v>
      </c>
    </row>
    <row r="1022" spans="1:11" ht="16.95" hidden="1" customHeight="1" x14ac:dyDescent="0.3">
      <c r="A1022" s="42" t="s">
        <v>299</v>
      </c>
      <c r="B1022" s="42" t="s">
        <v>239</v>
      </c>
      <c r="C1022" s="42" t="s">
        <v>210</v>
      </c>
      <c r="D1022" s="42" t="s">
        <v>296</v>
      </c>
      <c r="E1022" s="42" t="s">
        <v>241</v>
      </c>
      <c r="F1022" s="42" t="s">
        <v>252</v>
      </c>
      <c r="G1022" s="44">
        <v>51726.22</v>
      </c>
      <c r="H1022" s="44">
        <v>62233.46</v>
      </c>
      <c r="I1022" s="44">
        <v>57983.27</v>
      </c>
      <c r="J1022" s="44">
        <v>60069.99</v>
      </c>
      <c r="K1022" t="s">
        <v>198</v>
      </c>
    </row>
    <row r="1023" spans="1:11" ht="16.95" hidden="1" customHeight="1" x14ac:dyDescent="0.3">
      <c r="A1023" s="42" t="s">
        <v>299</v>
      </c>
      <c r="B1023" s="42" t="s">
        <v>239</v>
      </c>
      <c r="C1023" s="42" t="s">
        <v>210</v>
      </c>
      <c r="D1023" s="42" t="s">
        <v>296</v>
      </c>
      <c r="E1023" s="42" t="s">
        <v>241</v>
      </c>
      <c r="F1023" s="42" t="s">
        <v>253</v>
      </c>
      <c r="G1023" s="44">
        <v>51294.54</v>
      </c>
      <c r="H1023" s="44">
        <v>61998.03</v>
      </c>
      <c r="I1023" s="44">
        <v>58532.51</v>
      </c>
      <c r="J1023" s="44">
        <v>62411.519999999997</v>
      </c>
      <c r="K1023" t="s">
        <v>198</v>
      </c>
    </row>
    <row r="1024" spans="1:11" ht="16.95" hidden="1" customHeight="1" x14ac:dyDescent="0.3">
      <c r="A1024" s="42" t="s">
        <v>299</v>
      </c>
      <c r="B1024" s="42" t="s">
        <v>239</v>
      </c>
      <c r="C1024" s="42" t="s">
        <v>210</v>
      </c>
      <c r="D1024" s="42" t="s">
        <v>297</v>
      </c>
      <c r="E1024" s="42" t="s">
        <v>241</v>
      </c>
      <c r="F1024" s="42" t="s">
        <v>242</v>
      </c>
      <c r="G1024" s="44">
        <v>63458.86</v>
      </c>
      <c r="H1024" s="44">
        <v>60140.36</v>
      </c>
      <c r="I1024" s="44">
        <v>64344.61</v>
      </c>
      <c r="J1024" s="44">
        <v>64098.22</v>
      </c>
      <c r="K1024" s="44">
        <v>61091.58</v>
      </c>
    </row>
    <row r="1025" spans="1:11" ht="16.95" hidden="1" customHeight="1" x14ac:dyDescent="0.3">
      <c r="A1025" s="42" t="s">
        <v>299</v>
      </c>
      <c r="B1025" s="42" t="s">
        <v>239</v>
      </c>
      <c r="C1025" s="42" t="s">
        <v>210</v>
      </c>
      <c r="D1025" s="42" t="s">
        <v>297</v>
      </c>
      <c r="E1025" s="42" t="s">
        <v>241</v>
      </c>
      <c r="F1025" s="42" t="s">
        <v>243</v>
      </c>
      <c r="G1025" s="44">
        <v>60718.84</v>
      </c>
      <c r="H1025" s="44">
        <v>59913.5</v>
      </c>
      <c r="I1025" s="44">
        <v>64123.92</v>
      </c>
      <c r="J1025" s="44">
        <v>63790.85</v>
      </c>
      <c r="K1025" s="44">
        <v>62356.3</v>
      </c>
    </row>
    <row r="1026" spans="1:11" ht="16.95" hidden="1" customHeight="1" x14ac:dyDescent="0.3">
      <c r="A1026" s="42" t="s">
        <v>299</v>
      </c>
      <c r="B1026" s="42" t="s">
        <v>239</v>
      </c>
      <c r="C1026" s="42" t="s">
        <v>210</v>
      </c>
      <c r="D1026" s="42" t="s">
        <v>297</v>
      </c>
      <c r="E1026" s="42" t="s">
        <v>241</v>
      </c>
      <c r="F1026" s="42" t="s">
        <v>244</v>
      </c>
      <c r="G1026" s="44">
        <v>60947.06</v>
      </c>
      <c r="H1026" s="44">
        <v>60032.27</v>
      </c>
      <c r="I1026" s="44">
        <v>65020.09</v>
      </c>
      <c r="J1026" s="44">
        <v>65016.88</v>
      </c>
      <c r="K1026" s="44">
        <v>61658.77</v>
      </c>
    </row>
    <row r="1027" spans="1:11" ht="16.95" hidden="1" customHeight="1" x14ac:dyDescent="0.3">
      <c r="A1027" s="42" t="s">
        <v>299</v>
      </c>
      <c r="B1027" s="42" t="s">
        <v>239</v>
      </c>
      <c r="C1027" s="42" t="s">
        <v>210</v>
      </c>
      <c r="D1027" s="42" t="s">
        <v>297</v>
      </c>
      <c r="E1027" s="42" t="s">
        <v>241</v>
      </c>
      <c r="F1027" s="42" t="s">
        <v>245</v>
      </c>
      <c r="G1027" s="44">
        <v>57685.48</v>
      </c>
      <c r="H1027" s="44">
        <v>60266.29</v>
      </c>
      <c r="I1027" s="44">
        <v>65204.99</v>
      </c>
      <c r="J1027" s="44">
        <v>65804.09</v>
      </c>
      <c r="K1027" t="s">
        <v>198</v>
      </c>
    </row>
    <row r="1028" spans="1:11" ht="16.95" hidden="1" customHeight="1" x14ac:dyDescent="0.3">
      <c r="A1028" s="42" t="s">
        <v>299</v>
      </c>
      <c r="B1028" s="42" t="s">
        <v>239</v>
      </c>
      <c r="C1028" s="42" t="s">
        <v>210</v>
      </c>
      <c r="D1028" s="42" t="s">
        <v>297</v>
      </c>
      <c r="E1028" s="42" t="s">
        <v>241</v>
      </c>
      <c r="F1028" s="42" t="s">
        <v>246</v>
      </c>
      <c r="G1028" s="44">
        <v>56785.62</v>
      </c>
      <c r="H1028" s="44">
        <v>59933.94</v>
      </c>
      <c r="I1028" s="44">
        <v>63955.62</v>
      </c>
      <c r="J1028" s="44">
        <v>65128.88</v>
      </c>
      <c r="K1028" t="s">
        <v>198</v>
      </c>
    </row>
    <row r="1029" spans="1:11" ht="16.95" hidden="1" customHeight="1" x14ac:dyDescent="0.3">
      <c r="A1029" s="42" t="s">
        <v>299</v>
      </c>
      <c r="B1029" s="42" t="s">
        <v>239</v>
      </c>
      <c r="C1029" s="42" t="s">
        <v>210</v>
      </c>
      <c r="D1029" s="42" t="s">
        <v>297</v>
      </c>
      <c r="E1029" s="42" t="s">
        <v>241</v>
      </c>
      <c r="F1029" s="42" t="s">
        <v>247</v>
      </c>
      <c r="G1029" s="44">
        <v>57075.9</v>
      </c>
      <c r="H1029" s="44">
        <v>60323.1</v>
      </c>
      <c r="I1029" s="44">
        <v>63899.68</v>
      </c>
      <c r="J1029" s="44">
        <v>64576.1</v>
      </c>
      <c r="K1029" t="s">
        <v>198</v>
      </c>
    </row>
    <row r="1030" spans="1:11" ht="16.95" hidden="1" customHeight="1" x14ac:dyDescent="0.3">
      <c r="A1030" s="42" t="s">
        <v>299</v>
      </c>
      <c r="B1030" s="42" t="s">
        <v>239</v>
      </c>
      <c r="C1030" s="42" t="s">
        <v>210</v>
      </c>
      <c r="D1030" s="42" t="s">
        <v>297</v>
      </c>
      <c r="E1030" s="42" t="s">
        <v>241</v>
      </c>
      <c r="F1030" s="42" t="s">
        <v>248</v>
      </c>
      <c r="G1030" s="44">
        <v>54321.69</v>
      </c>
      <c r="H1030" s="44">
        <v>61099.65</v>
      </c>
      <c r="I1030" s="44">
        <v>63082.400000000001</v>
      </c>
      <c r="J1030" s="44">
        <v>61363.38</v>
      </c>
      <c r="K1030" t="s">
        <v>198</v>
      </c>
    </row>
    <row r="1031" spans="1:11" ht="16.95" hidden="1" customHeight="1" x14ac:dyDescent="0.3">
      <c r="A1031" s="42" t="s">
        <v>299</v>
      </c>
      <c r="B1031" s="42" t="s">
        <v>239</v>
      </c>
      <c r="C1031" s="42" t="s">
        <v>210</v>
      </c>
      <c r="D1031" s="42" t="s">
        <v>297</v>
      </c>
      <c r="E1031" s="42" t="s">
        <v>241</v>
      </c>
      <c r="F1031" s="42" t="s">
        <v>249</v>
      </c>
      <c r="G1031" s="44">
        <v>54732.29</v>
      </c>
      <c r="H1031" s="44">
        <v>62361.25</v>
      </c>
      <c r="I1031" s="44">
        <v>63757.2</v>
      </c>
      <c r="J1031" s="44">
        <v>61098.38</v>
      </c>
      <c r="K1031" t="s">
        <v>198</v>
      </c>
    </row>
    <row r="1032" spans="1:11" ht="16.95" hidden="1" customHeight="1" x14ac:dyDescent="0.3">
      <c r="A1032" s="42" t="s">
        <v>299</v>
      </c>
      <c r="B1032" s="42" t="s">
        <v>239</v>
      </c>
      <c r="C1032" s="42" t="s">
        <v>210</v>
      </c>
      <c r="D1032" s="42" t="s">
        <v>297</v>
      </c>
      <c r="E1032" s="42" t="s">
        <v>241</v>
      </c>
      <c r="F1032" s="42" t="s">
        <v>250</v>
      </c>
      <c r="G1032" s="44">
        <v>54713.75</v>
      </c>
      <c r="H1032" s="44">
        <v>63376.959999999999</v>
      </c>
      <c r="I1032" s="44">
        <v>62988.31</v>
      </c>
      <c r="J1032" s="44">
        <v>61173.2</v>
      </c>
      <c r="K1032" t="s">
        <v>198</v>
      </c>
    </row>
    <row r="1033" spans="1:11" ht="16.95" hidden="1" customHeight="1" x14ac:dyDescent="0.3">
      <c r="A1033" s="42" t="s">
        <v>299</v>
      </c>
      <c r="B1033" s="42" t="s">
        <v>239</v>
      </c>
      <c r="C1033" s="42" t="s">
        <v>210</v>
      </c>
      <c r="D1033" s="42" t="s">
        <v>297</v>
      </c>
      <c r="E1033" s="42" t="s">
        <v>241</v>
      </c>
      <c r="F1033" s="42" t="s">
        <v>251</v>
      </c>
      <c r="G1033" s="44">
        <v>54811.45</v>
      </c>
      <c r="H1033" s="44">
        <v>65209.68</v>
      </c>
      <c r="I1033" s="44">
        <v>62407.58</v>
      </c>
      <c r="J1033" s="44">
        <v>62961.63</v>
      </c>
      <c r="K1033" t="s">
        <v>198</v>
      </c>
    </row>
    <row r="1034" spans="1:11" ht="16.95" hidden="1" customHeight="1" x14ac:dyDescent="0.3">
      <c r="A1034" s="42" t="s">
        <v>299</v>
      </c>
      <c r="B1034" s="42" t="s">
        <v>239</v>
      </c>
      <c r="C1034" s="42" t="s">
        <v>210</v>
      </c>
      <c r="D1034" s="42" t="s">
        <v>297</v>
      </c>
      <c r="E1034" s="42" t="s">
        <v>241</v>
      </c>
      <c r="F1034" s="42" t="s">
        <v>252</v>
      </c>
      <c r="G1034" s="44">
        <v>58543.56</v>
      </c>
      <c r="H1034" s="44">
        <v>63895.91</v>
      </c>
      <c r="I1034" s="44">
        <v>63265.26</v>
      </c>
      <c r="J1034" s="44">
        <v>61787.86</v>
      </c>
      <c r="K1034" t="s">
        <v>198</v>
      </c>
    </row>
    <row r="1035" spans="1:11" ht="16.95" hidden="1" customHeight="1" x14ac:dyDescent="0.3">
      <c r="A1035" s="42" t="s">
        <v>299</v>
      </c>
      <c r="B1035" s="42" t="s">
        <v>239</v>
      </c>
      <c r="C1035" s="42" t="s">
        <v>210</v>
      </c>
      <c r="D1035" s="42" t="s">
        <v>297</v>
      </c>
      <c r="E1035" s="42" t="s">
        <v>241</v>
      </c>
      <c r="F1035" s="42" t="s">
        <v>253</v>
      </c>
      <c r="G1035" s="44">
        <v>58712.5</v>
      </c>
      <c r="H1035" s="44">
        <v>68029.09</v>
      </c>
      <c r="I1035" s="44">
        <v>62849.120000000003</v>
      </c>
      <c r="J1035" s="44">
        <v>62806.7</v>
      </c>
      <c r="K1035" t="s">
        <v>198</v>
      </c>
    </row>
    <row r="1036" spans="1:11" ht="16.95" hidden="1" customHeight="1" x14ac:dyDescent="0.3">
      <c r="A1036" s="42" t="s">
        <v>299</v>
      </c>
      <c r="B1036" s="42" t="s">
        <v>239</v>
      </c>
      <c r="C1036" s="42" t="s">
        <v>210</v>
      </c>
      <c r="D1036" s="42" t="s">
        <v>298</v>
      </c>
      <c r="E1036" s="42" t="s">
        <v>241</v>
      </c>
      <c r="F1036" s="42" t="s">
        <v>242</v>
      </c>
      <c r="G1036" s="44">
        <v>115860.71</v>
      </c>
      <c r="H1036" s="44">
        <v>112591.79</v>
      </c>
      <c r="I1036" s="44">
        <v>129560.33</v>
      </c>
      <c r="J1036" s="44">
        <v>140253.62</v>
      </c>
      <c r="K1036" s="44">
        <v>113459.04</v>
      </c>
    </row>
    <row r="1037" spans="1:11" ht="16.95" hidden="1" customHeight="1" x14ac:dyDescent="0.3">
      <c r="A1037" s="42" t="s">
        <v>299</v>
      </c>
      <c r="B1037" s="42" t="s">
        <v>239</v>
      </c>
      <c r="C1037" s="42" t="s">
        <v>210</v>
      </c>
      <c r="D1037" s="42" t="s">
        <v>298</v>
      </c>
      <c r="E1037" s="42" t="s">
        <v>241</v>
      </c>
      <c r="F1037" s="42" t="s">
        <v>243</v>
      </c>
      <c r="G1037" s="44">
        <v>130082.59</v>
      </c>
      <c r="H1037" s="44">
        <v>110963.04</v>
      </c>
      <c r="I1037" s="44">
        <v>110830.04</v>
      </c>
      <c r="J1037" s="44">
        <v>118854.57</v>
      </c>
      <c r="K1037" t="s">
        <v>198</v>
      </c>
    </row>
    <row r="1038" spans="1:11" ht="16.95" hidden="1" customHeight="1" x14ac:dyDescent="0.3">
      <c r="A1038" s="42" t="s">
        <v>299</v>
      </c>
      <c r="B1038" s="42" t="s">
        <v>239</v>
      </c>
      <c r="C1038" s="42" t="s">
        <v>210</v>
      </c>
      <c r="D1038" s="42" t="s">
        <v>298</v>
      </c>
      <c r="E1038" s="42" t="s">
        <v>241</v>
      </c>
      <c r="F1038" s="42" t="s">
        <v>244</v>
      </c>
      <c r="G1038" s="44">
        <v>116210.53</v>
      </c>
      <c r="H1038" s="44">
        <v>111811.96</v>
      </c>
      <c r="I1038" s="44">
        <v>120390.72</v>
      </c>
      <c r="J1038" s="44">
        <v>110497.5</v>
      </c>
      <c r="K1038" s="44">
        <v>114654.24</v>
      </c>
    </row>
    <row r="1039" spans="1:11" ht="16.95" hidden="1" customHeight="1" x14ac:dyDescent="0.3">
      <c r="A1039" s="42" t="s">
        <v>299</v>
      </c>
      <c r="B1039" s="42" t="s">
        <v>239</v>
      </c>
      <c r="C1039" s="42" t="s">
        <v>210</v>
      </c>
      <c r="D1039" s="42" t="s">
        <v>298</v>
      </c>
      <c r="E1039" s="42" t="s">
        <v>241</v>
      </c>
      <c r="F1039" s="42" t="s">
        <v>245</v>
      </c>
      <c r="G1039" s="44">
        <v>115041.24</v>
      </c>
      <c r="H1039" s="44">
        <v>119400.74</v>
      </c>
      <c r="I1039" s="44">
        <v>113386.33</v>
      </c>
      <c r="J1039" s="44">
        <v>118883.55</v>
      </c>
      <c r="K1039" t="s">
        <v>198</v>
      </c>
    </row>
    <row r="1040" spans="1:11" ht="16.95" hidden="1" customHeight="1" x14ac:dyDescent="0.3">
      <c r="A1040" s="42" t="s">
        <v>299</v>
      </c>
      <c r="B1040" s="42" t="s">
        <v>239</v>
      </c>
      <c r="C1040" s="42" t="s">
        <v>210</v>
      </c>
      <c r="D1040" s="42" t="s">
        <v>298</v>
      </c>
      <c r="E1040" s="42" t="s">
        <v>241</v>
      </c>
      <c r="F1040" s="42" t="s">
        <v>246</v>
      </c>
      <c r="G1040" s="44">
        <v>110593.23</v>
      </c>
      <c r="H1040" s="44">
        <v>111958.94</v>
      </c>
      <c r="I1040" s="44">
        <v>139203.73000000001</v>
      </c>
      <c r="J1040" s="44">
        <v>110780.94</v>
      </c>
      <c r="K1040" t="s">
        <v>198</v>
      </c>
    </row>
    <row r="1041" spans="1:11" ht="16.95" hidden="1" customHeight="1" x14ac:dyDescent="0.3">
      <c r="A1041" s="42" t="s">
        <v>299</v>
      </c>
      <c r="B1041" s="42" t="s">
        <v>239</v>
      </c>
      <c r="C1041" s="42" t="s">
        <v>210</v>
      </c>
      <c r="D1041" s="42" t="s">
        <v>298</v>
      </c>
      <c r="E1041" s="42" t="s">
        <v>241</v>
      </c>
      <c r="F1041" s="42" t="s">
        <v>247</v>
      </c>
      <c r="G1041" s="44">
        <v>105656.34</v>
      </c>
      <c r="H1041" s="44">
        <v>106720.32000000001</v>
      </c>
      <c r="I1041" s="44">
        <v>137530.63</v>
      </c>
      <c r="J1041" s="44">
        <v>112008.11</v>
      </c>
      <c r="K1041" t="s">
        <v>198</v>
      </c>
    </row>
    <row r="1042" spans="1:11" ht="16.95" hidden="1" customHeight="1" x14ac:dyDescent="0.3">
      <c r="A1042" s="42" t="s">
        <v>299</v>
      </c>
      <c r="B1042" s="42" t="s">
        <v>239</v>
      </c>
      <c r="C1042" s="42" t="s">
        <v>210</v>
      </c>
      <c r="D1042" s="42" t="s">
        <v>298</v>
      </c>
      <c r="E1042" s="42" t="s">
        <v>241</v>
      </c>
      <c r="F1042" s="42" t="s">
        <v>248</v>
      </c>
      <c r="G1042" s="44">
        <v>106429.33</v>
      </c>
      <c r="H1042" s="44">
        <v>113543.2</v>
      </c>
      <c r="I1042" s="44">
        <v>145065.01999999999</v>
      </c>
      <c r="J1042" s="44">
        <v>114239.33</v>
      </c>
      <c r="K1042" t="s">
        <v>198</v>
      </c>
    </row>
    <row r="1043" spans="1:11" ht="16.95" hidden="1" customHeight="1" x14ac:dyDescent="0.3">
      <c r="A1043" s="42" t="s">
        <v>299</v>
      </c>
      <c r="B1043" s="42" t="s">
        <v>239</v>
      </c>
      <c r="C1043" s="42" t="s">
        <v>210</v>
      </c>
      <c r="D1043" s="42" t="s">
        <v>298</v>
      </c>
      <c r="E1043" s="42" t="s">
        <v>241</v>
      </c>
      <c r="F1043" s="42" t="s">
        <v>249</v>
      </c>
      <c r="G1043" s="44">
        <v>110567.21</v>
      </c>
      <c r="H1043" s="44">
        <v>112659.33</v>
      </c>
      <c r="I1043" s="44">
        <v>149649.39000000001</v>
      </c>
      <c r="J1043" s="44">
        <v>111500.75</v>
      </c>
      <c r="K1043" t="s">
        <v>198</v>
      </c>
    </row>
    <row r="1044" spans="1:11" ht="16.95" hidden="1" customHeight="1" x14ac:dyDescent="0.3">
      <c r="A1044" s="42" t="s">
        <v>299</v>
      </c>
      <c r="B1044" s="42" t="s">
        <v>239</v>
      </c>
      <c r="C1044" s="42" t="s">
        <v>210</v>
      </c>
      <c r="D1044" s="42" t="s">
        <v>298</v>
      </c>
      <c r="E1044" s="42" t="s">
        <v>241</v>
      </c>
      <c r="F1044" s="42" t="s">
        <v>250</v>
      </c>
      <c r="G1044" s="44">
        <v>110840.24</v>
      </c>
      <c r="H1044" s="44">
        <v>110340.95</v>
      </c>
      <c r="I1044" s="44">
        <v>124597.64</v>
      </c>
      <c r="J1044" s="44">
        <v>110791.91</v>
      </c>
      <c r="K1044" t="s">
        <v>198</v>
      </c>
    </row>
    <row r="1045" spans="1:11" ht="16.95" hidden="1" customHeight="1" x14ac:dyDescent="0.3">
      <c r="A1045" s="42" t="s">
        <v>299</v>
      </c>
      <c r="B1045" s="42" t="s">
        <v>239</v>
      </c>
      <c r="C1045" s="42" t="s">
        <v>210</v>
      </c>
      <c r="D1045" s="42" t="s">
        <v>298</v>
      </c>
      <c r="E1045" s="42" t="s">
        <v>241</v>
      </c>
      <c r="F1045" s="42" t="s">
        <v>251</v>
      </c>
      <c r="G1045" s="44">
        <v>106837.33</v>
      </c>
      <c r="H1045" s="44">
        <v>111075.33</v>
      </c>
      <c r="I1045" s="44">
        <v>116489.91</v>
      </c>
      <c r="J1045" s="44">
        <v>110926.22</v>
      </c>
      <c r="K1045" t="s">
        <v>198</v>
      </c>
    </row>
    <row r="1046" spans="1:11" ht="16.95" hidden="1" customHeight="1" x14ac:dyDescent="0.3">
      <c r="A1046" s="42" t="s">
        <v>299</v>
      </c>
      <c r="B1046" s="42" t="s">
        <v>239</v>
      </c>
      <c r="C1046" s="42" t="s">
        <v>210</v>
      </c>
      <c r="D1046" s="42" t="s">
        <v>298</v>
      </c>
      <c r="E1046" s="42" t="s">
        <v>241</v>
      </c>
      <c r="F1046" s="42" t="s">
        <v>252</v>
      </c>
      <c r="G1046" s="44">
        <v>108719.43</v>
      </c>
      <c r="H1046" s="44">
        <v>118508.18</v>
      </c>
      <c r="I1046" s="44">
        <v>130454.56</v>
      </c>
      <c r="J1046" s="44">
        <v>112243.6</v>
      </c>
      <c r="K1046" t="s">
        <v>198</v>
      </c>
    </row>
    <row r="1047" spans="1:11" ht="16.95" hidden="1" customHeight="1" x14ac:dyDescent="0.3">
      <c r="A1047" s="42" t="s">
        <v>299</v>
      </c>
      <c r="B1047" s="42" t="s">
        <v>239</v>
      </c>
      <c r="C1047" s="42" t="s">
        <v>210</v>
      </c>
      <c r="D1047" s="42" t="s">
        <v>298</v>
      </c>
      <c r="E1047" s="42" t="s">
        <v>241</v>
      </c>
      <c r="F1047" s="42" t="s">
        <v>253</v>
      </c>
      <c r="G1047" s="44">
        <v>122069.34</v>
      </c>
      <c r="H1047" s="44">
        <v>117847.67999999999</v>
      </c>
      <c r="I1047" s="44">
        <v>132386.93</v>
      </c>
      <c r="J1047" s="44">
        <v>114394.49</v>
      </c>
      <c r="K1047" t="s">
        <v>198</v>
      </c>
    </row>
    <row r="1048" spans="1:11" ht="16.95" hidden="1" customHeight="1" x14ac:dyDescent="0.3">
      <c r="A1048" s="42" t="s">
        <v>304</v>
      </c>
      <c r="B1048" s="42" t="s">
        <v>257</v>
      </c>
      <c r="C1048" s="42" t="s">
        <v>210</v>
      </c>
      <c r="D1048" s="42" t="s">
        <v>258</v>
      </c>
      <c r="E1048" s="42" t="s">
        <v>241</v>
      </c>
      <c r="F1048" s="42" t="s">
        <v>242</v>
      </c>
      <c r="G1048" s="44">
        <v>1200.68</v>
      </c>
      <c r="H1048" s="44">
        <v>1385.48</v>
      </c>
      <c r="I1048" s="43">
        <v>1381</v>
      </c>
      <c r="J1048" s="44">
        <v>1426.35</v>
      </c>
      <c r="K1048" s="44">
        <v>1665.66</v>
      </c>
    </row>
    <row r="1049" spans="1:11" ht="16.95" hidden="1" customHeight="1" x14ac:dyDescent="0.3">
      <c r="A1049" s="42" t="s">
        <v>304</v>
      </c>
      <c r="B1049" s="42" t="s">
        <v>257</v>
      </c>
      <c r="C1049" s="42" t="s">
        <v>210</v>
      </c>
      <c r="D1049" s="42" t="s">
        <v>258</v>
      </c>
      <c r="E1049" s="42" t="s">
        <v>241</v>
      </c>
      <c r="F1049" s="42" t="s">
        <v>243</v>
      </c>
      <c r="G1049" s="43">
        <v>1060</v>
      </c>
      <c r="H1049" s="43">
        <v>1380</v>
      </c>
      <c r="I1049" s="44">
        <v>1819.75</v>
      </c>
      <c r="J1049" s="43">
        <v>1381</v>
      </c>
      <c r="K1049" t="s">
        <v>198</v>
      </c>
    </row>
    <row r="1050" spans="1:11" ht="16.95" hidden="1" customHeight="1" x14ac:dyDescent="0.3">
      <c r="A1050" s="42" t="s">
        <v>304</v>
      </c>
      <c r="B1050" s="42" t="s">
        <v>257</v>
      </c>
      <c r="C1050" s="42" t="s">
        <v>210</v>
      </c>
      <c r="D1050" s="42" t="s">
        <v>258</v>
      </c>
      <c r="E1050" s="42" t="s">
        <v>241</v>
      </c>
      <c r="F1050" s="42" t="s">
        <v>244</v>
      </c>
      <c r="G1050" s="43">
        <v>941</v>
      </c>
      <c r="H1050" s="44">
        <v>1385.43</v>
      </c>
      <c r="I1050" s="43">
        <v>1381</v>
      </c>
      <c r="J1050" s="44">
        <v>1449.37</v>
      </c>
      <c r="K1050" t="s">
        <v>198</v>
      </c>
    </row>
    <row r="1051" spans="1:11" ht="16.95" hidden="1" customHeight="1" x14ac:dyDescent="0.3">
      <c r="A1051" s="42" t="s">
        <v>304</v>
      </c>
      <c r="B1051" s="42" t="s">
        <v>257</v>
      </c>
      <c r="C1051" s="42" t="s">
        <v>210</v>
      </c>
      <c r="D1051" s="42" t="s">
        <v>258</v>
      </c>
      <c r="E1051" s="42" t="s">
        <v>241</v>
      </c>
      <c r="F1051" s="42" t="s">
        <v>245</v>
      </c>
      <c r="G1051" s="43">
        <v>1069</v>
      </c>
      <c r="H1051" s="44">
        <v>1407.05</v>
      </c>
      <c r="I1051" s="43">
        <v>1474</v>
      </c>
      <c r="J1051" s="44">
        <v>1440.77</v>
      </c>
      <c r="K1051" t="s">
        <v>198</v>
      </c>
    </row>
    <row r="1052" spans="1:11" ht="16.95" hidden="1" customHeight="1" x14ac:dyDescent="0.3">
      <c r="A1052" s="42" t="s">
        <v>304</v>
      </c>
      <c r="B1052" s="42" t="s">
        <v>257</v>
      </c>
      <c r="C1052" s="42" t="s">
        <v>210</v>
      </c>
      <c r="D1052" s="42" t="s">
        <v>258</v>
      </c>
      <c r="E1052" s="42" t="s">
        <v>241</v>
      </c>
      <c r="F1052" s="42" t="s">
        <v>246</v>
      </c>
      <c r="G1052" s="43">
        <v>1121</v>
      </c>
      <c r="H1052" s="44">
        <v>1451.59</v>
      </c>
      <c r="I1052" s="44">
        <v>1493.39</v>
      </c>
      <c r="J1052" s="44">
        <v>1540.14</v>
      </c>
      <c r="K1052" t="s">
        <v>198</v>
      </c>
    </row>
    <row r="1053" spans="1:11" ht="16.95" hidden="1" customHeight="1" x14ac:dyDescent="0.3">
      <c r="A1053" s="42" t="s">
        <v>304</v>
      </c>
      <c r="B1053" s="42" t="s">
        <v>257</v>
      </c>
      <c r="C1053" s="42" t="s">
        <v>210</v>
      </c>
      <c r="D1053" s="42" t="s">
        <v>258</v>
      </c>
      <c r="E1053" s="42" t="s">
        <v>241</v>
      </c>
      <c r="F1053" s="42" t="s">
        <v>247</v>
      </c>
      <c r="G1053" s="44">
        <v>1018.21</v>
      </c>
      <c r="H1053" s="43">
        <v>0</v>
      </c>
      <c r="I1053" s="44">
        <v>1467.06</v>
      </c>
      <c r="J1053" s="44">
        <v>1455.61</v>
      </c>
      <c r="K1053" t="s">
        <v>198</v>
      </c>
    </row>
    <row r="1054" spans="1:11" ht="16.95" hidden="1" customHeight="1" x14ac:dyDescent="0.3">
      <c r="A1054" s="42" t="s">
        <v>304</v>
      </c>
      <c r="B1054" s="42" t="s">
        <v>257</v>
      </c>
      <c r="C1054" s="42" t="s">
        <v>210</v>
      </c>
      <c r="D1054" s="42" t="s">
        <v>258</v>
      </c>
      <c r="E1054" s="42" t="s">
        <v>241</v>
      </c>
      <c r="F1054" s="42" t="s">
        <v>248</v>
      </c>
      <c r="G1054" s="44">
        <v>1156.79</v>
      </c>
      <c r="H1054" s="44">
        <v>1381.51</v>
      </c>
      <c r="I1054" s="43">
        <v>1381</v>
      </c>
      <c r="J1054" s="44">
        <v>1547.76</v>
      </c>
      <c r="K1054" t="s">
        <v>198</v>
      </c>
    </row>
    <row r="1055" spans="1:11" ht="16.95" hidden="1" customHeight="1" x14ac:dyDescent="0.3">
      <c r="A1055" s="42" t="s">
        <v>304</v>
      </c>
      <c r="B1055" s="42" t="s">
        <v>257</v>
      </c>
      <c r="C1055" s="42" t="s">
        <v>210</v>
      </c>
      <c r="D1055" s="42" t="s">
        <v>258</v>
      </c>
      <c r="E1055" s="42" t="s">
        <v>241</v>
      </c>
      <c r="F1055" s="42" t="s">
        <v>249</v>
      </c>
      <c r="G1055" s="44">
        <v>1101.1099999999999</v>
      </c>
      <c r="H1055" s="44">
        <v>1613.05</v>
      </c>
      <c r="I1055" s="44">
        <v>1434.9</v>
      </c>
      <c r="J1055" s="43">
        <v>1500</v>
      </c>
      <c r="K1055" t="s">
        <v>198</v>
      </c>
    </row>
    <row r="1056" spans="1:11" ht="16.95" hidden="1" customHeight="1" x14ac:dyDescent="0.3">
      <c r="A1056" s="42" t="s">
        <v>304</v>
      </c>
      <c r="B1056" s="42" t="s">
        <v>257</v>
      </c>
      <c r="C1056" s="42" t="s">
        <v>210</v>
      </c>
      <c r="D1056" s="42" t="s">
        <v>258</v>
      </c>
      <c r="E1056" s="42" t="s">
        <v>241</v>
      </c>
      <c r="F1056" s="42" t="s">
        <v>250</v>
      </c>
      <c r="G1056" s="44">
        <v>1150.45</v>
      </c>
      <c r="H1056" s="44">
        <v>1426.6</v>
      </c>
      <c r="I1056" s="44">
        <v>1443.3</v>
      </c>
      <c r="J1056" s="44">
        <v>1558.92</v>
      </c>
      <c r="K1056" t="s">
        <v>198</v>
      </c>
    </row>
    <row r="1057" spans="1:11" ht="16.95" hidden="1" customHeight="1" x14ac:dyDescent="0.3">
      <c r="A1057" s="42" t="s">
        <v>304</v>
      </c>
      <c r="B1057" s="42" t="s">
        <v>257</v>
      </c>
      <c r="C1057" s="42" t="s">
        <v>210</v>
      </c>
      <c r="D1057" s="42" t="s">
        <v>258</v>
      </c>
      <c r="E1057" s="42" t="s">
        <v>241</v>
      </c>
      <c r="F1057" s="42" t="s">
        <v>251</v>
      </c>
      <c r="G1057" s="44">
        <v>1201.49</v>
      </c>
      <c r="H1057" s="44">
        <v>1399.11</v>
      </c>
      <c r="I1057" s="44">
        <v>1429.19</v>
      </c>
      <c r="J1057" s="44">
        <v>1697.69</v>
      </c>
      <c r="K1057" t="s">
        <v>198</v>
      </c>
    </row>
    <row r="1058" spans="1:11" ht="16.95" hidden="1" customHeight="1" x14ac:dyDescent="0.3">
      <c r="A1058" s="42" t="s">
        <v>304</v>
      </c>
      <c r="B1058" s="42" t="s">
        <v>257</v>
      </c>
      <c r="C1058" s="42" t="s">
        <v>210</v>
      </c>
      <c r="D1058" s="42" t="s">
        <v>258</v>
      </c>
      <c r="E1058" s="42" t="s">
        <v>241</v>
      </c>
      <c r="F1058" s="42" t="s">
        <v>252</v>
      </c>
      <c r="G1058" s="44">
        <v>1247.0899999999999</v>
      </c>
      <c r="H1058" s="44">
        <v>1470.64</v>
      </c>
      <c r="I1058" s="44">
        <v>1431.54</v>
      </c>
      <c r="J1058" s="44">
        <v>1683.33</v>
      </c>
      <c r="K1058" t="s">
        <v>198</v>
      </c>
    </row>
    <row r="1059" spans="1:11" ht="16.95" hidden="1" customHeight="1" x14ac:dyDescent="0.3">
      <c r="A1059" s="42" t="s">
        <v>304</v>
      </c>
      <c r="B1059" s="42" t="s">
        <v>257</v>
      </c>
      <c r="C1059" s="42" t="s">
        <v>210</v>
      </c>
      <c r="D1059" s="42" t="s">
        <v>258</v>
      </c>
      <c r="E1059" s="42" t="s">
        <v>241</v>
      </c>
      <c r="F1059" s="42" t="s">
        <v>253</v>
      </c>
      <c r="G1059" s="43">
        <v>1078</v>
      </c>
      <c r="H1059" s="44">
        <v>1461.43</v>
      </c>
      <c r="I1059" s="44">
        <v>1513.44</v>
      </c>
      <c r="J1059" s="44">
        <v>1837.88</v>
      </c>
      <c r="K1059" t="s">
        <v>198</v>
      </c>
    </row>
    <row r="1060" spans="1:11" ht="16.95" hidden="1" customHeight="1" x14ac:dyDescent="0.3">
      <c r="A1060" s="42" t="s">
        <v>304</v>
      </c>
      <c r="B1060" s="42" t="s">
        <v>257</v>
      </c>
      <c r="C1060" s="42" t="s">
        <v>210</v>
      </c>
      <c r="D1060" s="42" t="s">
        <v>259</v>
      </c>
      <c r="E1060" s="42" t="s">
        <v>241</v>
      </c>
      <c r="F1060" s="42" t="s">
        <v>242</v>
      </c>
      <c r="G1060" t="s">
        <v>198</v>
      </c>
      <c r="H1060" s="44">
        <v>405.34</v>
      </c>
      <c r="I1060" s="44">
        <v>283.39</v>
      </c>
      <c r="J1060" s="44">
        <v>190.41</v>
      </c>
      <c r="K1060" t="s">
        <v>198</v>
      </c>
    </row>
    <row r="1061" spans="1:11" ht="16.95" hidden="1" customHeight="1" x14ac:dyDescent="0.3">
      <c r="A1061" s="42" t="s">
        <v>304</v>
      </c>
      <c r="B1061" s="42" t="s">
        <v>257</v>
      </c>
      <c r="C1061" s="42" t="s">
        <v>210</v>
      </c>
      <c r="D1061" s="42" t="s">
        <v>259</v>
      </c>
      <c r="E1061" s="42" t="s">
        <v>241</v>
      </c>
      <c r="F1061" s="42" t="s">
        <v>243</v>
      </c>
      <c r="G1061" t="s">
        <v>198</v>
      </c>
      <c r="H1061" s="44">
        <v>403.77</v>
      </c>
      <c r="I1061" s="44">
        <v>245.91</v>
      </c>
      <c r="J1061" s="43">
        <v>0</v>
      </c>
      <c r="K1061" t="s">
        <v>198</v>
      </c>
    </row>
    <row r="1062" spans="1:11" ht="16.95" hidden="1" customHeight="1" x14ac:dyDescent="0.3">
      <c r="A1062" s="42" t="s">
        <v>304</v>
      </c>
      <c r="B1062" s="42" t="s">
        <v>257</v>
      </c>
      <c r="C1062" s="42" t="s">
        <v>210</v>
      </c>
      <c r="D1062" s="42" t="s">
        <v>259</v>
      </c>
      <c r="E1062" s="42" t="s">
        <v>241</v>
      </c>
      <c r="F1062" s="42" t="s">
        <v>244</v>
      </c>
      <c r="G1062" t="s">
        <v>198</v>
      </c>
      <c r="H1062" s="44">
        <v>403.77</v>
      </c>
      <c r="I1062" s="44">
        <v>423.53</v>
      </c>
      <c r="J1062" s="44">
        <v>258.89999999999998</v>
      </c>
      <c r="K1062" t="s">
        <v>198</v>
      </c>
    </row>
    <row r="1063" spans="1:11" ht="16.95" hidden="1" customHeight="1" x14ac:dyDescent="0.3">
      <c r="A1063" s="42" t="s">
        <v>304</v>
      </c>
      <c r="B1063" s="42" t="s">
        <v>257</v>
      </c>
      <c r="C1063" s="42" t="s">
        <v>210</v>
      </c>
      <c r="D1063" s="42" t="s">
        <v>259</v>
      </c>
      <c r="E1063" s="42" t="s">
        <v>241</v>
      </c>
      <c r="F1063" s="42" t="s">
        <v>245</v>
      </c>
      <c r="G1063" t="s">
        <v>198</v>
      </c>
      <c r="H1063" s="44">
        <v>366.67</v>
      </c>
      <c r="I1063" s="44">
        <v>233.64</v>
      </c>
      <c r="J1063" s="43">
        <v>555</v>
      </c>
      <c r="K1063" t="s">
        <v>198</v>
      </c>
    </row>
    <row r="1064" spans="1:11" ht="16.95" hidden="1" customHeight="1" x14ac:dyDescent="0.3">
      <c r="A1064" s="42" t="s">
        <v>304</v>
      </c>
      <c r="B1064" s="42" t="s">
        <v>257</v>
      </c>
      <c r="C1064" s="42" t="s">
        <v>210</v>
      </c>
      <c r="D1064" s="42" t="s">
        <v>259</v>
      </c>
      <c r="E1064" s="42" t="s">
        <v>241</v>
      </c>
      <c r="F1064" s="42" t="s">
        <v>246</v>
      </c>
      <c r="G1064" t="s">
        <v>198</v>
      </c>
      <c r="H1064" s="44">
        <v>366.67</v>
      </c>
      <c r="I1064" s="44">
        <v>227.5</v>
      </c>
      <c r="J1064" s="43">
        <v>0</v>
      </c>
      <c r="K1064" t="s">
        <v>198</v>
      </c>
    </row>
    <row r="1065" spans="1:11" ht="16.95" hidden="1" customHeight="1" x14ac:dyDescent="0.3">
      <c r="A1065" s="42" t="s">
        <v>304</v>
      </c>
      <c r="B1065" s="42" t="s">
        <v>257</v>
      </c>
      <c r="C1065" s="42" t="s">
        <v>210</v>
      </c>
      <c r="D1065" s="42" t="s">
        <v>259</v>
      </c>
      <c r="E1065" s="42" t="s">
        <v>241</v>
      </c>
      <c r="F1065" s="42" t="s">
        <v>247</v>
      </c>
      <c r="G1065" t="s">
        <v>198</v>
      </c>
      <c r="H1065" s="44">
        <v>366.67</v>
      </c>
      <c r="I1065" s="43">
        <v>655</v>
      </c>
      <c r="J1065" s="43">
        <v>660</v>
      </c>
      <c r="K1065" t="s">
        <v>198</v>
      </c>
    </row>
    <row r="1066" spans="1:11" ht="16.95" hidden="1" customHeight="1" x14ac:dyDescent="0.3">
      <c r="A1066" s="42" t="s">
        <v>304</v>
      </c>
      <c r="B1066" s="42" t="s">
        <v>257</v>
      </c>
      <c r="C1066" s="42" t="s">
        <v>210</v>
      </c>
      <c r="D1066" s="42" t="s">
        <v>259</v>
      </c>
      <c r="E1066" s="42" t="s">
        <v>241</v>
      </c>
      <c r="F1066" s="42" t="s">
        <v>248</v>
      </c>
      <c r="G1066" t="s">
        <v>198</v>
      </c>
      <c r="H1066" s="44">
        <v>366.67</v>
      </c>
      <c r="I1066" s="44">
        <v>245.57</v>
      </c>
      <c r="J1066" s="43">
        <v>0</v>
      </c>
      <c r="K1066" t="s">
        <v>198</v>
      </c>
    </row>
    <row r="1067" spans="1:11" ht="16.95" hidden="1" customHeight="1" x14ac:dyDescent="0.3">
      <c r="A1067" s="42" t="s">
        <v>304</v>
      </c>
      <c r="B1067" s="42" t="s">
        <v>257</v>
      </c>
      <c r="C1067" s="42" t="s">
        <v>210</v>
      </c>
      <c r="D1067" s="42" t="s">
        <v>259</v>
      </c>
      <c r="E1067" s="42" t="s">
        <v>241</v>
      </c>
      <c r="F1067" s="42" t="s">
        <v>249</v>
      </c>
      <c r="G1067" t="s">
        <v>198</v>
      </c>
      <c r="H1067" s="44">
        <v>366.67</v>
      </c>
      <c r="I1067" s="44">
        <v>469.38</v>
      </c>
      <c r="J1067" s="43">
        <v>0</v>
      </c>
      <c r="K1067" t="s">
        <v>198</v>
      </c>
    </row>
    <row r="1068" spans="1:11" ht="16.95" hidden="1" customHeight="1" x14ac:dyDescent="0.3">
      <c r="A1068" s="42" t="s">
        <v>304</v>
      </c>
      <c r="B1068" s="42" t="s">
        <v>257</v>
      </c>
      <c r="C1068" s="42" t="s">
        <v>210</v>
      </c>
      <c r="D1068" s="42" t="s">
        <v>259</v>
      </c>
      <c r="E1068" s="42" t="s">
        <v>241</v>
      </c>
      <c r="F1068" s="42" t="s">
        <v>250</v>
      </c>
      <c r="G1068" t="s">
        <v>198</v>
      </c>
      <c r="H1068" s="44">
        <v>431.72</v>
      </c>
      <c r="I1068" s="44">
        <v>230.76</v>
      </c>
      <c r="J1068" s="43">
        <v>0</v>
      </c>
      <c r="K1068" t="s">
        <v>198</v>
      </c>
    </row>
    <row r="1069" spans="1:11" ht="16.95" hidden="1" customHeight="1" x14ac:dyDescent="0.3">
      <c r="A1069" s="42" t="s">
        <v>304</v>
      </c>
      <c r="B1069" s="42" t="s">
        <v>257</v>
      </c>
      <c r="C1069" s="42" t="s">
        <v>210</v>
      </c>
      <c r="D1069" s="42" t="s">
        <v>259</v>
      </c>
      <c r="E1069" s="42" t="s">
        <v>241</v>
      </c>
      <c r="F1069" s="42" t="s">
        <v>251</v>
      </c>
      <c r="G1069" t="s">
        <v>198</v>
      </c>
      <c r="H1069" s="44">
        <v>451.6</v>
      </c>
      <c r="I1069" s="44">
        <v>235.04</v>
      </c>
      <c r="J1069" s="43">
        <v>0</v>
      </c>
      <c r="K1069" t="s">
        <v>198</v>
      </c>
    </row>
    <row r="1070" spans="1:11" ht="16.95" hidden="1" customHeight="1" x14ac:dyDescent="0.3">
      <c r="A1070" s="42" t="s">
        <v>304</v>
      </c>
      <c r="B1070" s="42" t="s">
        <v>257</v>
      </c>
      <c r="C1070" s="42" t="s">
        <v>210</v>
      </c>
      <c r="D1070" s="42" t="s">
        <v>259</v>
      </c>
      <c r="E1070" s="42" t="s">
        <v>241</v>
      </c>
      <c r="F1070" s="42" t="s">
        <v>252</v>
      </c>
      <c r="G1070" t="s">
        <v>198</v>
      </c>
      <c r="H1070" s="44">
        <v>455.84</v>
      </c>
      <c r="I1070" s="44">
        <v>258.12</v>
      </c>
      <c r="J1070" s="43">
        <v>0</v>
      </c>
      <c r="K1070" t="s">
        <v>198</v>
      </c>
    </row>
    <row r="1071" spans="1:11" ht="16.95" hidden="1" customHeight="1" x14ac:dyDescent="0.3">
      <c r="A1071" s="42" t="s">
        <v>304</v>
      </c>
      <c r="B1071" s="42" t="s">
        <v>257</v>
      </c>
      <c r="C1071" s="42" t="s">
        <v>210</v>
      </c>
      <c r="D1071" s="42" t="s">
        <v>259</v>
      </c>
      <c r="E1071" s="42" t="s">
        <v>241</v>
      </c>
      <c r="F1071" s="42" t="s">
        <v>253</v>
      </c>
      <c r="G1071" t="s">
        <v>198</v>
      </c>
      <c r="H1071" s="44">
        <v>453.46</v>
      </c>
      <c r="I1071" s="44">
        <v>261.29000000000002</v>
      </c>
      <c r="J1071" s="43">
        <v>0</v>
      </c>
      <c r="K1071" t="s">
        <v>198</v>
      </c>
    </row>
    <row r="1072" spans="1:11" ht="16.95" hidden="1" customHeight="1" x14ac:dyDescent="0.3">
      <c r="A1072" s="42" t="s">
        <v>304</v>
      </c>
      <c r="B1072" s="42" t="s">
        <v>239</v>
      </c>
      <c r="C1072" s="42" t="s">
        <v>210</v>
      </c>
      <c r="D1072" s="42" t="s">
        <v>260</v>
      </c>
      <c r="E1072" s="42" t="s">
        <v>241</v>
      </c>
      <c r="F1072" s="42" t="s">
        <v>242</v>
      </c>
      <c r="G1072" s="44">
        <v>16321.94</v>
      </c>
      <c r="H1072" s="44">
        <v>18187.599999999999</v>
      </c>
      <c r="I1072" s="44">
        <v>20780.96</v>
      </c>
      <c r="J1072" s="44">
        <v>15950.14</v>
      </c>
      <c r="K1072" s="44">
        <v>27292.33</v>
      </c>
    </row>
    <row r="1073" spans="1:11" ht="16.95" hidden="1" customHeight="1" x14ac:dyDescent="0.3">
      <c r="A1073" s="42" t="s">
        <v>304</v>
      </c>
      <c r="B1073" s="42" t="s">
        <v>239</v>
      </c>
      <c r="C1073" s="42" t="s">
        <v>210</v>
      </c>
      <c r="D1073" s="42" t="s">
        <v>260</v>
      </c>
      <c r="E1073" s="42" t="s">
        <v>241</v>
      </c>
      <c r="F1073" s="42" t="s">
        <v>243</v>
      </c>
      <c r="G1073" s="44">
        <v>15179.07</v>
      </c>
      <c r="H1073" s="44">
        <v>18731.3</v>
      </c>
      <c r="I1073" s="44">
        <v>19458.38</v>
      </c>
      <c r="J1073" s="44">
        <v>15890.36</v>
      </c>
      <c r="K1073" s="44">
        <v>31306.65</v>
      </c>
    </row>
    <row r="1074" spans="1:11" ht="16.95" hidden="1" customHeight="1" x14ac:dyDescent="0.3">
      <c r="A1074" s="42" t="s">
        <v>304</v>
      </c>
      <c r="B1074" s="42" t="s">
        <v>239</v>
      </c>
      <c r="C1074" s="42" t="s">
        <v>210</v>
      </c>
      <c r="D1074" s="42" t="s">
        <v>260</v>
      </c>
      <c r="E1074" s="42" t="s">
        <v>241</v>
      </c>
      <c r="F1074" s="42" t="s">
        <v>244</v>
      </c>
      <c r="G1074" s="44">
        <v>15397.71</v>
      </c>
      <c r="H1074" s="44">
        <v>18954.939999999999</v>
      </c>
      <c r="I1074" s="44">
        <v>19385.93</v>
      </c>
      <c r="J1074" s="44">
        <v>16963.13</v>
      </c>
      <c r="K1074" s="44">
        <v>32316.43</v>
      </c>
    </row>
    <row r="1075" spans="1:11" ht="16.95" hidden="1" customHeight="1" x14ac:dyDescent="0.3">
      <c r="A1075" s="42" t="s">
        <v>304</v>
      </c>
      <c r="B1075" s="42" t="s">
        <v>239</v>
      </c>
      <c r="C1075" s="42" t="s">
        <v>210</v>
      </c>
      <c r="D1075" s="42" t="s">
        <v>260</v>
      </c>
      <c r="E1075" s="42" t="s">
        <v>241</v>
      </c>
      <c r="F1075" s="42" t="s">
        <v>245</v>
      </c>
      <c r="G1075" s="44">
        <v>16997.259999999998</v>
      </c>
      <c r="H1075" s="44">
        <v>20038.18</v>
      </c>
      <c r="I1075" s="44">
        <v>20028.61</v>
      </c>
      <c r="J1075" s="44">
        <v>21047.49</v>
      </c>
      <c r="K1075" t="s">
        <v>198</v>
      </c>
    </row>
    <row r="1076" spans="1:11" ht="16.95" hidden="1" customHeight="1" x14ac:dyDescent="0.3">
      <c r="A1076" s="42" t="s">
        <v>304</v>
      </c>
      <c r="B1076" s="42" t="s">
        <v>239</v>
      </c>
      <c r="C1076" s="42" t="s">
        <v>210</v>
      </c>
      <c r="D1076" s="42" t="s">
        <v>260</v>
      </c>
      <c r="E1076" s="42" t="s">
        <v>241</v>
      </c>
      <c r="F1076" s="42" t="s">
        <v>246</v>
      </c>
      <c r="G1076" s="44">
        <v>18212.21</v>
      </c>
      <c r="H1076" s="44">
        <v>21968.69</v>
      </c>
      <c r="I1076" s="44">
        <v>20277.310000000001</v>
      </c>
      <c r="J1076" s="44">
        <v>20384.990000000002</v>
      </c>
      <c r="K1076" t="s">
        <v>198</v>
      </c>
    </row>
    <row r="1077" spans="1:11" ht="16.95" hidden="1" customHeight="1" x14ac:dyDescent="0.3">
      <c r="A1077" s="42" t="s">
        <v>304</v>
      </c>
      <c r="B1077" s="42" t="s">
        <v>239</v>
      </c>
      <c r="C1077" s="42" t="s">
        <v>210</v>
      </c>
      <c r="D1077" s="42" t="s">
        <v>260</v>
      </c>
      <c r="E1077" s="42" t="s">
        <v>241</v>
      </c>
      <c r="F1077" s="42" t="s">
        <v>247</v>
      </c>
      <c r="G1077" s="44">
        <v>18148.3</v>
      </c>
      <c r="H1077" s="44">
        <v>21630.84</v>
      </c>
      <c r="I1077" s="44">
        <v>18549.830000000002</v>
      </c>
      <c r="J1077" s="44">
        <v>18570.919999999998</v>
      </c>
      <c r="K1077" t="s">
        <v>198</v>
      </c>
    </row>
    <row r="1078" spans="1:11" ht="16.95" hidden="1" customHeight="1" x14ac:dyDescent="0.3">
      <c r="A1078" s="42" t="s">
        <v>304</v>
      </c>
      <c r="B1078" s="42" t="s">
        <v>239</v>
      </c>
      <c r="C1078" s="42" t="s">
        <v>210</v>
      </c>
      <c r="D1078" s="42" t="s">
        <v>260</v>
      </c>
      <c r="E1078" s="42" t="s">
        <v>241</v>
      </c>
      <c r="F1078" s="42" t="s">
        <v>248</v>
      </c>
      <c r="G1078" s="44">
        <v>17472.09</v>
      </c>
      <c r="H1078" s="44">
        <v>22023.68</v>
      </c>
      <c r="I1078" s="44">
        <v>18918.810000000001</v>
      </c>
      <c r="J1078" s="44">
        <v>19274.099999999999</v>
      </c>
      <c r="K1078" t="s">
        <v>198</v>
      </c>
    </row>
    <row r="1079" spans="1:11" ht="16.95" hidden="1" customHeight="1" x14ac:dyDescent="0.3">
      <c r="A1079" s="42" t="s">
        <v>304</v>
      </c>
      <c r="B1079" s="42" t="s">
        <v>239</v>
      </c>
      <c r="C1079" s="42" t="s">
        <v>210</v>
      </c>
      <c r="D1079" s="42" t="s">
        <v>260</v>
      </c>
      <c r="E1079" s="42" t="s">
        <v>241</v>
      </c>
      <c r="F1079" s="42" t="s">
        <v>249</v>
      </c>
      <c r="G1079" s="44">
        <v>17677.97</v>
      </c>
      <c r="H1079" s="44">
        <v>22243.15</v>
      </c>
      <c r="I1079" s="44">
        <v>17501.77</v>
      </c>
      <c r="J1079" s="44">
        <v>19859.11</v>
      </c>
      <c r="K1079" t="s">
        <v>198</v>
      </c>
    </row>
    <row r="1080" spans="1:11" ht="16.95" hidden="1" customHeight="1" x14ac:dyDescent="0.3">
      <c r="A1080" s="42" t="s">
        <v>304</v>
      </c>
      <c r="B1080" s="42" t="s">
        <v>239</v>
      </c>
      <c r="C1080" s="42" t="s">
        <v>210</v>
      </c>
      <c r="D1080" s="42" t="s">
        <v>260</v>
      </c>
      <c r="E1080" s="42" t="s">
        <v>241</v>
      </c>
      <c r="F1080" s="42" t="s">
        <v>250</v>
      </c>
      <c r="G1080" s="44">
        <v>17632.46</v>
      </c>
      <c r="H1080" s="44">
        <v>23056.91</v>
      </c>
      <c r="I1080" s="44">
        <v>19329.78</v>
      </c>
      <c r="J1080" s="44">
        <v>20619.02</v>
      </c>
      <c r="K1080" t="s">
        <v>198</v>
      </c>
    </row>
    <row r="1081" spans="1:11" ht="16.95" hidden="1" customHeight="1" x14ac:dyDescent="0.3">
      <c r="A1081" s="42" t="s">
        <v>304</v>
      </c>
      <c r="B1081" s="42" t="s">
        <v>239</v>
      </c>
      <c r="C1081" s="42" t="s">
        <v>210</v>
      </c>
      <c r="D1081" s="42" t="s">
        <v>260</v>
      </c>
      <c r="E1081" s="42" t="s">
        <v>241</v>
      </c>
      <c r="F1081" s="42" t="s">
        <v>251</v>
      </c>
      <c r="G1081" s="44">
        <v>18077.07</v>
      </c>
      <c r="H1081" s="44">
        <v>22385.46</v>
      </c>
      <c r="I1081" s="44">
        <v>17727.52</v>
      </c>
      <c r="J1081" s="44">
        <v>22326.52</v>
      </c>
      <c r="K1081" t="s">
        <v>198</v>
      </c>
    </row>
    <row r="1082" spans="1:11" ht="16.95" hidden="1" customHeight="1" x14ac:dyDescent="0.3">
      <c r="A1082" s="42" t="s">
        <v>304</v>
      </c>
      <c r="B1082" s="42" t="s">
        <v>239</v>
      </c>
      <c r="C1082" s="42" t="s">
        <v>210</v>
      </c>
      <c r="D1082" s="42" t="s">
        <v>260</v>
      </c>
      <c r="E1082" s="42" t="s">
        <v>241</v>
      </c>
      <c r="F1082" s="42" t="s">
        <v>252</v>
      </c>
      <c r="G1082" s="44">
        <v>17038.13</v>
      </c>
      <c r="H1082" s="44">
        <v>21087.34</v>
      </c>
      <c r="I1082" s="44">
        <v>15855.49</v>
      </c>
      <c r="J1082" s="44">
        <v>23057.47</v>
      </c>
      <c r="K1082" t="s">
        <v>198</v>
      </c>
    </row>
    <row r="1083" spans="1:11" ht="16.95" hidden="1" customHeight="1" x14ac:dyDescent="0.3">
      <c r="A1083" s="42" t="s">
        <v>304</v>
      </c>
      <c r="B1083" s="42" t="s">
        <v>239</v>
      </c>
      <c r="C1083" s="42" t="s">
        <v>210</v>
      </c>
      <c r="D1083" s="42" t="s">
        <v>260</v>
      </c>
      <c r="E1083" s="42" t="s">
        <v>241</v>
      </c>
      <c r="F1083" s="42" t="s">
        <v>253</v>
      </c>
      <c r="G1083" s="44">
        <v>17369.3</v>
      </c>
      <c r="H1083" s="44">
        <v>21375.93</v>
      </c>
      <c r="I1083" s="44">
        <v>15645.63</v>
      </c>
      <c r="J1083" s="44">
        <v>22223.09</v>
      </c>
      <c r="K1083" t="s">
        <v>198</v>
      </c>
    </row>
    <row r="1084" spans="1:11" ht="16.95" hidden="1" customHeight="1" x14ac:dyDescent="0.3">
      <c r="A1084" s="42" t="s">
        <v>304</v>
      </c>
      <c r="B1084" s="42" t="s">
        <v>239</v>
      </c>
      <c r="C1084" s="42" t="s">
        <v>210</v>
      </c>
      <c r="D1084" s="42" t="s">
        <v>300</v>
      </c>
      <c r="E1084" s="42" t="s">
        <v>241</v>
      </c>
      <c r="F1084" s="42" t="s">
        <v>242</v>
      </c>
      <c r="G1084" s="44">
        <v>16323.1</v>
      </c>
      <c r="H1084" s="44">
        <v>18175.55</v>
      </c>
      <c r="I1084" s="44">
        <v>20774.810000000001</v>
      </c>
      <c r="J1084" s="44">
        <v>15829.47</v>
      </c>
      <c r="K1084" s="44">
        <v>27292.02</v>
      </c>
    </row>
    <row r="1085" spans="1:11" ht="16.95" hidden="1" customHeight="1" x14ac:dyDescent="0.3">
      <c r="A1085" s="42" t="s">
        <v>304</v>
      </c>
      <c r="B1085" s="42" t="s">
        <v>239</v>
      </c>
      <c r="C1085" s="42" t="s">
        <v>210</v>
      </c>
      <c r="D1085" s="42" t="s">
        <v>300</v>
      </c>
      <c r="E1085" s="42" t="s">
        <v>241</v>
      </c>
      <c r="F1085" s="42" t="s">
        <v>243</v>
      </c>
      <c r="G1085" s="44">
        <v>15174.61</v>
      </c>
      <c r="H1085" s="44">
        <v>18728.93</v>
      </c>
      <c r="I1085" s="44">
        <v>19449.52</v>
      </c>
      <c r="J1085" s="44">
        <v>15873.29</v>
      </c>
      <c r="K1085" s="44">
        <v>31305.27</v>
      </c>
    </row>
    <row r="1086" spans="1:11" ht="16.95" hidden="1" customHeight="1" x14ac:dyDescent="0.3">
      <c r="A1086" s="42" t="s">
        <v>304</v>
      </c>
      <c r="B1086" s="42" t="s">
        <v>239</v>
      </c>
      <c r="C1086" s="42" t="s">
        <v>210</v>
      </c>
      <c r="D1086" s="42" t="s">
        <v>300</v>
      </c>
      <c r="E1086" s="42" t="s">
        <v>241</v>
      </c>
      <c r="F1086" s="42" t="s">
        <v>244</v>
      </c>
      <c r="G1086" s="44">
        <v>15369.74</v>
      </c>
      <c r="H1086" s="44">
        <v>18949.830000000002</v>
      </c>
      <c r="I1086" s="44">
        <v>19379.14</v>
      </c>
      <c r="J1086" s="44">
        <v>16944.11</v>
      </c>
      <c r="K1086" s="44">
        <v>32315.16</v>
      </c>
    </row>
    <row r="1087" spans="1:11" ht="16.95" hidden="1" customHeight="1" x14ac:dyDescent="0.3">
      <c r="A1087" s="42" t="s">
        <v>304</v>
      </c>
      <c r="B1087" s="42" t="s">
        <v>239</v>
      </c>
      <c r="C1087" s="42" t="s">
        <v>210</v>
      </c>
      <c r="D1087" s="42" t="s">
        <v>300</v>
      </c>
      <c r="E1087" s="42" t="s">
        <v>241</v>
      </c>
      <c r="F1087" s="42" t="s">
        <v>245</v>
      </c>
      <c r="G1087" s="44">
        <v>16995.330000000002</v>
      </c>
      <c r="H1087" s="44">
        <v>20031.47</v>
      </c>
      <c r="I1087" s="44">
        <v>20026.21</v>
      </c>
      <c r="J1087" s="44">
        <v>21041.88</v>
      </c>
      <c r="K1087" t="s">
        <v>198</v>
      </c>
    </row>
    <row r="1088" spans="1:11" ht="16.95" hidden="1" customHeight="1" x14ac:dyDescent="0.3">
      <c r="A1088" s="42" t="s">
        <v>304</v>
      </c>
      <c r="B1088" s="42" t="s">
        <v>239</v>
      </c>
      <c r="C1088" s="42" t="s">
        <v>210</v>
      </c>
      <c r="D1088" s="42" t="s">
        <v>300</v>
      </c>
      <c r="E1088" s="42" t="s">
        <v>241</v>
      </c>
      <c r="F1088" s="42" t="s">
        <v>246</v>
      </c>
      <c r="G1088" s="43">
        <v>18206</v>
      </c>
      <c r="H1088" s="44">
        <v>21958.1</v>
      </c>
      <c r="I1088" s="44">
        <v>20271.18</v>
      </c>
      <c r="J1088" s="44">
        <v>20375.87</v>
      </c>
      <c r="K1088" t="s">
        <v>198</v>
      </c>
    </row>
    <row r="1089" spans="1:11" ht="16.95" hidden="1" customHeight="1" x14ac:dyDescent="0.3">
      <c r="A1089" s="42" t="s">
        <v>304</v>
      </c>
      <c r="B1089" s="42" t="s">
        <v>239</v>
      </c>
      <c r="C1089" s="42" t="s">
        <v>210</v>
      </c>
      <c r="D1089" s="42" t="s">
        <v>300</v>
      </c>
      <c r="E1089" s="42" t="s">
        <v>241</v>
      </c>
      <c r="F1089" s="42" t="s">
        <v>247</v>
      </c>
      <c r="G1089" s="44">
        <v>18142.59</v>
      </c>
      <c r="H1089" s="44">
        <v>21624.06</v>
      </c>
      <c r="I1089" s="44">
        <v>18544.490000000002</v>
      </c>
      <c r="J1089" s="44">
        <v>18568.22</v>
      </c>
      <c r="K1089" t="s">
        <v>198</v>
      </c>
    </row>
    <row r="1090" spans="1:11" ht="16.95" hidden="1" customHeight="1" x14ac:dyDescent="0.3">
      <c r="A1090" s="42" t="s">
        <v>304</v>
      </c>
      <c r="B1090" s="42" t="s">
        <v>239</v>
      </c>
      <c r="C1090" s="42" t="s">
        <v>210</v>
      </c>
      <c r="D1090" s="42" t="s">
        <v>300</v>
      </c>
      <c r="E1090" s="42" t="s">
        <v>241</v>
      </c>
      <c r="F1090" s="42" t="s">
        <v>248</v>
      </c>
      <c r="G1090" s="44">
        <v>17465.32</v>
      </c>
      <c r="H1090" s="44">
        <v>22020.68</v>
      </c>
      <c r="I1090" s="44">
        <v>18911.849999999999</v>
      </c>
      <c r="J1090" s="44">
        <v>19218.41</v>
      </c>
      <c r="K1090" t="s">
        <v>198</v>
      </c>
    </row>
    <row r="1091" spans="1:11" ht="16.95" hidden="1" customHeight="1" x14ac:dyDescent="0.3">
      <c r="A1091" s="42" t="s">
        <v>304</v>
      </c>
      <c r="B1091" s="42" t="s">
        <v>239</v>
      </c>
      <c r="C1091" s="42" t="s">
        <v>210</v>
      </c>
      <c r="D1091" s="42" t="s">
        <v>300</v>
      </c>
      <c r="E1091" s="42" t="s">
        <v>241</v>
      </c>
      <c r="F1091" s="42" t="s">
        <v>249</v>
      </c>
      <c r="G1091" s="43">
        <v>17673</v>
      </c>
      <c r="H1091" s="44">
        <v>22229.3</v>
      </c>
      <c r="I1091" s="44">
        <v>17448.310000000001</v>
      </c>
      <c r="J1091" s="44">
        <v>19780.77</v>
      </c>
      <c r="K1091" t="s">
        <v>198</v>
      </c>
    </row>
    <row r="1092" spans="1:11" ht="16.95" hidden="1" customHeight="1" x14ac:dyDescent="0.3">
      <c r="A1092" s="42" t="s">
        <v>304</v>
      </c>
      <c r="B1092" s="42" t="s">
        <v>239</v>
      </c>
      <c r="C1092" s="42" t="s">
        <v>210</v>
      </c>
      <c r="D1092" s="42" t="s">
        <v>300</v>
      </c>
      <c r="E1092" s="42" t="s">
        <v>241</v>
      </c>
      <c r="F1092" s="42" t="s">
        <v>250</v>
      </c>
      <c r="G1092" s="44">
        <v>17578.439999999999</v>
      </c>
      <c r="H1092" s="44">
        <v>23052.21</v>
      </c>
      <c r="I1092" s="44">
        <v>19315.37</v>
      </c>
      <c r="J1092" s="44">
        <v>20618.560000000001</v>
      </c>
      <c r="K1092" t="s">
        <v>198</v>
      </c>
    </row>
    <row r="1093" spans="1:11" ht="16.95" hidden="1" customHeight="1" x14ac:dyDescent="0.3">
      <c r="A1093" s="42" t="s">
        <v>304</v>
      </c>
      <c r="B1093" s="42" t="s">
        <v>239</v>
      </c>
      <c r="C1093" s="42" t="s">
        <v>210</v>
      </c>
      <c r="D1093" s="42" t="s">
        <v>300</v>
      </c>
      <c r="E1093" s="42" t="s">
        <v>241</v>
      </c>
      <c r="F1093" s="42" t="s">
        <v>251</v>
      </c>
      <c r="G1093" s="44">
        <v>18071.349999999999</v>
      </c>
      <c r="H1093" s="44">
        <v>22343.48</v>
      </c>
      <c r="I1093" s="44">
        <v>17711.93</v>
      </c>
      <c r="J1093" s="44">
        <v>22147.75</v>
      </c>
      <c r="K1093" t="s">
        <v>198</v>
      </c>
    </row>
    <row r="1094" spans="1:11" ht="16.95" hidden="1" customHeight="1" x14ac:dyDescent="0.3">
      <c r="A1094" s="42" t="s">
        <v>304</v>
      </c>
      <c r="B1094" s="42" t="s">
        <v>239</v>
      </c>
      <c r="C1094" s="42" t="s">
        <v>210</v>
      </c>
      <c r="D1094" s="42" t="s">
        <v>300</v>
      </c>
      <c r="E1094" s="42" t="s">
        <v>241</v>
      </c>
      <c r="F1094" s="42" t="s">
        <v>252</v>
      </c>
      <c r="G1094" s="44">
        <v>16456.34</v>
      </c>
      <c r="H1094" s="44">
        <v>21085.01</v>
      </c>
      <c r="I1094" s="44">
        <v>15839.17</v>
      </c>
      <c r="J1094" s="44">
        <v>23044.75</v>
      </c>
      <c r="K1094" t="s">
        <v>198</v>
      </c>
    </row>
    <row r="1095" spans="1:11" ht="16.95" hidden="1" customHeight="1" x14ac:dyDescent="0.3">
      <c r="A1095" s="42" t="s">
        <v>304</v>
      </c>
      <c r="B1095" s="42" t="s">
        <v>239</v>
      </c>
      <c r="C1095" s="42" t="s">
        <v>210</v>
      </c>
      <c r="D1095" s="42" t="s">
        <v>300</v>
      </c>
      <c r="E1095" s="42" t="s">
        <v>241</v>
      </c>
      <c r="F1095" s="42" t="s">
        <v>253</v>
      </c>
      <c r="G1095" s="44">
        <v>17353.439999999999</v>
      </c>
      <c r="H1095" s="44">
        <v>21371.38</v>
      </c>
      <c r="I1095" s="44">
        <v>15629.08</v>
      </c>
      <c r="J1095" s="44">
        <v>22223.09</v>
      </c>
      <c r="K1095" t="s">
        <v>198</v>
      </c>
    </row>
    <row r="1096" spans="1:11" ht="16.95" hidden="1" customHeight="1" x14ac:dyDescent="0.3">
      <c r="A1096" s="42" t="s">
        <v>304</v>
      </c>
      <c r="B1096" s="42" t="s">
        <v>239</v>
      </c>
      <c r="C1096" s="42" t="s">
        <v>210</v>
      </c>
      <c r="D1096" s="42" t="s">
        <v>301</v>
      </c>
      <c r="E1096" s="42" t="s">
        <v>241</v>
      </c>
      <c r="F1096" s="42" t="s">
        <v>242</v>
      </c>
      <c r="G1096" s="43">
        <v>14990</v>
      </c>
      <c r="H1096" t="s">
        <v>198</v>
      </c>
      <c r="I1096" t="s">
        <v>198</v>
      </c>
      <c r="J1096" t="s">
        <v>198</v>
      </c>
      <c r="K1096" t="s">
        <v>198</v>
      </c>
    </row>
    <row r="1097" spans="1:11" ht="16.95" hidden="1" customHeight="1" x14ac:dyDescent="0.3">
      <c r="A1097" s="42" t="s">
        <v>304</v>
      </c>
      <c r="B1097" s="42" t="s">
        <v>239</v>
      </c>
      <c r="C1097" s="42" t="s">
        <v>210</v>
      </c>
      <c r="D1097" s="42" t="s">
        <v>301</v>
      </c>
      <c r="E1097" s="42" t="s">
        <v>241</v>
      </c>
      <c r="F1097" s="42" t="s">
        <v>243</v>
      </c>
      <c r="G1097" s="43">
        <v>27790</v>
      </c>
      <c r="H1097" t="s">
        <v>198</v>
      </c>
      <c r="I1097" t="s">
        <v>198</v>
      </c>
      <c r="J1097" t="s">
        <v>198</v>
      </c>
      <c r="K1097" t="s">
        <v>198</v>
      </c>
    </row>
    <row r="1098" spans="1:11" ht="16.95" hidden="1" customHeight="1" x14ac:dyDescent="0.3">
      <c r="A1098" s="42" t="s">
        <v>304</v>
      </c>
      <c r="B1098" s="42" t="s">
        <v>239</v>
      </c>
      <c r="C1098" s="42" t="s">
        <v>210</v>
      </c>
      <c r="D1098" s="42" t="s">
        <v>301</v>
      </c>
      <c r="E1098" s="42" t="s">
        <v>241</v>
      </c>
      <c r="F1098" s="42" t="s">
        <v>244</v>
      </c>
      <c r="G1098" s="44">
        <v>27673.32</v>
      </c>
      <c r="H1098" t="s">
        <v>198</v>
      </c>
      <c r="I1098" t="s">
        <v>198</v>
      </c>
      <c r="J1098" t="s">
        <v>198</v>
      </c>
      <c r="K1098" t="s">
        <v>198</v>
      </c>
    </row>
    <row r="1099" spans="1:11" ht="16.95" hidden="1" customHeight="1" x14ac:dyDescent="0.3">
      <c r="A1099" s="42" t="s">
        <v>304</v>
      </c>
      <c r="B1099" s="42" t="s">
        <v>239</v>
      </c>
      <c r="C1099" s="42" t="s">
        <v>210</v>
      </c>
      <c r="D1099" s="42" t="s">
        <v>301</v>
      </c>
      <c r="E1099" s="42" t="s">
        <v>241</v>
      </c>
      <c r="F1099" s="42" t="s">
        <v>245</v>
      </c>
      <c r="G1099" s="44">
        <v>19038.72</v>
      </c>
      <c r="H1099" t="s">
        <v>198</v>
      </c>
      <c r="I1099" t="s">
        <v>198</v>
      </c>
      <c r="J1099" t="s">
        <v>198</v>
      </c>
      <c r="K1099" t="s">
        <v>198</v>
      </c>
    </row>
    <row r="1100" spans="1:11" ht="16.95" hidden="1" customHeight="1" x14ac:dyDescent="0.3">
      <c r="A1100" s="42" t="s">
        <v>304</v>
      </c>
      <c r="B1100" s="42" t="s">
        <v>239</v>
      </c>
      <c r="C1100" s="42" t="s">
        <v>210</v>
      </c>
      <c r="D1100" s="42" t="s">
        <v>301</v>
      </c>
      <c r="E1100" s="42" t="s">
        <v>241</v>
      </c>
      <c r="F1100" s="42" t="s">
        <v>246</v>
      </c>
      <c r="G1100" s="43">
        <v>23170</v>
      </c>
      <c r="H1100" t="s">
        <v>198</v>
      </c>
      <c r="I1100" t="s">
        <v>198</v>
      </c>
      <c r="J1100" t="s">
        <v>198</v>
      </c>
      <c r="K1100" t="s">
        <v>198</v>
      </c>
    </row>
    <row r="1101" spans="1:11" ht="16.95" hidden="1" customHeight="1" x14ac:dyDescent="0.3">
      <c r="A1101" s="42" t="s">
        <v>304</v>
      </c>
      <c r="B1101" s="42" t="s">
        <v>239</v>
      </c>
      <c r="C1101" s="42" t="s">
        <v>210</v>
      </c>
      <c r="D1101" s="42" t="s">
        <v>301</v>
      </c>
      <c r="E1101" s="42" t="s">
        <v>241</v>
      </c>
      <c r="F1101" s="42" t="s">
        <v>247</v>
      </c>
      <c r="G1101" s="43">
        <v>22648</v>
      </c>
      <c r="H1101" t="s">
        <v>198</v>
      </c>
      <c r="I1101" t="s">
        <v>198</v>
      </c>
      <c r="J1101" t="s">
        <v>198</v>
      </c>
      <c r="K1101" t="s">
        <v>198</v>
      </c>
    </row>
    <row r="1102" spans="1:11" ht="16.95" hidden="1" customHeight="1" x14ac:dyDescent="0.3">
      <c r="A1102" s="42" t="s">
        <v>304</v>
      </c>
      <c r="B1102" s="42" t="s">
        <v>239</v>
      </c>
      <c r="C1102" s="42" t="s">
        <v>210</v>
      </c>
      <c r="D1102" s="42" t="s">
        <v>301</v>
      </c>
      <c r="E1102" s="42" t="s">
        <v>241</v>
      </c>
      <c r="F1102" s="42" t="s">
        <v>248</v>
      </c>
      <c r="G1102" s="44">
        <v>18665.88</v>
      </c>
      <c r="H1102" t="s">
        <v>198</v>
      </c>
      <c r="I1102" t="s">
        <v>198</v>
      </c>
      <c r="J1102" t="s">
        <v>198</v>
      </c>
      <c r="K1102" t="s">
        <v>198</v>
      </c>
    </row>
    <row r="1103" spans="1:11" ht="16.95" hidden="1" customHeight="1" x14ac:dyDescent="0.3">
      <c r="A1103" s="42" t="s">
        <v>304</v>
      </c>
      <c r="B1103" s="42" t="s">
        <v>239</v>
      </c>
      <c r="C1103" s="42" t="s">
        <v>210</v>
      </c>
      <c r="D1103" s="42" t="s">
        <v>301</v>
      </c>
      <c r="E1103" s="42" t="s">
        <v>241</v>
      </c>
      <c r="F1103" s="42" t="s">
        <v>249</v>
      </c>
      <c r="G1103" s="43">
        <v>25000</v>
      </c>
      <c r="H1103" t="s">
        <v>198</v>
      </c>
      <c r="I1103" t="s">
        <v>198</v>
      </c>
      <c r="J1103" t="s">
        <v>198</v>
      </c>
      <c r="K1103" t="s">
        <v>198</v>
      </c>
    </row>
    <row r="1104" spans="1:11" ht="16.95" hidden="1" customHeight="1" x14ac:dyDescent="0.3">
      <c r="A1104" s="42" t="s">
        <v>304</v>
      </c>
      <c r="B1104" s="42" t="s">
        <v>239</v>
      </c>
      <c r="C1104" s="42" t="s">
        <v>210</v>
      </c>
      <c r="D1104" s="42" t="s">
        <v>301</v>
      </c>
      <c r="E1104" s="42" t="s">
        <v>241</v>
      </c>
      <c r="F1104" s="42" t="s">
        <v>250</v>
      </c>
      <c r="G1104" s="44">
        <v>21060.799999999999</v>
      </c>
      <c r="H1104" t="s">
        <v>198</v>
      </c>
      <c r="I1104" t="s">
        <v>198</v>
      </c>
      <c r="J1104" t="s">
        <v>198</v>
      </c>
      <c r="K1104" t="s">
        <v>198</v>
      </c>
    </row>
    <row r="1105" spans="1:11" ht="16.95" hidden="1" customHeight="1" x14ac:dyDescent="0.3">
      <c r="A1105" s="42" t="s">
        <v>304</v>
      </c>
      <c r="B1105" s="42" t="s">
        <v>239</v>
      </c>
      <c r="C1105" s="42" t="s">
        <v>210</v>
      </c>
      <c r="D1105" s="42" t="s">
        <v>301</v>
      </c>
      <c r="E1105" s="42" t="s">
        <v>241</v>
      </c>
      <c r="F1105" s="42" t="s">
        <v>251</v>
      </c>
      <c r="G1105" s="43">
        <v>26526</v>
      </c>
      <c r="H1105" t="s">
        <v>198</v>
      </c>
      <c r="I1105" t="s">
        <v>198</v>
      </c>
      <c r="J1105" t="s">
        <v>198</v>
      </c>
      <c r="K1105" t="s">
        <v>198</v>
      </c>
    </row>
    <row r="1106" spans="1:11" ht="16.95" hidden="1" customHeight="1" x14ac:dyDescent="0.3">
      <c r="A1106" s="42" t="s">
        <v>304</v>
      </c>
      <c r="B1106" s="42" t="s">
        <v>239</v>
      </c>
      <c r="C1106" s="42" t="s">
        <v>210</v>
      </c>
      <c r="D1106" s="42" t="s">
        <v>301</v>
      </c>
      <c r="E1106" s="42" t="s">
        <v>241</v>
      </c>
      <c r="F1106" s="42" t="s">
        <v>252</v>
      </c>
      <c r="G1106" s="43">
        <v>26584</v>
      </c>
      <c r="H1106" t="s">
        <v>198</v>
      </c>
      <c r="I1106" t="s">
        <v>198</v>
      </c>
      <c r="J1106" t="s">
        <v>198</v>
      </c>
      <c r="K1106" t="s">
        <v>198</v>
      </c>
    </row>
    <row r="1107" spans="1:11" ht="16.95" hidden="1" customHeight="1" x14ac:dyDescent="0.3">
      <c r="A1107" s="42" t="s">
        <v>304</v>
      </c>
      <c r="B1107" s="42" t="s">
        <v>239</v>
      </c>
      <c r="C1107" s="42" t="s">
        <v>210</v>
      </c>
      <c r="D1107" s="42" t="s">
        <v>301</v>
      </c>
      <c r="E1107" s="42" t="s">
        <v>241</v>
      </c>
      <c r="F1107" s="42" t="s">
        <v>253</v>
      </c>
      <c r="G1107" s="44">
        <v>27135.85</v>
      </c>
      <c r="H1107" t="s">
        <v>198</v>
      </c>
      <c r="I1107" t="s">
        <v>198</v>
      </c>
      <c r="J1107" t="s">
        <v>198</v>
      </c>
      <c r="K1107" t="s">
        <v>198</v>
      </c>
    </row>
    <row r="1108" spans="1:11" ht="16.95" hidden="1" customHeight="1" x14ac:dyDescent="0.3">
      <c r="A1108" s="42" t="s">
        <v>304</v>
      </c>
      <c r="B1108" s="42" t="s">
        <v>239</v>
      </c>
      <c r="C1108" s="42" t="s">
        <v>210</v>
      </c>
      <c r="D1108" s="42" t="s">
        <v>261</v>
      </c>
      <c r="E1108" s="42" t="s">
        <v>241</v>
      </c>
      <c r="F1108" s="42" t="s">
        <v>242</v>
      </c>
      <c r="G1108" s="44">
        <v>55808.47</v>
      </c>
      <c r="H1108" t="s">
        <v>198</v>
      </c>
      <c r="I1108" t="s">
        <v>198</v>
      </c>
      <c r="J1108" t="s">
        <v>198</v>
      </c>
      <c r="K1108" t="s">
        <v>198</v>
      </c>
    </row>
    <row r="1109" spans="1:11" ht="16.95" hidden="1" customHeight="1" x14ac:dyDescent="0.3">
      <c r="A1109" s="42" t="s">
        <v>304</v>
      </c>
      <c r="B1109" s="42" t="s">
        <v>239</v>
      </c>
      <c r="C1109" s="42" t="s">
        <v>210</v>
      </c>
      <c r="D1109" s="42" t="s">
        <v>261</v>
      </c>
      <c r="E1109" s="42" t="s">
        <v>241</v>
      </c>
      <c r="F1109" s="42" t="s">
        <v>243</v>
      </c>
      <c r="G1109" s="44">
        <v>54042.52</v>
      </c>
      <c r="H1109" t="s">
        <v>198</v>
      </c>
      <c r="I1109" t="s">
        <v>198</v>
      </c>
      <c r="J1109" t="s">
        <v>198</v>
      </c>
      <c r="K1109" t="s">
        <v>198</v>
      </c>
    </row>
    <row r="1110" spans="1:11" ht="16.95" hidden="1" customHeight="1" x14ac:dyDescent="0.3">
      <c r="A1110" s="42" t="s">
        <v>304</v>
      </c>
      <c r="B1110" s="42" t="s">
        <v>239</v>
      </c>
      <c r="C1110" s="42" t="s">
        <v>210</v>
      </c>
      <c r="D1110" s="42" t="s">
        <v>261</v>
      </c>
      <c r="E1110" s="42" t="s">
        <v>241</v>
      </c>
      <c r="F1110" s="42" t="s">
        <v>244</v>
      </c>
      <c r="G1110" s="44">
        <v>55043.24</v>
      </c>
      <c r="H1110" t="s">
        <v>198</v>
      </c>
      <c r="I1110" t="s">
        <v>198</v>
      </c>
      <c r="J1110" t="s">
        <v>198</v>
      </c>
      <c r="K1110" t="s">
        <v>198</v>
      </c>
    </row>
    <row r="1111" spans="1:11" ht="16.95" hidden="1" customHeight="1" x14ac:dyDescent="0.3">
      <c r="A1111" s="42" t="s">
        <v>304</v>
      </c>
      <c r="B1111" s="42" t="s">
        <v>239</v>
      </c>
      <c r="C1111" s="42" t="s">
        <v>210</v>
      </c>
      <c r="D1111" s="42" t="s">
        <v>261</v>
      </c>
      <c r="E1111" s="42" t="s">
        <v>241</v>
      </c>
      <c r="F1111" s="42" t="s">
        <v>245</v>
      </c>
      <c r="G1111" s="44">
        <v>52779.24</v>
      </c>
      <c r="H1111" t="s">
        <v>198</v>
      </c>
      <c r="I1111" t="s">
        <v>198</v>
      </c>
      <c r="J1111" t="s">
        <v>198</v>
      </c>
      <c r="K1111" t="s">
        <v>198</v>
      </c>
    </row>
    <row r="1112" spans="1:11" ht="16.95" hidden="1" customHeight="1" x14ac:dyDescent="0.3">
      <c r="A1112" s="42" t="s">
        <v>304</v>
      </c>
      <c r="B1112" s="42" t="s">
        <v>239</v>
      </c>
      <c r="C1112" s="42" t="s">
        <v>210</v>
      </c>
      <c r="D1112" s="42" t="s">
        <v>261</v>
      </c>
      <c r="E1112" s="42" t="s">
        <v>241</v>
      </c>
      <c r="F1112" s="42" t="s">
        <v>246</v>
      </c>
      <c r="G1112" s="44">
        <v>52724.02</v>
      </c>
      <c r="H1112" t="s">
        <v>198</v>
      </c>
      <c r="I1112" t="s">
        <v>198</v>
      </c>
      <c r="J1112" t="s">
        <v>198</v>
      </c>
      <c r="K1112" t="s">
        <v>198</v>
      </c>
    </row>
    <row r="1113" spans="1:11" ht="16.95" hidden="1" customHeight="1" x14ac:dyDescent="0.3">
      <c r="A1113" s="42" t="s">
        <v>304</v>
      </c>
      <c r="B1113" s="42" t="s">
        <v>239</v>
      </c>
      <c r="C1113" s="42" t="s">
        <v>210</v>
      </c>
      <c r="D1113" s="42" t="s">
        <v>261</v>
      </c>
      <c r="E1113" s="42" t="s">
        <v>241</v>
      </c>
      <c r="F1113" s="42" t="s">
        <v>247</v>
      </c>
      <c r="G1113" s="44">
        <v>58045.87</v>
      </c>
      <c r="H1113" t="s">
        <v>198</v>
      </c>
      <c r="I1113" t="s">
        <v>198</v>
      </c>
      <c r="J1113" t="s">
        <v>198</v>
      </c>
      <c r="K1113" t="s">
        <v>198</v>
      </c>
    </row>
    <row r="1114" spans="1:11" ht="16.95" hidden="1" customHeight="1" x14ac:dyDescent="0.3">
      <c r="A1114" s="42" t="s">
        <v>304</v>
      </c>
      <c r="B1114" s="42" t="s">
        <v>239</v>
      </c>
      <c r="C1114" s="42" t="s">
        <v>210</v>
      </c>
      <c r="D1114" s="42" t="s">
        <v>261</v>
      </c>
      <c r="E1114" s="42" t="s">
        <v>241</v>
      </c>
      <c r="F1114" s="42" t="s">
        <v>248</v>
      </c>
      <c r="G1114" s="44">
        <v>60871.92</v>
      </c>
      <c r="H1114" t="s">
        <v>198</v>
      </c>
      <c r="I1114" t="s">
        <v>198</v>
      </c>
      <c r="J1114" t="s">
        <v>198</v>
      </c>
      <c r="K1114" t="s">
        <v>198</v>
      </c>
    </row>
    <row r="1115" spans="1:11" ht="16.95" hidden="1" customHeight="1" x14ac:dyDescent="0.3">
      <c r="A1115" s="42" t="s">
        <v>304</v>
      </c>
      <c r="B1115" s="42" t="s">
        <v>239</v>
      </c>
      <c r="C1115" s="42" t="s">
        <v>210</v>
      </c>
      <c r="D1115" s="42" t="s">
        <v>261</v>
      </c>
      <c r="E1115" s="42" t="s">
        <v>241</v>
      </c>
      <c r="F1115" s="42" t="s">
        <v>249</v>
      </c>
      <c r="G1115" s="44">
        <v>60464.800000000003</v>
      </c>
      <c r="H1115" t="s">
        <v>198</v>
      </c>
      <c r="I1115" t="s">
        <v>198</v>
      </c>
      <c r="J1115" t="s">
        <v>198</v>
      </c>
      <c r="K1115" t="s">
        <v>198</v>
      </c>
    </row>
    <row r="1116" spans="1:11" ht="16.95" hidden="1" customHeight="1" x14ac:dyDescent="0.3">
      <c r="A1116" s="42" t="s">
        <v>304</v>
      </c>
      <c r="B1116" s="42" t="s">
        <v>239</v>
      </c>
      <c r="C1116" s="42" t="s">
        <v>210</v>
      </c>
      <c r="D1116" s="42" t="s">
        <v>261</v>
      </c>
      <c r="E1116" s="42" t="s">
        <v>241</v>
      </c>
      <c r="F1116" s="42" t="s">
        <v>250</v>
      </c>
      <c r="G1116" s="44">
        <v>67875.679999999993</v>
      </c>
      <c r="H1116" t="s">
        <v>198</v>
      </c>
      <c r="I1116" t="s">
        <v>198</v>
      </c>
      <c r="J1116" t="s">
        <v>198</v>
      </c>
      <c r="K1116" t="s">
        <v>198</v>
      </c>
    </row>
    <row r="1117" spans="1:11" ht="16.95" hidden="1" customHeight="1" x14ac:dyDescent="0.3">
      <c r="A1117" s="42" t="s">
        <v>304</v>
      </c>
      <c r="B1117" s="42" t="s">
        <v>239</v>
      </c>
      <c r="C1117" s="42" t="s">
        <v>210</v>
      </c>
      <c r="D1117" s="42" t="s">
        <v>261</v>
      </c>
      <c r="E1117" s="42" t="s">
        <v>241</v>
      </c>
      <c r="F1117" s="42" t="s">
        <v>251</v>
      </c>
      <c r="G1117" s="44">
        <v>68610.58</v>
      </c>
      <c r="H1117" t="s">
        <v>198</v>
      </c>
      <c r="I1117" t="s">
        <v>198</v>
      </c>
      <c r="J1117" t="s">
        <v>198</v>
      </c>
      <c r="K1117" t="s">
        <v>198</v>
      </c>
    </row>
    <row r="1118" spans="1:11" ht="16.95" hidden="1" customHeight="1" x14ac:dyDescent="0.3">
      <c r="A1118" s="42" t="s">
        <v>304</v>
      </c>
      <c r="B1118" s="42" t="s">
        <v>239</v>
      </c>
      <c r="C1118" s="42" t="s">
        <v>210</v>
      </c>
      <c r="D1118" s="42" t="s">
        <v>261</v>
      </c>
      <c r="E1118" s="42" t="s">
        <v>241</v>
      </c>
      <c r="F1118" s="42" t="s">
        <v>252</v>
      </c>
      <c r="G1118" s="44">
        <v>69913.5</v>
      </c>
      <c r="H1118" t="s">
        <v>198</v>
      </c>
      <c r="I1118" t="s">
        <v>198</v>
      </c>
      <c r="J1118" t="s">
        <v>198</v>
      </c>
      <c r="K1118" t="s">
        <v>198</v>
      </c>
    </row>
    <row r="1119" spans="1:11" ht="16.95" hidden="1" customHeight="1" x14ac:dyDescent="0.3">
      <c r="A1119" s="42" t="s">
        <v>304</v>
      </c>
      <c r="B1119" s="42" t="s">
        <v>239</v>
      </c>
      <c r="C1119" s="42" t="s">
        <v>210</v>
      </c>
      <c r="D1119" s="42" t="s">
        <v>261</v>
      </c>
      <c r="E1119" s="42" t="s">
        <v>241</v>
      </c>
      <c r="F1119" s="42" t="s">
        <v>253</v>
      </c>
      <c r="G1119" s="44">
        <v>70485.89</v>
      </c>
      <c r="H1119" t="s">
        <v>198</v>
      </c>
      <c r="I1119" t="s">
        <v>198</v>
      </c>
      <c r="J1119" t="s">
        <v>198</v>
      </c>
      <c r="K1119" t="s">
        <v>198</v>
      </c>
    </row>
    <row r="1120" spans="1:11" ht="16.95" hidden="1" customHeight="1" x14ac:dyDescent="0.3">
      <c r="A1120" s="42" t="s">
        <v>304</v>
      </c>
      <c r="B1120" s="42" t="s">
        <v>239</v>
      </c>
      <c r="C1120" s="42" t="s">
        <v>210</v>
      </c>
      <c r="D1120" s="42" t="s">
        <v>263</v>
      </c>
      <c r="E1120" s="42" t="s">
        <v>241</v>
      </c>
      <c r="F1120" s="42" t="s">
        <v>242</v>
      </c>
      <c r="G1120" s="44">
        <v>110637.69</v>
      </c>
      <c r="H1120" s="44">
        <v>103168.09</v>
      </c>
      <c r="I1120" s="44">
        <v>126219.35</v>
      </c>
      <c r="J1120" s="44">
        <v>87692.9</v>
      </c>
      <c r="K1120" s="44">
        <v>88149.6</v>
      </c>
    </row>
    <row r="1121" spans="1:11" ht="16.95" hidden="1" customHeight="1" x14ac:dyDescent="0.3">
      <c r="A1121" s="42" t="s">
        <v>304</v>
      </c>
      <c r="B1121" s="42" t="s">
        <v>239</v>
      </c>
      <c r="C1121" s="42" t="s">
        <v>210</v>
      </c>
      <c r="D1121" s="42" t="s">
        <v>263</v>
      </c>
      <c r="E1121" s="42" t="s">
        <v>241</v>
      </c>
      <c r="F1121" s="42" t="s">
        <v>243</v>
      </c>
      <c r="G1121" s="44">
        <v>100965.65</v>
      </c>
      <c r="H1121" s="44">
        <v>109902.41</v>
      </c>
      <c r="I1121" s="44">
        <v>115176.78</v>
      </c>
      <c r="J1121" s="44">
        <v>93762.58</v>
      </c>
      <c r="K1121" s="44">
        <v>87780.69</v>
      </c>
    </row>
    <row r="1122" spans="1:11" ht="16.95" hidden="1" customHeight="1" x14ac:dyDescent="0.3">
      <c r="A1122" s="42" t="s">
        <v>304</v>
      </c>
      <c r="B1122" s="42" t="s">
        <v>239</v>
      </c>
      <c r="C1122" s="42" t="s">
        <v>210</v>
      </c>
      <c r="D1122" s="42" t="s">
        <v>263</v>
      </c>
      <c r="E1122" s="42" t="s">
        <v>241</v>
      </c>
      <c r="F1122" s="42" t="s">
        <v>244</v>
      </c>
      <c r="G1122" s="44">
        <v>108249.57</v>
      </c>
      <c r="H1122" s="44">
        <v>113963.68</v>
      </c>
      <c r="I1122" s="44">
        <v>111600.83</v>
      </c>
      <c r="J1122" s="44">
        <v>102654.58</v>
      </c>
      <c r="K1122" s="44">
        <v>90282.89</v>
      </c>
    </row>
    <row r="1123" spans="1:11" ht="16.95" hidden="1" customHeight="1" x14ac:dyDescent="0.3">
      <c r="A1123" s="42" t="s">
        <v>304</v>
      </c>
      <c r="B1123" s="42" t="s">
        <v>239</v>
      </c>
      <c r="C1123" s="42" t="s">
        <v>210</v>
      </c>
      <c r="D1123" s="42" t="s">
        <v>263</v>
      </c>
      <c r="E1123" s="42" t="s">
        <v>241</v>
      </c>
      <c r="F1123" s="42" t="s">
        <v>245</v>
      </c>
      <c r="G1123" s="44">
        <v>120983.29</v>
      </c>
      <c r="H1123" s="44">
        <v>123069.28</v>
      </c>
      <c r="I1123" s="44">
        <v>113982.59</v>
      </c>
      <c r="J1123" s="44">
        <v>91441.16</v>
      </c>
      <c r="K1123" t="s">
        <v>198</v>
      </c>
    </row>
    <row r="1124" spans="1:11" ht="16.95" hidden="1" customHeight="1" x14ac:dyDescent="0.3">
      <c r="A1124" s="42" t="s">
        <v>304</v>
      </c>
      <c r="B1124" s="42" t="s">
        <v>239</v>
      </c>
      <c r="C1124" s="42" t="s">
        <v>210</v>
      </c>
      <c r="D1124" s="42" t="s">
        <v>263</v>
      </c>
      <c r="E1124" s="42" t="s">
        <v>241</v>
      </c>
      <c r="F1124" s="42" t="s">
        <v>246</v>
      </c>
      <c r="G1124" s="44">
        <v>122562.33</v>
      </c>
      <c r="H1124" s="44">
        <v>124534.82</v>
      </c>
      <c r="I1124" s="44">
        <v>113925.63</v>
      </c>
      <c r="J1124" s="44">
        <v>91231.65</v>
      </c>
      <c r="K1124" t="s">
        <v>198</v>
      </c>
    </row>
    <row r="1125" spans="1:11" ht="16.95" hidden="1" customHeight="1" x14ac:dyDescent="0.3">
      <c r="A1125" s="42" t="s">
        <v>304</v>
      </c>
      <c r="B1125" s="42" t="s">
        <v>239</v>
      </c>
      <c r="C1125" s="42" t="s">
        <v>210</v>
      </c>
      <c r="D1125" s="42" t="s">
        <v>263</v>
      </c>
      <c r="E1125" s="42" t="s">
        <v>241</v>
      </c>
      <c r="F1125" s="42" t="s">
        <v>247</v>
      </c>
      <c r="G1125" s="44">
        <v>119960.49</v>
      </c>
      <c r="H1125" s="44">
        <v>127193.97</v>
      </c>
      <c r="I1125" s="44">
        <v>111333.92</v>
      </c>
      <c r="J1125" s="44">
        <v>86371.14</v>
      </c>
      <c r="K1125" t="s">
        <v>198</v>
      </c>
    </row>
    <row r="1126" spans="1:11" ht="16.95" hidden="1" customHeight="1" x14ac:dyDescent="0.3">
      <c r="A1126" s="42" t="s">
        <v>304</v>
      </c>
      <c r="B1126" s="42" t="s">
        <v>239</v>
      </c>
      <c r="C1126" s="42" t="s">
        <v>210</v>
      </c>
      <c r="D1126" s="42" t="s">
        <v>263</v>
      </c>
      <c r="E1126" s="42" t="s">
        <v>241</v>
      </c>
      <c r="F1126" s="42" t="s">
        <v>248</v>
      </c>
      <c r="G1126" s="44">
        <v>119721.38</v>
      </c>
      <c r="H1126" s="44">
        <v>118790.88</v>
      </c>
      <c r="I1126" s="44">
        <v>108967.53</v>
      </c>
      <c r="J1126" s="44">
        <v>92656.29</v>
      </c>
      <c r="K1126" t="s">
        <v>198</v>
      </c>
    </row>
    <row r="1127" spans="1:11" ht="16.95" hidden="1" customHeight="1" x14ac:dyDescent="0.3">
      <c r="A1127" s="42" t="s">
        <v>304</v>
      </c>
      <c r="B1127" s="42" t="s">
        <v>239</v>
      </c>
      <c r="C1127" s="42" t="s">
        <v>210</v>
      </c>
      <c r="D1127" s="42" t="s">
        <v>263</v>
      </c>
      <c r="E1127" s="42" t="s">
        <v>241</v>
      </c>
      <c r="F1127" s="42" t="s">
        <v>249</v>
      </c>
      <c r="G1127" s="44">
        <v>99068.91</v>
      </c>
      <c r="H1127" s="44">
        <v>133825.57</v>
      </c>
      <c r="I1127" s="44">
        <v>108268.66</v>
      </c>
      <c r="J1127" s="44">
        <v>76073.83</v>
      </c>
      <c r="K1127" t="s">
        <v>198</v>
      </c>
    </row>
    <row r="1128" spans="1:11" ht="16.95" hidden="1" customHeight="1" x14ac:dyDescent="0.3">
      <c r="A1128" s="42" t="s">
        <v>304</v>
      </c>
      <c r="B1128" s="42" t="s">
        <v>239</v>
      </c>
      <c r="C1128" s="42" t="s">
        <v>210</v>
      </c>
      <c r="D1128" s="42" t="s">
        <v>263</v>
      </c>
      <c r="E1128" s="42" t="s">
        <v>241</v>
      </c>
      <c r="F1128" s="42" t="s">
        <v>250</v>
      </c>
      <c r="G1128" s="44">
        <v>98135.63</v>
      </c>
      <c r="H1128" s="44">
        <v>131675.1</v>
      </c>
      <c r="I1128" s="44">
        <v>96571.53</v>
      </c>
      <c r="J1128" s="44">
        <v>75030.05</v>
      </c>
      <c r="K1128" t="s">
        <v>198</v>
      </c>
    </row>
    <row r="1129" spans="1:11" ht="16.95" hidden="1" customHeight="1" x14ac:dyDescent="0.3">
      <c r="A1129" s="42" t="s">
        <v>304</v>
      </c>
      <c r="B1129" s="42" t="s">
        <v>239</v>
      </c>
      <c r="C1129" s="42" t="s">
        <v>210</v>
      </c>
      <c r="D1129" s="42" t="s">
        <v>263</v>
      </c>
      <c r="E1129" s="42" t="s">
        <v>241</v>
      </c>
      <c r="F1129" s="42" t="s">
        <v>251</v>
      </c>
      <c r="G1129" s="44">
        <v>96968.49</v>
      </c>
      <c r="H1129" s="44">
        <v>138431.72</v>
      </c>
      <c r="I1129" s="44">
        <v>98113.68</v>
      </c>
      <c r="J1129" s="44">
        <v>94675.83</v>
      </c>
      <c r="K1129" t="s">
        <v>198</v>
      </c>
    </row>
    <row r="1130" spans="1:11" ht="16.95" hidden="1" customHeight="1" x14ac:dyDescent="0.3">
      <c r="A1130" s="42" t="s">
        <v>304</v>
      </c>
      <c r="B1130" s="42" t="s">
        <v>239</v>
      </c>
      <c r="C1130" s="42" t="s">
        <v>210</v>
      </c>
      <c r="D1130" s="42" t="s">
        <v>263</v>
      </c>
      <c r="E1130" s="42" t="s">
        <v>241</v>
      </c>
      <c r="F1130" s="42" t="s">
        <v>252</v>
      </c>
      <c r="G1130" s="44">
        <v>101160.07</v>
      </c>
      <c r="H1130" s="44">
        <v>137970.38</v>
      </c>
      <c r="I1130" s="44">
        <v>92826.93</v>
      </c>
      <c r="J1130" s="44">
        <v>98764.97</v>
      </c>
      <c r="K1130" t="s">
        <v>198</v>
      </c>
    </row>
    <row r="1131" spans="1:11" ht="16.95" hidden="1" customHeight="1" x14ac:dyDescent="0.3">
      <c r="A1131" s="42" t="s">
        <v>304</v>
      </c>
      <c r="B1131" s="42" t="s">
        <v>239</v>
      </c>
      <c r="C1131" s="42" t="s">
        <v>210</v>
      </c>
      <c r="D1131" s="42" t="s">
        <v>263</v>
      </c>
      <c r="E1131" s="42" t="s">
        <v>241</v>
      </c>
      <c r="F1131" s="42" t="s">
        <v>253</v>
      </c>
      <c r="G1131" s="44">
        <v>106496.02</v>
      </c>
      <c r="H1131" s="44">
        <v>124495.62</v>
      </c>
      <c r="I1131" s="44">
        <v>93619.49</v>
      </c>
      <c r="J1131" s="44">
        <v>91095.41</v>
      </c>
      <c r="K1131" t="s">
        <v>198</v>
      </c>
    </row>
    <row r="1132" spans="1:11" ht="16.95" customHeight="1" x14ac:dyDescent="0.3">
      <c r="A1132" s="42" t="s">
        <v>304</v>
      </c>
      <c r="B1132" s="42" t="s">
        <v>239</v>
      </c>
      <c r="C1132" s="42" t="s">
        <v>210</v>
      </c>
      <c r="D1132" s="42" t="s">
        <v>264</v>
      </c>
      <c r="E1132" s="42" t="s">
        <v>241</v>
      </c>
      <c r="F1132" s="42" t="s">
        <v>242</v>
      </c>
      <c r="G1132" s="44">
        <v>20514.8</v>
      </c>
      <c r="H1132" s="44">
        <v>24266.49</v>
      </c>
      <c r="I1132" s="44">
        <v>26449.02</v>
      </c>
      <c r="J1132" s="44">
        <v>21749.47</v>
      </c>
      <c r="K1132" s="44">
        <v>33816.33</v>
      </c>
    </row>
    <row r="1133" spans="1:11" ht="16.95" customHeight="1" x14ac:dyDescent="0.3">
      <c r="A1133" s="42" t="s">
        <v>304</v>
      </c>
      <c r="B1133" s="42" t="s">
        <v>239</v>
      </c>
      <c r="C1133" s="42" t="s">
        <v>210</v>
      </c>
      <c r="D1133" s="42" t="s">
        <v>264</v>
      </c>
      <c r="E1133" s="42" t="s">
        <v>241</v>
      </c>
      <c r="F1133" s="42" t="s">
        <v>243</v>
      </c>
      <c r="G1133" s="44">
        <v>20273.560000000001</v>
      </c>
      <c r="H1133" s="44">
        <v>24916.53</v>
      </c>
      <c r="I1133" s="44">
        <v>24347.599999999999</v>
      </c>
      <c r="J1133" s="44">
        <v>22467.68</v>
      </c>
      <c r="K1133" s="44">
        <v>38271.919999999998</v>
      </c>
    </row>
    <row r="1134" spans="1:11" ht="16.95" customHeight="1" x14ac:dyDescent="0.3">
      <c r="A1134" s="42" t="s">
        <v>304</v>
      </c>
      <c r="B1134" s="42" t="s">
        <v>239</v>
      </c>
      <c r="C1134" s="42" t="s">
        <v>210</v>
      </c>
      <c r="D1134" s="42" t="s">
        <v>264</v>
      </c>
      <c r="E1134" s="42" t="s">
        <v>241</v>
      </c>
      <c r="F1134" s="42" t="s">
        <v>244</v>
      </c>
      <c r="G1134" s="44">
        <v>20600.93</v>
      </c>
      <c r="H1134" s="44">
        <v>25993.11</v>
      </c>
      <c r="I1134" s="44">
        <v>26456.86</v>
      </c>
      <c r="J1134" s="44">
        <v>24910.5</v>
      </c>
      <c r="K1134" s="44">
        <v>41380.25</v>
      </c>
    </row>
    <row r="1135" spans="1:11" ht="16.95" customHeight="1" x14ac:dyDescent="0.3">
      <c r="A1135" s="42" t="s">
        <v>304</v>
      </c>
      <c r="B1135" s="42" t="s">
        <v>239</v>
      </c>
      <c r="C1135" s="42" t="s">
        <v>210</v>
      </c>
      <c r="D1135" s="42" t="s">
        <v>264</v>
      </c>
      <c r="E1135" s="42" t="s">
        <v>241</v>
      </c>
      <c r="F1135" s="42" t="s">
        <v>245</v>
      </c>
      <c r="G1135" s="44">
        <v>19977.73</v>
      </c>
      <c r="H1135" s="44">
        <v>28840.62</v>
      </c>
      <c r="I1135" s="44">
        <v>27080.68</v>
      </c>
      <c r="J1135" s="44">
        <v>25988.99</v>
      </c>
      <c r="K1135" t="s">
        <v>198</v>
      </c>
    </row>
    <row r="1136" spans="1:11" ht="16.95" customHeight="1" x14ac:dyDescent="0.3">
      <c r="A1136" s="42" t="s">
        <v>304</v>
      </c>
      <c r="B1136" s="42" t="s">
        <v>239</v>
      </c>
      <c r="C1136" s="42" t="s">
        <v>210</v>
      </c>
      <c r="D1136" s="42" t="s">
        <v>264</v>
      </c>
      <c r="E1136" s="42" t="s">
        <v>241</v>
      </c>
      <c r="F1136" s="42" t="s">
        <v>246</v>
      </c>
      <c r="G1136" s="44">
        <v>19752.439999999999</v>
      </c>
      <c r="H1136" s="44">
        <v>30018.84</v>
      </c>
      <c r="I1136" s="44">
        <v>25833.79</v>
      </c>
      <c r="J1136" s="44">
        <v>23085.17</v>
      </c>
      <c r="K1136" t="s">
        <v>198</v>
      </c>
    </row>
    <row r="1137" spans="1:11" ht="16.95" customHeight="1" x14ac:dyDescent="0.3">
      <c r="A1137" s="42" t="s">
        <v>304</v>
      </c>
      <c r="B1137" s="42" t="s">
        <v>239</v>
      </c>
      <c r="C1137" s="42" t="s">
        <v>210</v>
      </c>
      <c r="D1137" s="42" t="s">
        <v>264</v>
      </c>
      <c r="E1137" s="42" t="s">
        <v>241</v>
      </c>
      <c r="F1137" s="42" t="s">
        <v>247</v>
      </c>
      <c r="G1137" s="44">
        <v>19130.439999999999</v>
      </c>
      <c r="H1137" s="44">
        <v>29824.45</v>
      </c>
      <c r="I1137" s="44">
        <v>24752.21</v>
      </c>
      <c r="J1137" s="44">
        <v>23231.94</v>
      </c>
      <c r="K1137" t="s">
        <v>198</v>
      </c>
    </row>
    <row r="1138" spans="1:11" ht="16.95" customHeight="1" x14ac:dyDescent="0.3">
      <c r="A1138" s="42" t="s">
        <v>304</v>
      </c>
      <c r="B1138" s="42" t="s">
        <v>239</v>
      </c>
      <c r="C1138" s="42" t="s">
        <v>210</v>
      </c>
      <c r="D1138" s="42" t="s">
        <v>264</v>
      </c>
      <c r="E1138" s="42" t="s">
        <v>241</v>
      </c>
      <c r="F1138" s="42" t="s">
        <v>248</v>
      </c>
      <c r="G1138" s="44">
        <v>19214.63</v>
      </c>
      <c r="H1138" s="44">
        <v>29123.25</v>
      </c>
      <c r="I1138" s="44">
        <v>24531.52</v>
      </c>
      <c r="J1138" s="44">
        <v>22993.7</v>
      </c>
      <c r="K1138" t="s">
        <v>198</v>
      </c>
    </row>
    <row r="1139" spans="1:11" ht="16.95" customHeight="1" x14ac:dyDescent="0.3">
      <c r="A1139" s="42" t="s">
        <v>304</v>
      </c>
      <c r="B1139" s="42" t="s">
        <v>239</v>
      </c>
      <c r="C1139" s="42" t="s">
        <v>210</v>
      </c>
      <c r="D1139" s="42" t="s">
        <v>264</v>
      </c>
      <c r="E1139" s="42" t="s">
        <v>241</v>
      </c>
      <c r="F1139" s="42" t="s">
        <v>249</v>
      </c>
      <c r="G1139" s="44">
        <v>21710.16</v>
      </c>
      <c r="H1139" s="44">
        <v>29544.02</v>
      </c>
      <c r="I1139" s="44">
        <v>24654.560000000001</v>
      </c>
      <c r="J1139" s="44">
        <v>24420.240000000002</v>
      </c>
      <c r="K1139" t="s">
        <v>198</v>
      </c>
    </row>
    <row r="1140" spans="1:11" ht="16.95" customHeight="1" x14ac:dyDescent="0.3">
      <c r="A1140" s="42" t="s">
        <v>304</v>
      </c>
      <c r="B1140" s="42" t="s">
        <v>239</v>
      </c>
      <c r="C1140" s="42" t="s">
        <v>210</v>
      </c>
      <c r="D1140" s="42" t="s">
        <v>264</v>
      </c>
      <c r="E1140" s="42" t="s">
        <v>241</v>
      </c>
      <c r="F1140" s="42" t="s">
        <v>250</v>
      </c>
      <c r="G1140" s="44">
        <v>23677.279999999999</v>
      </c>
      <c r="H1140" s="44">
        <v>30819.06</v>
      </c>
      <c r="I1140" s="43">
        <v>24651</v>
      </c>
      <c r="J1140" s="44">
        <v>26426.03</v>
      </c>
      <c r="K1140" t="s">
        <v>198</v>
      </c>
    </row>
    <row r="1141" spans="1:11" ht="16.95" customHeight="1" x14ac:dyDescent="0.3">
      <c r="A1141" s="42" t="s">
        <v>304</v>
      </c>
      <c r="B1141" s="42" t="s">
        <v>239</v>
      </c>
      <c r="C1141" s="42" t="s">
        <v>210</v>
      </c>
      <c r="D1141" s="42" t="s">
        <v>264</v>
      </c>
      <c r="E1141" s="42" t="s">
        <v>241</v>
      </c>
      <c r="F1141" s="42" t="s">
        <v>251</v>
      </c>
      <c r="G1141" s="43">
        <v>24992</v>
      </c>
      <c r="H1141" s="44">
        <v>29987.15</v>
      </c>
      <c r="I1141" s="44">
        <v>21593.62</v>
      </c>
      <c r="J1141" s="44">
        <v>28797.759999999998</v>
      </c>
      <c r="K1141" t="s">
        <v>198</v>
      </c>
    </row>
    <row r="1142" spans="1:11" ht="16.95" customHeight="1" x14ac:dyDescent="0.3">
      <c r="A1142" s="42" t="s">
        <v>304</v>
      </c>
      <c r="B1142" s="42" t="s">
        <v>239</v>
      </c>
      <c r="C1142" s="42" t="s">
        <v>210</v>
      </c>
      <c r="D1142" s="42" t="s">
        <v>264</v>
      </c>
      <c r="E1142" s="42" t="s">
        <v>241</v>
      </c>
      <c r="F1142" s="42" t="s">
        <v>252</v>
      </c>
      <c r="G1142" s="44">
        <v>25037.91</v>
      </c>
      <c r="H1142" s="44">
        <v>26897.07</v>
      </c>
      <c r="I1142" s="44">
        <v>20588.84</v>
      </c>
      <c r="J1142" s="44">
        <v>31010.76</v>
      </c>
      <c r="K1142" t="s">
        <v>198</v>
      </c>
    </row>
    <row r="1143" spans="1:11" ht="16.95" customHeight="1" x14ac:dyDescent="0.3">
      <c r="A1143" s="42" t="s">
        <v>304</v>
      </c>
      <c r="B1143" s="42" t="s">
        <v>239</v>
      </c>
      <c r="C1143" s="42" t="s">
        <v>210</v>
      </c>
      <c r="D1143" s="42" t="s">
        <v>264</v>
      </c>
      <c r="E1143" s="42" t="s">
        <v>241</v>
      </c>
      <c r="F1143" s="42" t="s">
        <v>253</v>
      </c>
      <c r="G1143" s="44">
        <v>23696.12</v>
      </c>
      <c r="H1143" s="44">
        <v>26764.29</v>
      </c>
      <c r="I1143" s="44">
        <v>20562.29</v>
      </c>
      <c r="J1143" s="44">
        <v>31422.49</v>
      </c>
      <c r="K1143" t="s">
        <v>198</v>
      </c>
    </row>
    <row r="1144" spans="1:11" ht="16.95" hidden="1" customHeight="1" x14ac:dyDescent="0.3">
      <c r="A1144" s="42" t="s">
        <v>304</v>
      </c>
      <c r="B1144" s="42" t="s">
        <v>239</v>
      </c>
      <c r="C1144" s="42" t="s">
        <v>210</v>
      </c>
      <c r="D1144" s="42" t="s">
        <v>265</v>
      </c>
      <c r="E1144" s="42" t="s">
        <v>241</v>
      </c>
      <c r="F1144" s="42" t="s">
        <v>242</v>
      </c>
      <c r="G1144" s="44">
        <v>19827.29</v>
      </c>
      <c r="H1144" t="s">
        <v>198</v>
      </c>
      <c r="I1144" t="s">
        <v>198</v>
      </c>
      <c r="J1144" t="s">
        <v>198</v>
      </c>
      <c r="K1144" t="s">
        <v>198</v>
      </c>
    </row>
    <row r="1145" spans="1:11" ht="16.95" hidden="1" customHeight="1" x14ac:dyDescent="0.3">
      <c r="A1145" s="42" t="s">
        <v>304</v>
      </c>
      <c r="B1145" s="42" t="s">
        <v>239</v>
      </c>
      <c r="C1145" s="42" t="s">
        <v>210</v>
      </c>
      <c r="D1145" s="42" t="s">
        <v>265</v>
      </c>
      <c r="E1145" s="42" t="s">
        <v>241</v>
      </c>
      <c r="F1145" s="42" t="s">
        <v>243</v>
      </c>
      <c r="G1145" s="44">
        <v>20784.439999999999</v>
      </c>
      <c r="H1145" t="s">
        <v>198</v>
      </c>
      <c r="I1145" t="s">
        <v>198</v>
      </c>
      <c r="J1145" t="s">
        <v>198</v>
      </c>
      <c r="K1145" t="s">
        <v>198</v>
      </c>
    </row>
    <row r="1146" spans="1:11" ht="16.95" hidden="1" customHeight="1" x14ac:dyDescent="0.3">
      <c r="A1146" s="42" t="s">
        <v>304</v>
      </c>
      <c r="B1146" s="42" t="s">
        <v>239</v>
      </c>
      <c r="C1146" s="42" t="s">
        <v>210</v>
      </c>
      <c r="D1146" s="42" t="s">
        <v>265</v>
      </c>
      <c r="E1146" s="42" t="s">
        <v>241</v>
      </c>
      <c r="F1146" s="42" t="s">
        <v>244</v>
      </c>
      <c r="G1146" s="44">
        <v>20546.3</v>
      </c>
      <c r="H1146" t="s">
        <v>198</v>
      </c>
      <c r="I1146" t="s">
        <v>198</v>
      </c>
      <c r="J1146" t="s">
        <v>198</v>
      </c>
      <c r="K1146" t="s">
        <v>198</v>
      </c>
    </row>
    <row r="1147" spans="1:11" ht="16.95" hidden="1" customHeight="1" x14ac:dyDescent="0.3">
      <c r="A1147" s="42" t="s">
        <v>304</v>
      </c>
      <c r="B1147" s="42" t="s">
        <v>239</v>
      </c>
      <c r="C1147" s="42" t="s">
        <v>210</v>
      </c>
      <c r="D1147" s="42" t="s">
        <v>265</v>
      </c>
      <c r="E1147" s="42" t="s">
        <v>241</v>
      </c>
      <c r="F1147" s="42" t="s">
        <v>245</v>
      </c>
      <c r="G1147" s="44">
        <v>21792.47</v>
      </c>
      <c r="H1147" t="s">
        <v>198</v>
      </c>
      <c r="I1147" t="s">
        <v>198</v>
      </c>
      <c r="J1147" t="s">
        <v>198</v>
      </c>
      <c r="K1147" t="s">
        <v>198</v>
      </c>
    </row>
    <row r="1148" spans="1:11" ht="16.95" hidden="1" customHeight="1" x14ac:dyDescent="0.3">
      <c r="A1148" s="42" t="s">
        <v>304</v>
      </c>
      <c r="B1148" s="42" t="s">
        <v>239</v>
      </c>
      <c r="C1148" s="42" t="s">
        <v>210</v>
      </c>
      <c r="D1148" s="42" t="s">
        <v>265</v>
      </c>
      <c r="E1148" s="42" t="s">
        <v>241</v>
      </c>
      <c r="F1148" s="42" t="s">
        <v>246</v>
      </c>
      <c r="G1148" s="44">
        <v>22441.64</v>
      </c>
      <c r="H1148" t="s">
        <v>198</v>
      </c>
      <c r="I1148" t="s">
        <v>198</v>
      </c>
      <c r="J1148" t="s">
        <v>198</v>
      </c>
      <c r="K1148" t="s">
        <v>198</v>
      </c>
    </row>
    <row r="1149" spans="1:11" ht="16.95" hidden="1" customHeight="1" x14ac:dyDescent="0.3">
      <c r="A1149" s="42" t="s">
        <v>304</v>
      </c>
      <c r="B1149" s="42" t="s">
        <v>239</v>
      </c>
      <c r="C1149" s="42" t="s">
        <v>210</v>
      </c>
      <c r="D1149" s="42" t="s">
        <v>265</v>
      </c>
      <c r="E1149" s="42" t="s">
        <v>241</v>
      </c>
      <c r="F1149" s="42" t="s">
        <v>247</v>
      </c>
      <c r="G1149" s="44">
        <v>21324.71</v>
      </c>
      <c r="H1149" t="s">
        <v>198</v>
      </c>
      <c r="I1149" t="s">
        <v>198</v>
      </c>
      <c r="J1149" t="s">
        <v>198</v>
      </c>
      <c r="K1149" t="s">
        <v>198</v>
      </c>
    </row>
    <row r="1150" spans="1:11" ht="16.95" hidden="1" customHeight="1" x14ac:dyDescent="0.3">
      <c r="A1150" s="42" t="s">
        <v>304</v>
      </c>
      <c r="B1150" s="42" t="s">
        <v>239</v>
      </c>
      <c r="C1150" s="42" t="s">
        <v>210</v>
      </c>
      <c r="D1150" s="42" t="s">
        <v>265</v>
      </c>
      <c r="E1150" s="42" t="s">
        <v>241</v>
      </c>
      <c r="F1150" s="42" t="s">
        <v>248</v>
      </c>
      <c r="G1150" s="44">
        <v>23233.35</v>
      </c>
      <c r="H1150" t="s">
        <v>198</v>
      </c>
      <c r="I1150" t="s">
        <v>198</v>
      </c>
      <c r="J1150" t="s">
        <v>198</v>
      </c>
      <c r="K1150" t="s">
        <v>198</v>
      </c>
    </row>
    <row r="1151" spans="1:11" ht="16.95" hidden="1" customHeight="1" x14ac:dyDescent="0.3">
      <c r="A1151" s="42" t="s">
        <v>304</v>
      </c>
      <c r="B1151" s="42" t="s">
        <v>239</v>
      </c>
      <c r="C1151" s="42" t="s">
        <v>210</v>
      </c>
      <c r="D1151" s="42" t="s">
        <v>265</v>
      </c>
      <c r="E1151" s="42" t="s">
        <v>241</v>
      </c>
      <c r="F1151" s="42" t="s">
        <v>249</v>
      </c>
      <c r="G1151" s="44">
        <v>23611.84</v>
      </c>
      <c r="H1151" t="s">
        <v>198</v>
      </c>
      <c r="I1151" t="s">
        <v>198</v>
      </c>
      <c r="J1151" t="s">
        <v>198</v>
      </c>
      <c r="K1151" t="s">
        <v>198</v>
      </c>
    </row>
    <row r="1152" spans="1:11" ht="16.95" hidden="1" customHeight="1" x14ac:dyDescent="0.3">
      <c r="A1152" s="42" t="s">
        <v>304</v>
      </c>
      <c r="B1152" s="42" t="s">
        <v>239</v>
      </c>
      <c r="C1152" s="42" t="s">
        <v>210</v>
      </c>
      <c r="D1152" s="42" t="s">
        <v>265</v>
      </c>
      <c r="E1152" s="42" t="s">
        <v>241</v>
      </c>
      <c r="F1152" s="42" t="s">
        <v>250</v>
      </c>
      <c r="G1152" s="44">
        <v>26767.73</v>
      </c>
      <c r="H1152" t="s">
        <v>198</v>
      </c>
      <c r="I1152" t="s">
        <v>198</v>
      </c>
      <c r="J1152" t="s">
        <v>198</v>
      </c>
      <c r="K1152" t="s">
        <v>198</v>
      </c>
    </row>
    <row r="1153" spans="1:11" ht="16.95" hidden="1" customHeight="1" x14ac:dyDescent="0.3">
      <c r="A1153" s="42" t="s">
        <v>304</v>
      </c>
      <c r="B1153" s="42" t="s">
        <v>239</v>
      </c>
      <c r="C1153" s="42" t="s">
        <v>210</v>
      </c>
      <c r="D1153" s="42" t="s">
        <v>265</v>
      </c>
      <c r="E1153" s="42" t="s">
        <v>241</v>
      </c>
      <c r="F1153" s="42" t="s">
        <v>251</v>
      </c>
      <c r="G1153" s="44">
        <v>27126.54</v>
      </c>
      <c r="H1153" t="s">
        <v>198</v>
      </c>
      <c r="I1153" t="s">
        <v>198</v>
      </c>
      <c r="J1153" t="s">
        <v>198</v>
      </c>
      <c r="K1153" t="s">
        <v>198</v>
      </c>
    </row>
    <row r="1154" spans="1:11" ht="16.95" hidden="1" customHeight="1" x14ac:dyDescent="0.3">
      <c r="A1154" s="42" t="s">
        <v>304</v>
      </c>
      <c r="B1154" s="42" t="s">
        <v>239</v>
      </c>
      <c r="C1154" s="42" t="s">
        <v>210</v>
      </c>
      <c r="D1154" s="42" t="s">
        <v>265</v>
      </c>
      <c r="E1154" s="42" t="s">
        <v>241</v>
      </c>
      <c r="F1154" s="42" t="s">
        <v>252</v>
      </c>
      <c r="G1154" s="44">
        <v>27680.31</v>
      </c>
      <c r="H1154" t="s">
        <v>198</v>
      </c>
      <c r="I1154" t="s">
        <v>198</v>
      </c>
      <c r="J1154" t="s">
        <v>198</v>
      </c>
      <c r="K1154" t="s">
        <v>198</v>
      </c>
    </row>
    <row r="1155" spans="1:11" ht="16.95" hidden="1" customHeight="1" x14ac:dyDescent="0.3">
      <c r="A1155" s="42" t="s">
        <v>304</v>
      </c>
      <c r="B1155" s="42" t="s">
        <v>239</v>
      </c>
      <c r="C1155" s="42" t="s">
        <v>210</v>
      </c>
      <c r="D1155" s="42" t="s">
        <v>265</v>
      </c>
      <c r="E1155" s="42" t="s">
        <v>241</v>
      </c>
      <c r="F1155" s="42" t="s">
        <v>253</v>
      </c>
      <c r="G1155" s="44">
        <v>26495.63</v>
      </c>
      <c r="H1155" t="s">
        <v>198</v>
      </c>
      <c r="I1155" t="s">
        <v>198</v>
      </c>
      <c r="J1155" t="s">
        <v>198</v>
      </c>
      <c r="K1155" t="s">
        <v>198</v>
      </c>
    </row>
    <row r="1156" spans="1:11" ht="16.95" hidden="1" customHeight="1" x14ac:dyDescent="0.3">
      <c r="A1156" s="42" t="s">
        <v>304</v>
      </c>
      <c r="B1156" s="42" t="s">
        <v>239</v>
      </c>
      <c r="C1156" s="42" t="s">
        <v>210</v>
      </c>
      <c r="D1156" s="42" t="s">
        <v>268</v>
      </c>
      <c r="E1156" s="42" t="s">
        <v>241</v>
      </c>
      <c r="F1156" s="42" t="s">
        <v>242</v>
      </c>
      <c r="G1156" s="44">
        <v>23809.3</v>
      </c>
      <c r="H1156" s="44">
        <v>28989.13</v>
      </c>
      <c r="I1156" s="44">
        <v>33867.79</v>
      </c>
      <c r="J1156" s="44">
        <v>26563.39</v>
      </c>
      <c r="K1156" s="44">
        <v>35701.03</v>
      </c>
    </row>
    <row r="1157" spans="1:11" ht="16.95" hidden="1" customHeight="1" x14ac:dyDescent="0.3">
      <c r="A1157" s="42" t="s">
        <v>304</v>
      </c>
      <c r="B1157" s="42" t="s">
        <v>239</v>
      </c>
      <c r="C1157" s="42" t="s">
        <v>210</v>
      </c>
      <c r="D1157" s="42" t="s">
        <v>268</v>
      </c>
      <c r="E1157" s="42" t="s">
        <v>241</v>
      </c>
      <c r="F1157" s="42" t="s">
        <v>243</v>
      </c>
      <c r="G1157" s="44">
        <v>22819.91</v>
      </c>
      <c r="H1157" s="44">
        <v>29628.07</v>
      </c>
      <c r="I1157" s="44">
        <v>30018.42</v>
      </c>
      <c r="J1157" s="44">
        <v>27695.29</v>
      </c>
      <c r="K1157" s="44">
        <v>41659.160000000003</v>
      </c>
    </row>
    <row r="1158" spans="1:11" ht="16.95" hidden="1" customHeight="1" x14ac:dyDescent="0.3">
      <c r="A1158" s="42" t="s">
        <v>304</v>
      </c>
      <c r="B1158" s="42" t="s">
        <v>239</v>
      </c>
      <c r="C1158" s="42" t="s">
        <v>210</v>
      </c>
      <c r="D1158" s="42" t="s">
        <v>268</v>
      </c>
      <c r="E1158" s="42" t="s">
        <v>241</v>
      </c>
      <c r="F1158" s="42" t="s">
        <v>244</v>
      </c>
      <c r="G1158" s="44">
        <v>23139.23</v>
      </c>
      <c r="H1158" s="44">
        <v>28707.45</v>
      </c>
      <c r="I1158" s="44">
        <v>31030.65</v>
      </c>
      <c r="J1158" s="44">
        <v>29243.22</v>
      </c>
      <c r="K1158" s="44">
        <v>41581.82</v>
      </c>
    </row>
    <row r="1159" spans="1:11" ht="16.95" hidden="1" customHeight="1" x14ac:dyDescent="0.3">
      <c r="A1159" s="42" t="s">
        <v>304</v>
      </c>
      <c r="B1159" s="42" t="s">
        <v>239</v>
      </c>
      <c r="C1159" s="42" t="s">
        <v>210</v>
      </c>
      <c r="D1159" s="42" t="s">
        <v>268</v>
      </c>
      <c r="E1159" s="42" t="s">
        <v>241</v>
      </c>
      <c r="F1159" s="42" t="s">
        <v>245</v>
      </c>
      <c r="G1159" s="44">
        <v>23710.16</v>
      </c>
      <c r="H1159" s="44">
        <v>31592.26</v>
      </c>
      <c r="I1159" s="44">
        <v>31803.31</v>
      </c>
      <c r="J1159" s="44">
        <v>31139.09</v>
      </c>
      <c r="K1159" t="s">
        <v>198</v>
      </c>
    </row>
    <row r="1160" spans="1:11" ht="16.95" hidden="1" customHeight="1" x14ac:dyDescent="0.3">
      <c r="A1160" s="42" t="s">
        <v>304</v>
      </c>
      <c r="B1160" s="42" t="s">
        <v>239</v>
      </c>
      <c r="C1160" s="42" t="s">
        <v>210</v>
      </c>
      <c r="D1160" s="42" t="s">
        <v>268</v>
      </c>
      <c r="E1160" s="42" t="s">
        <v>241</v>
      </c>
      <c r="F1160" s="42" t="s">
        <v>246</v>
      </c>
      <c r="G1160" s="44">
        <v>23248.21</v>
      </c>
      <c r="H1160" s="44">
        <v>33667.760000000002</v>
      </c>
      <c r="I1160" s="44">
        <v>33058.480000000003</v>
      </c>
      <c r="J1160" s="44">
        <v>28536.85</v>
      </c>
      <c r="K1160" t="s">
        <v>198</v>
      </c>
    </row>
    <row r="1161" spans="1:11" ht="16.95" hidden="1" customHeight="1" x14ac:dyDescent="0.3">
      <c r="A1161" s="42" t="s">
        <v>304</v>
      </c>
      <c r="B1161" s="42" t="s">
        <v>239</v>
      </c>
      <c r="C1161" s="42" t="s">
        <v>210</v>
      </c>
      <c r="D1161" s="42" t="s">
        <v>268</v>
      </c>
      <c r="E1161" s="42" t="s">
        <v>241</v>
      </c>
      <c r="F1161" s="42" t="s">
        <v>247</v>
      </c>
      <c r="G1161" s="44">
        <v>21755.03</v>
      </c>
      <c r="H1161" s="44">
        <v>33812.83</v>
      </c>
      <c r="I1161" s="44">
        <v>32197.96</v>
      </c>
      <c r="J1161" s="44">
        <v>27670.13</v>
      </c>
      <c r="K1161" t="s">
        <v>198</v>
      </c>
    </row>
    <row r="1162" spans="1:11" ht="16.95" hidden="1" customHeight="1" x14ac:dyDescent="0.3">
      <c r="A1162" s="42" t="s">
        <v>304</v>
      </c>
      <c r="B1162" s="42" t="s">
        <v>239</v>
      </c>
      <c r="C1162" s="42" t="s">
        <v>210</v>
      </c>
      <c r="D1162" s="42" t="s">
        <v>268</v>
      </c>
      <c r="E1162" s="42" t="s">
        <v>241</v>
      </c>
      <c r="F1162" s="42" t="s">
        <v>248</v>
      </c>
      <c r="G1162" s="44">
        <v>23481.42</v>
      </c>
      <c r="H1162" s="44">
        <v>34238.959999999999</v>
      </c>
      <c r="I1162" s="44">
        <v>30019.279999999999</v>
      </c>
      <c r="J1162" s="44">
        <v>28047.7</v>
      </c>
      <c r="K1162" t="s">
        <v>198</v>
      </c>
    </row>
    <row r="1163" spans="1:11" ht="16.95" hidden="1" customHeight="1" x14ac:dyDescent="0.3">
      <c r="A1163" s="42" t="s">
        <v>304</v>
      </c>
      <c r="B1163" s="42" t="s">
        <v>239</v>
      </c>
      <c r="C1163" s="42" t="s">
        <v>210</v>
      </c>
      <c r="D1163" s="42" t="s">
        <v>268</v>
      </c>
      <c r="E1163" s="42" t="s">
        <v>241</v>
      </c>
      <c r="F1163" s="42" t="s">
        <v>249</v>
      </c>
      <c r="G1163" s="44">
        <v>23968.92</v>
      </c>
      <c r="H1163" s="44">
        <v>36317.599999999999</v>
      </c>
      <c r="I1163" s="44">
        <v>29822.05</v>
      </c>
      <c r="J1163" s="44">
        <v>28201.45</v>
      </c>
      <c r="K1163" t="s">
        <v>198</v>
      </c>
    </row>
    <row r="1164" spans="1:11" ht="16.95" hidden="1" customHeight="1" x14ac:dyDescent="0.3">
      <c r="A1164" s="42" t="s">
        <v>304</v>
      </c>
      <c r="B1164" s="42" t="s">
        <v>239</v>
      </c>
      <c r="C1164" s="42" t="s">
        <v>210</v>
      </c>
      <c r="D1164" s="42" t="s">
        <v>268</v>
      </c>
      <c r="E1164" s="42" t="s">
        <v>241</v>
      </c>
      <c r="F1164" s="42" t="s">
        <v>250</v>
      </c>
      <c r="G1164" s="44">
        <v>25744.85</v>
      </c>
      <c r="H1164" s="44">
        <v>36434.089999999997</v>
      </c>
      <c r="I1164" s="44">
        <v>30809.08</v>
      </c>
      <c r="J1164" s="44">
        <v>31008.77</v>
      </c>
      <c r="K1164" t="s">
        <v>198</v>
      </c>
    </row>
    <row r="1165" spans="1:11" ht="16.95" hidden="1" customHeight="1" x14ac:dyDescent="0.3">
      <c r="A1165" s="42" t="s">
        <v>304</v>
      </c>
      <c r="B1165" s="42" t="s">
        <v>239</v>
      </c>
      <c r="C1165" s="42" t="s">
        <v>210</v>
      </c>
      <c r="D1165" s="42" t="s">
        <v>268</v>
      </c>
      <c r="E1165" s="42" t="s">
        <v>241</v>
      </c>
      <c r="F1165" s="42" t="s">
        <v>251</v>
      </c>
      <c r="G1165" s="44">
        <v>27400.34</v>
      </c>
      <c r="H1165" s="44">
        <v>35684.53</v>
      </c>
      <c r="I1165" s="44">
        <v>28375.52</v>
      </c>
      <c r="J1165" s="44">
        <v>33425.39</v>
      </c>
      <c r="K1165" t="s">
        <v>198</v>
      </c>
    </row>
    <row r="1166" spans="1:11" ht="16.95" hidden="1" customHeight="1" x14ac:dyDescent="0.3">
      <c r="A1166" s="42" t="s">
        <v>304</v>
      </c>
      <c r="B1166" s="42" t="s">
        <v>239</v>
      </c>
      <c r="C1166" s="42" t="s">
        <v>210</v>
      </c>
      <c r="D1166" s="42" t="s">
        <v>268</v>
      </c>
      <c r="E1166" s="42" t="s">
        <v>241</v>
      </c>
      <c r="F1166" s="42" t="s">
        <v>252</v>
      </c>
      <c r="G1166" s="44">
        <v>28621.85</v>
      </c>
      <c r="H1166" s="44">
        <v>33411.79</v>
      </c>
      <c r="I1166" s="44">
        <v>27251.49</v>
      </c>
      <c r="J1166" s="44">
        <v>35828.519999999997</v>
      </c>
      <c r="K1166" t="s">
        <v>198</v>
      </c>
    </row>
    <row r="1167" spans="1:11" ht="16.95" hidden="1" customHeight="1" x14ac:dyDescent="0.3">
      <c r="A1167" s="42" t="s">
        <v>304</v>
      </c>
      <c r="B1167" s="42" t="s">
        <v>239</v>
      </c>
      <c r="C1167" s="42" t="s">
        <v>210</v>
      </c>
      <c r="D1167" s="42" t="s">
        <v>268</v>
      </c>
      <c r="E1167" s="42" t="s">
        <v>241</v>
      </c>
      <c r="F1167" s="42" t="s">
        <v>253</v>
      </c>
      <c r="G1167" s="44">
        <v>29273.47</v>
      </c>
      <c r="H1167" s="44">
        <v>32867.94</v>
      </c>
      <c r="I1167" s="44">
        <v>24957.78</v>
      </c>
      <c r="J1167" s="44">
        <v>35535.25</v>
      </c>
      <c r="K1167" t="s">
        <v>198</v>
      </c>
    </row>
    <row r="1168" spans="1:11" ht="16.95" hidden="1" customHeight="1" x14ac:dyDescent="0.3">
      <c r="A1168" s="42" t="s">
        <v>304</v>
      </c>
      <c r="B1168" s="42" t="s">
        <v>239</v>
      </c>
      <c r="C1168" s="42" t="s">
        <v>210</v>
      </c>
      <c r="D1168" s="42" t="s">
        <v>270</v>
      </c>
      <c r="E1168" s="42" t="s">
        <v>241</v>
      </c>
      <c r="F1168" s="42" t="s">
        <v>242</v>
      </c>
      <c r="G1168" s="44">
        <v>55129.87</v>
      </c>
      <c r="H1168" s="44">
        <v>40153.29</v>
      </c>
      <c r="I1168" s="44">
        <v>47365.37</v>
      </c>
      <c r="J1168" s="44">
        <v>40471.83</v>
      </c>
      <c r="K1168" s="44">
        <v>45816.39</v>
      </c>
    </row>
    <row r="1169" spans="1:11" ht="16.95" hidden="1" customHeight="1" x14ac:dyDescent="0.3">
      <c r="A1169" s="42" t="s">
        <v>304</v>
      </c>
      <c r="B1169" s="42" t="s">
        <v>239</v>
      </c>
      <c r="C1169" s="42" t="s">
        <v>210</v>
      </c>
      <c r="D1169" s="42" t="s">
        <v>270</v>
      </c>
      <c r="E1169" s="42" t="s">
        <v>241</v>
      </c>
      <c r="F1169" s="42" t="s">
        <v>243</v>
      </c>
      <c r="G1169" s="44">
        <v>41644.800000000003</v>
      </c>
      <c r="H1169" s="44">
        <v>41715.42</v>
      </c>
      <c r="I1169" s="44">
        <v>51493.26</v>
      </c>
      <c r="J1169" s="44">
        <v>39202.97</v>
      </c>
      <c r="K1169" s="44">
        <v>55230.5</v>
      </c>
    </row>
    <row r="1170" spans="1:11" ht="16.95" hidden="1" customHeight="1" x14ac:dyDescent="0.3">
      <c r="A1170" s="42" t="s">
        <v>304</v>
      </c>
      <c r="B1170" s="42" t="s">
        <v>239</v>
      </c>
      <c r="C1170" s="42" t="s">
        <v>210</v>
      </c>
      <c r="D1170" s="42" t="s">
        <v>270</v>
      </c>
      <c r="E1170" s="42" t="s">
        <v>241</v>
      </c>
      <c r="F1170" s="42" t="s">
        <v>244</v>
      </c>
      <c r="G1170" s="44">
        <v>39171.78</v>
      </c>
      <c r="H1170" s="44">
        <v>42262.68</v>
      </c>
      <c r="I1170" s="44">
        <v>47964.07</v>
      </c>
      <c r="J1170" s="44">
        <v>37731.47</v>
      </c>
      <c r="K1170" s="44">
        <v>50981.26</v>
      </c>
    </row>
    <row r="1171" spans="1:11" ht="16.95" hidden="1" customHeight="1" x14ac:dyDescent="0.3">
      <c r="A1171" s="42" t="s">
        <v>304</v>
      </c>
      <c r="B1171" s="42" t="s">
        <v>239</v>
      </c>
      <c r="C1171" s="42" t="s">
        <v>210</v>
      </c>
      <c r="D1171" s="42" t="s">
        <v>270</v>
      </c>
      <c r="E1171" s="42" t="s">
        <v>241</v>
      </c>
      <c r="F1171" s="42" t="s">
        <v>245</v>
      </c>
      <c r="G1171" s="44">
        <v>42261.279999999999</v>
      </c>
      <c r="H1171" s="44">
        <v>45050.13</v>
      </c>
      <c r="I1171" s="44">
        <v>45305.09</v>
      </c>
      <c r="J1171" s="44">
        <v>40152.43</v>
      </c>
      <c r="K1171" t="s">
        <v>198</v>
      </c>
    </row>
    <row r="1172" spans="1:11" ht="16.95" hidden="1" customHeight="1" x14ac:dyDescent="0.3">
      <c r="A1172" s="42" t="s">
        <v>304</v>
      </c>
      <c r="B1172" s="42" t="s">
        <v>239</v>
      </c>
      <c r="C1172" s="42" t="s">
        <v>210</v>
      </c>
      <c r="D1172" s="42" t="s">
        <v>270</v>
      </c>
      <c r="E1172" s="42" t="s">
        <v>241</v>
      </c>
      <c r="F1172" s="42" t="s">
        <v>246</v>
      </c>
      <c r="G1172" s="44">
        <v>42660.68</v>
      </c>
      <c r="H1172" s="44">
        <v>46385.4</v>
      </c>
      <c r="I1172" s="44">
        <v>48629.86</v>
      </c>
      <c r="J1172" s="44">
        <v>42806.25</v>
      </c>
      <c r="K1172" t="s">
        <v>198</v>
      </c>
    </row>
    <row r="1173" spans="1:11" ht="16.95" hidden="1" customHeight="1" x14ac:dyDescent="0.3">
      <c r="A1173" s="42" t="s">
        <v>304</v>
      </c>
      <c r="B1173" s="42" t="s">
        <v>239</v>
      </c>
      <c r="C1173" s="42" t="s">
        <v>210</v>
      </c>
      <c r="D1173" s="42" t="s">
        <v>270</v>
      </c>
      <c r="E1173" s="42" t="s">
        <v>241</v>
      </c>
      <c r="F1173" s="42" t="s">
        <v>247</v>
      </c>
      <c r="G1173" s="44">
        <v>47301.39</v>
      </c>
      <c r="H1173" s="44">
        <v>44639.7</v>
      </c>
      <c r="I1173" s="44">
        <v>45302.87</v>
      </c>
      <c r="J1173" s="44">
        <v>40498.870000000003</v>
      </c>
      <c r="K1173" t="s">
        <v>198</v>
      </c>
    </row>
    <row r="1174" spans="1:11" ht="16.95" hidden="1" customHeight="1" x14ac:dyDescent="0.3">
      <c r="A1174" s="42" t="s">
        <v>304</v>
      </c>
      <c r="B1174" s="42" t="s">
        <v>239</v>
      </c>
      <c r="C1174" s="42" t="s">
        <v>210</v>
      </c>
      <c r="D1174" s="42" t="s">
        <v>270</v>
      </c>
      <c r="E1174" s="42" t="s">
        <v>241</v>
      </c>
      <c r="F1174" s="42" t="s">
        <v>248</v>
      </c>
      <c r="G1174" s="44">
        <v>43156.12</v>
      </c>
      <c r="H1174" s="44">
        <v>46624.51</v>
      </c>
      <c r="I1174" s="44">
        <v>43559.16</v>
      </c>
      <c r="J1174" s="44">
        <v>41564.39</v>
      </c>
      <c r="K1174" t="s">
        <v>198</v>
      </c>
    </row>
    <row r="1175" spans="1:11" ht="16.95" hidden="1" customHeight="1" x14ac:dyDescent="0.3">
      <c r="A1175" s="42" t="s">
        <v>304</v>
      </c>
      <c r="B1175" s="42" t="s">
        <v>239</v>
      </c>
      <c r="C1175" s="42" t="s">
        <v>210</v>
      </c>
      <c r="D1175" s="42" t="s">
        <v>270</v>
      </c>
      <c r="E1175" s="42" t="s">
        <v>241</v>
      </c>
      <c r="F1175" s="42" t="s">
        <v>249</v>
      </c>
      <c r="G1175" s="44">
        <v>42677.97</v>
      </c>
      <c r="H1175" s="44">
        <v>50523.86</v>
      </c>
      <c r="I1175" s="44">
        <v>43305.83</v>
      </c>
      <c r="J1175" s="44">
        <v>38262.879999999997</v>
      </c>
      <c r="K1175" t="s">
        <v>198</v>
      </c>
    </row>
    <row r="1176" spans="1:11" ht="16.95" hidden="1" customHeight="1" x14ac:dyDescent="0.3">
      <c r="A1176" s="42" t="s">
        <v>304</v>
      </c>
      <c r="B1176" s="42" t="s">
        <v>239</v>
      </c>
      <c r="C1176" s="42" t="s">
        <v>210</v>
      </c>
      <c r="D1176" s="42" t="s">
        <v>270</v>
      </c>
      <c r="E1176" s="42" t="s">
        <v>241</v>
      </c>
      <c r="F1176" s="42" t="s">
        <v>250</v>
      </c>
      <c r="G1176" s="44">
        <v>41984.73</v>
      </c>
      <c r="H1176" s="44">
        <v>48698.53</v>
      </c>
      <c r="I1176" s="44">
        <v>46075.17</v>
      </c>
      <c r="J1176" s="44">
        <v>42121.23</v>
      </c>
      <c r="K1176" t="s">
        <v>198</v>
      </c>
    </row>
    <row r="1177" spans="1:11" ht="16.95" hidden="1" customHeight="1" x14ac:dyDescent="0.3">
      <c r="A1177" s="42" t="s">
        <v>304</v>
      </c>
      <c r="B1177" s="42" t="s">
        <v>239</v>
      </c>
      <c r="C1177" s="42" t="s">
        <v>210</v>
      </c>
      <c r="D1177" s="42" t="s">
        <v>270</v>
      </c>
      <c r="E1177" s="42" t="s">
        <v>241</v>
      </c>
      <c r="F1177" s="42" t="s">
        <v>251</v>
      </c>
      <c r="G1177" s="44">
        <v>42814.6</v>
      </c>
      <c r="H1177" s="44">
        <v>53963.81</v>
      </c>
      <c r="I1177" s="44">
        <v>45653.25</v>
      </c>
      <c r="J1177" s="44">
        <v>45168.06</v>
      </c>
      <c r="K1177" t="s">
        <v>198</v>
      </c>
    </row>
    <row r="1178" spans="1:11" ht="16.95" hidden="1" customHeight="1" x14ac:dyDescent="0.3">
      <c r="A1178" s="42" t="s">
        <v>304</v>
      </c>
      <c r="B1178" s="42" t="s">
        <v>239</v>
      </c>
      <c r="C1178" s="42" t="s">
        <v>210</v>
      </c>
      <c r="D1178" s="42" t="s">
        <v>270</v>
      </c>
      <c r="E1178" s="42" t="s">
        <v>241</v>
      </c>
      <c r="F1178" s="42" t="s">
        <v>252</v>
      </c>
      <c r="G1178" s="44">
        <v>44558.99</v>
      </c>
      <c r="H1178" s="44">
        <v>48217.78</v>
      </c>
      <c r="I1178" s="44">
        <v>45018.74</v>
      </c>
      <c r="J1178" s="44">
        <v>46073.91</v>
      </c>
      <c r="K1178" t="s">
        <v>198</v>
      </c>
    </row>
    <row r="1179" spans="1:11" ht="16.95" hidden="1" customHeight="1" x14ac:dyDescent="0.3">
      <c r="A1179" s="42" t="s">
        <v>304</v>
      </c>
      <c r="B1179" s="42" t="s">
        <v>239</v>
      </c>
      <c r="C1179" s="42" t="s">
        <v>210</v>
      </c>
      <c r="D1179" s="42" t="s">
        <v>270</v>
      </c>
      <c r="E1179" s="42" t="s">
        <v>241</v>
      </c>
      <c r="F1179" s="42" t="s">
        <v>253</v>
      </c>
      <c r="G1179" s="44">
        <v>43697.14</v>
      </c>
      <c r="H1179" s="44">
        <v>46758.8</v>
      </c>
      <c r="I1179" s="44">
        <v>42485.96</v>
      </c>
      <c r="J1179" s="44">
        <v>42425.16</v>
      </c>
      <c r="K1179" t="s">
        <v>198</v>
      </c>
    </row>
    <row r="1180" spans="1:11" ht="16.95" hidden="1" customHeight="1" x14ac:dyDescent="0.3">
      <c r="A1180" s="42" t="s">
        <v>304</v>
      </c>
      <c r="B1180" s="42" t="s">
        <v>239</v>
      </c>
      <c r="C1180" s="42" t="s">
        <v>210</v>
      </c>
      <c r="D1180" s="42" t="s">
        <v>272</v>
      </c>
      <c r="E1180" s="42" t="s">
        <v>241</v>
      </c>
      <c r="F1180" s="42" t="s">
        <v>242</v>
      </c>
      <c r="G1180" s="44">
        <v>20973.040000000001</v>
      </c>
      <c r="H1180" t="s">
        <v>198</v>
      </c>
      <c r="I1180" t="s">
        <v>198</v>
      </c>
      <c r="J1180" t="s">
        <v>198</v>
      </c>
      <c r="K1180" t="s">
        <v>198</v>
      </c>
    </row>
    <row r="1181" spans="1:11" ht="16.95" hidden="1" customHeight="1" x14ac:dyDescent="0.3">
      <c r="A1181" s="42" t="s">
        <v>304</v>
      </c>
      <c r="B1181" s="42" t="s">
        <v>239</v>
      </c>
      <c r="C1181" s="42" t="s">
        <v>210</v>
      </c>
      <c r="D1181" s="42" t="s">
        <v>272</v>
      </c>
      <c r="E1181" s="42" t="s">
        <v>241</v>
      </c>
      <c r="F1181" s="42" t="s">
        <v>243</v>
      </c>
      <c r="G1181" s="44">
        <v>22856.69</v>
      </c>
      <c r="H1181" t="s">
        <v>198</v>
      </c>
      <c r="I1181" t="s">
        <v>198</v>
      </c>
      <c r="J1181" t="s">
        <v>198</v>
      </c>
      <c r="K1181" t="s">
        <v>198</v>
      </c>
    </row>
    <row r="1182" spans="1:11" ht="16.95" hidden="1" customHeight="1" x14ac:dyDescent="0.3">
      <c r="A1182" s="42" t="s">
        <v>304</v>
      </c>
      <c r="B1182" s="42" t="s">
        <v>239</v>
      </c>
      <c r="C1182" s="42" t="s">
        <v>210</v>
      </c>
      <c r="D1182" s="42" t="s">
        <v>272</v>
      </c>
      <c r="E1182" s="42" t="s">
        <v>241</v>
      </c>
      <c r="F1182" s="42" t="s">
        <v>244</v>
      </c>
      <c r="G1182" s="44">
        <v>29577.35</v>
      </c>
      <c r="H1182" t="s">
        <v>198</v>
      </c>
      <c r="I1182" t="s">
        <v>198</v>
      </c>
      <c r="J1182" t="s">
        <v>198</v>
      </c>
      <c r="K1182" t="s">
        <v>198</v>
      </c>
    </row>
    <row r="1183" spans="1:11" ht="16.95" hidden="1" customHeight="1" x14ac:dyDescent="0.3">
      <c r="A1183" s="42" t="s">
        <v>304</v>
      </c>
      <c r="B1183" s="42" t="s">
        <v>239</v>
      </c>
      <c r="C1183" s="42" t="s">
        <v>210</v>
      </c>
      <c r="D1183" s="42" t="s">
        <v>272</v>
      </c>
      <c r="E1183" s="42" t="s">
        <v>241</v>
      </c>
      <c r="F1183" s="42" t="s">
        <v>245</v>
      </c>
      <c r="G1183" s="44">
        <v>28529.759999999998</v>
      </c>
      <c r="H1183" t="s">
        <v>198</v>
      </c>
      <c r="I1183" t="s">
        <v>198</v>
      </c>
      <c r="J1183" t="s">
        <v>198</v>
      </c>
      <c r="K1183" t="s">
        <v>198</v>
      </c>
    </row>
    <row r="1184" spans="1:11" ht="16.95" hidden="1" customHeight="1" x14ac:dyDescent="0.3">
      <c r="A1184" s="42" t="s">
        <v>304</v>
      </c>
      <c r="B1184" s="42" t="s">
        <v>239</v>
      </c>
      <c r="C1184" s="42" t="s">
        <v>210</v>
      </c>
      <c r="D1184" s="42" t="s">
        <v>272</v>
      </c>
      <c r="E1184" s="42" t="s">
        <v>241</v>
      </c>
      <c r="F1184" s="42" t="s">
        <v>246</v>
      </c>
      <c r="G1184" s="44">
        <v>19939.669999999998</v>
      </c>
      <c r="H1184" t="s">
        <v>198</v>
      </c>
      <c r="I1184" t="s">
        <v>198</v>
      </c>
      <c r="J1184" t="s">
        <v>198</v>
      </c>
      <c r="K1184" t="s">
        <v>198</v>
      </c>
    </row>
    <row r="1185" spans="1:11" ht="16.95" hidden="1" customHeight="1" x14ac:dyDescent="0.3">
      <c r="A1185" s="42" t="s">
        <v>304</v>
      </c>
      <c r="B1185" s="42" t="s">
        <v>239</v>
      </c>
      <c r="C1185" s="42" t="s">
        <v>210</v>
      </c>
      <c r="D1185" s="42" t="s">
        <v>272</v>
      </c>
      <c r="E1185" s="42" t="s">
        <v>241</v>
      </c>
      <c r="F1185" s="42" t="s">
        <v>247</v>
      </c>
      <c r="G1185" s="44">
        <v>20990.12</v>
      </c>
      <c r="H1185" t="s">
        <v>198</v>
      </c>
      <c r="I1185" t="s">
        <v>198</v>
      </c>
      <c r="J1185" t="s">
        <v>198</v>
      </c>
      <c r="K1185" t="s">
        <v>198</v>
      </c>
    </row>
    <row r="1186" spans="1:11" ht="16.95" hidden="1" customHeight="1" x14ac:dyDescent="0.3">
      <c r="A1186" s="42" t="s">
        <v>304</v>
      </c>
      <c r="B1186" s="42" t="s">
        <v>239</v>
      </c>
      <c r="C1186" s="42" t="s">
        <v>210</v>
      </c>
      <c r="D1186" s="42" t="s">
        <v>272</v>
      </c>
      <c r="E1186" s="42" t="s">
        <v>241</v>
      </c>
      <c r="F1186" s="42" t="s">
        <v>248</v>
      </c>
      <c r="G1186" s="44">
        <v>20990.06</v>
      </c>
      <c r="H1186" t="s">
        <v>198</v>
      </c>
      <c r="I1186" t="s">
        <v>198</v>
      </c>
      <c r="J1186" t="s">
        <v>198</v>
      </c>
      <c r="K1186" t="s">
        <v>198</v>
      </c>
    </row>
    <row r="1187" spans="1:11" ht="16.95" hidden="1" customHeight="1" x14ac:dyDescent="0.3">
      <c r="A1187" s="42" t="s">
        <v>304</v>
      </c>
      <c r="B1187" s="42" t="s">
        <v>239</v>
      </c>
      <c r="C1187" s="42" t="s">
        <v>210</v>
      </c>
      <c r="D1187" s="42" t="s">
        <v>272</v>
      </c>
      <c r="E1187" s="42" t="s">
        <v>241</v>
      </c>
      <c r="F1187" s="42" t="s">
        <v>249</v>
      </c>
      <c r="G1187" s="44">
        <v>22984.12</v>
      </c>
      <c r="H1187" t="s">
        <v>198</v>
      </c>
      <c r="I1187" t="s">
        <v>198</v>
      </c>
      <c r="J1187" t="s">
        <v>198</v>
      </c>
      <c r="K1187" t="s">
        <v>198</v>
      </c>
    </row>
    <row r="1188" spans="1:11" ht="16.95" hidden="1" customHeight="1" x14ac:dyDescent="0.3">
      <c r="A1188" s="42" t="s">
        <v>304</v>
      </c>
      <c r="B1188" s="42" t="s">
        <v>239</v>
      </c>
      <c r="C1188" s="42" t="s">
        <v>210</v>
      </c>
      <c r="D1188" s="42" t="s">
        <v>272</v>
      </c>
      <c r="E1188" s="42" t="s">
        <v>241</v>
      </c>
      <c r="F1188" s="42" t="s">
        <v>250</v>
      </c>
      <c r="G1188" s="44">
        <v>25152.52</v>
      </c>
      <c r="H1188" t="s">
        <v>198</v>
      </c>
      <c r="I1188" t="s">
        <v>198</v>
      </c>
      <c r="J1188" t="s">
        <v>198</v>
      </c>
      <c r="K1188" t="s">
        <v>198</v>
      </c>
    </row>
    <row r="1189" spans="1:11" ht="16.95" hidden="1" customHeight="1" x14ac:dyDescent="0.3">
      <c r="A1189" s="42" t="s">
        <v>304</v>
      </c>
      <c r="B1189" s="42" t="s">
        <v>239</v>
      </c>
      <c r="C1189" s="42" t="s">
        <v>210</v>
      </c>
      <c r="D1189" s="42" t="s">
        <v>272</v>
      </c>
      <c r="E1189" s="42" t="s">
        <v>241</v>
      </c>
      <c r="F1189" s="42" t="s">
        <v>251</v>
      </c>
      <c r="G1189" s="44">
        <v>26858.959999999999</v>
      </c>
      <c r="H1189" t="s">
        <v>198</v>
      </c>
      <c r="I1189" t="s">
        <v>198</v>
      </c>
      <c r="J1189" t="s">
        <v>198</v>
      </c>
      <c r="K1189" t="s">
        <v>198</v>
      </c>
    </row>
    <row r="1190" spans="1:11" ht="16.95" hidden="1" customHeight="1" x14ac:dyDescent="0.3">
      <c r="A1190" s="42" t="s">
        <v>304</v>
      </c>
      <c r="B1190" s="42" t="s">
        <v>239</v>
      </c>
      <c r="C1190" s="42" t="s">
        <v>210</v>
      </c>
      <c r="D1190" s="42" t="s">
        <v>272</v>
      </c>
      <c r="E1190" s="42" t="s">
        <v>241</v>
      </c>
      <c r="F1190" s="42" t="s">
        <v>252</v>
      </c>
      <c r="G1190" s="44">
        <v>28643.29</v>
      </c>
      <c r="H1190" t="s">
        <v>198</v>
      </c>
      <c r="I1190" t="s">
        <v>198</v>
      </c>
      <c r="J1190" t="s">
        <v>198</v>
      </c>
      <c r="K1190" t="s">
        <v>198</v>
      </c>
    </row>
    <row r="1191" spans="1:11" ht="16.95" hidden="1" customHeight="1" x14ac:dyDescent="0.3">
      <c r="A1191" s="42" t="s">
        <v>304</v>
      </c>
      <c r="B1191" s="42" t="s">
        <v>239</v>
      </c>
      <c r="C1191" s="42" t="s">
        <v>210</v>
      </c>
      <c r="D1191" s="42" t="s">
        <v>272</v>
      </c>
      <c r="E1191" s="42" t="s">
        <v>241</v>
      </c>
      <c r="F1191" s="42" t="s">
        <v>253</v>
      </c>
      <c r="G1191" s="44">
        <v>30136.87</v>
      </c>
      <c r="H1191" t="s">
        <v>198</v>
      </c>
      <c r="I1191" t="s">
        <v>198</v>
      </c>
      <c r="J1191" t="s">
        <v>198</v>
      </c>
      <c r="K1191" t="s">
        <v>198</v>
      </c>
    </row>
    <row r="1192" spans="1:11" ht="16.95" hidden="1" customHeight="1" x14ac:dyDescent="0.3">
      <c r="A1192" s="42" t="s">
        <v>304</v>
      </c>
      <c r="B1192" s="42" t="s">
        <v>239</v>
      </c>
      <c r="C1192" s="42" t="s">
        <v>210</v>
      </c>
      <c r="D1192" s="42" t="s">
        <v>277</v>
      </c>
      <c r="E1192" s="42" t="s">
        <v>241</v>
      </c>
      <c r="F1192" s="42" t="s">
        <v>242</v>
      </c>
      <c r="G1192" t="s">
        <v>198</v>
      </c>
      <c r="H1192" t="s">
        <v>198</v>
      </c>
      <c r="I1192" t="s">
        <v>198</v>
      </c>
      <c r="J1192" s="43">
        <v>0</v>
      </c>
      <c r="K1192" s="44">
        <v>72657.06</v>
      </c>
    </row>
    <row r="1193" spans="1:11" ht="16.95" hidden="1" customHeight="1" x14ac:dyDescent="0.3">
      <c r="A1193" s="42" t="s">
        <v>304</v>
      </c>
      <c r="B1193" s="42" t="s">
        <v>239</v>
      </c>
      <c r="C1193" s="42" t="s">
        <v>210</v>
      </c>
      <c r="D1193" s="42" t="s">
        <v>277</v>
      </c>
      <c r="E1193" s="42" t="s">
        <v>241</v>
      </c>
      <c r="F1193" s="42" t="s">
        <v>243</v>
      </c>
      <c r="G1193" t="s">
        <v>198</v>
      </c>
      <c r="H1193" t="s">
        <v>198</v>
      </c>
      <c r="I1193" t="s">
        <v>198</v>
      </c>
      <c r="J1193" s="44">
        <v>52399.83</v>
      </c>
      <c r="K1193" t="s">
        <v>198</v>
      </c>
    </row>
    <row r="1194" spans="1:11" ht="16.95" hidden="1" customHeight="1" x14ac:dyDescent="0.3">
      <c r="A1194" s="42" t="s">
        <v>304</v>
      </c>
      <c r="B1194" s="42" t="s">
        <v>239</v>
      </c>
      <c r="C1194" s="42" t="s">
        <v>210</v>
      </c>
      <c r="D1194" s="42" t="s">
        <v>277</v>
      </c>
      <c r="E1194" s="42" t="s">
        <v>241</v>
      </c>
      <c r="F1194" s="42" t="s">
        <v>244</v>
      </c>
      <c r="G1194" t="s">
        <v>198</v>
      </c>
      <c r="H1194" t="s">
        <v>198</v>
      </c>
      <c r="I1194" t="s">
        <v>198</v>
      </c>
      <c r="J1194" s="43">
        <v>0</v>
      </c>
      <c r="K1194" t="s">
        <v>198</v>
      </c>
    </row>
    <row r="1195" spans="1:11" ht="16.95" hidden="1" customHeight="1" x14ac:dyDescent="0.3">
      <c r="A1195" s="42" t="s">
        <v>304</v>
      </c>
      <c r="B1195" s="42" t="s">
        <v>239</v>
      </c>
      <c r="C1195" s="42" t="s">
        <v>210</v>
      </c>
      <c r="D1195" s="42" t="s">
        <v>277</v>
      </c>
      <c r="E1195" s="42" t="s">
        <v>241</v>
      </c>
      <c r="F1195" s="42" t="s">
        <v>245</v>
      </c>
      <c r="G1195" t="s">
        <v>198</v>
      </c>
      <c r="H1195" t="s">
        <v>198</v>
      </c>
      <c r="I1195" t="s">
        <v>198</v>
      </c>
      <c r="J1195" s="43">
        <v>53000</v>
      </c>
      <c r="K1195" t="s">
        <v>198</v>
      </c>
    </row>
    <row r="1196" spans="1:11" ht="16.95" hidden="1" customHeight="1" x14ac:dyDescent="0.3">
      <c r="A1196" s="42" t="s">
        <v>304</v>
      </c>
      <c r="B1196" s="42" t="s">
        <v>239</v>
      </c>
      <c r="C1196" s="42" t="s">
        <v>210</v>
      </c>
      <c r="D1196" s="42" t="s">
        <v>277</v>
      </c>
      <c r="E1196" s="42" t="s">
        <v>241</v>
      </c>
      <c r="F1196" s="42" t="s">
        <v>246</v>
      </c>
      <c r="G1196" t="s">
        <v>198</v>
      </c>
      <c r="H1196" t="s">
        <v>198</v>
      </c>
      <c r="I1196" t="s">
        <v>198</v>
      </c>
      <c r="J1196" s="44">
        <v>52999.99</v>
      </c>
      <c r="K1196" t="s">
        <v>198</v>
      </c>
    </row>
    <row r="1197" spans="1:11" ht="16.95" hidden="1" customHeight="1" x14ac:dyDescent="0.3">
      <c r="A1197" s="42" t="s">
        <v>304</v>
      </c>
      <c r="B1197" s="42" t="s">
        <v>239</v>
      </c>
      <c r="C1197" s="42" t="s">
        <v>210</v>
      </c>
      <c r="D1197" s="42" t="s">
        <v>277</v>
      </c>
      <c r="E1197" s="42" t="s">
        <v>241</v>
      </c>
      <c r="F1197" s="42" t="s">
        <v>247</v>
      </c>
      <c r="G1197" t="s">
        <v>198</v>
      </c>
      <c r="H1197" t="s">
        <v>198</v>
      </c>
      <c r="I1197" t="s">
        <v>198</v>
      </c>
      <c r="J1197" s="44">
        <v>57800.07</v>
      </c>
      <c r="K1197" t="s">
        <v>198</v>
      </c>
    </row>
    <row r="1198" spans="1:11" ht="16.95" hidden="1" customHeight="1" x14ac:dyDescent="0.3">
      <c r="A1198" s="42" t="s">
        <v>304</v>
      </c>
      <c r="B1198" s="42" t="s">
        <v>239</v>
      </c>
      <c r="C1198" s="42" t="s">
        <v>210</v>
      </c>
      <c r="D1198" s="42" t="s">
        <v>277</v>
      </c>
      <c r="E1198" s="42" t="s">
        <v>241</v>
      </c>
      <c r="F1198" s="42" t="s">
        <v>248</v>
      </c>
      <c r="G1198" t="s">
        <v>198</v>
      </c>
      <c r="H1198" t="s">
        <v>198</v>
      </c>
      <c r="I1198" t="s">
        <v>198</v>
      </c>
      <c r="J1198" s="44">
        <v>57799.89</v>
      </c>
      <c r="K1198" t="s">
        <v>198</v>
      </c>
    </row>
    <row r="1199" spans="1:11" ht="16.95" hidden="1" customHeight="1" x14ac:dyDescent="0.3">
      <c r="A1199" s="42" t="s">
        <v>304</v>
      </c>
      <c r="B1199" s="42" t="s">
        <v>239</v>
      </c>
      <c r="C1199" s="42" t="s">
        <v>210</v>
      </c>
      <c r="D1199" s="42" t="s">
        <v>277</v>
      </c>
      <c r="E1199" s="42" t="s">
        <v>241</v>
      </c>
      <c r="F1199" s="42" t="s">
        <v>249</v>
      </c>
      <c r="G1199" t="s">
        <v>198</v>
      </c>
      <c r="H1199" t="s">
        <v>198</v>
      </c>
      <c r="I1199" t="s">
        <v>198</v>
      </c>
      <c r="J1199" s="44">
        <v>53000.27</v>
      </c>
      <c r="K1199" t="s">
        <v>198</v>
      </c>
    </row>
    <row r="1200" spans="1:11" ht="16.95" hidden="1" customHeight="1" x14ac:dyDescent="0.3">
      <c r="A1200" s="42" t="s">
        <v>304</v>
      </c>
      <c r="B1200" s="42" t="s">
        <v>239</v>
      </c>
      <c r="C1200" s="42" t="s">
        <v>210</v>
      </c>
      <c r="D1200" s="42" t="s">
        <v>277</v>
      </c>
      <c r="E1200" s="42" t="s">
        <v>241</v>
      </c>
      <c r="F1200" s="42" t="s">
        <v>250</v>
      </c>
      <c r="G1200" t="s">
        <v>198</v>
      </c>
      <c r="H1200" t="s">
        <v>198</v>
      </c>
      <c r="I1200" t="s">
        <v>198</v>
      </c>
      <c r="J1200" s="44">
        <v>53250.39</v>
      </c>
      <c r="K1200" t="s">
        <v>198</v>
      </c>
    </row>
    <row r="1201" spans="1:11" ht="16.95" hidden="1" customHeight="1" x14ac:dyDescent="0.3">
      <c r="A1201" s="42" t="s">
        <v>304</v>
      </c>
      <c r="B1201" s="42" t="s">
        <v>239</v>
      </c>
      <c r="C1201" s="42" t="s">
        <v>210</v>
      </c>
      <c r="D1201" s="42" t="s">
        <v>277</v>
      </c>
      <c r="E1201" s="42" t="s">
        <v>241</v>
      </c>
      <c r="F1201" s="42" t="s">
        <v>251</v>
      </c>
      <c r="G1201" t="s">
        <v>198</v>
      </c>
      <c r="H1201" t="s">
        <v>198</v>
      </c>
      <c r="I1201" t="s">
        <v>198</v>
      </c>
      <c r="J1201" s="43">
        <v>0</v>
      </c>
      <c r="K1201" t="s">
        <v>198</v>
      </c>
    </row>
    <row r="1202" spans="1:11" ht="16.95" hidden="1" customHeight="1" x14ac:dyDescent="0.3">
      <c r="A1202" s="42" t="s">
        <v>304</v>
      </c>
      <c r="B1202" s="42" t="s">
        <v>239</v>
      </c>
      <c r="C1202" s="42" t="s">
        <v>210</v>
      </c>
      <c r="D1202" s="42" t="s">
        <v>277</v>
      </c>
      <c r="E1202" s="42" t="s">
        <v>241</v>
      </c>
      <c r="F1202" s="42" t="s">
        <v>252</v>
      </c>
      <c r="G1202" t="s">
        <v>198</v>
      </c>
      <c r="H1202" t="s">
        <v>198</v>
      </c>
      <c r="I1202" t="s">
        <v>198</v>
      </c>
      <c r="J1202" s="44">
        <v>55549.97</v>
      </c>
      <c r="K1202" t="s">
        <v>198</v>
      </c>
    </row>
    <row r="1203" spans="1:11" ht="16.95" hidden="1" customHeight="1" x14ac:dyDescent="0.3">
      <c r="A1203" s="42" t="s">
        <v>304</v>
      </c>
      <c r="B1203" s="42" t="s">
        <v>239</v>
      </c>
      <c r="C1203" s="42" t="s">
        <v>210</v>
      </c>
      <c r="D1203" s="42" t="s">
        <v>277</v>
      </c>
      <c r="E1203" s="42" t="s">
        <v>241</v>
      </c>
      <c r="F1203" s="42" t="s">
        <v>253</v>
      </c>
      <c r="G1203" t="s">
        <v>198</v>
      </c>
      <c r="H1203" t="s">
        <v>198</v>
      </c>
      <c r="I1203" t="s">
        <v>198</v>
      </c>
      <c r="J1203" s="44">
        <v>56500.11</v>
      </c>
      <c r="K1203" t="s">
        <v>198</v>
      </c>
    </row>
    <row r="1204" spans="1:11" ht="16.95" hidden="1" customHeight="1" x14ac:dyDescent="0.3">
      <c r="A1204" s="42" t="s">
        <v>304</v>
      </c>
      <c r="B1204" s="42" t="s">
        <v>239</v>
      </c>
      <c r="C1204" s="42" t="s">
        <v>210</v>
      </c>
      <c r="D1204" s="42" t="s">
        <v>278</v>
      </c>
      <c r="E1204" s="42" t="s">
        <v>241</v>
      </c>
      <c r="F1204" s="42" t="s">
        <v>242</v>
      </c>
      <c r="G1204" s="44">
        <v>47658.01</v>
      </c>
      <c r="H1204" s="44">
        <v>47915.51</v>
      </c>
      <c r="I1204" s="44">
        <v>64764.33</v>
      </c>
      <c r="J1204" s="44">
        <v>53435.13</v>
      </c>
      <c r="K1204" s="44">
        <v>74225.09</v>
      </c>
    </row>
    <row r="1205" spans="1:11" ht="16.95" hidden="1" customHeight="1" x14ac:dyDescent="0.3">
      <c r="A1205" s="42" t="s">
        <v>304</v>
      </c>
      <c r="B1205" s="42" t="s">
        <v>239</v>
      </c>
      <c r="C1205" s="42" t="s">
        <v>210</v>
      </c>
      <c r="D1205" s="42" t="s">
        <v>278</v>
      </c>
      <c r="E1205" s="42" t="s">
        <v>241</v>
      </c>
      <c r="F1205" s="42" t="s">
        <v>243</v>
      </c>
      <c r="G1205" s="44">
        <v>44933.71</v>
      </c>
      <c r="H1205" s="44">
        <v>47236.53</v>
      </c>
      <c r="I1205" s="44">
        <v>63815.12</v>
      </c>
      <c r="J1205" s="44">
        <v>55018.44</v>
      </c>
      <c r="K1205" s="44">
        <v>72550.14</v>
      </c>
    </row>
    <row r="1206" spans="1:11" ht="16.95" hidden="1" customHeight="1" x14ac:dyDescent="0.3">
      <c r="A1206" s="42" t="s">
        <v>304</v>
      </c>
      <c r="B1206" s="42" t="s">
        <v>239</v>
      </c>
      <c r="C1206" s="42" t="s">
        <v>210</v>
      </c>
      <c r="D1206" s="42" t="s">
        <v>278</v>
      </c>
      <c r="E1206" s="42" t="s">
        <v>241</v>
      </c>
      <c r="F1206" s="42" t="s">
        <v>244</v>
      </c>
      <c r="G1206" s="44">
        <v>42159.839999999997</v>
      </c>
      <c r="H1206" s="44">
        <v>51612.49</v>
      </c>
      <c r="I1206" s="44">
        <v>61718.57</v>
      </c>
      <c r="J1206" s="44">
        <v>54793.91</v>
      </c>
      <c r="K1206" s="44">
        <v>76419.58</v>
      </c>
    </row>
    <row r="1207" spans="1:11" ht="16.95" hidden="1" customHeight="1" x14ac:dyDescent="0.3">
      <c r="A1207" s="42" t="s">
        <v>304</v>
      </c>
      <c r="B1207" s="42" t="s">
        <v>239</v>
      </c>
      <c r="C1207" s="42" t="s">
        <v>210</v>
      </c>
      <c r="D1207" s="42" t="s">
        <v>278</v>
      </c>
      <c r="E1207" s="42" t="s">
        <v>241</v>
      </c>
      <c r="F1207" s="42" t="s">
        <v>245</v>
      </c>
      <c r="G1207" s="44">
        <v>43640.27</v>
      </c>
      <c r="H1207" s="44">
        <v>51173.95</v>
      </c>
      <c r="I1207" s="44">
        <v>64046.68</v>
      </c>
      <c r="J1207" s="44">
        <v>58054.41</v>
      </c>
      <c r="K1207" t="s">
        <v>198</v>
      </c>
    </row>
    <row r="1208" spans="1:11" ht="16.95" hidden="1" customHeight="1" x14ac:dyDescent="0.3">
      <c r="A1208" s="42" t="s">
        <v>304</v>
      </c>
      <c r="B1208" s="42" t="s">
        <v>239</v>
      </c>
      <c r="C1208" s="42" t="s">
        <v>210</v>
      </c>
      <c r="D1208" s="42" t="s">
        <v>278</v>
      </c>
      <c r="E1208" s="42" t="s">
        <v>241</v>
      </c>
      <c r="F1208" s="42" t="s">
        <v>246</v>
      </c>
      <c r="G1208" s="44">
        <v>39736.57</v>
      </c>
      <c r="H1208" s="44">
        <v>52960.99</v>
      </c>
      <c r="I1208" s="44">
        <v>58447.34</v>
      </c>
      <c r="J1208" s="44">
        <v>56300.92</v>
      </c>
      <c r="K1208" t="s">
        <v>198</v>
      </c>
    </row>
    <row r="1209" spans="1:11" ht="16.95" hidden="1" customHeight="1" x14ac:dyDescent="0.3">
      <c r="A1209" s="42" t="s">
        <v>304</v>
      </c>
      <c r="B1209" s="42" t="s">
        <v>239</v>
      </c>
      <c r="C1209" s="42" t="s">
        <v>210</v>
      </c>
      <c r="D1209" s="42" t="s">
        <v>278</v>
      </c>
      <c r="E1209" s="42" t="s">
        <v>241</v>
      </c>
      <c r="F1209" s="42" t="s">
        <v>247</v>
      </c>
      <c r="G1209" s="44">
        <v>48940.18</v>
      </c>
      <c r="H1209" s="44">
        <v>52852.480000000003</v>
      </c>
      <c r="I1209" s="44">
        <v>60139.92</v>
      </c>
      <c r="J1209" s="44">
        <v>56483.79</v>
      </c>
      <c r="K1209" t="s">
        <v>198</v>
      </c>
    </row>
    <row r="1210" spans="1:11" ht="16.95" hidden="1" customHeight="1" x14ac:dyDescent="0.3">
      <c r="A1210" s="42" t="s">
        <v>304</v>
      </c>
      <c r="B1210" s="42" t="s">
        <v>239</v>
      </c>
      <c r="C1210" s="42" t="s">
        <v>210</v>
      </c>
      <c r="D1210" s="42" t="s">
        <v>278</v>
      </c>
      <c r="E1210" s="42" t="s">
        <v>241</v>
      </c>
      <c r="F1210" s="42" t="s">
        <v>248</v>
      </c>
      <c r="G1210" s="44">
        <v>47392.65</v>
      </c>
      <c r="H1210" s="44">
        <v>57368.11</v>
      </c>
      <c r="I1210" s="44">
        <v>60622.47</v>
      </c>
      <c r="J1210" s="44">
        <v>55907.88</v>
      </c>
      <c r="K1210" t="s">
        <v>198</v>
      </c>
    </row>
    <row r="1211" spans="1:11" ht="16.95" hidden="1" customHeight="1" x14ac:dyDescent="0.3">
      <c r="A1211" s="42" t="s">
        <v>304</v>
      </c>
      <c r="B1211" s="42" t="s">
        <v>239</v>
      </c>
      <c r="C1211" s="42" t="s">
        <v>210</v>
      </c>
      <c r="D1211" s="42" t="s">
        <v>278</v>
      </c>
      <c r="E1211" s="42" t="s">
        <v>241</v>
      </c>
      <c r="F1211" s="42" t="s">
        <v>249</v>
      </c>
      <c r="G1211" s="44">
        <v>46719.92</v>
      </c>
      <c r="H1211" s="44">
        <v>54140.3</v>
      </c>
      <c r="I1211" s="44">
        <v>61873.02</v>
      </c>
      <c r="J1211" s="44">
        <v>54667.97</v>
      </c>
      <c r="K1211" t="s">
        <v>198</v>
      </c>
    </row>
    <row r="1212" spans="1:11" ht="16.95" hidden="1" customHeight="1" x14ac:dyDescent="0.3">
      <c r="A1212" s="42" t="s">
        <v>304</v>
      </c>
      <c r="B1212" s="42" t="s">
        <v>239</v>
      </c>
      <c r="C1212" s="42" t="s">
        <v>210</v>
      </c>
      <c r="D1212" s="42" t="s">
        <v>278</v>
      </c>
      <c r="E1212" s="42" t="s">
        <v>241</v>
      </c>
      <c r="F1212" s="42" t="s">
        <v>250</v>
      </c>
      <c r="G1212" s="44">
        <v>50397.04</v>
      </c>
      <c r="H1212" s="44">
        <v>60072.47</v>
      </c>
      <c r="I1212" s="44">
        <v>63706.53</v>
      </c>
      <c r="J1212" s="44">
        <v>54699.77</v>
      </c>
      <c r="K1212" t="s">
        <v>198</v>
      </c>
    </row>
    <row r="1213" spans="1:11" ht="16.95" hidden="1" customHeight="1" x14ac:dyDescent="0.3">
      <c r="A1213" s="42" t="s">
        <v>304</v>
      </c>
      <c r="B1213" s="42" t="s">
        <v>239</v>
      </c>
      <c r="C1213" s="42" t="s">
        <v>210</v>
      </c>
      <c r="D1213" s="42" t="s">
        <v>278</v>
      </c>
      <c r="E1213" s="42" t="s">
        <v>241</v>
      </c>
      <c r="F1213" s="42" t="s">
        <v>251</v>
      </c>
      <c r="G1213" s="44">
        <v>50354.37</v>
      </c>
      <c r="H1213" s="44">
        <v>55688.74</v>
      </c>
      <c r="I1213" s="44">
        <v>61098.98</v>
      </c>
      <c r="J1213" s="44">
        <v>53243.12</v>
      </c>
      <c r="K1213" t="s">
        <v>198</v>
      </c>
    </row>
    <row r="1214" spans="1:11" ht="16.95" hidden="1" customHeight="1" x14ac:dyDescent="0.3">
      <c r="A1214" s="42" t="s">
        <v>304</v>
      </c>
      <c r="B1214" s="42" t="s">
        <v>239</v>
      </c>
      <c r="C1214" s="42" t="s">
        <v>210</v>
      </c>
      <c r="D1214" s="42" t="s">
        <v>278</v>
      </c>
      <c r="E1214" s="42" t="s">
        <v>241</v>
      </c>
      <c r="F1214" s="42" t="s">
        <v>252</v>
      </c>
      <c r="G1214" s="44">
        <v>53934.95</v>
      </c>
      <c r="H1214" s="44">
        <v>57643.46</v>
      </c>
      <c r="I1214" s="44">
        <v>66611.789999999994</v>
      </c>
      <c r="J1214" s="44">
        <v>57330.25</v>
      </c>
      <c r="K1214" t="s">
        <v>198</v>
      </c>
    </row>
    <row r="1215" spans="1:11" ht="16.95" hidden="1" customHeight="1" x14ac:dyDescent="0.3">
      <c r="A1215" s="42" t="s">
        <v>304</v>
      </c>
      <c r="B1215" s="42" t="s">
        <v>239</v>
      </c>
      <c r="C1215" s="42" t="s">
        <v>210</v>
      </c>
      <c r="D1215" s="42" t="s">
        <v>278</v>
      </c>
      <c r="E1215" s="42" t="s">
        <v>241</v>
      </c>
      <c r="F1215" s="42" t="s">
        <v>253</v>
      </c>
      <c r="G1215" s="44">
        <v>48817.26</v>
      </c>
      <c r="H1215" s="44">
        <v>61054.41</v>
      </c>
      <c r="I1215" s="44">
        <v>55364.41</v>
      </c>
      <c r="J1215" s="44">
        <v>56858.42</v>
      </c>
      <c r="K1215" t="s">
        <v>198</v>
      </c>
    </row>
    <row r="1216" spans="1:11" ht="16.95" hidden="1" customHeight="1" x14ac:dyDescent="0.3">
      <c r="A1216" s="42" t="s">
        <v>304</v>
      </c>
      <c r="B1216" s="42" t="s">
        <v>239</v>
      </c>
      <c r="C1216" s="42" t="s">
        <v>210</v>
      </c>
      <c r="D1216" s="42" t="s">
        <v>279</v>
      </c>
      <c r="E1216" s="42" t="s">
        <v>241</v>
      </c>
      <c r="F1216" s="42" t="s">
        <v>242</v>
      </c>
      <c r="G1216" s="44">
        <v>36119.550000000003</v>
      </c>
      <c r="H1216" s="44">
        <v>43263.7</v>
      </c>
      <c r="I1216" s="44">
        <v>42892.61</v>
      </c>
      <c r="J1216" s="44">
        <v>36477.980000000003</v>
      </c>
      <c r="K1216" s="44">
        <v>60468.32</v>
      </c>
    </row>
    <row r="1217" spans="1:11" ht="16.95" hidden="1" customHeight="1" x14ac:dyDescent="0.3">
      <c r="A1217" s="42" t="s">
        <v>304</v>
      </c>
      <c r="B1217" s="42" t="s">
        <v>239</v>
      </c>
      <c r="C1217" s="42" t="s">
        <v>210</v>
      </c>
      <c r="D1217" s="42" t="s">
        <v>279</v>
      </c>
      <c r="E1217" s="42" t="s">
        <v>241</v>
      </c>
      <c r="F1217" s="42" t="s">
        <v>243</v>
      </c>
      <c r="G1217" s="44">
        <v>41863.81</v>
      </c>
      <c r="H1217" s="44">
        <v>39749.32</v>
      </c>
      <c r="I1217" s="44">
        <v>36627.919999999998</v>
      </c>
      <c r="J1217" s="44">
        <v>34490.339999999997</v>
      </c>
      <c r="K1217" t="s">
        <v>198</v>
      </c>
    </row>
    <row r="1218" spans="1:11" ht="16.95" hidden="1" customHeight="1" x14ac:dyDescent="0.3">
      <c r="A1218" s="42" t="s">
        <v>304</v>
      </c>
      <c r="B1218" s="42" t="s">
        <v>239</v>
      </c>
      <c r="C1218" s="42" t="s">
        <v>210</v>
      </c>
      <c r="D1218" s="42" t="s">
        <v>279</v>
      </c>
      <c r="E1218" s="42" t="s">
        <v>241</v>
      </c>
      <c r="F1218" s="42" t="s">
        <v>244</v>
      </c>
      <c r="G1218" s="44">
        <v>39059.24</v>
      </c>
      <c r="H1218" s="44">
        <v>39159.85</v>
      </c>
      <c r="I1218" s="44">
        <v>41071.06</v>
      </c>
      <c r="J1218" s="44">
        <v>38204.080000000002</v>
      </c>
      <c r="K1218" s="44">
        <v>59854.57</v>
      </c>
    </row>
    <row r="1219" spans="1:11" ht="16.95" hidden="1" customHeight="1" x14ac:dyDescent="0.3">
      <c r="A1219" s="42" t="s">
        <v>304</v>
      </c>
      <c r="B1219" s="42" t="s">
        <v>239</v>
      </c>
      <c r="C1219" s="42" t="s">
        <v>210</v>
      </c>
      <c r="D1219" s="42" t="s">
        <v>279</v>
      </c>
      <c r="E1219" s="42" t="s">
        <v>241</v>
      </c>
      <c r="F1219" s="42" t="s">
        <v>245</v>
      </c>
      <c r="G1219" s="44">
        <v>39543.35</v>
      </c>
      <c r="H1219" s="44">
        <v>39510.660000000003</v>
      </c>
      <c r="I1219" s="44">
        <v>40050.68</v>
      </c>
      <c r="J1219" s="44">
        <v>42825.08</v>
      </c>
      <c r="K1219" t="s">
        <v>198</v>
      </c>
    </row>
    <row r="1220" spans="1:11" ht="16.95" hidden="1" customHeight="1" x14ac:dyDescent="0.3">
      <c r="A1220" s="42" t="s">
        <v>304</v>
      </c>
      <c r="B1220" s="42" t="s">
        <v>239</v>
      </c>
      <c r="C1220" s="42" t="s">
        <v>210</v>
      </c>
      <c r="D1220" s="42" t="s">
        <v>279</v>
      </c>
      <c r="E1220" s="42" t="s">
        <v>241</v>
      </c>
      <c r="F1220" s="42" t="s">
        <v>246</v>
      </c>
      <c r="G1220" s="44">
        <v>40369.9</v>
      </c>
      <c r="H1220" s="44">
        <v>41022.68</v>
      </c>
      <c r="I1220" s="44">
        <v>40853.050000000003</v>
      </c>
      <c r="J1220" s="44">
        <v>44851.37</v>
      </c>
      <c r="K1220" t="s">
        <v>198</v>
      </c>
    </row>
    <row r="1221" spans="1:11" ht="16.95" hidden="1" customHeight="1" x14ac:dyDescent="0.3">
      <c r="A1221" s="42" t="s">
        <v>304</v>
      </c>
      <c r="B1221" s="42" t="s">
        <v>239</v>
      </c>
      <c r="C1221" s="42" t="s">
        <v>210</v>
      </c>
      <c r="D1221" s="42" t="s">
        <v>279</v>
      </c>
      <c r="E1221" s="42" t="s">
        <v>241</v>
      </c>
      <c r="F1221" s="42" t="s">
        <v>247</v>
      </c>
      <c r="G1221" s="44">
        <v>35457.08</v>
      </c>
      <c r="H1221" s="44">
        <v>41821.35</v>
      </c>
      <c r="I1221" s="44">
        <v>39815.57</v>
      </c>
      <c r="J1221" s="44">
        <v>41808.49</v>
      </c>
      <c r="K1221" t="s">
        <v>198</v>
      </c>
    </row>
    <row r="1222" spans="1:11" ht="16.95" hidden="1" customHeight="1" x14ac:dyDescent="0.3">
      <c r="A1222" s="42" t="s">
        <v>304</v>
      </c>
      <c r="B1222" s="42" t="s">
        <v>239</v>
      </c>
      <c r="C1222" s="42" t="s">
        <v>210</v>
      </c>
      <c r="D1222" s="42" t="s">
        <v>279</v>
      </c>
      <c r="E1222" s="42" t="s">
        <v>241</v>
      </c>
      <c r="F1222" s="42" t="s">
        <v>248</v>
      </c>
      <c r="G1222" s="44">
        <v>36298.46</v>
      </c>
      <c r="H1222" s="44">
        <v>43521.89</v>
      </c>
      <c r="I1222" s="44">
        <v>39978.99</v>
      </c>
      <c r="J1222" s="44">
        <v>39549.99</v>
      </c>
      <c r="K1222" t="s">
        <v>198</v>
      </c>
    </row>
    <row r="1223" spans="1:11" ht="16.95" hidden="1" customHeight="1" x14ac:dyDescent="0.3">
      <c r="A1223" s="42" t="s">
        <v>304</v>
      </c>
      <c r="B1223" s="42" t="s">
        <v>239</v>
      </c>
      <c r="C1223" s="42" t="s">
        <v>210</v>
      </c>
      <c r="D1223" s="42" t="s">
        <v>279</v>
      </c>
      <c r="E1223" s="42" t="s">
        <v>241</v>
      </c>
      <c r="F1223" s="42" t="s">
        <v>249</v>
      </c>
      <c r="G1223" s="44">
        <v>41704.21</v>
      </c>
      <c r="H1223" s="44">
        <v>46192.29</v>
      </c>
      <c r="I1223" s="44">
        <v>42613.11</v>
      </c>
      <c r="J1223" s="44">
        <v>41624.160000000003</v>
      </c>
      <c r="K1223" t="s">
        <v>198</v>
      </c>
    </row>
    <row r="1224" spans="1:11" ht="16.95" hidden="1" customHeight="1" x14ac:dyDescent="0.3">
      <c r="A1224" s="42" t="s">
        <v>304</v>
      </c>
      <c r="B1224" s="42" t="s">
        <v>239</v>
      </c>
      <c r="C1224" s="42" t="s">
        <v>210</v>
      </c>
      <c r="D1224" s="42" t="s">
        <v>279</v>
      </c>
      <c r="E1224" s="42" t="s">
        <v>241</v>
      </c>
      <c r="F1224" s="42" t="s">
        <v>250</v>
      </c>
      <c r="G1224" s="44">
        <v>40913.15</v>
      </c>
      <c r="H1224" s="44">
        <v>41141.39</v>
      </c>
      <c r="I1224" s="44">
        <v>40822.379999999997</v>
      </c>
      <c r="J1224" s="44">
        <v>41746.69</v>
      </c>
      <c r="K1224" t="s">
        <v>198</v>
      </c>
    </row>
    <row r="1225" spans="1:11" ht="16.95" hidden="1" customHeight="1" x14ac:dyDescent="0.3">
      <c r="A1225" s="42" t="s">
        <v>304</v>
      </c>
      <c r="B1225" s="42" t="s">
        <v>239</v>
      </c>
      <c r="C1225" s="42" t="s">
        <v>210</v>
      </c>
      <c r="D1225" s="42" t="s">
        <v>279</v>
      </c>
      <c r="E1225" s="42" t="s">
        <v>241</v>
      </c>
      <c r="F1225" s="42" t="s">
        <v>251</v>
      </c>
      <c r="G1225" s="44">
        <v>37069.800000000003</v>
      </c>
      <c r="H1225" s="44">
        <v>43376.97</v>
      </c>
      <c r="I1225" s="44">
        <v>38790.57</v>
      </c>
      <c r="J1225" s="44">
        <v>40850.74</v>
      </c>
      <c r="K1225" t="s">
        <v>198</v>
      </c>
    </row>
    <row r="1226" spans="1:11" ht="16.95" hidden="1" customHeight="1" x14ac:dyDescent="0.3">
      <c r="A1226" s="42" t="s">
        <v>304</v>
      </c>
      <c r="B1226" s="42" t="s">
        <v>239</v>
      </c>
      <c r="C1226" s="42" t="s">
        <v>210</v>
      </c>
      <c r="D1226" s="42" t="s">
        <v>279</v>
      </c>
      <c r="E1226" s="42" t="s">
        <v>241</v>
      </c>
      <c r="F1226" s="42" t="s">
        <v>252</v>
      </c>
      <c r="G1226" s="44">
        <v>39798.800000000003</v>
      </c>
      <c r="H1226" s="44">
        <v>39477.86</v>
      </c>
      <c r="I1226" s="44">
        <v>39315.74</v>
      </c>
      <c r="J1226" s="43">
        <v>41100</v>
      </c>
      <c r="K1226" t="s">
        <v>198</v>
      </c>
    </row>
    <row r="1227" spans="1:11" ht="16.95" hidden="1" customHeight="1" x14ac:dyDescent="0.3">
      <c r="A1227" s="42" t="s">
        <v>304</v>
      </c>
      <c r="B1227" s="42" t="s">
        <v>239</v>
      </c>
      <c r="C1227" s="42" t="s">
        <v>210</v>
      </c>
      <c r="D1227" s="42" t="s">
        <v>279</v>
      </c>
      <c r="E1227" s="42" t="s">
        <v>241</v>
      </c>
      <c r="F1227" s="42" t="s">
        <v>253</v>
      </c>
      <c r="G1227" s="44">
        <v>38843.230000000003</v>
      </c>
      <c r="H1227" s="44">
        <v>37737.99</v>
      </c>
      <c r="I1227" s="44">
        <v>34396.39</v>
      </c>
      <c r="J1227" s="44">
        <v>36499.85</v>
      </c>
      <c r="K1227" t="s">
        <v>198</v>
      </c>
    </row>
    <row r="1228" spans="1:11" ht="16.95" hidden="1" customHeight="1" x14ac:dyDescent="0.3">
      <c r="A1228" s="42" t="s">
        <v>304</v>
      </c>
      <c r="B1228" s="42" t="s">
        <v>239</v>
      </c>
      <c r="C1228" s="42" t="s">
        <v>210</v>
      </c>
      <c r="D1228" s="42" t="s">
        <v>280</v>
      </c>
      <c r="E1228" s="42" t="s">
        <v>241</v>
      </c>
      <c r="F1228" s="42" t="s">
        <v>242</v>
      </c>
      <c r="G1228" s="44">
        <v>140394.31</v>
      </c>
      <c r="H1228" t="s">
        <v>198</v>
      </c>
      <c r="I1228" t="s">
        <v>198</v>
      </c>
      <c r="J1228" t="s">
        <v>198</v>
      </c>
      <c r="K1228" t="s">
        <v>198</v>
      </c>
    </row>
    <row r="1229" spans="1:11" ht="16.95" hidden="1" customHeight="1" x14ac:dyDescent="0.3">
      <c r="A1229" s="42" t="s">
        <v>304</v>
      </c>
      <c r="B1229" s="42" t="s">
        <v>239</v>
      </c>
      <c r="C1229" s="42" t="s">
        <v>210</v>
      </c>
      <c r="D1229" s="42" t="s">
        <v>280</v>
      </c>
      <c r="E1229" s="42" t="s">
        <v>241</v>
      </c>
      <c r="F1229" s="42" t="s">
        <v>243</v>
      </c>
      <c r="G1229" s="44">
        <v>141585.28</v>
      </c>
      <c r="H1229" t="s">
        <v>198</v>
      </c>
      <c r="I1229" t="s">
        <v>198</v>
      </c>
      <c r="J1229" t="s">
        <v>198</v>
      </c>
      <c r="K1229" t="s">
        <v>198</v>
      </c>
    </row>
    <row r="1230" spans="1:11" ht="16.95" hidden="1" customHeight="1" x14ac:dyDescent="0.3">
      <c r="A1230" s="42" t="s">
        <v>304</v>
      </c>
      <c r="B1230" s="42" t="s">
        <v>239</v>
      </c>
      <c r="C1230" s="42" t="s">
        <v>210</v>
      </c>
      <c r="D1230" s="42" t="s">
        <v>280</v>
      </c>
      <c r="E1230" s="42" t="s">
        <v>241</v>
      </c>
      <c r="F1230" s="42" t="s">
        <v>244</v>
      </c>
      <c r="G1230" s="44">
        <v>141585.49</v>
      </c>
      <c r="H1230" t="s">
        <v>198</v>
      </c>
      <c r="I1230" t="s">
        <v>198</v>
      </c>
      <c r="J1230" t="s">
        <v>198</v>
      </c>
      <c r="K1230" t="s">
        <v>198</v>
      </c>
    </row>
    <row r="1231" spans="1:11" ht="16.95" hidden="1" customHeight="1" x14ac:dyDescent="0.3">
      <c r="A1231" s="42" t="s">
        <v>304</v>
      </c>
      <c r="B1231" s="42" t="s">
        <v>239</v>
      </c>
      <c r="C1231" s="42" t="s">
        <v>210</v>
      </c>
      <c r="D1231" s="42" t="s">
        <v>280</v>
      </c>
      <c r="E1231" s="42" t="s">
        <v>241</v>
      </c>
      <c r="F1231" s="42" t="s">
        <v>245</v>
      </c>
      <c r="G1231" s="44">
        <v>141585.47</v>
      </c>
      <c r="H1231" t="s">
        <v>198</v>
      </c>
      <c r="I1231" t="s">
        <v>198</v>
      </c>
      <c r="J1231" t="s">
        <v>198</v>
      </c>
      <c r="K1231" t="s">
        <v>198</v>
      </c>
    </row>
    <row r="1232" spans="1:11" ht="16.95" hidden="1" customHeight="1" x14ac:dyDescent="0.3">
      <c r="A1232" s="42" t="s">
        <v>304</v>
      </c>
      <c r="B1232" s="42" t="s">
        <v>239</v>
      </c>
      <c r="C1232" s="42" t="s">
        <v>210</v>
      </c>
      <c r="D1232" s="42" t="s">
        <v>280</v>
      </c>
      <c r="E1232" s="42" t="s">
        <v>241</v>
      </c>
      <c r="F1232" s="42" t="s">
        <v>246</v>
      </c>
      <c r="G1232" s="44">
        <v>141585.73000000001</v>
      </c>
      <c r="H1232" t="s">
        <v>198</v>
      </c>
      <c r="I1232" t="s">
        <v>198</v>
      </c>
      <c r="J1232" t="s">
        <v>198</v>
      </c>
      <c r="K1232" t="s">
        <v>198</v>
      </c>
    </row>
    <row r="1233" spans="1:11" ht="16.95" hidden="1" customHeight="1" x14ac:dyDescent="0.3">
      <c r="A1233" s="42" t="s">
        <v>304</v>
      </c>
      <c r="B1233" s="42" t="s">
        <v>239</v>
      </c>
      <c r="C1233" s="42" t="s">
        <v>210</v>
      </c>
      <c r="D1233" s="42" t="s">
        <v>280</v>
      </c>
      <c r="E1233" s="42" t="s">
        <v>241</v>
      </c>
      <c r="F1233" s="42" t="s">
        <v>247</v>
      </c>
      <c r="G1233" s="44">
        <v>141585.60999999999</v>
      </c>
      <c r="H1233" t="s">
        <v>198</v>
      </c>
      <c r="I1233" t="s">
        <v>198</v>
      </c>
      <c r="J1233" t="s">
        <v>198</v>
      </c>
      <c r="K1233" t="s">
        <v>198</v>
      </c>
    </row>
    <row r="1234" spans="1:11" ht="16.95" hidden="1" customHeight="1" x14ac:dyDescent="0.3">
      <c r="A1234" s="42" t="s">
        <v>304</v>
      </c>
      <c r="B1234" s="42" t="s">
        <v>239</v>
      </c>
      <c r="C1234" s="42" t="s">
        <v>210</v>
      </c>
      <c r="D1234" s="42" t="s">
        <v>280</v>
      </c>
      <c r="E1234" s="42" t="s">
        <v>241</v>
      </c>
      <c r="F1234" s="42" t="s">
        <v>248</v>
      </c>
      <c r="G1234" s="44">
        <v>141585.5</v>
      </c>
      <c r="H1234" t="s">
        <v>198</v>
      </c>
      <c r="I1234" t="s">
        <v>198</v>
      </c>
      <c r="J1234" t="s">
        <v>198</v>
      </c>
      <c r="K1234" t="s">
        <v>198</v>
      </c>
    </row>
    <row r="1235" spans="1:11" ht="16.95" hidden="1" customHeight="1" x14ac:dyDescent="0.3">
      <c r="A1235" s="42" t="s">
        <v>304</v>
      </c>
      <c r="B1235" s="42" t="s">
        <v>239</v>
      </c>
      <c r="C1235" s="42" t="s">
        <v>210</v>
      </c>
      <c r="D1235" s="42" t="s">
        <v>280</v>
      </c>
      <c r="E1235" s="42" t="s">
        <v>241</v>
      </c>
      <c r="F1235" s="42" t="s">
        <v>249</v>
      </c>
      <c r="G1235" s="44">
        <v>141585.68</v>
      </c>
      <c r="H1235" t="s">
        <v>198</v>
      </c>
      <c r="I1235" t="s">
        <v>198</v>
      </c>
      <c r="J1235" t="s">
        <v>198</v>
      </c>
      <c r="K1235" t="s">
        <v>198</v>
      </c>
    </row>
    <row r="1236" spans="1:11" ht="16.95" hidden="1" customHeight="1" x14ac:dyDescent="0.3">
      <c r="A1236" s="42" t="s">
        <v>304</v>
      </c>
      <c r="B1236" s="42" t="s">
        <v>239</v>
      </c>
      <c r="C1236" s="42" t="s">
        <v>210</v>
      </c>
      <c r="D1236" s="42" t="s">
        <v>280</v>
      </c>
      <c r="E1236" s="42" t="s">
        <v>241</v>
      </c>
      <c r="F1236" s="42" t="s">
        <v>250</v>
      </c>
      <c r="G1236" s="44">
        <v>141585.62</v>
      </c>
      <c r="H1236" t="s">
        <v>198</v>
      </c>
      <c r="I1236" t="s">
        <v>198</v>
      </c>
      <c r="J1236" t="s">
        <v>198</v>
      </c>
      <c r="K1236" t="s">
        <v>198</v>
      </c>
    </row>
    <row r="1237" spans="1:11" ht="16.95" hidden="1" customHeight="1" x14ac:dyDescent="0.3">
      <c r="A1237" s="42" t="s">
        <v>304</v>
      </c>
      <c r="B1237" s="42" t="s">
        <v>239</v>
      </c>
      <c r="C1237" s="42" t="s">
        <v>210</v>
      </c>
      <c r="D1237" s="42" t="s">
        <v>280</v>
      </c>
      <c r="E1237" s="42" t="s">
        <v>241</v>
      </c>
      <c r="F1237" s="42" t="s">
        <v>251</v>
      </c>
      <c r="G1237" s="44">
        <v>141585.49</v>
      </c>
      <c r="H1237" t="s">
        <v>198</v>
      </c>
      <c r="I1237" t="s">
        <v>198</v>
      </c>
      <c r="J1237" t="s">
        <v>198</v>
      </c>
      <c r="K1237" t="s">
        <v>198</v>
      </c>
    </row>
    <row r="1238" spans="1:11" ht="16.95" hidden="1" customHeight="1" x14ac:dyDescent="0.3">
      <c r="A1238" s="42" t="s">
        <v>304</v>
      </c>
      <c r="B1238" s="42" t="s">
        <v>239</v>
      </c>
      <c r="C1238" s="42" t="s">
        <v>210</v>
      </c>
      <c r="D1238" s="42" t="s">
        <v>280</v>
      </c>
      <c r="E1238" s="42" t="s">
        <v>241</v>
      </c>
      <c r="F1238" s="42" t="s">
        <v>252</v>
      </c>
      <c r="G1238" s="44">
        <v>141585.49</v>
      </c>
      <c r="H1238" t="s">
        <v>198</v>
      </c>
      <c r="I1238" t="s">
        <v>198</v>
      </c>
      <c r="J1238" t="s">
        <v>198</v>
      </c>
      <c r="K1238" t="s">
        <v>198</v>
      </c>
    </row>
    <row r="1239" spans="1:11" ht="16.95" hidden="1" customHeight="1" x14ac:dyDescent="0.3">
      <c r="A1239" s="42" t="s">
        <v>304</v>
      </c>
      <c r="B1239" s="42" t="s">
        <v>239</v>
      </c>
      <c r="C1239" s="42" t="s">
        <v>210</v>
      </c>
      <c r="D1239" s="42" t="s">
        <v>280</v>
      </c>
      <c r="E1239" s="42" t="s">
        <v>241</v>
      </c>
      <c r="F1239" s="42" t="s">
        <v>253</v>
      </c>
      <c r="G1239" s="44">
        <v>141585.54</v>
      </c>
      <c r="H1239" t="s">
        <v>198</v>
      </c>
      <c r="I1239" t="s">
        <v>198</v>
      </c>
      <c r="J1239" t="s">
        <v>198</v>
      </c>
      <c r="K1239" t="s">
        <v>198</v>
      </c>
    </row>
    <row r="1240" spans="1:11" ht="16.95" hidden="1" customHeight="1" x14ac:dyDescent="0.3">
      <c r="A1240" s="42" t="s">
        <v>304</v>
      </c>
      <c r="B1240" s="42" t="s">
        <v>239</v>
      </c>
      <c r="C1240" s="42" t="s">
        <v>210</v>
      </c>
      <c r="D1240" s="42" t="s">
        <v>283</v>
      </c>
      <c r="E1240" s="42" t="s">
        <v>241</v>
      </c>
      <c r="F1240" s="42" t="s">
        <v>242</v>
      </c>
      <c r="G1240" t="s">
        <v>198</v>
      </c>
      <c r="H1240" t="s">
        <v>198</v>
      </c>
      <c r="I1240" t="s">
        <v>198</v>
      </c>
      <c r="J1240" s="44">
        <v>36776.35</v>
      </c>
      <c r="K1240" t="s">
        <v>198</v>
      </c>
    </row>
    <row r="1241" spans="1:11" ht="16.95" hidden="1" customHeight="1" x14ac:dyDescent="0.3">
      <c r="A1241" s="42" t="s">
        <v>304</v>
      </c>
      <c r="B1241" s="42" t="s">
        <v>239</v>
      </c>
      <c r="C1241" s="42" t="s">
        <v>210</v>
      </c>
      <c r="D1241" s="42" t="s">
        <v>283</v>
      </c>
      <c r="E1241" s="42" t="s">
        <v>241</v>
      </c>
      <c r="F1241" s="42" t="s">
        <v>243</v>
      </c>
      <c r="G1241" t="s">
        <v>198</v>
      </c>
      <c r="H1241" t="s">
        <v>198</v>
      </c>
      <c r="I1241" t="s">
        <v>198</v>
      </c>
      <c r="J1241" s="44">
        <v>40800.03</v>
      </c>
      <c r="K1241" t="s">
        <v>198</v>
      </c>
    </row>
    <row r="1242" spans="1:11" ht="16.95" hidden="1" customHeight="1" x14ac:dyDescent="0.3">
      <c r="A1242" s="42" t="s">
        <v>304</v>
      </c>
      <c r="B1242" s="42" t="s">
        <v>239</v>
      </c>
      <c r="C1242" s="42" t="s">
        <v>210</v>
      </c>
      <c r="D1242" s="42" t="s">
        <v>283</v>
      </c>
      <c r="E1242" s="42" t="s">
        <v>241</v>
      </c>
      <c r="F1242" s="42" t="s">
        <v>244</v>
      </c>
      <c r="G1242" t="s">
        <v>198</v>
      </c>
      <c r="H1242" t="s">
        <v>198</v>
      </c>
      <c r="I1242" t="s">
        <v>198</v>
      </c>
      <c r="J1242" s="44">
        <v>55226.55</v>
      </c>
      <c r="K1242" t="s">
        <v>198</v>
      </c>
    </row>
    <row r="1243" spans="1:11" ht="16.95" hidden="1" customHeight="1" x14ac:dyDescent="0.3">
      <c r="A1243" s="42" t="s">
        <v>304</v>
      </c>
      <c r="B1243" s="42" t="s">
        <v>239</v>
      </c>
      <c r="C1243" s="42" t="s">
        <v>210</v>
      </c>
      <c r="D1243" s="42" t="s">
        <v>283</v>
      </c>
      <c r="E1243" s="42" t="s">
        <v>241</v>
      </c>
      <c r="F1243" s="42" t="s">
        <v>245</v>
      </c>
      <c r="G1243" t="s">
        <v>198</v>
      </c>
      <c r="H1243" t="s">
        <v>198</v>
      </c>
      <c r="I1243" t="s">
        <v>198</v>
      </c>
      <c r="J1243" s="44">
        <v>54062.91</v>
      </c>
      <c r="K1243" t="s">
        <v>198</v>
      </c>
    </row>
    <row r="1244" spans="1:11" ht="16.95" hidden="1" customHeight="1" x14ac:dyDescent="0.3">
      <c r="A1244" s="42" t="s">
        <v>304</v>
      </c>
      <c r="B1244" s="42" t="s">
        <v>239</v>
      </c>
      <c r="C1244" s="42" t="s">
        <v>210</v>
      </c>
      <c r="D1244" s="42" t="s">
        <v>283</v>
      </c>
      <c r="E1244" s="42" t="s">
        <v>241</v>
      </c>
      <c r="F1244" s="42" t="s">
        <v>246</v>
      </c>
      <c r="G1244" t="s">
        <v>198</v>
      </c>
      <c r="H1244" t="s">
        <v>198</v>
      </c>
      <c r="I1244" t="s">
        <v>198</v>
      </c>
      <c r="J1244" s="44">
        <v>41250.35</v>
      </c>
      <c r="K1244" t="s">
        <v>198</v>
      </c>
    </row>
    <row r="1245" spans="1:11" ht="16.95" hidden="1" customHeight="1" x14ac:dyDescent="0.3">
      <c r="A1245" s="42" t="s">
        <v>304</v>
      </c>
      <c r="B1245" s="42" t="s">
        <v>239</v>
      </c>
      <c r="C1245" s="42" t="s">
        <v>210</v>
      </c>
      <c r="D1245" s="42" t="s">
        <v>283</v>
      </c>
      <c r="E1245" s="42" t="s">
        <v>241</v>
      </c>
      <c r="F1245" s="42" t="s">
        <v>247</v>
      </c>
      <c r="G1245" t="s">
        <v>198</v>
      </c>
      <c r="H1245" t="s">
        <v>198</v>
      </c>
      <c r="I1245" t="s">
        <v>198</v>
      </c>
      <c r="J1245" s="44">
        <v>39991.58</v>
      </c>
      <c r="K1245" t="s">
        <v>198</v>
      </c>
    </row>
    <row r="1246" spans="1:11" ht="16.95" hidden="1" customHeight="1" x14ac:dyDescent="0.3">
      <c r="A1246" s="42" t="s">
        <v>304</v>
      </c>
      <c r="B1246" s="42" t="s">
        <v>239</v>
      </c>
      <c r="C1246" s="42" t="s">
        <v>210</v>
      </c>
      <c r="D1246" s="42" t="s">
        <v>283</v>
      </c>
      <c r="E1246" s="42" t="s">
        <v>241</v>
      </c>
      <c r="F1246" s="42" t="s">
        <v>248</v>
      </c>
      <c r="G1246" t="s">
        <v>198</v>
      </c>
      <c r="H1246" t="s">
        <v>198</v>
      </c>
      <c r="I1246" t="s">
        <v>198</v>
      </c>
      <c r="J1246" s="44">
        <v>40762.269999999997</v>
      </c>
      <c r="K1246" t="s">
        <v>198</v>
      </c>
    </row>
    <row r="1247" spans="1:11" ht="16.95" hidden="1" customHeight="1" x14ac:dyDescent="0.3">
      <c r="A1247" s="42" t="s">
        <v>304</v>
      </c>
      <c r="B1247" s="42" t="s">
        <v>239</v>
      </c>
      <c r="C1247" s="42" t="s">
        <v>210</v>
      </c>
      <c r="D1247" s="42" t="s">
        <v>283</v>
      </c>
      <c r="E1247" s="42" t="s">
        <v>241</v>
      </c>
      <c r="F1247" s="42" t="s">
        <v>249</v>
      </c>
      <c r="G1247" t="s">
        <v>198</v>
      </c>
      <c r="H1247" t="s">
        <v>198</v>
      </c>
      <c r="I1247" t="s">
        <v>198</v>
      </c>
      <c r="J1247" s="44">
        <v>40608.639999999999</v>
      </c>
      <c r="K1247" t="s">
        <v>198</v>
      </c>
    </row>
    <row r="1248" spans="1:11" ht="16.95" hidden="1" customHeight="1" x14ac:dyDescent="0.3">
      <c r="A1248" s="42" t="s">
        <v>304</v>
      </c>
      <c r="B1248" s="42" t="s">
        <v>239</v>
      </c>
      <c r="C1248" s="42" t="s">
        <v>210</v>
      </c>
      <c r="D1248" s="42" t="s">
        <v>283</v>
      </c>
      <c r="E1248" s="42" t="s">
        <v>241</v>
      </c>
      <c r="F1248" s="42" t="s">
        <v>250</v>
      </c>
      <c r="G1248" t="s">
        <v>198</v>
      </c>
      <c r="H1248" t="s">
        <v>198</v>
      </c>
      <c r="I1248" t="s">
        <v>198</v>
      </c>
      <c r="J1248" s="44">
        <v>39650.92</v>
      </c>
      <c r="K1248" t="s">
        <v>198</v>
      </c>
    </row>
    <row r="1249" spans="1:11" ht="16.95" hidden="1" customHeight="1" x14ac:dyDescent="0.3">
      <c r="A1249" s="42" t="s">
        <v>304</v>
      </c>
      <c r="B1249" s="42" t="s">
        <v>239</v>
      </c>
      <c r="C1249" s="42" t="s">
        <v>210</v>
      </c>
      <c r="D1249" s="42" t="s">
        <v>283</v>
      </c>
      <c r="E1249" s="42" t="s">
        <v>241</v>
      </c>
      <c r="F1249" s="42" t="s">
        <v>251</v>
      </c>
      <c r="G1249" t="s">
        <v>198</v>
      </c>
      <c r="H1249" t="s">
        <v>198</v>
      </c>
      <c r="I1249" t="s">
        <v>198</v>
      </c>
      <c r="J1249" s="44">
        <v>41744.730000000003</v>
      </c>
      <c r="K1249" t="s">
        <v>198</v>
      </c>
    </row>
    <row r="1250" spans="1:11" ht="16.95" hidden="1" customHeight="1" x14ac:dyDescent="0.3">
      <c r="A1250" s="42" t="s">
        <v>304</v>
      </c>
      <c r="B1250" s="42" t="s">
        <v>239</v>
      </c>
      <c r="C1250" s="42" t="s">
        <v>210</v>
      </c>
      <c r="D1250" s="42" t="s">
        <v>283</v>
      </c>
      <c r="E1250" s="42" t="s">
        <v>241</v>
      </c>
      <c r="F1250" s="42" t="s">
        <v>252</v>
      </c>
      <c r="G1250" t="s">
        <v>198</v>
      </c>
      <c r="H1250" t="s">
        <v>198</v>
      </c>
      <c r="I1250" t="s">
        <v>198</v>
      </c>
      <c r="J1250" s="44">
        <v>53498.73</v>
      </c>
      <c r="K1250" t="s">
        <v>198</v>
      </c>
    </row>
    <row r="1251" spans="1:11" ht="16.95" hidden="1" customHeight="1" x14ac:dyDescent="0.3">
      <c r="A1251" s="42" t="s">
        <v>304</v>
      </c>
      <c r="B1251" s="42" t="s">
        <v>239</v>
      </c>
      <c r="C1251" s="42" t="s">
        <v>210</v>
      </c>
      <c r="D1251" s="42" t="s">
        <v>283</v>
      </c>
      <c r="E1251" s="42" t="s">
        <v>241</v>
      </c>
      <c r="F1251" s="42" t="s">
        <v>253</v>
      </c>
      <c r="G1251" t="s">
        <v>198</v>
      </c>
      <c r="H1251" t="s">
        <v>198</v>
      </c>
      <c r="I1251" t="s">
        <v>198</v>
      </c>
      <c r="J1251" s="44">
        <v>53580.08</v>
      </c>
      <c r="K1251" t="s">
        <v>198</v>
      </c>
    </row>
    <row r="1252" spans="1:11" ht="16.95" hidden="1" customHeight="1" x14ac:dyDescent="0.3">
      <c r="A1252" s="42" t="s">
        <v>304</v>
      </c>
      <c r="B1252" s="42" t="s">
        <v>239</v>
      </c>
      <c r="C1252" s="42" t="s">
        <v>210</v>
      </c>
      <c r="D1252" s="42" t="s">
        <v>287</v>
      </c>
      <c r="E1252" s="42" t="s">
        <v>241</v>
      </c>
      <c r="F1252" s="42" t="s">
        <v>242</v>
      </c>
      <c r="G1252" s="44">
        <v>35423.360000000001</v>
      </c>
      <c r="H1252" t="s">
        <v>198</v>
      </c>
      <c r="I1252" t="s">
        <v>198</v>
      </c>
      <c r="J1252" t="s">
        <v>198</v>
      </c>
      <c r="K1252" t="s">
        <v>198</v>
      </c>
    </row>
    <row r="1253" spans="1:11" ht="16.95" hidden="1" customHeight="1" x14ac:dyDescent="0.3">
      <c r="A1253" s="42" t="s">
        <v>304</v>
      </c>
      <c r="B1253" s="42" t="s">
        <v>239</v>
      </c>
      <c r="C1253" s="42" t="s">
        <v>210</v>
      </c>
      <c r="D1253" s="42" t="s">
        <v>287</v>
      </c>
      <c r="E1253" s="42" t="s">
        <v>241</v>
      </c>
      <c r="F1253" s="42" t="s">
        <v>243</v>
      </c>
      <c r="G1253" s="43">
        <v>0</v>
      </c>
      <c r="H1253" t="s">
        <v>198</v>
      </c>
      <c r="I1253" t="s">
        <v>198</v>
      </c>
      <c r="J1253" t="s">
        <v>198</v>
      </c>
      <c r="K1253" t="s">
        <v>198</v>
      </c>
    </row>
    <row r="1254" spans="1:11" ht="16.95" hidden="1" customHeight="1" x14ac:dyDescent="0.3">
      <c r="A1254" s="42" t="s">
        <v>304</v>
      </c>
      <c r="B1254" s="42" t="s">
        <v>239</v>
      </c>
      <c r="C1254" s="42" t="s">
        <v>210</v>
      </c>
      <c r="D1254" s="42" t="s">
        <v>287</v>
      </c>
      <c r="E1254" s="42" t="s">
        <v>241</v>
      </c>
      <c r="F1254" s="42" t="s">
        <v>244</v>
      </c>
      <c r="G1254" s="43">
        <v>0</v>
      </c>
      <c r="H1254" t="s">
        <v>198</v>
      </c>
      <c r="I1254" t="s">
        <v>198</v>
      </c>
      <c r="J1254" t="s">
        <v>198</v>
      </c>
      <c r="K1254" t="s">
        <v>198</v>
      </c>
    </row>
    <row r="1255" spans="1:11" ht="16.95" hidden="1" customHeight="1" x14ac:dyDescent="0.3">
      <c r="A1255" s="42" t="s">
        <v>304</v>
      </c>
      <c r="B1255" s="42" t="s">
        <v>239</v>
      </c>
      <c r="C1255" s="42" t="s">
        <v>210</v>
      </c>
      <c r="D1255" s="42" t="s">
        <v>287</v>
      </c>
      <c r="E1255" s="42" t="s">
        <v>241</v>
      </c>
      <c r="F1255" s="42" t="s">
        <v>245</v>
      </c>
      <c r="G1255" s="43">
        <v>0</v>
      </c>
      <c r="H1255" t="s">
        <v>198</v>
      </c>
      <c r="I1255" t="s">
        <v>198</v>
      </c>
      <c r="J1255" t="s">
        <v>198</v>
      </c>
      <c r="K1255" t="s">
        <v>198</v>
      </c>
    </row>
    <row r="1256" spans="1:11" ht="16.95" hidden="1" customHeight="1" x14ac:dyDescent="0.3">
      <c r="A1256" s="42" t="s">
        <v>304</v>
      </c>
      <c r="B1256" s="42" t="s">
        <v>239</v>
      </c>
      <c r="C1256" s="42" t="s">
        <v>210</v>
      </c>
      <c r="D1256" s="42" t="s">
        <v>287</v>
      </c>
      <c r="E1256" s="42" t="s">
        <v>241</v>
      </c>
      <c r="F1256" s="42" t="s">
        <v>246</v>
      </c>
      <c r="G1256" s="44">
        <v>36900.230000000003</v>
      </c>
      <c r="H1256" t="s">
        <v>198</v>
      </c>
      <c r="I1256" t="s">
        <v>198</v>
      </c>
      <c r="J1256" t="s">
        <v>198</v>
      </c>
      <c r="K1256" t="s">
        <v>198</v>
      </c>
    </row>
    <row r="1257" spans="1:11" ht="16.95" hidden="1" customHeight="1" x14ac:dyDescent="0.3">
      <c r="A1257" s="42" t="s">
        <v>304</v>
      </c>
      <c r="B1257" s="42" t="s">
        <v>239</v>
      </c>
      <c r="C1257" s="42" t="s">
        <v>210</v>
      </c>
      <c r="D1257" s="42" t="s">
        <v>287</v>
      </c>
      <c r="E1257" s="42" t="s">
        <v>241</v>
      </c>
      <c r="F1257" s="42" t="s">
        <v>247</v>
      </c>
      <c r="G1257" s="43">
        <v>0</v>
      </c>
      <c r="H1257" t="s">
        <v>198</v>
      </c>
      <c r="I1257" t="s">
        <v>198</v>
      </c>
      <c r="J1257" t="s">
        <v>198</v>
      </c>
      <c r="K1257" t="s">
        <v>198</v>
      </c>
    </row>
    <row r="1258" spans="1:11" ht="16.95" hidden="1" customHeight="1" x14ac:dyDescent="0.3">
      <c r="A1258" s="42" t="s">
        <v>304</v>
      </c>
      <c r="B1258" s="42" t="s">
        <v>239</v>
      </c>
      <c r="C1258" s="42" t="s">
        <v>210</v>
      </c>
      <c r="D1258" s="42" t="s">
        <v>287</v>
      </c>
      <c r="E1258" s="42" t="s">
        <v>241</v>
      </c>
      <c r="F1258" s="42" t="s">
        <v>248</v>
      </c>
      <c r="G1258" s="43">
        <v>0</v>
      </c>
      <c r="H1258" t="s">
        <v>198</v>
      </c>
      <c r="I1258" t="s">
        <v>198</v>
      </c>
      <c r="J1258" t="s">
        <v>198</v>
      </c>
      <c r="K1258" t="s">
        <v>198</v>
      </c>
    </row>
    <row r="1259" spans="1:11" ht="16.95" hidden="1" customHeight="1" x14ac:dyDescent="0.3">
      <c r="A1259" s="42" t="s">
        <v>304</v>
      </c>
      <c r="B1259" s="42" t="s">
        <v>239</v>
      </c>
      <c r="C1259" s="42" t="s">
        <v>210</v>
      </c>
      <c r="D1259" s="42" t="s">
        <v>287</v>
      </c>
      <c r="E1259" s="42" t="s">
        <v>241</v>
      </c>
      <c r="F1259" s="42" t="s">
        <v>249</v>
      </c>
      <c r="G1259" s="43">
        <v>0</v>
      </c>
      <c r="H1259" t="s">
        <v>198</v>
      </c>
      <c r="I1259" t="s">
        <v>198</v>
      </c>
      <c r="J1259" t="s">
        <v>198</v>
      </c>
      <c r="K1259" t="s">
        <v>198</v>
      </c>
    </row>
    <row r="1260" spans="1:11" ht="16.95" hidden="1" customHeight="1" x14ac:dyDescent="0.3">
      <c r="A1260" s="42" t="s">
        <v>304</v>
      </c>
      <c r="B1260" s="42" t="s">
        <v>239</v>
      </c>
      <c r="C1260" s="42" t="s">
        <v>210</v>
      </c>
      <c r="D1260" s="42" t="s">
        <v>287</v>
      </c>
      <c r="E1260" s="42" t="s">
        <v>241</v>
      </c>
      <c r="F1260" s="42" t="s">
        <v>250</v>
      </c>
      <c r="G1260" s="44">
        <v>35422.47</v>
      </c>
      <c r="H1260" t="s">
        <v>198</v>
      </c>
      <c r="I1260" t="s">
        <v>198</v>
      </c>
      <c r="J1260" t="s">
        <v>198</v>
      </c>
      <c r="K1260" t="s">
        <v>198</v>
      </c>
    </row>
    <row r="1261" spans="1:11" ht="16.95" hidden="1" customHeight="1" x14ac:dyDescent="0.3">
      <c r="A1261" s="42" t="s">
        <v>304</v>
      </c>
      <c r="B1261" s="42" t="s">
        <v>239</v>
      </c>
      <c r="C1261" s="42" t="s">
        <v>210</v>
      </c>
      <c r="D1261" s="42" t="s">
        <v>287</v>
      </c>
      <c r="E1261" s="42" t="s">
        <v>241</v>
      </c>
      <c r="F1261" s="42" t="s">
        <v>251</v>
      </c>
      <c r="G1261" s="44">
        <v>34134.46</v>
      </c>
      <c r="H1261" t="s">
        <v>198</v>
      </c>
      <c r="I1261" t="s">
        <v>198</v>
      </c>
      <c r="J1261" t="s">
        <v>198</v>
      </c>
      <c r="K1261" t="s">
        <v>198</v>
      </c>
    </row>
    <row r="1262" spans="1:11" ht="16.95" hidden="1" customHeight="1" x14ac:dyDescent="0.3">
      <c r="A1262" s="42" t="s">
        <v>304</v>
      </c>
      <c r="B1262" s="42" t="s">
        <v>239</v>
      </c>
      <c r="C1262" s="42" t="s">
        <v>210</v>
      </c>
      <c r="D1262" s="42" t="s">
        <v>287</v>
      </c>
      <c r="E1262" s="42" t="s">
        <v>241</v>
      </c>
      <c r="F1262" s="42" t="s">
        <v>252</v>
      </c>
      <c r="G1262" s="43">
        <v>0</v>
      </c>
      <c r="H1262" t="s">
        <v>198</v>
      </c>
      <c r="I1262" t="s">
        <v>198</v>
      </c>
      <c r="J1262" t="s">
        <v>198</v>
      </c>
      <c r="K1262" t="s">
        <v>198</v>
      </c>
    </row>
    <row r="1263" spans="1:11" ht="16.95" hidden="1" customHeight="1" x14ac:dyDescent="0.3">
      <c r="A1263" s="42" t="s">
        <v>304</v>
      </c>
      <c r="B1263" s="42" t="s">
        <v>239</v>
      </c>
      <c r="C1263" s="42" t="s">
        <v>210</v>
      </c>
      <c r="D1263" s="42" t="s">
        <v>287</v>
      </c>
      <c r="E1263" s="42" t="s">
        <v>241</v>
      </c>
      <c r="F1263" s="42" t="s">
        <v>253</v>
      </c>
      <c r="G1263" s="43">
        <v>0</v>
      </c>
      <c r="H1263" t="s">
        <v>198</v>
      </c>
      <c r="I1263" t="s">
        <v>198</v>
      </c>
      <c r="J1263" t="s">
        <v>198</v>
      </c>
      <c r="K1263" t="s">
        <v>198</v>
      </c>
    </row>
    <row r="1264" spans="1:11" ht="16.95" hidden="1" customHeight="1" x14ac:dyDescent="0.3">
      <c r="A1264" s="42" t="s">
        <v>304</v>
      </c>
      <c r="B1264" s="42" t="s">
        <v>239</v>
      </c>
      <c r="C1264" s="42" t="s">
        <v>210</v>
      </c>
      <c r="D1264" s="42" t="s">
        <v>291</v>
      </c>
      <c r="E1264" s="42" t="s">
        <v>241</v>
      </c>
      <c r="F1264" s="42" t="s">
        <v>242</v>
      </c>
      <c r="G1264" s="43">
        <v>0</v>
      </c>
      <c r="H1264" t="s">
        <v>198</v>
      </c>
      <c r="I1264" t="s">
        <v>198</v>
      </c>
      <c r="J1264" t="s">
        <v>198</v>
      </c>
      <c r="K1264" t="s">
        <v>198</v>
      </c>
    </row>
    <row r="1265" spans="1:11" ht="16.95" hidden="1" customHeight="1" x14ac:dyDescent="0.3">
      <c r="A1265" s="42" t="s">
        <v>304</v>
      </c>
      <c r="B1265" s="42" t="s">
        <v>239</v>
      </c>
      <c r="C1265" s="42" t="s">
        <v>210</v>
      </c>
      <c r="D1265" s="42" t="s">
        <v>291</v>
      </c>
      <c r="E1265" s="42" t="s">
        <v>241</v>
      </c>
      <c r="F1265" s="42" t="s">
        <v>243</v>
      </c>
      <c r="G1265" s="43">
        <v>0</v>
      </c>
      <c r="H1265" t="s">
        <v>198</v>
      </c>
      <c r="I1265" t="s">
        <v>198</v>
      </c>
      <c r="J1265" t="s">
        <v>198</v>
      </c>
      <c r="K1265" t="s">
        <v>198</v>
      </c>
    </row>
    <row r="1266" spans="1:11" ht="16.95" hidden="1" customHeight="1" x14ac:dyDescent="0.3">
      <c r="A1266" s="42" t="s">
        <v>304</v>
      </c>
      <c r="B1266" s="42" t="s">
        <v>239</v>
      </c>
      <c r="C1266" s="42" t="s">
        <v>210</v>
      </c>
      <c r="D1266" s="42" t="s">
        <v>291</v>
      </c>
      <c r="E1266" s="42" t="s">
        <v>241</v>
      </c>
      <c r="F1266" s="42" t="s">
        <v>244</v>
      </c>
      <c r="G1266" s="43">
        <v>0</v>
      </c>
      <c r="H1266" t="s">
        <v>198</v>
      </c>
      <c r="I1266" t="s">
        <v>198</v>
      </c>
      <c r="J1266" t="s">
        <v>198</v>
      </c>
      <c r="K1266" t="s">
        <v>198</v>
      </c>
    </row>
    <row r="1267" spans="1:11" ht="16.95" hidden="1" customHeight="1" x14ac:dyDescent="0.3">
      <c r="A1267" s="42" t="s">
        <v>304</v>
      </c>
      <c r="B1267" s="42" t="s">
        <v>239</v>
      </c>
      <c r="C1267" s="42" t="s">
        <v>210</v>
      </c>
      <c r="D1267" s="42" t="s">
        <v>291</v>
      </c>
      <c r="E1267" s="42" t="s">
        <v>241</v>
      </c>
      <c r="F1267" s="42" t="s">
        <v>245</v>
      </c>
      <c r="G1267" s="44">
        <v>76984.58</v>
      </c>
      <c r="H1267" t="s">
        <v>198</v>
      </c>
      <c r="I1267" t="s">
        <v>198</v>
      </c>
      <c r="J1267" t="s">
        <v>198</v>
      </c>
      <c r="K1267" t="s">
        <v>198</v>
      </c>
    </row>
    <row r="1268" spans="1:11" ht="16.95" hidden="1" customHeight="1" x14ac:dyDescent="0.3">
      <c r="A1268" s="42" t="s">
        <v>304</v>
      </c>
      <c r="B1268" s="42" t="s">
        <v>239</v>
      </c>
      <c r="C1268" s="42" t="s">
        <v>210</v>
      </c>
      <c r="D1268" s="42" t="s">
        <v>291</v>
      </c>
      <c r="E1268" s="42" t="s">
        <v>241</v>
      </c>
      <c r="F1268" s="42" t="s">
        <v>246</v>
      </c>
      <c r="G1268" s="44">
        <v>71808.179999999993</v>
      </c>
      <c r="H1268" t="s">
        <v>198</v>
      </c>
      <c r="I1268" t="s">
        <v>198</v>
      </c>
      <c r="J1268" t="s">
        <v>198</v>
      </c>
      <c r="K1268" t="s">
        <v>198</v>
      </c>
    </row>
    <row r="1269" spans="1:11" ht="16.95" hidden="1" customHeight="1" x14ac:dyDescent="0.3">
      <c r="A1269" s="42" t="s">
        <v>304</v>
      </c>
      <c r="B1269" s="42" t="s">
        <v>239</v>
      </c>
      <c r="C1269" s="42" t="s">
        <v>210</v>
      </c>
      <c r="D1269" s="42" t="s">
        <v>291</v>
      </c>
      <c r="E1269" s="42" t="s">
        <v>241</v>
      </c>
      <c r="F1269" s="42" t="s">
        <v>247</v>
      </c>
      <c r="G1269" s="43">
        <v>0</v>
      </c>
      <c r="H1269" t="s">
        <v>198</v>
      </c>
      <c r="I1269" t="s">
        <v>198</v>
      </c>
      <c r="J1269" t="s">
        <v>198</v>
      </c>
      <c r="K1269" t="s">
        <v>198</v>
      </c>
    </row>
    <row r="1270" spans="1:11" ht="16.95" hidden="1" customHeight="1" x14ac:dyDescent="0.3">
      <c r="A1270" s="42" t="s">
        <v>304</v>
      </c>
      <c r="B1270" s="42" t="s">
        <v>239</v>
      </c>
      <c r="C1270" s="42" t="s">
        <v>210</v>
      </c>
      <c r="D1270" s="42" t="s">
        <v>291</v>
      </c>
      <c r="E1270" s="42" t="s">
        <v>241</v>
      </c>
      <c r="F1270" s="42" t="s">
        <v>248</v>
      </c>
      <c r="G1270" s="44">
        <v>71794.820000000007</v>
      </c>
      <c r="H1270" t="s">
        <v>198</v>
      </c>
      <c r="I1270" t="s">
        <v>198</v>
      </c>
      <c r="J1270" t="s">
        <v>198</v>
      </c>
      <c r="K1270" t="s">
        <v>198</v>
      </c>
    </row>
    <row r="1271" spans="1:11" ht="16.95" hidden="1" customHeight="1" x14ac:dyDescent="0.3">
      <c r="A1271" s="42" t="s">
        <v>304</v>
      </c>
      <c r="B1271" s="42" t="s">
        <v>239</v>
      </c>
      <c r="C1271" s="42" t="s">
        <v>210</v>
      </c>
      <c r="D1271" s="42" t="s">
        <v>291</v>
      </c>
      <c r="E1271" s="42" t="s">
        <v>241</v>
      </c>
      <c r="F1271" s="42" t="s">
        <v>249</v>
      </c>
      <c r="G1271" s="44">
        <v>71811.08</v>
      </c>
      <c r="H1271" t="s">
        <v>198</v>
      </c>
      <c r="I1271" t="s">
        <v>198</v>
      </c>
      <c r="J1271" t="s">
        <v>198</v>
      </c>
      <c r="K1271" t="s">
        <v>198</v>
      </c>
    </row>
    <row r="1272" spans="1:11" ht="16.95" hidden="1" customHeight="1" x14ac:dyDescent="0.3">
      <c r="A1272" s="42" t="s">
        <v>304</v>
      </c>
      <c r="B1272" s="42" t="s">
        <v>239</v>
      </c>
      <c r="C1272" s="42" t="s">
        <v>210</v>
      </c>
      <c r="D1272" s="42" t="s">
        <v>291</v>
      </c>
      <c r="E1272" s="42" t="s">
        <v>241</v>
      </c>
      <c r="F1272" s="42" t="s">
        <v>250</v>
      </c>
      <c r="G1272" s="44">
        <v>71809.75</v>
      </c>
      <c r="H1272" t="s">
        <v>198</v>
      </c>
      <c r="I1272" t="s">
        <v>198</v>
      </c>
      <c r="J1272" t="s">
        <v>198</v>
      </c>
      <c r="K1272" t="s">
        <v>198</v>
      </c>
    </row>
    <row r="1273" spans="1:11" ht="16.95" hidden="1" customHeight="1" x14ac:dyDescent="0.3">
      <c r="A1273" s="42" t="s">
        <v>304</v>
      </c>
      <c r="B1273" s="42" t="s">
        <v>239</v>
      </c>
      <c r="C1273" s="42" t="s">
        <v>210</v>
      </c>
      <c r="D1273" s="42" t="s">
        <v>291</v>
      </c>
      <c r="E1273" s="42" t="s">
        <v>241</v>
      </c>
      <c r="F1273" s="42" t="s">
        <v>251</v>
      </c>
      <c r="G1273" s="44">
        <v>71801.820000000007</v>
      </c>
      <c r="H1273" t="s">
        <v>198</v>
      </c>
      <c r="I1273" t="s">
        <v>198</v>
      </c>
      <c r="J1273" t="s">
        <v>198</v>
      </c>
      <c r="K1273" t="s">
        <v>198</v>
      </c>
    </row>
    <row r="1274" spans="1:11" ht="16.95" hidden="1" customHeight="1" x14ac:dyDescent="0.3">
      <c r="A1274" s="42" t="s">
        <v>304</v>
      </c>
      <c r="B1274" s="42" t="s">
        <v>239</v>
      </c>
      <c r="C1274" s="42" t="s">
        <v>210</v>
      </c>
      <c r="D1274" s="42" t="s">
        <v>291</v>
      </c>
      <c r="E1274" s="42" t="s">
        <v>241</v>
      </c>
      <c r="F1274" s="42" t="s">
        <v>252</v>
      </c>
      <c r="G1274" s="43">
        <v>0</v>
      </c>
      <c r="H1274" t="s">
        <v>198</v>
      </c>
      <c r="I1274" t="s">
        <v>198</v>
      </c>
      <c r="J1274" t="s">
        <v>198</v>
      </c>
      <c r="K1274" t="s">
        <v>198</v>
      </c>
    </row>
    <row r="1275" spans="1:11" ht="16.95" hidden="1" customHeight="1" x14ac:dyDescent="0.3">
      <c r="A1275" s="42" t="s">
        <v>304</v>
      </c>
      <c r="B1275" s="42" t="s">
        <v>239</v>
      </c>
      <c r="C1275" s="42" t="s">
        <v>210</v>
      </c>
      <c r="D1275" s="42" t="s">
        <v>291</v>
      </c>
      <c r="E1275" s="42" t="s">
        <v>241</v>
      </c>
      <c r="F1275" s="42" t="s">
        <v>253</v>
      </c>
      <c r="G1275" s="43">
        <v>0</v>
      </c>
      <c r="H1275" t="s">
        <v>198</v>
      </c>
      <c r="I1275" t="s">
        <v>198</v>
      </c>
      <c r="J1275" t="s">
        <v>198</v>
      </c>
      <c r="K1275" t="s">
        <v>198</v>
      </c>
    </row>
    <row r="1276" spans="1:11" ht="16.95" hidden="1" customHeight="1" x14ac:dyDescent="0.3">
      <c r="A1276" s="42" t="s">
        <v>304</v>
      </c>
      <c r="B1276" s="42" t="s">
        <v>239</v>
      </c>
      <c r="C1276" s="42" t="s">
        <v>210</v>
      </c>
      <c r="D1276" s="42" t="s">
        <v>292</v>
      </c>
      <c r="E1276" s="42" t="s">
        <v>241</v>
      </c>
      <c r="F1276" s="42" t="s">
        <v>242</v>
      </c>
      <c r="G1276" s="44">
        <v>36482.21</v>
      </c>
      <c r="H1276" s="44">
        <v>39349.800000000003</v>
      </c>
      <c r="I1276" s="44">
        <v>42318.89</v>
      </c>
      <c r="J1276" s="44">
        <v>41782.79</v>
      </c>
      <c r="K1276" s="44">
        <v>44476.57</v>
      </c>
    </row>
    <row r="1277" spans="1:11" ht="16.95" hidden="1" customHeight="1" x14ac:dyDescent="0.3">
      <c r="A1277" s="42" t="s">
        <v>304</v>
      </c>
      <c r="B1277" s="42" t="s">
        <v>239</v>
      </c>
      <c r="C1277" s="42" t="s">
        <v>210</v>
      </c>
      <c r="D1277" s="42" t="s">
        <v>292</v>
      </c>
      <c r="E1277" s="42" t="s">
        <v>241</v>
      </c>
      <c r="F1277" s="42" t="s">
        <v>243</v>
      </c>
      <c r="G1277" s="44">
        <v>41967.18</v>
      </c>
      <c r="H1277" s="44">
        <v>41477.120000000003</v>
      </c>
      <c r="I1277" s="44">
        <v>42743.05</v>
      </c>
      <c r="J1277" s="44">
        <v>43532.83</v>
      </c>
      <c r="K1277" s="44">
        <v>55259.48</v>
      </c>
    </row>
    <row r="1278" spans="1:11" ht="16.95" hidden="1" customHeight="1" x14ac:dyDescent="0.3">
      <c r="A1278" s="42" t="s">
        <v>304</v>
      </c>
      <c r="B1278" s="42" t="s">
        <v>239</v>
      </c>
      <c r="C1278" s="42" t="s">
        <v>210</v>
      </c>
      <c r="D1278" s="42" t="s">
        <v>292</v>
      </c>
      <c r="E1278" s="42" t="s">
        <v>241</v>
      </c>
      <c r="F1278" s="42" t="s">
        <v>244</v>
      </c>
      <c r="G1278" s="44">
        <v>35472.870000000003</v>
      </c>
      <c r="H1278" s="44">
        <v>43017.91</v>
      </c>
      <c r="I1278" s="44">
        <v>40390.769999999997</v>
      </c>
      <c r="J1278" s="44">
        <v>43786.95</v>
      </c>
      <c r="K1278" s="44">
        <v>48676.01</v>
      </c>
    </row>
    <row r="1279" spans="1:11" ht="16.95" hidden="1" customHeight="1" x14ac:dyDescent="0.3">
      <c r="A1279" s="42" t="s">
        <v>304</v>
      </c>
      <c r="B1279" s="42" t="s">
        <v>239</v>
      </c>
      <c r="C1279" s="42" t="s">
        <v>210</v>
      </c>
      <c r="D1279" s="42" t="s">
        <v>292</v>
      </c>
      <c r="E1279" s="42" t="s">
        <v>241</v>
      </c>
      <c r="F1279" s="42" t="s">
        <v>245</v>
      </c>
      <c r="G1279" s="44">
        <v>34781.53</v>
      </c>
      <c r="H1279" s="44">
        <v>42424.19</v>
      </c>
      <c r="I1279" s="44">
        <v>41114.339999999997</v>
      </c>
      <c r="J1279" s="44">
        <v>43779.31</v>
      </c>
      <c r="K1279" t="s">
        <v>198</v>
      </c>
    </row>
    <row r="1280" spans="1:11" ht="16.95" hidden="1" customHeight="1" x14ac:dyDescent="0.3">
      <c r="A1280" s="42" t="s">
        <v>304</v>
      </c>
      <c r="B1280" s="42" t="s">
        <v>239</v>
      </c>
      <c r="C1280" s="42" t="s">
        <v>210</v>
      </c>
      <c r="D1280" s="42" t="s">
        <v>292</v>
      </c>
      <c r="E1280" s="42" t="s">
        <v>241</v>
      </c>
      <c r="F1280" s="42" t="s">
        <v>246</v>
      </c>
      <c r="G1280" s="44">
        <v>35893.120000000003</v>
      </c>
      <c r="H1280" s="44">
        <v>44860.959999999999</v>
      </c>
      <c r="I1280" s="44">
        <v>41493.08</v>
      </c>
      <c r="J1280" s="44">
        <v>42752.81</v>
      </c>
      <c r="K1280" t="s">
        <v>198</v>
      </c>
    </row>
    <row r="1281" spans="1:11" ht="16.95" hidden="1" customHeight="1" x14ac:dyDescent="0.3">
      <c r="A1281" s="42" t="s">
        <v>304</v>
      </c>
      <c r="B1281" s="42" t="s">
        <v>239</v>
      </c>
      <c r="C1281" s="42" t="s">
        <v>210</v>
      </c>
      <c r="D1281" s="42" t="s">
        <v>292</v>
      </c>
      <c r="E1281" s="42" t="s">
        <v>241</v>
      </c>
      <c r="F1281" s="42" t="s">
        <v>247</v>
      </c>
      <c r="G1281" s="44">
        <v>37779.54</v>
      </c>
      <c r="H1281" s="44">
        <v>46403.27</v>
      </c>
      <c r="I1281" s="44">
        <v>43298.3</v>
      </c>
      <c r="J1281" s="44">
        <v>44731.21</v>
      </c>
      <c r="K1281" t="s">
        <v>198</v>
      </c>
    </row>
    <row r="1282" spans="1:11" ht="16.95" hidden="1" customHeight="1" x14ac:dyDescent="0.3">
      <c r="A1282" s="42" t="s">
        <v>304</v>
      </c>
      <c r="B1282" s="42" t="s">
        <v>239</v>
      </c>
      <c r="C1282" s="42" t="s">
        <v>210</v>
      </c>
      <c r="D1282" s="42" t="s">
        <v>292</v>
      </c>
      <c r="E1282" s="42" t="s">
        <v>241</v>
      </c>
      <c r="F1282" s="42" t="s">
        <v>248</v>
      </c>
      <c r="G1282" s="44">
        <v>36795.31</v>
      </c>
      <c r="H1282" s="44">
        <v>42806.35</v>
      </c>
      <c r="I1282" s="44">
        <v>46158.720000000001</v>
      </c>
      <c r="J1282" s="44">
        <v>41379.11</v>
      </c>
      <c r="K1282" t="s">
        <v>198</v>
      </c>
    </row>
    <row r="1283" spans="1:11" ht="16.95" hidden="1" customHeight="1" x14ac:dyDescent="0.3">
      <c r="A1283" s="42" t="s">
        <v>304</v>
      </c>
      <c r="B1283" s="42" t="s">
        <v>239</v>
      </c>
      <c r="C1283" s="42" t="s">
        <v>210</v>
      </c>
      <c r="D1283" s="42" t="s">
        <v>292</v>
      </c>
      <c r="E1283" s="42" t="s">
        <v>241</v>
      </c>
      <c r="F1283" s="42" t="s">
        <v>249</v>
      </c>
      <c r="G1283" s="44">
        <v>35469.120000000003</v>
      </c>
      <c r="H1283" s="44">
        <v>43924.22</v>
      </c>
      <c r="I1283" s="44">
        <v>45438.49</v>
      </c>
      <c r="J1283" s="44">
        <v>40998.67</v>
      </c>
      <c r="K1283" t="s">
        <v>198</v>
      </c>
    </row>
    <row r="1284" spans="1:11" ht="16.95" hidden="1" customHeight="1" x14ac:dyDescent="0.3">
      <c r="A1284" s="42" t="s">
        <v>304</v>
      </c>
      <c r="B1284" s="42" t="s">
        <v>239</v>
      </c>
      <c r="C1284" s="42" t="s">
        <v>210</v>
      </c>
      <c r="D1284" s="42" t="s">
        <v>292</v>
      </c>
      <c r="E1284" s="42" t="s">
        <v>241</v>
      </c>
      <c r="F1284" s="42" t="s">
        <v>250</v>
      </c>
      <c r="G1284" s="44">
        <v>35372.720000000001</v>
      </c>
      <c r="H1284" s="44">
        <v>45208.65</v>
      </c>
      <c r="I1284" s="44">
        <v>45322.84</v>
      </c>
      <c r="J1284" s="44">
        <v>41368.400000000001</v>
      </c>
      <c r="K1284" t="s">
        <v>198</v>
      </c>
    </row>
    <row r="1285" spans="1:11" ht="16.95" hidden="1" customHeight="1" x14ac:dyDescent="0.3">
      <c r="A1285" s="42" t="s">
        <v>304</v>
      </c>
      <c r="B1285" s="42" t="s">
        <v>239</v>
      </c>
      <c r="C1285" s="42" t="s">
        <v>210</v>
      </c>
      <c r="D1285" s="42" t="s">
        <v>292</v>
      </c>
      <c r="E1285" s="42" t="s">
        <v>241</v>
      </c>
      <c r="F1285" s="42" t="s">
        <v>251</v>
      </c>
      <c r="G1285" s="44">
        <v>38813.800000000003</v>
      </c>
      <c r="H1285" s="44">
        <v>46722.37</v>
      </c>
      <c r="I1285" s="44">
        <v>44909.32</v>
      </c>
      <c r="J1285" s="44">
        <v>40178.78</v>
      </c>
      <c r="K1285" t="s">
        <v>198</v>
      </c>
    </row>
    <row r="1286" spans="1:11" ht="16.95" hidden="1" customHeight="1" x14ac:dyDescent="0.3">
      <c r="A1286" s="42" t="s">
        <v>304</v>
      </c>
      <c r="B1286" s="42" t="s">
        <v>239</v>
      </c>
      <c r="C1286" s="42" t="s">
        <v>210</v>
      </c>
      <c r="D1286" s="42" t="s">
        <v>292</v>
      </c>
      <c r="E1286" s="42" t="s">
        <v>241</v>
      </c>
      <c r="F1286" s="42" t="s">
        <v>252</v>
      </c>
      <c r="G1286" s="44">
        <v>40498.69</v>
      </c>
      <c r="H1286" s="44">
        <v>46358.76</v>
      </c>
      <c r="I1286" s="44">
        <v>42364.57</v>
      </c>
      <c r="J1286" s="44">
        <v>42009.85</v>
      </c>
      <c r="K1286" t="s">
        <v>198</v>
      </c>
    </row>
    <row r="1287" spans="1:11" ht="16.95" hidden="1" customHeight="1" x14ac:dyDescent="0.3">
      <c r="A1287" s="42" t="s">
        <v>304</v>
      </c>
      <c r="B1287" s="42" t="s">
        <v>239</v>
      </c>
      <c r="C1287" s="42" t="s">
        <v>210</v>
      </c>
      <c r="D1287" s="42" t="s">
        <v>292</v>
      </c>
      <c r="E1287" s="42" t="s">
        <v>241</v>
      </c>
      <c r="F1287" s="42" t="s">
        <v>253</v>
      </c>
      <c r="G1287" s="44">
        <v>37721.79</v>
      </c>
      <c r="H1287" s="44">
        <v>45358.67</v>
      </c>
      <c r="I1287" s="44">
        <v>44707.6</v>
      </c>
      <c r="J1287" s="44">
        <v>44034.86</v>
      </c>
      <c r="K1287" t="s">
        <v>198</v>
      </c>
    </row>
    <row r="1288" spans="1:11" ht="16.95" hidden="1" customHeight="1" x14ac:dyDescent="0.3">
      <c r="A1288" s="42" t="s">
        <v>304</v>
      </c>
      <c r="B1288" s="42" t="s">
        <v>239</v>
      </c>
      <c r="C1288" s="42" t="s">
        <v>210</v>
      </c>
      <c r="D1288" s="42" t="s">
        <v>293</v>
      </c>
      <c r="E1288" s="42" t="s">
        <v>241</v>
      </c>
      <c r="F1288" s="42" t="s">
        <v>242</v>
      </c>
      <c r="G1288" s="44">
        <v>56036.97</v>
      </c>
      <c r="H1288" s="43">
        <v>82233</v>
      </c>
      <c r="I1288" t="s">
        <v>198</v>
      </c>
      <c r="J1288" t="s">
        <v>198</v>
      </c>
      <c r="K1288" t="s">
        <v>198</v>
      </c>
    </row>
    <row r="1289" spans="1:11" ht="16.95" hidden="1" customHeight="1" x14ac:dyDescent="0.3">
      <c r="A1289" s="42" t="s">
        <v>304</v>
      </c>
      <c r="B1289" s="42" t="s">
        <v>239</v>
      </c>
      <c r="C1289" s="42" t="s">
        <v>210</v>
      </c>
      <c r="D1289" s="42" t="s">
        <v>293</v>
      </c>
      <c r="E1289" s="42" t="s">
        <v>241</v>
      </c>
      <c r="F1289" s="42" t="s">
        <v>243</v>
      </c>
      <c r="G1289" s="43">
        <v>0</v>
      </c>
      <c r="H1289" s="44">
        <v>82997.100000000006</v>
      </c>
      <c r="I1289" t="s">
        <v>198</v>
      </c>
      <c r="J1289" t="s">
        <v>198</v>
      </c>
      <c r="K1289" t="s">
        <v>198</v>
      </c>
    </row>
    <row r="1290" spans="1:11" ht="16.95" hidden="1" customHeight="1" x14ac:dyDescent="0.3">
      <c r="A1290" s="42" t="s">
        <v>304</v>
      </c>
      <c r="B1290" s="42" t="s">
        <v>239</v>
      </c>
      <c r="C1290" s="42" t="s">
        <v>210</v>
      </c>
      <c r="D1290" s="42" t="s">
        <v>293</v>
      </c>
      <c r="E1290" s="42" t="s">
        <v>241</v>
      </c>
      <c r="F1290" s="42" t="s">
        <v>244</v>
      </c>
      <c r="G1290" s="44">
        <v>59102.06</v>
      </c>
      <c r="H1290" s="44">
        <v>84349.33</v>
      </c>
      <c r="I1290" t="s">
        <v>198</v>
      </c>
      <c r="J1290" t="s">
        <v>198</v>
      </c>
      <c r="K1290" t="s">
        <v>198</v>
      </c>
    </row>
    <row r="1291" spans="1:11" ht="16.95" hidden="1" customHeight="1" x14ac:dyDescent="0.3">
      <c r="A1291" s="42" t="s">
        <v>304</v>
      </c>
      <c r="B1291" s="42" t="s">
        <v>239</v>
      </c>
      <c r="C1291" s="42" t="s">
        <v>210</v>
      </c>
      <c r="D1291" s="42" t="s">
        <v>293</v>
      </c>
      <c r="E1291" s="42" t="s">
        <v>241</v>
      </c>
      <c r="F1291" s="42" t="s">
        <v>245</v>
      </c>
      <c r="G1291" s="43">
        <v>0</v>
      </c>
      <c r="H1291" s="44">
        <v>86845.4</v>
      </c>
      <c r="I1291" t="s">
        <v>198</v>
      </c>
      <c r="J1291" t="s">
        <v>198</v>
      </c>
      <c r="K1291" t="s">
        <v>198</v>
      </c>
    </row>
    <row r="1292" spans="1:11" ht="16.95" hidden="1" customHeight="1" x14ac:dyDescent="0.3">
      <c r="A1292" s="42" t="s">
        <v>304</v>
      </c>
      <c r="B1292" s="42" t="s">
        <v>239</v>
      </c>
      <c r="C1292" s="42" t="s">
        <v>210</v>
      </c>
      <c r="D1292" s="42" t="s">
        <v>293</v>
      </c>
      <c r="E1292" s="42" t="s">
        <v>241</v>
      </c>
      <c r="F1292" s="42" t="s">
        <v>246</v>
      </c>
      <c r="G1292" s="43">
        <v>0</v>
      </c>
      <c r="H1292" s="44">
        <v>83895.18</v>
      </c>
      <c r="I1292" t="s">
        <v>198</v>
      </c>
      <c r="J1292" t="s">
        <v>198</v>
      </c>
      <c r="K1292" t="s">
        <v>198</v>
      </c>
    </row>
    <row r="1293" spans="1:11" ht="16.95" hidden="1" customHeight="1" x14ac:dyDescent="0.3">
      <c r="A1293" s="42" t="s">
        <v>304</v>
      </c>
      <c r="B1293" s="42" t="s">
        <v>239</v>
      </c>
      <c r="C1293" s="42" t="s">
        <v>210</v>
      </c>
      <c r="D1293" s="42" t="s">
        <v>293</v>
      </c>
      <c r="E1293" s="42" t="s">
        <v>241</v>
      </c>
      <c r="F1293" s="42" t="s">
        <v>247</v>
      </c>
      <c r="G1293" s="44">
        <v>54323.48</v>
      </c>
      <c r="H1293" s="44">
        <v>79533.210000000006</v>
      </c>
      <c r="I1293" t="s">
        <v>198</v>
      </c>
      <c r="J1293" t="s">
        <v>198</v>
      </c>
      <c r="K1293" t="s">
        <v>198</v>
      </c>
    </row>
    <row r="1294" spans="1:11" ht="16.95" hidden="1" customHeight="1" x14ac:dyDescent="0.3">
      <c r="A1294" s="42" t="s">
        <v>304</v>
      </c>
      <c r="B1294" s="42" t="s">
        <v>239</v>
      </c>
      <c r="C1294" s="42" t="s">
        <v>210</v>
      </c>
      <c r="D1294" s="42" t="s">
        <v>293</v>
      </c>
      <c r="E1294" s="42" t="s">
        <v>241</v>
      </c>
      <c r="F1294" s="42" t="s">
        <v>248</v>
      </c>
      <c r="G1294" s="44">
        <v>55013.25</v>
      </c>
      <c r="H1294" s="44">
        <v>77246.89</v>
      </c>
      <c r="I1294" t="s">
        <v>198</v>
      </c>
      <c r="J1294" t="s">
        <v>198</v>
      </c>
      <c r="K1294" t="s">
        <v>198</v>
      </c>
    </row>
    <row r="1295" spans="1:11" ht="16.95" hidden="1" customHeight="1" x14ac:dyDescent="0.3">
      <c r="A1295" s="42" t="s">
        <v>304</v>
      </c>
      <c r="B1295" s="42" t="s">
        <v>239</v>
      </c>
      <c r="C1295" s="42" t="s">
        <v>210</v>
      </c>
      <c r="D1295" s="42" t="s">
        <v>293</v>
      </c>
      <c r="E1295" s="42" t="s">
        <v>241</v>
      </c>
      <c r="F1295" s="42" t="s">
        <v>249</v>
      </c>
      <c r="G1295" s="44">
        <v>63714.97</v>
      </c>
      <c r="H1295" s="44">
        <v>84607.61</v>
      </c>
      <c r="I1295" t="s">
        <v>198</v>
      </c>
      <c r="J1295" t="s">
        <v>198</v>
      </c>
      <c r="K1295" t="s">
        <v>198</v>
      </c>
    </row>
    <row r="1296" spans="1:11" ht="16.95" hidden="1" customHeight="1" x14ac:dyDescent="0.3">
      <c r="A1296" s="42" t="s">
        <v>304</v>
      </c>
      <c r="B1296" s="42" t="s">
        <v>239</v>
      </c>
      <c r="C1296" s="42" t="s">
        <v>210</v>
      </c>
      <c r="D1296" s="42" t="s">
        <v>293</v>
      </c>
      <c r="E1296" s="42" t="s">
        <v>241</v>
      </c>
      <c r="F1296" s="42" t="s">
        <v>250</v>
      </c>
      <c r="G1296" s="44">
        <v>59475.08</v>
      </c>
      <c r="H1296" s="44">
        <v>78696.31</v>
      </c>
      <c r="I1296" t="s">
        <v>198</v>
      </c>
      <c r="J1296" t="s">
        <v>198</v>
      </c>
      <c r="K1296" t="s">
        <v>198</v>
      </c>
    </row>
    <row r="1297" spans="1:11" ht="16.95" hidden="1" customHeight="1" x14ac:dyDescent="0.3">
      <c r="A1297" s="42" t="s">
        <v>304</v>
      </c>
      <c r="B1297" s="42" t="s">
        <v>239</v>
      </c>
      <c r="C1297" s="42" t="s">
        <v>210</v>
      </c>
      <c r="D1297" s="42" t="s">
        <v>293</v>
      </c>
      <c r="E1297" s="42" t="s">
        <v>241</v>
      </c>
      <c r="F1297" s="42" t="s">
        <v>251</v>
      </c>
      <c r="G1297" s="44">
        <v>64615.77</v>
      </c>
      <c r="H1297" s="44">
        <v>82908.070000000007</v>
      </c>
      <c r="I1297" t="s">
        <v>198</v>
      </c>
      <c r="J1297" t="s">
        <v>198</v>
      </c>
      <c r="K1297" t="s">
        <v>198</v>
      </c>
    </row>
    <row r="1298" spans="1:11" ht="16.95" hidden="1" customHeight="1" x14ac:dyDescent="0.3">
      <c r="A1298" s="42" t="s">
        <v>304</v>
      </c>
      <c r="B1298" s="42" t="s">
        <v>239</v>
      </c>
      <c r="C1298" s="42" t="s">
        <v>210</v>
      </c>
      <c r="D1298" s="42" t="s">
        <v>293</v>
      </c>
      <c r="E1298" s="42" t="s">
        <v>241</v>
      </c>
      <c r="F1298" s="42" t="s">
        <v>252</v>
      </c>
      <c r="G1298" s="44">
        <v>72023.710000000006</v>
      </c>
      <c r="H1298" s="44">
        <v>88879.32</v>
      </c>
      <c r="I1298" t="s">
        <v>198</v>
      </c>
      <c r="J1298" t="s">
        <v>198</v>
      </c>
      <c r="K1298" t="s">
        <v>198</v>
      </c>
    </row>
    <row r="1299" spans="1:11" ht="16.95" hidden="1" customHeight="1" x14ac:dyDescent="0.3">
      <c r="A1299" s="42" t="s">
        <v>304</v>
      </c>
      <c r="B1299" s="42" t="s">
        <v>239</v>
      </c>
      <c r="C1299" s="42" t="s">
        <v>210</v>
      </c>
      <c r="D1299" s="42" t="s">
        <v>293</v>
      </c>
      <c r="E1299" s="42" t="s">
        <v>241</v>
      </c>
      <c r="F1299" s="42" t="s">
        <v>253</v>
      </c>
      <c r="G1299" s="44">
        <v>71185.48</v>
      </c>
      <c r="H1299" s="44">
        <v>91001.03</v>
      </c>
      <c r="I1299" t="s">
        <v>198</v>
      </c>
      <c r="J1299" t="s">
        <v>198</v>
      </c>
      <c r="K1299" t="s">
        <v>198</v>
      </c>
    </row>
    <row r="1300" spans="1:11" ht="16.95" hidden="1" customHeight="1" x14ac:dyDescent="0.3">
      <c r="A1300" s="42" t="s">
        <v>304</v>
      </c>
      <c r="B1300" s="42" t="s">
        <v>239</v>
      </c>
      <c r="C1300" s="42" t="s">
        <v>210</v>
      </c>
      <c r="D1300" s="42" t="s">
        <v>296</v>
      </c>
      <c r="E1300" s="42" t="s">
        <v>241</v>
      </c>
      <c r="F1300" s="42" t="s">
        <v>242</v>
      </c>
      <c r="G1300" s="44">
        <v>39366.519999999997</v>
      </c>
      <c r="H1300" s="44">
        <v>49580.51</v>
      </c>
      <c r="I1300" t="s">
        <v>198</v>
      </c>
      <c r="J1300" s="44">
        <v>54160.88</v>
      </c>
      <c r="K1300" t="s">
        <v>198</v>
      </c>
    </row>
    <row r="1301" spans="1:11" ht="16.95" hidden="1" customHeight="1" x14ac:dyDescent="0.3">
      <c r="A1301" s="42" t="s">
        <v>304</v>
      </c>
      <c r="B1301" s="42" t="s">
        <v>239</v>
      </c>
      <c r="C1301" s="42" t="s">
        <v>210</v>
      </c>
      <c r="D1301" s="42" t="s">
        <v>296</v>
      </c>
      <c r="E1301" s="42" t="s">
        <v>241</v>
      </c>
      <c r="F1301" s="42" t="s">
        <v>243</v>
      </c>
      <c r="G1301" s="44">
        <v>37581.199999999997</v>
      </c>
      <c r="H1301" s="44">
        <v>49702.02</v>
      </c>
      <c r="I1301" t="s">
        <v>198</v>
      </c>
      <c r="J1301" s="44">
        <v>58338.73</v>
      </c>
      <c r="K1301" s="44">
        <v>61577.11</v>
      </c>
    </row>
    <row r="1302" spans="1:11" ht="16.95" hidden="1" customHeight="1" x14ac:dyDescent="0.3">
      <c r="A1302" s="42" t="s">
        <v>304</v>
      </c>
      <c r="B1302" s="42" t="s">
        <v>239</v>
      </c>
      <c r="C1302" s="42" t="s">
        <v>210</v>
      </c>
      <c r="D1302" s="42" t="s">
        <v>296</v>
      </c>
      <c r="E1302" s="42" t="s">
        <v>241</v>
      </c>
      <c r="F1302" s="42" t="s">
        <v>244</v>
      </c>
      <c r="G1302" s="44">
        <v>36087.42</v>
      </c>
      <c r="H1302" s="44">
        <v>49778.69</v>
      </c>
      <c r="I1302" t="s">
        <v>198</v>
      </c>
      <c r="J1302" s="44">
        <v>60581.36</v>
      </c>
      <c r="K1302" s="44">
        <v>61155.12</v>
      </c>
    </row>
    <row r="1303" spans="1:11" ht="16.95" hidden="1" customHeight="1" x14ac:dyDescent="0.3">
      <c r="A1303" s="42" t="s">
        <v>304</v>
      </c>
      <c r="B1303" s="42" t="s">
        <v>239</v>
      </c>
      <c r="C1303" s="42" t="s">
        <v>210</v>
      </c>
      <c r="D1303" s="42" t="s">
        <v>296</v>
      </c>
      <c r="E1303" s="42" t="s">
        <v>241</v>
      </c>
      <c r="F1303" s="42" t="s">
        <v>245</v>
      </c>
      <c r="G1303" s="44">
        <v>41830.660000000003</v>
      </c>
      <c r="H1303" s="44">
        <v>49485.69</v>
      </c>
      <c r="I1303" t="s">
        <v>198</v>
      </c>
      <c r="J1303" s="44">
        <v>61170.15</v>
      </c>
      <c r="K1303" t="s">
        <v>198</v>
      </c>
    </row>
    <row r="1304" spans="1:11" ht="16.95" hidden="1" customHeight="1" x14ac:dyDescent="0.3">
      <c r="A1304" s="42" t="s">
        <v>304</v>
      </c>
      <c r="B1304" s="42" t="s">
        <v>239</v>
      </c>
      <c r="C1304" s="42" t="s">
        <v>210</v>
      </c>
      <c r="D1304" s="42" t="s">
        <v>296</v>
      </c>
      <c r="E1304" s="42" t="s">
        <v>241</v>
      </c>
      <c r="F1304" s="42" t="s">
        <v>246</v>
      </c>
      <c r="G1304" s="44">
        <v>40748.51</v>
      </c>
      <c r="H1304" s="44">
        <v>61416.6</v>
      </c>
      <c r="I1304" t="s">
        <v>198</v>
      </c>
      <c r="J1304" s="44">
        <v>63961.49</v>
      </c>
      <c r="K1304" t="s">
        <v>198</v>
      </c>
    </row>
    <row r="1305" spans="1:11" ht="16.95" hidden="1" customHeight="1" x14ac:dyDescent="0.3">
      <c r="A1305" s="42" t="s">
        <v>304</v>
      </c>
      <c r="B1305" s="42" t="s">
        <v>239</v>
      </c>
      <c r="C1305" s="42" t="s">
        <v>210</v>
      </c>
      <c r="D1305" s="42" t="s">
        <v>296</v>
      </c>
      <c r="E1305" s="42" t="s">
        <v>241</v>
      </c>
      <c r="F1305" s="42" t="s">
        <v>247</v>
      </c>
      <c r="G1305" s="44">
        <v>42108.12</v>
      </c>
      <c r="H1305" s="44">
        <v>63039.8</v>
      </c>
      <c r="I1305" t="s">
        <v>198</v>
      </c>
      <c r="J1305" s="44">
        <v>58037.66</v>
      </c>
      <c r="K1305" t="s">
        <v>198</v>
      </c>
    </row>
    <row r="1306" spans="1:11" ht="16.95" hidden="1" customHeight="1" x14ac:dyDescent="0.3">
      <c r="A1306" s="42" t="s">
        <v>304</v>
      </c>
      <c r="B1306" s="42" t="s">
        <v>239</v>
      </c>
      <c r="C1306" s="42" t="s">
        <v>210</v>
      </c>
      <c r="D1306" s="42" t="s">
        <v>296</v>
      </c>
      <c r="E1306" s="42" t="s">
        <v>241</v>
      </c>
      <c r="F1306" s="42" t="s">
        <v>248</v>
      </c>
      <c r="G1306" s="44">
        <v>43331.53</v>
      </c>
      <c r="H1306" s="44">
        <v>65105.59</v>
      </c>
      <c r="I1306" t="s">
        <v>198</v>
      </c>
      <c r="J1306" s="43">
        <v>0</v>
      </c>
      <c r="K1306" t="s">
        <v>198</v>
      </c>
    </row>
    <row r="1307" spans="1:11" ht="16.95" hidden="1" customHeight="1" x14ac:dyDescent="0.3">
      <c r="A1307" s="42" t="s">
        <v>304</v>
      </c>
      <c r="B1307" s="42" t="s">
        <v>239</v>
      </c>
      <c r="C1307" s="42" t="s">
        <v>210</v>
      </c>
      <c r="D1307" s="42" t="s">
        <v>296</v>
      </c>
      <c r="E1307" s="42" t="s">
        <v>241</v>
      </c>
      <c r="F1307" s="42" t="s">
        <v>249</v>
      </c>
      <c r="G1307" s="44">
        <v>44275.4</v>
      </c>
      <c r="H1307" s="44">
        <v>66417.33</v>
      </c>
      <c r="I1307" t="s">
        <v>198</v>
      </c>
      <c r="J1307" s="44">
        <v>66196.06</v>
      </c>
      <c r="K1307" t="s">
        <v>198</v>
      </c>
    </row>
    <row r="1308" spans="1:11" ht="16.95" hidden="1" customHeight="1" x14ac:dyDescent="0.3">
      <c r="A1308" s="42" t="s">
        <v>304</v>
      </c>
      <c r="B1308" s="42" t="s">
        <v>239</v>
      </c>
      <c r="C1308" s="42" t="s">
        <v>210</v>
      </c>
      <c r="D1308" s="42" t="s">
        <v>296</v>
      </c>
      <c r="E1308" s="42" t="s">
        <v>241</v>
      </c>
      <c r="F1308" s="42" t="s">
        <v>250</v>
      </c>
      <c r="G1308" s="44">
        <v>42641.04</v>
      </c>
      <c r="H1308" s="44">
        <v>71026.58</v>
      </c>
      <c r="I1308" t="s">
        <v>198</v>
      </c>
      <c r="J1308" s="44">
        <v>60194.19</v>
      </c>
      <c r="K1308" t="s">
        <v>198</v>
      </c>
    </row>
    <row r="1309" spans="1:11" ht="16.95" hidden="1" customHeight="1" x14ac:dyDescent="0.3">
      <c r="A1309" s="42" t="s">
        <v>304</v>
      </c>
      <c r="B1309" s="42" t="s">
        <v>239</v>
      </c>
      <c r="C1309" s="42" t="s">
        <v>210</v>
      </c>
      <c r="D1309" s="42" t="s">
        <v>296</v>
      </c>
      <c r="E1309" s="42" t="s">
        <v>241</v>
      </c>
      <c r="F1309" s="42" t="s">
        <v>251</v>
      </c>
      <c r="G1309" s="44">
        <v>46319.66</v>
      </c>
      <c r="H1309" s="44">
        <v>69423.320000000007</v>
      </c>
      <c r="I1309" t="s">
        <v>198</v>
      </c>
      <c r="J1309" s="44">
        <v>59966.63</v>
      </c>
      <c r="K1309" t="s">
        <v>198</v>
      </c>
    </row>
    <row r="1310" spans="1:11" ht="16.95" hidden="1" customHeight="1" x14ac:dyDescent="0.3">
      <c r="A1310" s="42" t="s">
        <v>304</v>
      </c>
      <c r="B1310" s="42" t="s">
        <v>239</v>
      </c>
      <c r="C1310" s="42" t="s">
        <v>210</v>
      </c>
      <c r="D1310" s="42" t="s">
        <v>296</v>
      </c>
      <c r="E1310" s="42" t="s">
        <v>241</v>
      </c>
      <c r="F1310" s="42" t="s">
        <v>252</v>
      </c>
      <c r="G1310" s="44">
        <v>46779.33</v>
      </c>
      <c r="H1310" s="44">
        <v>69450.710000000006</v>
      </c>
      <c r="I1310" t="s">
        <v>198</v>
      </c>
      <c r="J1310" s="44">
        <v>72922.179999999993</v>
      </c>
      <c r="K1310" t="s">
        <v>198</v>
      </c>
    </row>
    <row r="1311" spans="1:11" ht="16.95" hidden="1" customHeight="1" x14ac:dyDescent="0.3">
      <c r="A1311" s="42" t="s">
        <v>304</v>
      </c>
      <c r="B1311" s="42" t="s">
        <v>239</v>
      </c>
      <c r="C1311" s="42" t="s">
        <v>210</v>
      </c>
      <c r="D1311" s="42" t="s">
        <v>296</v>
      </c>
      <c r="E1311" s="42" t="s">
        <v>241</v>
      </c>
      <c r="F1311" s="42" t="s">
        <v>253</v>
      </c>
      <c r="G1311" s="44">
        <v>46743.35</v>
      </c>
      <c r="H1311" s="44">
        <v>70065.149999999994</v>
      </c>
      <c r="I1311" t="s">
        <v>198</v>
      </c>
      <c r="J1311" s="44">
        <v>71117.850000000006</v>
      </c>
      <c r="K1311" t="s">
        <v>198</v>
      </c>
    </row>
  </sheetData>
  <autoFilter ref="A3:K1311">
    <filterColumn colId="3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4"/>
  <sheetViews>
    <sheetView workbookViewId="0">
      <selection activeCell="B14" sqref="B14"/>
    </sheetView>
  </sheetViews>
  <sheetFormatPr defaultRowHeight="14.4" x14ac:dyDescent="0.3"/>
  <cols>
    <col min="2" max="2" width="10" bestFit="1" customWidth="1"/>
  </cols>
  <sheetData>
    <row r="1" spans="1:2" x14ac:dyDescent="0.3">
      <c r="A1" s="42" t="s">
        <v>206</v>
      </c>
      <c r="B1" s="42" t="s">
        <v>207</v>
      </c>
    </row>
    <row r="2" spans="1:2" x14ac:dyDescent="0.3">
      <c r="A2" s="44">
        <v>35911.47</v>
      </c>
      <c r="B2" s="44">
        <v>34667.75</v>
      </c>
    </row>
    <row r="3" spans="1:2" x14ac:dyDescent="0.3">
      <c r="A3" s="44">
        <v>35600.71</v>
      </c>
      <c r="B3" s="44">
        <v>35509.769999999997</v>
      </c>
    </row>
    <row r="4" spans="1:2" x14ac:dyDescent="0.3">
      <c r="A4" s="44">
        <v>37027.660000000003</v>
      </c>
      <c r="B4" s="44">
        <v>36707.339999999997</v>
      </c>
    </row>
    <row r="5" spans="1:2" x14ac:dyDescent="0.3">
      <c r="A5" s="44">
        <v>38304.9</v>
      </c>
      <c r="B5" s="44">
        <v>38439.199999999997</v>
      </c>
    </row>
    <row r="6" spans="1:2" x14ac:dyDescent="0.3">
      <c r="A6" s="44">
        <v>38545.629999999997</v>
      </c>
      <c r="B6" s="44">
        <v>35976.81</v>
      </c>
    </row>
    <row r="7" spans="1:2" x14ac:dyDescent="0.3">
      <c r="A7" s="44">
        <v>38390.49</v>
      </c>
      <c r="B7" s="44">
        <v>35004.93</v>
      </c>
    </row>
    <row r="8" spans="1:2" x14ac:dyDescent="0.3">
      <c r="A8" s="44">
        <v>38404.67</v>
      </c>
      <c r="B8" s="44">
        <v>34397.699999999997</v>
      </c>
    </row>
    <row r="9" spans="1:2" x14ac:dyDescent="0.3">
      <c r="A9" s="44">
        <v>39010.39</v>
      </c>
      <c r="B9" s="44">
        <v>34840.89</v>
      </c>
    </row>
    <row r="10" spans="1:2" x14ac:dyDescent="0.3">
      <c r="A10" s="44">
        <v>38258.81</v>
      </c>
      <c r="B10" s="44">
        <v>35807.550000000003</v>
      </c>
    </row>
    <row r="11" spans="1:2" x14ac:dyDescent="0.3">
      <c r="A11" s="44">
        <v>37443.67</v>
      </c>
      <c r="B11" s="44">
        <v>36458.769999999997</v>
      </c>
    </row>
    <row r="12" spans="1:2" x14ac:dyDescent="0.3">
      <c r="A12" s="44">
        <v>36244.29</v>
      </c>
      <c r="B12" s="44">
        <v>37602.339999999997</v>
      </c>
    </row>
    <row r="13" spans="1:2" x14ac:dyDescent="0.3">
      <c r="A13" s="44">
        <v>33400.949999999997</v>
      </c>
      <c r="B13" s="44">
        <v>40328.49</v>
      </c>
    </row>
    <row r="14" spans="1:2" x14ac:dyDescent="0.3">
      <c r="A14" s="62">
        <f>AVERAGE(A2:A13)</f>
        <v>37211.969999999994</v>
      </c>
      <c r="B14" s="62">
        <f>AVERAGE(B2:B13)</f>
        <v>36311.795000000006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 filterMode="1"/>
  <dimension ref="A1:Z31"/>
  <sheetViews>
    <sheetView workbookViewId="0">
      <selection activeCell="G21" sqref="G21"/>
    </sheetView>
  </sheetViews>
  <sheetFormatPr defaultColWidth="8.88671875" defaultRowHeight="16.95" customHeight="1" x14ac:dyDescent="0.3"/>
  <cols>
    <col min="1" max="1" width="34.6640625" customWidth="1"/>
    <col min="2" max="2" width="4" customWidth="1"/>
    <col min="3" max="3" width="20" customWidth="1"/>
    <col min="4" max="4" width="12.6640625" customWidth="1"/>
    <col min="5" max="5" width="26.5546875" customWidth="1"/>
    <col min="6" max="6" width="10.88671875" customWidth="1"/>
    <col min="7" max="7" width="12.44140625" bestFit="1" customWidth="1"/>
    <col min="8" max="9" width="10.88671875" customWidth="1"/>
  </cols>
  <sheetData>
    <row r="1" spans="1:26" ht="16.95" customHeight="1" x14ac:dyDescent="0.3">
      <c r="A1" s="80" t="s">
        <v>305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</row>
    <row r="2" spans="1:26" ht="16.95" customHeight="1" x14ac:dyDescent="0.3">
      <c r="A2" t="s">
        <v>198</v>
      </c>
    </row>
    <row r="3" spans="1:26" ht="16.95" customHeight="1" x14ac:dyDescent="0.3">
      <c r="A3" s="42" t="s">
        <v>236</v>
      </c>
      <c r="B3" s="42" t="s">
        <v>200</v>
      </c>
      <c r="C3" s="42" t="s">
        <v>237</v>
      </c>
      <c r="D3" s="42" t="s">
        <v>201</v>
      </c>
      <c r="E3" s="42" t="s">
        <v>202</v>
      </c>
      <c r="F3" s="42" t="s">
        <v>204</v>
      </c>
      <c r="G3" s="42" t="s">
        <v>205</v>
      </c>
      <c r="H3" s="42" t="s">
        <v>206</v>
      </c>
      <c r="I3" s="42" t="s">
        <v>207</v>
      </c>
      <c r="J3" s="42" t="s">
        <v>208</v>
      </c>
    </row>
    <row r="4" spans="1:26" ht="16.95" hidden="1" customHeight="1" x14ac:dyDescent="0.3">
      <c r="A4" s="42" t="s">
        <v>306</v>
      </c>
      <c r="B4" s="42" t="s">
        <v>210</v>
      </c>
      <c r="C4" s="42" t="s">
        <v>307</v>
      </c>
      <c r="D4" s="42" t="s">
        <v>308</v>
      </c>
      <c r="E4" s="42" t="s">
        <v>212</v>
      </c>
      <c r="F4" s="43">
        <v>289629</v>
      </c>
      <c r="G4" s="44">
        <v>301155.90999999997</v>
      </c>
      <c r="H4" s="44">
        <v>300802.26</v>
      </c>
      <c r="I4" s="44">
        <v>306970.63</v>
      </c>
      <c r="J4" t="s">
        <v>198</v>
      </c>
    </row>
    <row r="5" spans="1:26" ht="16.95" hidden="1" customHeight="1" x14ac:dyDescent="0.3">
      <c r="A5" s="42" t="s">
        <v>306</v>
      </c>
      <c r="B5" s="42" t="s">
        <v>210</v>
      </c>
      <c r="C5" s="42" t="s">
        <v>240</v>
      </c>
      <c r="D5" s="42" t="s">
        <v>308</v>
      </c>
      <c r="E5" s="42" t="s">
        <v>212</v>
      </c>
      <c r="F5" s="43">
        <v>9439</v>
      </c>
      <c r="G5" s="44">
        <v>9089.2999999999993</v>
      </c>
      <c r="H5" s="44">
        <v>8938.6</v>
      </c>
      <c r="I5" s="44">
        <v>8621.7000000000007</v>
      </c>
      <c r="J5" t="s">
        <v>198</v>
      </c>
    </row>
    <row r="6" spans="1:26" ht="16.95" hidden="1" customHeight="1" x14ac:dyDescent="0.3">
      <c r="A6" s="42" t="s">
        <v>306</v>
      </c>
      <c r="B6" s="42" t="s">
        <v>210</v>
      </c>
      <c r="C6" s="42" t="s">
        <v>254</v>
      </c>
      <c r="D6" s="42" t="s">
        <v>308</v>
      </c>
      <c r="E6" s="42" t="s">
        <v>212</v>
      </c>
      <c r="F6" s="43">
        <v>94967</v>
      </c>
      <c r="G6" s="44">
        <v>95850.18</v>
      </c>
      <c r="H6" s="44">
        <v>97531.4</v>
      </c>
      <c r="I6" s="44">
        <v>100192.32000000001</v>
      </c>
      <c r="J6" t="s">
        <v>198</v>
      </c>
    </row>
    <row r="7" spans="1:26" ht="16.95" hidden="1" customHeight="1" x14ac:dyDescent="0.3">
      <c r="A7" s="42" t="s">
        <v>306</v>
      </c>
      <c r="B7" s="42" t="s">
        <v>210</v>
      </c>
      <c r="C7" s="42" t="s">
        <v>309</v>
      </c>
      <c r="D7" s="42" t="s">
        <v>308</v>
      </c>
      <c r="E7" s="42" t="s">
        <v>212</v>
      </c>
      <c r="F7" s="43">
        <v>11798</v>
      </c>
      <c r="G7" s="43">
        <v>13670</v>
      </c>
      <c r="H7" s="43">
        <v>13891</v>
      </c>
      <c r="I7" s="44">
        <v>14087.6</v>
      </c>
      <c r="J7" t="s">
        <v>198</v>
      </c>
    </row>
    <row r="8" spans="1:26" ht="16.95" hidden="1" customHeight="1" x14ac:dyDescent="0.3">
      <c r="A8" s="42" t="s">
        <v>306</v>
      </c>
      <c r="B8" s="42" t="s">
        <v>210</v>
      </c>
      <c r="C8" s="42" t="s">
        <v>310</v>
      </c>
      <c r="D8" s="42" t="s">
        <v>308</v>
      </c>
      <c r="E8" s="42" t="s">
        <v>212</v>
      </c>
      <c r="F8" s="43">
        <v>43551</v>
      </c>
      <c r="G8" s="44">
        <v>45894.1</v>
      </c>
      <c r="H8" s="44">
        <v>46160.91</v>
      </c>
      <c r="I8" s="44">
        <v>47163.43</v>
      </c>
      <c r="J8" t="s">
        <v>198</v>
      </c>
    </row>
    <row r="9" spans="1:26" ht="16.95" hidden="1" customHeight="1" x14ac:dyDescent="0.3">
      <c r="A9" s="42" t="s">
        <v>306</v>
      </c>
      <c r="B9" s="42" t="s">
        <v>210</v>
      </c>
      <c r="C9" s="42" t="s">
        <v>311</v>
      </c>
      <c r="D9" s="42" t="s">
        <v>308</v>
      </c>
      <c r="E9" s="42" t="s">
        <v>212</v>
      </c>
      <c r="F9" s="43">
        <v>8776</v>
      </c>
      <c r="G9" s="44">
        <v>8325.9</v>
      </c>
      <c r="H9" s="44">
        <v>9351.2999999999993</v>
      </c>
      <c r="I9" s="44">
        <v>10375.1</v>
      </c>
      <c r="J9" t="s">
        <v>198</v>
      </c>
    </row>
    <row r="10" spans="1:26" ht="16.95" hidden="1" customHeight="1" x14ac:dyDescent="0.3">
      <c r="A10" s="42" t="s">
        <v>306</v>
      </c>
      <c r="B10" s="42" t="s">
        <v>210</v>
      </c>
      <c r="C10" s="42" t="s">
        <v>312</v>
      </c>
      <c r="D10" s="42" t="s">
        <v>308</v>
      </c>
      <c r="E10" s="42" t="s">
        <v>212</v>
      </c>
      <c r="F10" s="43">
        <v>30843</v>
      </c>
      <c r="G10" s="44">
        <v>27960.18</v>
      </c>
      <c r="H10" s="44">
        <v>28128.19</v>
      </c>
      <c r="I10" s="44">
        <v>28566.19</v>
      </c>
      <c r="J10" t="s">
        <v>198</v>
      </c>
    </row>
    <row r="11" spans="1:26" ht="16.95" hidden="1" customHeight="1" x14ac:dyDescent="0.3">
      <c r="A11" s="42" t="s">
        <v>306</v>
      </c>
      <c r="B11" s="42" t="s">
        <v>210</v>
      </c>
      <c r="C11" s="42" t="s">
        <v>313</v>
      </c>
      <c r="D11" s="42" t="s">
        <v>308</v>
      </c>
      <c r="E11" s="42" t="s">
        <v>212</v>
      </c>
      <c r="F11" s="43">
        <v>59577</v>
      </c>
      <c r="G11" s="44">
        <v>57938.5</v>
      </c>
      <c r="H11" s="44">
        <v>58355.199999999997</v>
      </c>
      <c r="I11" s="44">
        <v>58345.3</v>
      </c>
      <c r="J11" t="s">
        <v>198</v>
      </c>
    </row>
    <row r="12" spans="1:26" ht="16.95" hidden="1" customHeight="1" x14ac:dyDescent="0.3">
      <c r="A12" s="42" t="s">
        <v>306</v>
      </c>
      <c r="B12" s="42" t="s">
        <v>210</v>
      </c>
      <c r="C12" s="42" t="s">
        <v>256</v>
      </c>
      <c r="D12" s="42" t="s">
        <v>308</v>
      </c>
      <c r="E12" s="42" t="s">
        <v>212</v>
      </c>
      <c r="F12" s="43">
        <v>48598</v>
      </c>
      <c r="G12" s="44">
        <v>52158.9</v>
      </c>
      <c r="H12" s="44">
        <v>52042.2</v>
      </c>
      <c r="I12" s="43">
        <v>51734</v>
      </c>
      <c r="J12" t="s">
        <v>198</v>
      </c>
    </row>
    <row r="13" spans="1:26" ht="16.95" hidden="1" customHeight="1" x14ac:dyDescent="0.3">
      <c r="A13" s="42" t="s">
        <v>239</v>
      </c>
      <c r="B13" s="42" t="s">
        <v>210</v>
      </c>
      <c r="C13" s="42" t="s">
        <v>261</v>
      </c>
      <c r="D13" s="42" t="s">
        <v>308</v>
      </c>
      <c r="E13" s="42" t="s">
        <v>212</v>
      </c>
      <c r="F13" s="43">
        <v>840765</v>
      </c>
      <c r="G13" s="44">
        <v>932068.55</v>
      </c>
      <c r="H13" s="44">
        <v>846579.49</v>
      </c>
      <c r="I13" s="44">
        <v>880030.76</v>
      </c>
      <c r="J13" t="s">
        <v>198</v>
      </c>
    </row>
    <row r="14" spans="1:26" ht="16.95" hidden="1" customHeight="1" x14ac:dyDescent="0.3">
      <c r="A14" s="42" t="s">
        <v>239</v>
      </c>
      <c r="B14" s="42" t="s">
        <v>210</v>
      </c>
      <c r="C14" s="42" t="s">
        <v>314</v>
      </c>
      <c r="D14" s="42" t="s">
        <v>308</v>
      </c>
      <c r="E14" s="42" t="s">
        <v>212</v>
      </c>
      <c r="F14" s="43">
        <v>52095</v>
      </c>
      <c r="G14" s="43">
        <v>48396</v>
      </c>
      <c r="H14" s="43">
        <v>51774</v>
      </c>
      <c r="I14" t="s">
        <v>198</v>
      </c>
      <c r="J14" t="s">
        <v>198</v>
      </c>
    </row>
    <row r="15" spans="1:26" ht="16.95" hidden="1" customHeight="1" x14ac:dyDescent="0.3">
      <c r="A15" s="42" t="s">
        <v>239</v>
      </c>
      <c r="B15" s="42" t="s">
        <v>210</v>
      </c>
      <c r="C15" s="42" t="s">
        <v>262</v>
      </c>
      <c r="D15" s="42" t="s">
        <v>308</v>
      </c>
      <c r="E15" s="42" t="s">
        <v>212</v>
      </c>
      <c r="F15" s="43">
        <v>4856</v>
      </c>
      <c r="G15" s="44">
        <v>3072.16</v>
      </c>
      <c r="H15" s="44">
        <v>4454.1000000000004</v>
      </c>
      <c r="I15" s="44">
        <v>3917.4</v>
      </c>
      <c r="J15" t="s">
        <v>198</v>
      </c>
    </row>
    <row r="16" spans="1:26" ht="16.95" hidden="1" customHeight="1" x14ac:dyDescent="0.3">
      <c r="A16" s="42" t="s">
        <v>239</v>
      </c>
      <c r="B16" s="42" t="s">
        <v>210</v>
      </c>
      <c r="C16" s="42" t="s">
        <v>302</v>
      </c>
      <c r="D16" s="42" t="s">
        <v>308</v>
      </c>
      <c r="E16" s="42" t="s">
        <v>212</v>
      </c>
      <c r="F16" s="43">
        <v>12588</v>
      </c>
      <c r="G16" s="44">
        <v>11313.75</v>
      </c>
      <c r="H16" s="44">
        <v>10894.21</v>
      </c>
      <c r="I16" s="44">
        <v>9084.23</v>
      </c>
      <c r="J16" t="s">
        <v>198</v>
      </c>
    </row>
    <row r="17" spans="1:10" ht="16.95" hidden="1" customHeight="1" x14ac:dyDescent="0.3">
      <c r="A17" s="42" t="s">
        <v>239</v>
      </c>
      <c r="B17" s="42" t="s">
        <v>210</v>
      </c>
      <c r="C17" s="42" t="s">
        <v>315</v>
      </c>
      <c r="D17" s="42" t="s">
        <v>308</v>
      </c>
      <c r="E17" s="42" t="s">
        <v>212</v>
      </c>
      <c r="F17" s="43">
        <v>56917</v>
      </c>
      <c r="G17" s="43">
        <v>53738</v>
      </c>
      <c r="H17" s="44">
        <v>58219.5</v>
      </c>
      <c r="I17" s="44">
        <v>62344.5</v>
      </c>
      <c r="J17" t="s">
        <v>198</v>
      </c>
    </row>
    <row r="18" spans="1:10" ht="16.95" hidden="1" customHeight="1" x14ac:dyDescent="0.3">
      <c r="A18" s="42" t="s">
        <v>239</v>
      </c>
      <c r="B18" s="42" t="s">
        <v>210</v>
      </c>
      <c r="C18" s="42" t="s">
        <v>263</v>
      </c>
      <c r="D18" s="42" t="s">
        <v>308</v>
      </c>
      <c r="E18" s="42" t="s">
        <v>212</v>
      </c>
      <c r="F18" s="43">
        <v>436280</v>
      </c>
      <c r="G18" s="44">
        <v>337390.58</v>
      </c>
      <c r="H18" s="44">
        <v>384089.05</v>
      </c>
      <c r="I18" s="44">
        <v>342715.1</v>
      </c>
      <c r="J18" t="s">
        <v>198</v>
      </c>
    </row>
    <row r="19" spans="1:10" ht="16.95" hidden="1" customHeight="1" x14ac:dyDescent="0.3">
      <c r="A19" s="42" t="s">
        <v>239</v>
      </c>
      <c r="B19" s="42" t="s">
        <v>210</v>
      </c>
      <c r="C19" s="42" t="s">
        <v>316</v>
      </c>
      <c r="D19" s="42" t="s">
        <v>308</v>
      </c>
      <c r="E19" s="42" t="s">
        <v>212</v>
      </c>
      <c r="F19" s="43">
        <v>80923</v>
      </c>
      <c r="G19" s="43">
        <v>89997</v>
      </c>
      <c r="H19" s="43">
        <v>79108</v>
      </c>
      <c r="I19" s="44">
        <v>59912.4</v>
      </c>
      <c r="J19" t="s">
        <v>198</v>
      </c>
    </row>
    <row r="20" spans="1:10" ht="16.95" hidden="1" customHeight="1" x14ac:dyDescent="0.3">
      <c r="A20" s="42" t="s">
        <v>239</v>
      </c>
      <c r="B20" s="42" t="s">
        <v>210</v>
      </c>
      <c r="C20" s="42" t="s">
        <v>317</v>
      </c>
      <c r="D20" s="42" t="s">
        <v>308</v>
      </c>
      <c r="E20" s="42" t="s">
        <v>212</v>
      </c>
      <c r="F20" s="43">
        <v>6903</v>
      </c>
      <c r="G20" s="44">
        <v>7667.64</v>
      </c>
      <c r="H20" s="44">
        <v>9431.7000000000007</v>
      </c>
      <c r="I20" s="44">
        <v>10631.7</v>
      </c>
      <c r="J20" t="s">
        <v>198</v>
      </c>
    </row>
    <row r="21" spans="1:10" ht="16.95" customHeight="1" x14ac:dyDescent="0.3">
      <c r="A21" s="42" t="s">
        <v>239</v>
      </c>
      <c r="B21" s="42" t="s">
        <v>210</v>
      </c>
      <c r="C21" s="42" t="s">
        <v>264</v>
      </c>
      <c r="D21" s="42" t="s">
        <v>308</v>
      </c>
      <c r="E21" s="42" t="s">
        <v>212</v>
      </c>
      <c r="F21" s="43">
        <v>54456417</v>
      </c>
      <c r="G21" s="44">
        <v>59452728.009999998</v>
      </c>
      <c r="H21" s="44">
        <v>58551536.159999996</v>
      </c>
      <c r="I21" s="44">
        <v>58804023.780000001</v>
      </c>
      <c r="J21" t="s">
        <v>198</v>
      </c>
    </row>
    <row r="22" spans="1:10" ht="16.95" hidden="1" customHeight="1" x14ac:dyDescent="0.3">
      <c r="A22" s="42" t="s">
        <v>239</v>
      </c>
      <c r="B22" s="42" t="s">
        <v>210</v>
      </c>
      <c r="C22" s="42" t="s">
        <v>265</v>
      </c>
      <c r="D22" s="42" t="s">
        <v>308</v>
      </c>
      <c r="E22" s="42" t="s">
        <v>212</v>
      </c>
      <c r="F22" s="43">
        <v>177323</v>
      </c>
      <c r="G22" s="44">
        <v>190522.38</v>
      </c>
      <c r="H22" s="44">
        <v>198862.81</v>
      </c>
      <c r="I22" s="44">
        <v>204059.04</v>
      </c>
      <c r="J22" t="s">
        <v>198</v>
      </c>
    </row>
    <row r="23" spans="1:10" ht="16.95" hidden="1" customHeight="1" x14ac:dyDescent="0.3">
      <c r="A23" s="42" t="s">
        <v>239</v>
      </c>
      <c r="B23" s="42" t="s">
        <v>210</v>
      </c>
      <c r="C23" s="42" t="s">
        <v>266</v>
      </c>
      <c r="D23" s="42" t="s">
        <v>308</v>
      </c>
      <c r="E23" s="42" t="s">
        <v>212</v>
      </c>
      <c r="F23" s="43">
        <v>14119623</v>
      </c>
      <c r="G23" s="44">
        <v>14481284.43</v>
      </c>
      <c r="H23" s="44">
        <v>15140141.49</v>
      </c>
      <c r="I23" s="44">
        <v>14804345.369999999</v>
      </c>
      <c r="J23" t="s">
        <v>198</v>
      </c>
    </row>
    <row r="24" spans="1:10" ht="16.95" hidden="1" customHeight="1" x14ac:dyDescent="0.3">
      <c r="A24" s="42" t="s">
        <v>239</v>
      </c>
      <c r="B24" s="42" t="s">
        <v>210</v>
      </c>
      <c r="C24" s="42" t="s">
        <v>267</v>
      </c>
      <c r="D24" s="42" t="s">
        <v>308</v>
      </c>
      <c r="E24" s="42" t="s">
        <v>212</v>
      </c>
      <c r="F24" s="43">
        <v>19421845</v>
      </c>
      <c r="G24" s="44">
        <v>19180630.07</v>
      </c>
      <c r="H24" s="44">
        <v>19136468.48</v>
      </c>
      <c r="I24" s="44">
        <v>19181144.140000001</v>
      </c>
      <c r="J24" t="s">
        <v>198</v>
      </c>
    </row>
    <row r="25" spans="1:10" ht="16.95" hidden="1" customHeight="1" x14ac:dyDescent="0.3">
      <c r="A25" s="42" t="s">
        <v>239</v>
      </c>
      <c r="B25" s="42" t="s">
        <v>210</v>
      </c>
      <c r="C25" s="42" t="s">
        <v>318</v>
      </c>
      <c r="D25" s="42" t="s">
        <v>308</v>
      </c>
      <c r="E25" s="42" t="s">
        <v>212</v>
      </c>
      <c r="F25" s="43">
        <v>8154789</v>
      </c>
      <c r="G25" s="44">
        <v>8483374.9800000004</v>
      </c>
      <c r="H25" s="44">
        <v>8320892.6500000004</v>
      </c>
      <c r="I25" s="44">
        <v>7879969.2199999997</v>
      </c>
      <c r="J25" t="s">
        <v>198</v>
      </c>
    </row>
    <row r="26" spans="1:10" ht="16.95" hidden="1" customHeight="1" x14ac:dyDescent="0.3">
      <c r="A26" s="42" t="s">
        <v>239</v>
      </c>
      <c r="B26" s="42" t="s">
        <v>210</v>
      </c>
      <c r="C26" s="42" t="s">
        <v>319</v>
      </c>
      <c r="D26" s="42" t="s">
        <v>308</v>
      </c>
      <c r="E26" s="42" t="s">
        <v>212</v>
      </c>
      <c r="F26" s="43">
        <v>5878977</v>
      </c>
      <c r="G26" s="44">
        <v>6307131.7699999996</v>
      </c>
      <c r="H26" s="44">
        <v>6279125.4699999997</v>
      </c>
      <c r="I26" s="44">
        <v>6297336.3600000003</v>
      </c>
      <c r="J26" t="s">
        <v>198</v>
      </c>
    </row>
    <row r="27" spans="1:10" ht="16.95" hidden="1" customHeight="1" x14ac:dyDescent="0.3">
      <c r="A27" s="42" t="s">
        <v>239</v>
      </c>
      <c r="B27" s="42" t="s">
        <v>210</v>
      </c>
      <c r="C27" s="42" t="s">
        <v>320</v>
      </c>
      <c r="D27" s="42" t="s">
        <v>308</v>
      </c>
      <c r="E27" s="42" t="s">
        <v>212</v>
      </c>
      <c r="F27" s="43">
        <v>13892174</v>
      </c>
      <c r="G27" s="44">
        <v>15252653.1</v>
      </c>
      <c r="H27" s="44">
        <v>15586719.439999999</v>
      </c>
      <c r="I27" s="44">
        <v>16381133.720000001</v>
      </c>
      <c r="J27" t="s">
        <v>198</v>
      </c>
    </row>
    <row r="28" spans="1:10" ht="16.95" hidden="1" customHeight="1" x14ac:dyDescent="0.3">
      <c r="A28" s="42" t="s">
        <v>239</v>
      </c>
      <c r="B28" s="42" t="s">
        <v>210</v>
      </c>
      <c r="C28" s="42" t="s">
        <v>321</v>
      </c>
      <c r="D28" s="42" t="s">
        <v>308</v>
      </c>
      <c r="E28" s="42" t="s">
        <v>212</v>
      </c>
      <c r="F28" s="43">
        <v>5073809</v>
      </c>
      <c r="G28" s="44">
        <v>4919958.45</v>
      </c>
      <c r="H28" s="44">
        <v>4929268.91</v>
      </c>
      <c r="I28" s="44">
        <v>4880509.22</v>
      </c>
      <c r="J28" t="s">
        <v>198</v>
      </c>
    </row>
    <row r="29" spans="1:10" ht="16.95" hidden="1" customHeight="1" x14ac:dyDescent="0.3">
      <c r="A29" s="42" t="s">
        <v>239</v>
      </c>
      <c r="B29" s="42" t="s">
        <v>210</v>
      </c>
      <c r="C29" s="42" t="s">
        <v>322</v>
      </c>
      <c r="D29" s="42" t="s">
        <v>308</v>
      </c>
      <c r="E29" s="42" t="s">
        <v>212</v>
      </c>
      <c r="F29" s="43">
        <v>13793271</v>
      </c>
      <c r="G29" s="44">
        <v>13115303.35</v>
      </c>
      <c r="H29" s="44">
        <v>13020995.439999999</v>
      </c>
      <c r="I29" s="44">
        <v>12955805.07</v>
      </c>
      <c r="J29" t="s">
        <v>198</v>
      </c>
    </row>
    <row r="30" spans="1:10" ht="16.95" hidden="1" customHeight="1" x14ac:dyDescent="0.3">
      <c r="A30" s="42" t="s">
        <v>239</v>
      </c>
      <c r="B30" s="42" t="s">
        <v>210</v>
      </c>
      <c r="C30" s="42" t="s">
        <v>323</v>
      </c>
      <c r="D30" s="42" t="s">
        <v>308</v>
      </c>
      <c r="E30" s="42" t="s">
        <v>212</v>
      </c>
      <c r="F30" s="43">
        <v>11312563</v>
      </c>
      <c r="G30" s="44">
        <v>11957660.25</v>
      </c>
      <c r="H30" s="44">
        <v>12393842.68</v>
      </c>
      <c r="I30" s="44">
        <v>10944181.939999999</v>
      </c>
      <c r="J30" t="s">
        <v>198</v>
      </c>
    </row>
    <row r="31" spans="1:10" ht="16.95" hidden="1" customHeight="1" x14ac:dyDescent="0.3">
      <c r="A31" s="42" t="s">
        <v>239</v>
      </c>
      <c r="B31" s="42" t="s">
        <v>210</v>
      </c>
      <c r="C31" s="42" t="s">
        <v>324</v>
      </c>
      <c r="D31" s="42" t="s">
        <v>308</v>
      </c>
      <c r="E31" s="42" t="s">
        <v>212</v>
      </c>
      <c r="F31" s="43">
        <v>60941405</v>
      </c>
      <c r="G31" s="44">
        <v>61569477.950000003</v>
      </c>
      <c r="H31" s="44">
        <v>61523142.909999996</v>
      </c>
      <c r="I31" s="44">
        <v>61800294.369999997</v>
      </c>
      <c r="J31" t="s">
        <v>198</v>
      </c>
    </row>
  </sheetData>
  <autoFilter ref="A3:Z31">
    <filterColumn colId="2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2" filterMode="1"/>
  <dimension ref="A1:I56"/>
  <sheetViews>
    <sheetView workbookViewId="0">
      <selection activeCell="F55" sqref="F55"/>
    </sheetView>
  </sheetViews>
  <sheetFormatPr defaultRowHeight="14.4" x14ac:dyDescent="0.3"/>
  <sheetData>
    <row r="1" spans="1:7" x14ac:dyDescent="0.3">
      <c r="E1" t="s">
        <v>325</v>
      </c>
      <c r="F1" t="s">
        <v>326</v>
      </c>
      <c r="G1" t="s">
        <v>327</v>
      </c>
    </row>
    <row r="2" spans="1:7" x14ac:dyDescent="0.3">
      <c r="A2" t="s">
        <v>328</v>
      </c>
      <c r="B2" t="s">
        <v>329</v>
      </c>
      <c r="C2" t="s">
        <v>330</v>
      </c>
      <c r="D2" t="s">
        <v>331</v>
      </c>
      <c r="E2" t="s">
        <v>332</v>
      </c>
      <c r="F2" t="s">
        <v>333</v>
      </c>
      <c r="G2" t="s">
        <v>334</v>
      </c>
    </row>
    <row r="3" spans="1:7" hidden="1" x14ac:dyDescent="0.3">
      <c r="A3" t="s">
        <v>335</v>
      </c>
      <c r="B3">
        <v>2012</v>
      </c>
      <c r="C3">
        <v>2601</v>
      </c>
      <c r="D3" t="s">
        <v>336</v>
      </c>
      <c r="E3" s="2">
        <v>2494.2330000000002</v>
      </c>
      <c r="F3" s="2">
        <v>25533.21</v>
      </c>
      <c r="G3" s="2">
        <v>97.6858</v>
      </c>
    </row>
    <row r="4" spans="1:7" hidden="1" x14ac:dyDescent="0.3">
      <c r="A4" t="s">
        <v>335</v>
      </c>
      <c r="B4">
        <v>2013</v>
      </c>
      <c r="C4">
        <v>2601</v>
      </c>
      <c r="D4" t="s">
        <v>336</v>
      </c>
      <c r="E4" s="2">
        <v>2388.48</v>
      </c>
      <c r="F4" s="2">
        <v>25680.240000000002</v>
      </c>
      <c r="G4" s="2">
        <v>93.008499999999998</v>
      </c>
    </row>
    <row r="5" spans="1:7" hidden="1" x14ac:dyDescent="0.3">
      <c r="A5" t="s">
        <v>335</v>
      </c>
      <c r="B5">
        <v>2014</v>
      </c>
      <c r="C5">
        <v>2601</v>
      </c>
      <c r="D5" t="s">
        <v>336</v>
      </c>
      <c r="E5" s="2">
        <v>1951.1410000000001</v>
      </c>
      <c r="F5" s="2">
        <v>22997.39</v>
      </c>
      <c r="G5" s="2">
        <v>84.841799999999992</v>
      </c>
    </row>
    <row r="6" spans="1:7" hidden="1" x14ac:dyDescent="0.3">
      <c r="A6" t="s">
        <v>335</v>
      </c>
      <c r="B6">
        <v>2015</v>
      </c>
      <c r="C6">
        <v>2601</v>
      </c>
      <c r="D6" t="s">
        <v>336</v>
      </c>
      <c r="E6" s="2">
        <v>1013.818</v>
      </c>
      <c r="F6" s="2">
        <v>21254.49</v>
      </c>
      <c r="G6" s="2">
        <v>47.698999999999998</v>
      </c>
    </row>
    <row r="7" spans="1:7" hidden="1" x14ac:dyDescent="0.3">
      <c r="A7" t="s">
        <v>335</v>
      </c>
      <c r="B7">
        <v>2016</v>
      </c>
      <c r="C7">
        <v>2601</v>
      </c>
      <c r="D7" t="s">
        <v>336</v>
      </c>
      <c r="E7" s="2">
        <v>830.65369999999996</v>
      </c>
      <c r="F7" s="2">
        <v>18397.71</v>
      </c>
      <c r="G7" s="2">
        <v>45.149799999999999</v>
      </c>
    </row>
    <row r="8" spans="1:7" hidden="1" x14ac:dyDescent="0.3">
      <c r="A8" t="s">
        <v>335</v>
      </c>
      <c r="B8">
        <v>2017</v>
      </c>
      <c r="C8">
        <v>2601</v>
      </c>
      <c r="D8" t="s">
        <v>336</v>
      </c>
      <c r="E8" s="2">
        <v>1588.402</v>
      </c>
      <c r="F8" s="2">
        <v>21064.46</v>
      </c>
      <c r="G8" s="2">
        <v>75.406699999999987</v>
      </c>
    </row>
    <row r="9" spans="1:7" x14ac:dyDescent="0.3">
      <c r="A9" t="s">
        <v>335</v>
      </c>
      <c r="B9">
        <v>2018</v>
      </c>
      <c r="C9">
        <v>2601</v>
      </c>
      <c r="D9" t="s">
        <v>336</v>
      </c>
      <c r="E9" s="2">
        <v>1598.066</v>
      </c>
      <c r="F9" s="2">
        <v>19413.64</v>
      </c>
      <c r="G9" s="2">
        <v>82.316700000000012</v>
      </c>
    </row>
    <row r="10" spans="1:7" x14ac:dyDescent="0.3">
      <c r="A10" t="s">
        <v>335</v>
      </c>
      <c r="B10">
        <v>2019</v>
      </c>
      <c r="C10">
        <v>2601</v>
      </c>
      <c r="D10" t="s">
        <v>336</v>
      </c>
      <c r="E10" s="2">
        <v>2090.433</v>
      </c>
      <c r="F10" s="2">
        <v>22378.99</v>
      </c>
      <c r="G10" s="2">
        <v>93.410499999999999</v>
      </c>
    </row>
    <row r="11" spans="1:7" hidden="1" x14ac:dyDescent="0.3">
      <c r="A11" t="s">
        <v>335</v>
      </c>
      <c r="B11">
        <v>2020</v>
      </c>
      <c r="C11">
        <v>2601</v>
      </c>
      <c r="D11" t="s">
        <v>336</v>
      </c>
      <c r="E11" s="2">
        <v>1977.806</v>
      </c>
      <c r="F11" s="2">
        <v>25733.95</v>
      </c>
      <c r="G11" s="2">
        <v>76.855900000000005</v>
      </c>
    </row>
    <row r="12" spans="1:7" hidden="1" x14ac:dyDescent="0.3">
      <c r="A12" t="s">
        <v>337</v>
      </c>
      <c r="B12">
        <v>2012</v>
      </c>
      <c r="C12">
        <v>2601</v>
      </c>
      <c r="D12" t="s">
        <v>336</v>
      </c>
      <c r="E12" s="2">
        <v>834.70119999999997</v>
      </c>
      <c r="F12" s="2">
        <v>8232.1200000000008</v>
      </c>
      <c r="G12" s="2">
        <v>101.39570000000001</v>
      </c>
    </row>
    <row r="13" spans="1:7" hidden="1" x14ac:dyDescent="0.3">
      <c r="A13" t="s">
        <v>337</v>
      </c>
      <c r="B13">
        <v>2013</v>
      </c>
      <c r="C13">
        <v>2601</v>
      </c>
      <c r="D13" t="s">
        <v>336</v>
      </c>
      <c r="E13" s="2">
        <v>788.23540000000003</v>
      </c>
      <c r="F13" s="2">
        <v>7612.33</v>
      </c>
      <c r="G13" s="2">
        <v>103.5472</v>
      </c>
    </row>
    <row r="14" spans="1:7" hidden="1" x14ac:dyDescent="0.3">
      <c r="A14" t="s">
        <v>337</v>
      </c>
      <c r="B14">
        <v>2014</v>
      </c>
      <c r="C14">
        <v>2601</v>
      </c>
      <c r="D14" t="s">
        <v>336</v>
      </c>
      <c r="E14" s="2">
        <v>829.00040000000001</v>
      </c>
      <c r="F14" s="2">
        <v>10369.030000000001</v>
      </c>
      <c r="G14" s="2">
        <v>79.94959999999999</v>
      </c>
    </row>
    <row r="15" spans="1:7" hidden="1" x14ac:dyDescent="0.3">
      <c r="A15" t="s">
        <v>337</v>
      </c>
      <c r="B15">
        <v>2015</v>
      </c>
      <c r="C15">
        <v>2601</v>
      </c>
      <c r="D15" t="s">
        <v>336</v>
      </c>
      <c r="E15" s="2">
        <v>440.4932</v>
      </c>
      <c r="F15" s="2">
        <v>8101.4709999999995</v>
      </c>
      <c r="G15" s="2">
        <v>54.372</v>
      </c>
    </row>
    <row r="16" spans="1:7" hidden="1" x14ac:dyDescent="0.3">
      <c r="A16" t="s">
        <v>337</v>
      </c>
      <c r="B16">
        <v>2016</v>
      </c>
      <c r="C16">
        <v>2601</v>
      </c>
      <c r="D16" t="s">
        <v>336</v>
      </c>
      <c r="E16" s="2">
        <v>369.25850000000003</v>
      </c>
      <c r="F16" s="2">
        <v>7005.7079999999996</v>
      </c>
      <c r="G16" s="2">
        <v>52.708199999999998</v>
      </c>
    </row>
    <row r="17" spans="1:7" hidden="1" x14ac:dyDescent="0.3">
      <c r="A17" t="s">
        <v>337</v>
      </c>
      <c r="B17">
        <v>2017</v>
      </c>
      <c r="C17">
        <v>2601</v>
      </c>
      <c r="D17" t="s">
        <v>336</v>
      </c>
      <c r="E17" s="2">
        <v>532.41229999999996</v>
      </c>
      <c r="F17" s="2">
        <v>8460.1380000000008</v>
      </c>
      <c r="G17" s="2">
        <v>62.931899999999999</v>
      </c>
    </row>
    <row r="18" spans="1:7" x14ac:dyDescent="0.3">
      <c r="A18" t="s">
        <v>337</v>
      </c>
      <c r="B18">
        <v>2018</v>
      </c>
      <c r="C18">
        <v>2601</v>
      </c>
      <c r="D18" t="s">
        <v>336</v>
      </c>
      <c r="E18" s="2">
        <v>465.09930000000003</v>
      </c>
      <c r="F18" s="2">
        <v>7996.5159999999996</v>
      </c>
      <c r="G18" s="2">
        <v>58.162700000000001</v>
      </c>
    </row>
    <row r="19" spans="1:7" x14ac:dyDescent="0.3">
      <c r="A19" t="s">
        <v>337</v>
      </c>
      <c r="B19">
        <v>2019</v>
      </c>
      <c r="C19">
        <v>2601</v>
      </c>
      <c r="D19" t="s">
        <v>336</v>
      </c>
      <c r="E19" s="2">
        <v>659.61760000000004</v>
      </c>
      <c r="F19" s="2">
        <v>9199.4279999999999</v>
      </c>
      <c r="G19" s="2">
        <v>71.701999999999998</v>
      </c>
    </row>
    <row r="20" spans="1:7" hidden="1" x14ac:dyDescent="0.3">
      <c r="A20" t="s">
        <v>337</v>
      </c>
      <c r="B20">
        <v>2020</v>
      </c>
      <c r="C20">
        <v>2601</v>
      </c>
      <c r="D20" t="s">
        <v>336</v>
      </c>
      <c r="E20" s="2">
        <v>649.20519999999999</v>
      </c>
      <c r="F20" s="2">
        <v>8045.7280000000001</v>
      </c>
      <c r="G20" s="2">
        <v>80.689399999999992</v>
      </c>
    </row>
    <row r="21" spans="1:7" hidden="1" x14ac:dyDescent="0.3">
      <c r="A21" t="s">
        <v>335</v>
      </c>
      <c r="B21">
        <v>2012</v>
      </c>
      <c r="C21">
        <v>7204</v>
      </c>
      <c r="D21" t="s">
        <v>338</v>
      </c>
      <c r="E21" s="2">
        <v>1406.278</v>
      </c>
      <c r="F21" s="2">
        <v>4524.6989999999996</v>
      </c>
      <c r="G21" s="2">
        <v>310.80039999999997</v>
      </c>
    </row>
    <row r="22" spans="1:7" hidden="1" x14ac:dyDescent="0.3">
      <c r="A22" t="s">
        <v>335</v>
      </c>
      <c r="B22">
        <v>2013</v>
      </c>
      <c r="C22">
        <v>7204</v>
      </c>
      <c r="D22" t="s">
        <v>338</v>
      </c>
      <c r="E22" s="2">
        <v>1373.7180000000001</v>
      </c>
      <c r="F22" s="2">
        <v>4548.8</v>
      </c>
      <c r="G22" s="2">
        <v>301.99559999999997</v>
      </c>
    </row>
    <row r="23" spans="1:7" hidden="1" x14ac:dyDescent="0.3">
      <c r="A23" t="s">
        <v>335</v>
      </c>
      <c r="B23">
        <v>2014</v>
      </c>
      <c r="C23">
        <v>7204</v>
      </c>
      <c r="D23" t="s">
        <v>338</v>
      </c>
      <c r="E23" s="2">
        <v>1714.7429999999999</v>
      </c>
      <c r="F23" s="2">
        <v>5765.4120000000003</v>
      </c>
      <c r="G23" s="2">
        <v>297.41910000000001</v>
      </c>
    </row>
    <row r="24" spans="1:7" hidden="1" x14ac:dyDescent="0.3">
      <c r="A24" t="s">
        <v>335</v>
      </c>
      <c r="B24">
        <v>2015</v>
      </c>
      <c r="C24">
        <v>7204</v>
      </c>
      <c r="D24" t="s">
        <v>338</v>
      </c>
      <c r="E24" s="2">
        <v>1254.3119999999999</v>
      </c>
      <c r="F24" s="2">
        <v>5645.1989999999996</v>
      </c>
      <c r="G24" s="2">
        <v>222.1909</v>
      </c>
    </row>
    <row r="25" spans="1:7" hidden="1" x14ac:dyDescent="0.3">
      <c r="A25" t="s">
        <v>335</v>
      </c>
      <c r="B25">
        <v>2016</v>
      </c>
      <c r="C25">
        <v>7204</v>
      </c>
      <c r="D25" t="s">
        <v>338</v>
      </c>
      <c r="E25" s="2">
        <v>1053.751</v>
      </c>
      <c r="F25" s="2">
        <v>5443.6610000000001</v>
      </c>
      <c r="G25" s="2">
        <v>193.57399999999998</v>
      </c>
    </row>
    <row r="26" spans="1:7" hidden="1" x14ac:dyDescent="0.3">
      <c r="A26" t="s">
        <v>335</v>
      </c>
      <c r="B26">
        <v>2017</v>
      </c>
      <c r="C26">
        <v>7204</v>
      </c>
      <c r="D26" t="s">
        <v>338</v>
      </c>
      <c r="E26" s="2">
        <v>1303.9649999999999</v>
      </c>
      <c r="F26" s="2">
        <v>5247.2839999999997</v>
      </c>
      <c r="G26" s="2">
        <v>248.50290000000001</v>
      </c>
    </row>
    <row r="27" spans="1:7" x14ac:dyDescent="0.3">
      <c r="A27" t="s">
        <v>335</v>
      </c>
      <c r="B27">
        <v>2018</v>
      </c>
      <c r="C27">
        <v>7204</v>
      </c>
      <c r="D27" t="s">
        <v>338</v>
      </c>
      <c r="E27" s="2">
        <v>1609.498</v>
      </c>
      <c r="F27" s="2">
        <v>5540.7150000000001</v>
      </c>
      <c r="G27" s="2">
        <v>290.48570000000001</v>
      </c>
    </row>
    <row r="28" spans="1:7" x14ac:dyDescent="0.3">
      <c r="A28" t="s">
        <v>335</v>
      </c>
      <c r="B28">
        <v>2019</v>
      </c>
      <c r="C28">
        <v>7204</v>
      </c>
      <c r="D28" t="s">
        <v>338</v>
      </c>
      <c r="E28" s="2">
        <v>1205.03</v>
      </c>
      <c r="F28" s="2">
        <v>4206.3220000000001</v>
      </c>
      <c r="G28" s="2">
        <v>286.48069999999996</v>
      </c>
    </row>
    <row r="29" spans="1:7" hidden="1" x14ac:dyDescent="0.3">
      <c r="A29" t="s">
        <v>335</v>
      </c>
      <c r="B29">
        <v>2020</v>
      </c>
      <c r="C29">
        <v>7204</v>
      </c>
      <c r="D29" t="s">
        <v>338</v>
      </c>
      <c r="E29" s="2">
        <v>1264.797</v>
      </c>
      <c r="F29" s="2">
        <v>4727.7700000000004</v>
      </c>
      <c r="G29" s="2">
        <v>267.52500000000003</v>
      </c>
    </row>
    <row r="30" spans="1:7" hidden="1" x14ac:dyDescent="0.3">
      <c r="A30" t="s">
        <v>337</v>
      </c>
      <c r="B30">
        <v>2012</v>
      </c>
      <c r="C30">
        <v>7204</v>
      </c>
      <c r="D30" t="s">
        <v>338</v>
      </c>
      <c r="E30" s="2">
        <v>2.7702640000000001</v>
      </c>
      <c r="F30" s="2">
        <v>13.507899999999999</v>
      </c>
      <c r="G30" s="2">
        <v>205.0848</v>
      </c>
    </row>
    <row r="31" spans="1:7" hidden="1" x14ac:dyDescent="0.3">
      <c r="A31" t="s">
        <v>337</v>
      </c>
      <c r="B31">
        <v>2013</v>
      </c>
      <c r="C31">
        <v>7204</v>
      </c>
      <c r="D31" t="s">
        <v>338</v>
      </c>
      <c r="E31" s="2">
        <v>1.5905530000000001</v>
      </c>
      <c r="F31" s="2">
        <v>8.2472379999999994</v>
      </c>
      <c r="G31" s="2">
        <v>192.85890000000001</v>
      </c>
    </row>
    <row r="32" spans="1:7" hidden="1" x14ac:dyDescent="0.3">
      <c r="A32" t="s">
        <v>337</v>
      </c>
      <c r="B32">
        <v>2014</v>
      </c>
      <c r="C32">
        <v>7204</v>
      </c>
      <c r="D32" t="s">
        <v>338</v>
      </c>
      <c r="E32" s="2">
        <v>63.531860000000002</v>
      </c>
      <c r="F32" s="2">
        <v>263.9828</v>
      </c>
      <c r="G32" s="2">
        <v>240.66660000000002</v>
      </c>
    </row>
    <row r="33" spans="1:7" hidden="1" x14ac:dyDescent="0.3">
      <c r="A33" t="s">
        <v>337</v>
      </c>
      <c r="B33">
        <v>2015</v>
      </c>
      <c r="C33">
        <v>7204</v>
      </c>
      <c r="D33" t="s">
        <v>338</v>
      </c>
      <c r="E33" s="2">
        <v>40.976120000000002</v>
      </c>
      <c r="F33" s="2">
        <v>249.35849999999999</v>
      </c>
      <c r="G33" s="2">
        <v>164.3261</v>
      </c>
    </row>
    <row r="34" spans="1:7" hidden="1" x14ac:dyDescent="0.3">
      <c r="A34" t="s">
        <v>337</v>
      </c>
      <c r="B34">
        <v>2016</v>
      </c>
      <c r="C34">
        <v>7204</v>
      </c>
      <c r="D34" t="s">
        <v>338</v>
      </c>
      <c r="E34" s="2">
        <v>73.092910000000003</v>
      </c>
      <c r="F34" s="2">
        <v>6989.0110000000004</v>
      </c>
      <c r="G34" s="2">
        <v>10.458299999999999</v>
      </c>
    </row>
    <row r="35" spans="1:7" hidden="1" x14ac:dyDescent="0.3">
      <c r="A35" t="s">
        <v>337</v>
      </c>
      <c r="B35">
        <v>2017</v>
      </c>
      <c r="C35">
        <v>7204</v>
      </c>
      <c r="D35" t="s">
        <v>338</v>
      </c>
      <c r="E35" s="2">
        <v>173.35740000000001</v>
      </c>
      <c r="F35" s="2">
        <v>754.92870000000005</v>
      </c>
      <c r="G35" s="2">
        <v>229.63410000000002</v>
      </c>
    </row>
    <row r="36" spans="1:7" x14ac:dyDescent="0.3">
      <c r="A36" t="s">
        <v>337</v>
      </c>
      <c r="B36">
        <v>2018</v>
      </c>
      <c r="C36">
        <v>7204</v>
      </c>
      <c r="D36" t="s">
        <v>338</v>
      </c>
      <c r="E36" s="2">
        <v>163.1285</v>
      </c>
      <c r="F36" s="2">
        <v>645.5788</v>
      </c>
      <c r="G36" s="2">
        <v>252.68560000000002</v>
      </c>
    </row>
    <row r="37" spans="1:7" x14ac:dyDescent="0.3">
      <c r="A37" t="s">
        <v>337</v>
      </c>
      <c r="B37">
        <v>2019</v>
      </c>
      <c r="C37">
        <v>7204</v>
      </c>
      <c r="D37" t="s">
        <v>338</v>
      </c>
      <c r="E37" s="2">
        <v>250.6266</v>
      </c>
      <c r="F37" s="2">
        <v>1052.316</v>
      </c>
      <c r="G37" s="2">
        <v>238.16660000000002</v>
      </c>
    </row>
    <row r="38" spans="1:7" hidden="1" x14ac:dyDescent="0.3">
      <c r="A38" t="s">
        <v>337</v>
      </c>
      <c r="B38">
        <v>2020</v>
      </c>
      <c r="C38">
        <v>7204</v>
      </c>
      <c r="D38" t="s">
        <v>338</v>
      </c>
      <c r="E38" s="2">
        <v>107.937</v>
      </c>
      <c r="F38" s="2">
        <v>467.90690000000001</v>
      </c>
      <c r="G38" s="2">
        <v>230.68040000000002</v>
      </c>
    </row>
    <row r="39" spans="1:7" hidden="1" x14ac:dyDescent="0.3">
      <c r="A39" t="s">
        <v>335</v>
      </c>
      <c r="B39">
        <v>2012</v>
      </c>
      <c r="C39">
        <v>7228</v>
      </c>
      <c r="D39" t="s">
        <v>339</v>
      </c>
      <c r="E39" s="2">
        <v>16704.349999999999</v>
      </c>
      <c r="F39" s="2">
        <v>27397.63</v>
      </c>
      <c r="G39" s="2">
        <v>609.70060000000001</v>
      </c>
    </row>
    <row r="40" spans="1:7" hidden="1" x14ac:dyDescent="0.3">
      <c r="A40" t="s">
        <v>335</v>
      </c>
      <c r="B40">
        <v>2013</v>
      </c>
      <c r="C40">
        <v>7212</v>
      </c>
      <c r="D40" t="s">
        <v>339</v>
      </c>
      <c r="E40" s="2">
        <v>14478.94</v>
      </c>
      <c r="F40" s="2">
        <v>25351.42</v>
      </c>
      <c r="G40" s="2">
        <v>571.12959999999998</v>
      </c>
    </row>
    <row r="41" spans="1:7" hidden="1" x14ac:dyDescent="0.3">
      <c r="A41" t="s">
        <v>335</v>
      </c>
      <c r="B41">
        <v>2014</v>
      </c>
      <c r="C41">
        <v>7216</v>
      </c>
      <c r="D41" t="s">
        <v>339</v>
      </c>
      <c r="E41" s="2">
        <v>14492.55</v>
      </c>
      <c r="F41" s="2">
        <v>26126.79</v>
      </c>
      <c r="G41" s="2">
        <v>554.7007000000001</v>
      </c>
    </row>
    <row r="42" spans="1:7" hidden="1" x14ac:dyDescent="0.3">
      <c r="A42" t="s">
        <v>335</v>
      </c>
      <c r="B42">
        <v>2015</v>
      </c>
      <c r="C42">
        <v>7207</v>
      </c>
      <c r="D42" t="s">
        <v>339</v>
      </c>
      <c r="E42" s="2">
        <v>10880.31</v>
      </c>
      <c r="F42" s="2">
        <v>28325.16</v>
      </c>
      <c r="G42" s="2">
        <v>384.12180000000001</v>
      </c>
    </row>
    <row r="43" spans="1:7" hidden="1" x14ac:dyDescent="0.3">
      <c r="A43" t="s">
        <v>335</v>
      </c>
      <c r="B43">
        <v>2016</v>
      </c>
      <c r="C43">
        <v>7212</v>
      </c>
      <c r="D43" t="s">
        <v>339</v>
      </c>
      <c r="E43" s="2">
        <v>10102.65</v>
      </c>
      <c r="F43" s="2">
        <v>29176.2</v>
      </c>
      <c r="G43" s="2">
        <v>346.26339999999999</v>
      </c>
    </row>
    <row r="44" spans="1:7" hidden="1" x14ac:dyDescent="0.3">
      <c r="A44" t="s">
        <v>335</v>
      </c>
      <c r="B44">
        <v>2017</v>
      </c>
      <c r="C44">
        <v>7208</v>
      </c>
      <c r="D44" t="s">
        <v>339</v>
      </c>
      <c r="E44" s="2">
        <v>13849.31</v>
      </c>
      <c r="F44" s="2">
        <v>28749.040000000001</v>
      </c>
      <c r="G44" s="2">
        <v>481.73110000000003</v>
      </c>
    </row>
    <row r="45" spans="1:7" x14ac:dyDescent="0.3">
      <c r="A45" t="s">
        <v>335</v>
      </c>
      <c r="B45">
        <v>2018</v>
      </c>
      <c r="C45">
        <v>7215</v>
      </c>
      <c r="D45" t="s">
        <v>339</v>
      </c>
      <c r="E45" s="2">
        <v>17189.7</v>
      </c>
      <c r="F45" s="2">
        <v>30650.95</v>
      </c>
      <c r="G45" s="2">
        <v>560.82119999999998</v>
      </c>
    </row>
    <row r="46" spans="1:7" x14ac:dyDescent="0.3">
      <c r="A46" t="s">
        <v>335</v>
      </c>
      <c r="B46">
        <v>2019</v>
      </c>
      <c r="C46">
        <v>7217</v>
      </c>
      <c r="D46" t="s">
        <v>339</v>
      </c>
      <c r="E46" s="2">
        <v>13259.41</v>
      </c>
      <c r="F46" s="2">
        <v>27259.91</v>
      </c>
      <c r="G46" s="2">
        <v>486.40689999999995</v>
      </c>
    </row>
    <row r="47" spans="1:7" hidden="1" x14ac:dyDescent="0.3">
      <c r="A47" t="s">
        <v>335</v>
      </c>
      <c r="B47">
        <v>2020</v>
      </c>
      <c r="C47">
        <v>7216</v>
      </c>
      <c r="D47" t="s">
        <v>339</v>
      </c>
      <c r="E47" s="2">
        <v>11611.45</v>
      </c>
      <c r="F47" s="2">
        <v>26537.41</v>
      </c>
      <c r="G47" s="2">
        <v>437.55020000000002</v>
      </c>
    </row>
    <row r="48" spans="1:7" hidden="1" x14ac:dyDescent="0.3">
      <c r="A48" t="s">
        <v>337</v>
      </c>
      <c r="B48">
        <v>2012</v>
      </c>
      <c r="C48">
        <v>7223</v>
      </c>
      <c r="D48" t="s">
        <v>339</v>
      </c>
      <c r="E48" s="2">
        <v>5883.9520000000002</v>
      </c>
      <c r="F48" s="2">
        <v>6132.7259999999997</v>
      </c>
      <c r="G48" s="2">
        <v>959.43489999999997</v>
      </c>
    </row>
    <row r="49" spans="1:9" hidden="1" x14ac:dyDescent="0.3">
      <c r="A49" t="s">
        <v>337</v>
      </c>
      <c r="B49">
        <v>2013</v>
      </c>
      <c r="C49">
        <v>7225</v>
      </c>
      <c r="D49" t="s">
        <v>339</v>
      </c>
      <c r="E49" s="2">
        <v>5368.0479999999998</v>
      </c>
      <c r="F49" s="2">
        <v>6246.1009999999997</v>
      </c>
      <c r="G49" s="2">
        <v>859.42379999999991</v>
      </c>
    </row>
    <row r="50" spans="1:9" hidden="1" x14ac:dyDescent="0.3">
      <c r="A50" t="s">
        <v>337</v>
      </c>
      <c r="B50">
        <v>2014</v>
      </c>
      <c r="C50">
        <v>7224</v>
      </c>
      <c r="D50" t="s">
        <v>339</v>
      </c>
      <c r="E50" s="2">
        <v>4685.3090000000002</v>
      </c>
      <c r="F50" s="2">
        <v>5579.0630000000001</v>
      </c>
      <c r="G50" s="2">
        <v>839.80200000000002</v>
      </c>
    </row>
    <row r="51" spans="1:9" hidden="1" x14ac:dyDescent="0.3">
      <c r="A51" t="s">
        <v>337</v>
      </c>
      <c r="B51">
        <v>2015</v>
      </c>
      <c r="C51">
        <v>7222</v>
      </c>
      <c r="D51" t="s">
        <v>339</v>
      </c>
      <c r="E51" s="2">
        <v>2794.8919999999998</v>
      </c>
      <c r="F51" s="2">
        <v>4024.1370000000002</v>
      </c>
      <c r="G51" s="2">
        <v>694.53189999999995</v>
      </c>
    </row>
    <row r="52" spans="1:9" hidden="1" x14ac:dyDescent="0.3">
      <c r="A52" t="s">
        <v>337</v>
      </c>
      <c r="B52">
        <v>2016</v>
      </c>
      <c r="C52">
        <v>7216</v>
      </c>
      <c r="D52" t="s">
        <v>339</v>
      </c>
      <c r="E52" s="2">
        <v>2584.8359999999998</v>
      </c>
      <c r="F52" s="2">
        <v>3844.8270000000002</v>
      </c>
      <c r="G52" s="2">
        <v>672.28920000000005</v>
      </c>
    </row>
    <row r="53" spans="1:9" hidden="1" x14ac:dyDescent="0.3">
      <c r="A53" t="s">
        <v>337</v>
      </c>
      <c r="B53">
        <v>2017</v>
      </c>
      <c r="C53">
        <v>7222</v>
      </c>
      <c r="D53" t="s">
        <v>339</v>
      </c>
      <c r="E53" s="2">
        <v>4190.5739999999996</v>
      </c>
      <c r="F53" s="2">
        <v>5638.4750000000004</v>
      </c>
      <c r="G53" s="2">
        <v>743.2106</v>
      </c>
    </row>
    <row r="54" spans="1:9" x14ac:dyDescent="0.3">
      <c r="A54" t="s">
        <v>337</v>
      </c>
      <c r="B54">
        <v>2018</v>
      </c>
      <c r="C54">
        <v>7219</v>
      </c>
      <c r="D54" t="s">
        <v>339</v>
      </c>
      <c r="E54" s="2">
        <v>4506.7030000000004</v>
      </c>
      <c r="F54" s="2">
        <v>5682.3419999999996</v>
      </c>
      <c r="G54" s="2">
        <v>793.10670000000005</v>
      </c>
    </row>
    <row r="55" spans="1:9" x14ac:dyDescent="0.3">
      <c r="A55" t="s">
        <v>337</v>
      </c>
      <c r="B55">
        <v>2019</v>
      </c>
      <c r="C55">
        <v>7219</v>
      </c>
      <c r="D55" t="s">
        <v>339</v>
      </c>
      <c r="E55" s="2">
        <v>4354.5889999999999</v>
      </c>
      <c r="F55" s="2">
        <v>5855.741</v>
      </c>
      <c r="G55" s="2">
        <v>743.64440000000002</v>
      </c>
    </row>
    <row r="56" spans="1:9" hidden="1" x14ac:dyDescent="0.3">
      <c r="A56" t="s">
        <v>337</v>
      </c>
      <c r="B56">
        <v>2020</v>
      </c>
      <c r="C56">
        <v>7210</v>
      </c>
      <c r="D56" t="s">
        <v>339</v>
      </c>
      <c r="E56" s="2">
        <v>3269.7</v>
      </c>
      <c r="F56" s="2">
        <v>4492.4250000000002</v>
      </c>
      <c r="G56" s="2">
        <v>727.82510000000002</v>
      </c>
      <c r="I56">
        <f>F56/F55</f>
        <v>0.76718300894797087</v>
      </c>
    </row>
  </sheetData>
  <autoFilter ref="A2:H56">
    <filterColumn colId="1">
      <filters>
        <filter val="2018"/>
        <filter val="2019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3"/>
  <dimension ref="A1:D13"/>
  <sheetViews>
    <sheetView workbookViewId="0">
      <selection activeCell="D13" sqref="D13"/>
    </sheetView>
  </sheetViews>
  <sheetFormatPr defaultRowHeight="14.4" x14ac:dyDescent="0.3"/>
  <sheetData>
    <row r="1" spans="1:4" x14ac:dyDescent="0.3">
      <c r="B1" t="s">
        <v>340</v>
      </c>
      <c r="C1" t="s">
        <v>341</v>
      </c>
      <c r="D1" t="s">
        <v>341</v>
      </c>
    </row>
    <row r="2" spans="1:4" ht="27" x14ac:dyDescent="0.3">
      <c r="A2" s="45"/>
      <c r="B2" s="46" t="s">
        <v>342</v>
      </c>
      <c r="C2" t="s">
        <v>338</v>
      </c>
      <c r="D2" t="s">
        <v>343</v>
      </c>
    </row>
    <row r="3" spans="1:4" x14ac:dyDescent="0.3">
      <c r="A3" s="47"/>
      <c r="B3" s="48" t="s">
        <v>344</v>
      </c>
      <c r="C3" s="48" t="s">
        <v>344</v>
      </c>
      <c r="D3" s="48" t="s">
        <v>344</v>
      </c>
    </row>
    <row r="4" spans="1:4" x14ac:dyDescent="0.3">
      <c r="A4" s="47"/>
      <c r="B4" s="47" t="s">
        <v>345</v>
      </c>
      <c r="C4" t="s">
        <v>346</v>
      </c>
      <c r="D4" t="s">
        <v>347</v>
      </c>
    </row>
    <row r="5" spans="1:4" x14ac:dyDescent="0.3">
      <c r="A5" s="49">
        <v>2012</v>
      </c>
      <c r="B5" s="50">
        <v>128.495925925926</v>
      </c>
    </row>
    <row r="6" spans="1:4" x14ac:dyDescent="0.3">
      <c r="A6" s="47">
        <v>2013</v>
      </c>
      <c r="B6" s="51">
        <v>135.36118854173199</v>
      </c>
    </row>
    <row r="7" spans="1:4" x14ac:dyDescent="0.3">
      <c r="A7" s="49">
        <v>2014</v>
      </c>
      <c r="B7" s="50">
        <v>96.952462121212093</v>
      </c>
    </row>
    <row r="8" spans="1:4" x14ac:dyDescent="0.3">
      <c r="A8" s="47">
        <v>2015</v>
      </c>
      <c r="B8" s="52">
        <v>55.8541666666667</v>
      </c>
      <c r="C8" s="53">
        <f>AVERAGEIFS(LME!C:C,LME!$A:$A,'Данные WB LME'!$A8)</f>
        <v>184.90740740740742</v>
      </c>
      <c r="D8" s="53">
        <f>AVERAGEIFS(LME!D:D,LME!$A:$A,'Данные WB LME'!$A8)</f>
        <v>330.53703703703701</v>
      </c>
    </row>
    <row r="9" spans="1:4" x14ac:dyDescent="0.3">
      <c r="A9" s="49">
        <v>2016</v>
      </c>
      <c r="B9" s="50">
        <v>58.4241666666667</v>
      </c>
      <c r="C9" s="54">
        <f>AVERAGEIFS(LME!C:C,LME!$A:$A,'Данные WB LME'!$A9)</f>
        <v>232.81027667984191</v>
      </c>
      <c r="D9" s="54">
        <f>AVERAGEIFS(LME!D:D,LME!$A:$A,'Данные WB LME'!$A9)</f>
        <v>394.43873517786562</v>
      </c>
    </row>
    <row r="10" spans="1:4" x14ac:dyDescent="0.3">
      <c r="A10" s="47">
        <v>2017</v>
      </c>
      <c r="B10" s="52">
        <v>71.760000000000005</v>
      </c>
      <c r="C10" s="54">
        <f>AVERAGEIFS(LME!C:C,LME!$A:$A,'Данные WB LME'!$A10)</f>
        <v>303.19444444444446</v>
      </c>
      <c r="D10" s="54">
        <f>AVERAGEIFS(LME!D:D,LME!$A:$A,'Данные WB LME'!$A10)</f>
        <v>480.19444444444446</v>
      </c>
    </row>
    <row r="11" spans="1:4" x14ac:dyDescent="0.3">
      <c r="A11" s="49">
        <v>2018</v>
      </c>
      <c r="B11" s="50">
        <v>69.751666666666694</v>
      </c>
      <c r="C11" s="54">
        <f>AVERAGEIFS(LME!C:C,LME!$A:$A,'Данные WB LME'!$A11)</f>
        <v>333.83003952569169</v>
      </c>
      <c r="D11" s="54">
        <f>AVERAGEIFS(LME!D:D,LME!$A:$A,'Данные WB LME'!$A11)</f>
        <v>527.98418972332013</v>
      </c>
    </row>
    <row r="12" spans="1:4" x14ac:dyDescent="0.3">
      <c r="A12" s="47">
        <v>2019</v>
      </c>
      <c r="B12" s="52">
        <v>93.849166666666605</v>
      </c>
      <c r="C12" s="54">
        <f>AVERAGEIFS(LME!C:C,LME!$A:$A,'Данные WB LME'!$A12)</f>
        <v>292.06324110671937</v>
      </c>
      <c r="D12" s="54">
        <f>AVERAGEIFS(LME!D:D,LME!$A:$A,'Данные WB LME'!$A12)</f>
        <v>457.27075098814231</v>
      </c>
    </row>
    <row r="13" spans="1:4" x14ac:dyDescent="0.3">
      <c r="A13" s="49">
        <v>2020</v>
      </c>
      <c r="B13" s="55">
        <v>108.918333333333</v>
      </c>
      <c r="C13" s="54">
        <f>AVERAGEIFS(LME!C:C,LME!$A:$A,'Данные WB LME'!$A13)</f>
        <v>293.30586614173228</v>
      </c>
      <c r="D13" s="54">
        <f>AVERAGEIFS(LME!D:D,LME!$A:$A,'Данные WB LME'!$A13)</f>
        <v>450.49015748031496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ksheet____4"/>
  <dimension ref="A1:F1420"/>
  <sheetViews>
    <sheetView workbookViewId="0">
      <selection activeCell="A14" sqref="A14"/>
    </sheetView>
  </sheetViews>
  <sheetFormatPr defaultRowHeight="14.4" x14ac:dyDescent="0.3"/>
  <sheetData>
    <row r="1" spans="1:6" x14ac:dyDescent="0.3">
      <c r="C1" t="s">
        <v>338</v>
      </c>
      <c r="D1" t="s">
        <v>343</v>
      </c>
      <c r="E1">
        <f>MIN(E3:E1420)</f>
        <v>1.3461928934010152</v>
      </c>
    </row>
    <row r="2" spans="1:6" x14ac:dyDescent="0.3">
      <c r="B2" s="56" t="s">
        <v>348</v>
      </c>
      <c r="C2" s="57" t="s">
        <v>349</v>
      </c>
      <c r="D2" s="57" t="s">
        <v>349</v>
      </c>
      <c r="E2">
        <f>MAX(E3:E1420)</f>
        <v>1.9017857142857142</v>
      </c>
      <c r="F2" s="58">
        <f>CORREL(C3:C1420,D3:D1420)</f>
        <v>0.97754877066830037</v>
      </c>
    </row>
    <row r="3" spans="1:6" x14ac:dyDescent="0.3">
      <c r="A3">
        <f>YEAR(B3)</f>
        <v>2015</v>
      </c>
      <c r="B3" s="59">
        <v>42331</v>
      </c>
      <c r="C3" s="54">
        <v>195</v>
      </c>
      <c r="D3" s="54">
        <v>333.5</v>
      </c>
      <c r="E3">
        <f>D3/C3</f>
        <v>1.7102564102564102</v>
      </c>
    </row>
    <row r="4" spans="1:6" x14ac:dyDescent="0.3">
      <c r="A4">
        <f t="shared" ref="A4:A67" si="0">YEAR(B4)</f>
        <v>2015</v>
      </c>
      <c r="B4" s="59">
        <v>42332</v>
      </c>
      <c r="C4" s="54">
        <v>195</v>
      </c>
      <c r="D4" s="54">
        <v>335</v>
      </c>
      <c r="E4">
        <f t="shared" ref="E4:E67" si="1">D4/C4</f>
        <v>1.7179487179487178</v>
      </c>
    </row>
    <row r="5" spans="1:6" x14ac:dyDescent="0.3">
      <c r="A5">
        <f t="shared" si="0"/>
        <v>2015</v>
      </c>
      <c r="B5" s="59">
        <v>42333</v>
      </c>
      <c r="C5" s="54">
        <v>193</v>
      </c>
      <c r="D5" s="54">
        <v>335</v>
      </c>
      <c r="E5">
        <f t="shared" si="1"/>
        <v>1.7357512953367875</v>
      </c>
    </row>
    <row r="6" spans="1:6" x14ac:dyDescent="0.3">
      <c r="A6">
        <f t="shared" si="0"/>
        <v>2015</v>
      </c>
      <c r="B6" s="59">
        <v>42334</v>
      </c>
      <c r="C6" s="54">
        <v>193</v>
      </c>
      <c r="D6" s="54">
        <v>335</v>
      </c>
      <c r="E6">
        <f t="shared" si="1"/>
        <v>1.7357512953367875</v>
      </c>
    </row>
    <row r="7" spans="1:6" x14ac:dyDescent="0.3">
      <c r="A7">
        <f t="shared" si="0"/>
        <v>2015</v>
      </c>
      <c r="B7" s="59">
        <v>42335</v>
      </c>
      <c r="C7" s="54">
        <v>193</v>
      </c>
      <c r="D7" s="54">
        <v>335</v>
      </c>
      <c r="E7">
        <f t="shared" si="1"/>
        <v>1.7357512953367875</v>
      </c>
    </row>
    <row r="8" spans="1:6" x14ac:dyDescent="0.3">
      <c r="A8">
        <f t="shared" si="0"/>
        <v>2015</v>
      </c>
      <c r="B8" s="59">
        <v>42338</v>
      </c>
      <c r="C8" s="54">
        <v>192</v>
      </c>
      <c r="D8" s="54">
        <v>332</v>
      </c>
      <c r="E8">
        <f t="shared" si="1"/>
        <v>1.7291666666666667</v>
      </c>
    </row>
    <row r="9" spans="1:6" x14ac:dyDescent="0.3">
      <c r="A9">
        <f t="shared" si="0"/>
        <v>2015</v>
      </c>
      <c r="B9" s="59">
        <v>42339</v>
      </c>
      <c r="C9" s="54">
        <v>188</v>
      </c>
      <c r="D9" s="54">
        <v>330</v>
      </c>
      <c r="E9">
        <f t="shared" si="1"/>
        <v>1.7553191489361701</v>
      </c>
    </row>
    <row r="10" spans="1:6" x14ac:dyDescent="0.3">
      <c r="A10">
        <f t="shared" si="0"/>
        <v>2015</v>
      </c>
      <c r="B10" s="59">
        <v>42340</v>
      </c>
      <c r="C10" s="54">
        <v>184</v>
      </c>
      <c r="D10" s="54">
        <v>330</v>
      </c>
      <c r="E10">
        <f t="shared" si="1"/>
        <v>1.7934782608695652</v>
      </c>
    </row>
    <row r="11" spans="1:6" x14ac:dyDescent="0.3">
      <c r="A11">
        <f t="shared" si="0"/>
        <v>2015</v>
      </c>
      <c r="B11" s="59">
        <v>42341</v>
      </c>
      <c r="C11" s="54">
        <v>181.5</v>
      </c>
      <c r="D11" s="54">
        <v>329</v>
      </c>
      <c r="E11">
        <f t="shared" si="1"/>
        <v>1.8126721763085401</v>
      </c>
    </row>
    <row r="12" spans="1:6" x14ac:dyDescent="0.3">
      <c r="A12">
        <f t="shared" si="0"/>
        <v>2015</v>
      </c>
      <c r="B12" s="59">
        <v>42342</v>
      </c>
      <c r="C12" s="54">
        <v>181.5</v>
      </c>
      <c r="D12" s="54">
        <v>329</v>
      </c>
      <c r="E12">
        <f t="shared" si="1"/>
        <v>1.8126721763085401</v>
      </c>
    </row>
    <row r="13" spans="1:6" x14ac:dyDescent="0.3">
      <c r="A13">
        <f t="shared" si="0"/>
        <v>2015</v>
      </c>
      <c r="B13" s="59">
        <v>42345</v>
      </c>
      <c r="C13" s="54">
        <v>181.5</v>
      </c>
      <c r="D13" s="54">
        <v>329</v>
      </c>
      <c r="E13">
        <f t="shared" si="1"/>
        <v>1.8126721763085401</v>
      </c>
    </row>
    <row r="14" spans="1:6" x14ac:dyDescent="0.3">
      <c r="A14">
        <f t="shared" si="0"/>
        <v>2015</v>
      </c>
      <c r="B14" s="59">
        <v>42346</v>
      </c>
      <c r="C14" s="54">
        <v>181.5</v>
      </c>
      <c r="D14" s="54">
        <v>329</v>
      </c>
      <c r="E14">
        <f t="shared" si="1"/>
        <v>1.8126721763085401</v>
      </c>
    </row>
    <row r="15" spans="1:6" x14ac:dyDescent="0.3">
      <c r="A15">
        <f t="shared" si="0"/>
        <v>2015</v>
      </c>
      <c r="B15" s="59">
        <v>42347</v>
      </c>
      <c r="C15" s="54">
        <v>181.5</v>
      </c>
      <c r="D15" s="54">
        <v>329</v>
      </c>
      <c r="E15">
        <f t="shared" si="1"/>
        <v>1.8126721763085401</v>
      </c>
    </row>
    <row r="16" spans="1:6" x14ac:dyDescent="0.3">
      <c r="A16">
        <f t="shared" si="0"/>
        <v>2015</v>
      </c>
      <c r="B16" s="59">
        <v>42348</v>
      </c>
      <c r="C16" s="54">
        <v>181.5</v>
      </c>
      <c r="D16" s="54">
        <v>329</v>
      </c>
      <c r="E16">
        <f t="shared" si="1"/>
        <v>1.8126721763085401</v>
      </c>
    </row>
    <row r="17" spans="1:5" x14ac:dyDescent="0.3">
      <c r="A17">
        <f t="shared" si="0"/>
        <v>2015</v>
      </c>
      <c r="B17" s="59">
        <v>42349</v>
      </c>
      <c r="C17" s="54">
        <v>181.5</v>
      </c>
      <c r="D17" s="54">
        <v>329</v>
      </c>
      <c r="E17">
        <f t="shared" si="1"/>
        <v>1.8126721763085401</v>
      </c>
    </row>
    <row r="18" spans="1:5" x14ac:dyDescent="0.3">
      <c r="A18">
        <f t="shared" si="0"/>
        <v>2015</v>
      </c>
      <c r="B18" s="59">
        <v>42352</v>
      </c>
      <c r="C18" s="54">
        <v>181.5</v>
      </c>
      <c r="D18" s="54">
        <v>327</v>
      </c>
      <c r="E18">
        <f t="shared" si="1"/>
        <v>1.8016528925619835</v>
      </c>
    </row>
    <row r="19" spans="1:5" x14ac:dyDescent="0.3">
      <c r="A19">
        <f t="shared" si="0"/>
        <v>2015</v>
      </c>
      <c r="B19" s="59">
        <v>42353</v>
      </c>
      <c r="C19" s="54">
        <v>181.5</v>
      </c>
      <c r="D19" s="54">
        <v>327</v>
      </c>
      <c r="E19">
        <f t="shared" si="1"/>
        <v>1.8016528925619835</v>
      </c>
    </row>
    <row r="20" spans="1:5" x14ac:dyDescent="0.3">
      <c r="A20">
        <f t="shared" si="0"/>
        <v>2015</v>
      </c>
      <c r="B20" s="59">
        <v>42354</v>
      </c>
      <c r="C20" s="54">
        <v>181.5</v>
      </c>
      <c r="D20" s="54">
        <v>327</v>
      </c>
      <c r="E20">
        <f t="shared" si="1"/>
        <v>1.8016528925619835</v>
      </c>
    </row>
    <row r="21" spans="1:5" x14ac:dyDescent="0.3">
      <c r="A21">
        <f t="shared" si="0"/>
        <v>2015</v>
      </c>
      <c r="B21" s="59">
        <v>42355</v>
      </c>
      <c r="C21" s="54">
        <v>181.5</v>
      </c>
      <c r="D21" s="54">
        <v>327</v>
      </c>
      <c r="E21">
        <f t="shared" si="1"/>
        <v>1.8016528925619835</v>
      </c>
    </row>
    <row r="22" spans="1:5" x14ac:dyDescent="0.3">
      <c r="A22">
        <f t="shared" si="0"/>
        <v>2015</v>
      </c>
      <c r="B22" s="59">
        <v>42356</v>
      </c>
      <c r="C22" s="54">
        <v>181.5</v>
      </c>
      <c r="D22" s="54">
        <v>334</v>
      </c>
      <c r="E22">
        <f t="shared" si="1"/>
        <v>1.8402203856749311</v>
      </c>
    </row>
    <row r="23" spans="1:5" x14ac:dyDescent="0.3">
      <c r="A23">
        <f t="shared" si="0"/>
        <v>2015</v>
      </c>
      <c r="B23" s="59">
        <v>42359</v>
      </c>
      <c r="C23" s="54">
        <v>181.5</v>
      </c>
      <c r="D23" s="54">
        <v>334</v>
      </c>
      <c r="E23">
        <f t="shared" si="1"/>
        <v>1.8402203856749311</v>
      </c>
    </row>
    <row r="24" spans="1:5" x14ac:dyDescent="0.3">
      <c r="A24">
        <f t="shared" si="0"/>
        <v>2015</v>
      </c>
      <c r="B24" s="59">
        <v>42360</v>
      </c>
      <c r="C24" s="54">
        <v>182</v>
      </c>
      <c r="D24" s="54">
        <v>330</v>
      </c>
      <c r="E24">
        <f t="shared" si="1"/>
        <v>1.8131868131868132</v>
      </c>
    </row>
    <row r="25" spans="1:5" x14ac:dyDescent="0.3">
      <c r="A25">
        <f t="shared" si="0"/>
        <v>2015</v>
      </c>
      <c r="B25" s="59">
        <v>42361</v>
      </c>
      <c r="C25" s="54">
        <v>182</v>
      </c>
      <c r="D25" s="54">
        <v>330</v>
      </c>
      <c r="E25">
        <f t="shared" si="1"/>
        <v>1.8131868131868132</v>
      </c>
    </row>
    <row r="26" spans="1:5" x14ac:dyDescent="0.3">
      <c r="A26">
        <f t="shared" si="0"/>
        <v>2015</v>
      </c>
      <c r="B26" s="59">
        <v>42362</v>
      </c>
      <c r="C26" s="54">
        <v>184</v>
      </c>
      <c r="D26" s="54">
        <v>330</v>
      </c>
      <c r="E26">
        <f t="shared" si="1"/>
        <v>1.7934782608695652</v>
      </c>
    </row>
    <row r="27" spans="1:5" x14ac:dyDescent="0.3">
      <c r="A27">
        <f t="shared" si="0"/>
        <v>2015</v>
      </c>
      <c r="B27" s="59">
        <v>42367</v>
      </c>
      <c r="C27" s="54">
        <v>184</v>
      </c>
      <c r="D27" s="54">
        <v>330</v>
      </c>
      <c r="E27">
        <f t="shared" si="1"/>
        <v>1.7934782608695652</v>
      </c>
    </row>
    <row r="28" spans="1:5" x14ac:dyDescent="0.3">
      <c r="A28">
        <f t="shared" si="0"/>
        <v>2015</v>
      </c>
      <c r="B28" s="59">
        <v>42368</v>
      </c>
      <c r="C28" s="54">
        <v>184</v>
      </c>
      <c r="D28" s="54">
        <v>330</v>
      </c>
      <c r="E28">
        <f t="shared" si="1"/>
        <v>1.7934782608695652</v>
      </c>
    </row>
    <row r="29" spans="1:5" x14ac:dyDescent="0.3">
      <c r="A29">
        <f t="shared" si="0"/>
        <v>2015</v>
      </c>
      <c r="B29" s="59">
        <v>42369</v>
      </c>
      <c r="C29" s="54">
        <v>184</v>
      </c>
      <c r="D29" s="54">
        <v>330</v>
      </c>
      <c r="E29">
        <f t="shared" si="1"/>
        <v>1.7934782608695652</v>
      </c>
    </row>
    <row r="30" spans="1:5" x14ac:dyDescent="0.3">
      <c r="A30">
        <f t="shared" si="0"/>
        <v>2016</v>
      </c>
      <c r="B30" s="59">
        <v>42373</v>
      </c>
      <c r="C30" s="54">
        <v>184</v>
      </c>
      <c r="D30" s="54">
        <v>330</v>
      </c>
      <c r="E30">
        <f t="shared" si="1"/>
        <v>1.7934782608695652</v>
      </c>
    </row>
    <row r="31" spans="1:5" x14ac:dyDescent="0.3">
      <c r="A31">
        <f t="shared" si="0"/>
        <v>2016</v>
      </c>
      <c r="B31" s="59">
        <v>42374</v>
      </c>
      <c r="C31" s="54">
        <v>184</v>
      </c>
      <c r="D31" s="54">
        <v>330</v>
      </c>
      <c r="E31">
        <f t="shared" si="1"/>
        <v>1.7934782608695652</v>
      </c>
    </row>
    <row r="32" spans="1:5" x14ac:dyDescent="0.3">
      <c r="A32">
        <f t="shared" si="0"/>
        <v>2016</v>
      </c>
      <c r="B32" s="59">
        <v>42375</v>
      </c>
      <c r="C32" s="54">
        <v>184</v>
      </c>
      <c r="D32" s="54">
        <v>330</v>
      </c>
      <c r="E32">
        <f t="shared" si="1"/>
        <v>1.7934782608695652</v>
      </c>
    </row>
    <row r="33" spans="1:5" x14ac:dyDescent="0.3">
      <c r="A33">
        <f t="shared" si="0"/>
        <v>2016</v>
      </c>
      <c r="B33" s="59">
        <v>42376</v>
      </c>
      <c r="C33" s="54">
        <v>185</v>
      </c>
      <c r="D33" s="54">
        <v>330</v>
      </c>
      <c r="E33">
        <f t="shared" si="1"/>
        <v>1.7837837837837838</v>
      </c>
    </row>
    <row r="34" spans="1:5" x14ac:dyDescent="0.3">
      <c r="A34">
        <f t="shared" si="0"/>
        <v>2016</v>
      </c>
      <c r="B34" s="59">
        <v>42377</v>
      </c>
      <c r="C34" s="54">
        <v>185</v>
      </c>
      <c r="D34" s="54">
        <v>330</v>
      </c>
      <c r="E34">
        <f t="shared" si="1"/>
        <v>1.7837837837837838</v>
      </c>
    </row>
    <row r="35" spans="1:5" x14ac:dyDescent="0.3">
      <c r="A35">
        <f t="shared" si="0"/>
        <v>2016</v>
      </c>
      <c r="B35" s="59">
        <v>42380</v>
      </c>
      <c r="C35" s="54">
        <v>185</v>
      </c>
      <c r="D35" s="54">
        <v>330</v>
      </c>
      <c r="E35">
        <f t="shared" si="1"/>
        <v>1.7837837837837838</v>
      </c>
    </row>
    <row r="36" spans="1:5" x14ac:dyDescent="0.3">
      <c r="A36">
        <f t="shared" si="0"/>
        <v>2016</v>
      </c>
      <c r="B36" s="59">
        <v>42381</v>
      </c>
      <c r="C36" s="54">
        <v>187</v>
      </c>
      <c r="D36" s="54">
        <v>330</v>
      </c>
      <c r="E36">
        <f t="shared" si="1"/>
        <v>1.7647058823529411</v>
      </c>
    </row>
    <row r="37" spans="1:5" x14ac:dyDescent="0.3">
      <c r="A37">
        <f t="shared" si="0"/>
        <v>2016</v>
      </c>
      <c r="B37" s="59">
        <v>42382</v>
      </c>
      <c r="C37" s="54">
        <v>187</v>
      </c>
      <c r="D37" s="54">
        <v>330</v>
      </c>
      <c r="E37">
        <f t="shared" si="1"/>
        <v>1.7647058823529411</v>
      </c>
    </row>
    <row r="38" spans="1:5" x14ac:dyDescent="0.3">
      <c r="A38">
        <f t="shared" si="0"/>
        <v>2016</v>
      </c>
      <c r="B38" s="59">
        <v>42383</v>
      </c>
      <c r="C38" s="54">
        <v>187</v>
      </c>
      <c r="D38" s="54">
        <v>330</v>
      </c>
      <c r="E38">
        <f t="shared" si="1"/>
        <v>1.7647058823529411</v>
      </c>
    </row>
    <row r="39" spans="1:5" x14ac:dyDescent="0.3">
      <c r="A39">
        <f t="shared" si="0"/>
        <v>2016</v>
      </c>
      <c r="B39" s="59">
        <v>42384</v>
      </c>
      <c r="C39" s="54">
        <v>187</v>
      </c>
      <c r="D39" s="54">
        <v>330</v>
      </c>
      <c r="E39">
        <f t="shared" si="1"/>
        <v>1.7647058823529411</v>
      </c>
    </row>
    <row r="40" spans="1:5" x14ac:dyDescent="0.3">
      <c r="A40">
        <f t="shared" si="0"/>
        <v>2016</v>
      </c>
      <c r="B40" s="59">
        <v>42387</v>
      </c>
      <c r="C40" s="54">
        <v>187</v>
      </c>
      <c r="D40" s="54">
        <v>330</v>
      </c>
      <c r="E40">
        <f t="shared" si="1"/>
        <v>1.7647058823529411</v>
      </c>
    </row>
    <row r="41" spans="1:5" x14ac:dyDescent="0.3">
      <c r="A41">
        <f t="shared" si="0"/>
        <v>2016</v>
      </c>
      <c r="B41" s="59">
        <v>42388</v>
      </c>
      <c r="C41" s="54">
        <v>187</v>
      </c>
      <c r="D41" s="54">
        <v>330</v>
      </c>
      <c r="E41">
        <f t="shared" si="1"/>
        <v>1.7647058823529411</v>
      </c>
    </row>
    <row r="42" spans="1:5" x14ac:dyDescent="0.3">
      <c r="A42">
        <f t="shared" si="0"/>
        <v>2016</v>
      </c>
      <c r="B42" s="59">
        <v>42389</v>
      </c>
      <c r="C42" s="54">
        <v>187</v>
      </c>
      <c r="D42" s="54">
        <v>330</v>
      </c>
      <c r="E42">
        <f t="shared" si="1"/>
        <v>1.7647058823529411</v>
      </c>
    </row>
    <row r="43" spans="1:5" x14ac:dyDescent="0.3">
      <c r="A43">
        <f t="shared" si="0"/>
        <v>2016</v>
      </c>
      <c r="B43" s="59">
        <v>42390</v>
      </c>
      <c r="C43" s="54">
        <v>187</v>
      </c>
      <c r="D43" s="54">
        <v>330</v>
      </c>
      <c r="E43">
        <f t="shared" si="1"/>
        <v>1.7647058823529411</v>
      </c>
    </row>
    <row r="44" spans="1:5" x14ac:dyDescent="0.3">
      <c r="A44">
        <f t="shared" si="0"/>
        <v>2016</v>
      </c>
      <c r="B44" s="59">
        <v>42391</v>
      </c>
      <c r="C44" s="54">
        <v>184</v>
      </c>
      <c r="D44" s="54">
        <v>326</v>
      </c>
      <c r="E44">
        <f t="shared" si="1"/>
        <v>1.7717391304347827</v>
      </c>
    </row>
    <row r="45" spans="1:5" x14ac:dyDescent="0.3">
      <c r="A45">
        <f t="shared" si="0"/>
        <v>2016</v>
      </c>
      <c r="B45" s="59">
        <v>42394</v>
      </c>
      <c r="C45" s="54">
        <v>184</v>
      </c>
      <c r="D45" s="54">
        <v>326</v>
      </c>
      <c r="E45">
        <f t="shared" si="1"/>
        <v>1.7717391304347827</v>
      </c>
    </row>
    <row r="46" spans="1:5" x14ac:dyDescent="0.3">
      <c r="A46">
        <f t="shared" si="0"/>
        <v>2016</v>
      </c>
      <c r="B46" s="59">
        <v>42395</v>
      </c>
      <c r="C46" s="54">
        <v>184</v>
      </c>
      <c r="D46" s="54">
        <v>326</v>
      </c>
      <c r="E46">
        <f t="shared" si="1"/>
        <v>1.7717391304347827</v>
      </c>
    </row>
    <row r="47" spans="1:5" x14ac:dyDescent="0.3">
      <c r="A47">
        <f t="shared" si="0"/>
        <v>2016</v>
      </c>
      <c r="B47" s="59">
        <v>42396</v>
      </c>
      <c r="C47" s="54">
        <v>184</v>
      </c>
      <c r="D47" s="54">
        <v>325</v>
      </c>
      <c r="E47">
        <f t="shared" si="1"/>
        <v>1.7663043478260869</v>
      </c>
    </row>
    <row r="48" spans="1:5" x14ac:dyDescent="0.3">
      <c r="A48">
        <f t="shared" si="0"/>
        <v>2016</v>
      </c>
      <c r="B48" s="59">
        <v>42397</v>
      </c>
      <c r="C48" s="54">
        <v>184</v>
      </c>
      <c r="D48" s="54">
        <v>325</v>
      </c>
      <c r="E48">
        <f t="shared" si="1"/>
        <v>1.7663043478260869</v>
      </c>
    </row>
    <row r="49" spans="1:5" x14ac:dyDescent="0.3">
      <c r="A49">
        <f t="shared" si="0"/>
        <v>2016</v>
      </c>
      <c r="B49" s="59">
        <v>42398</v>
      </c>
      <c r="C49" s="54">
        <v>184</v>
      </c>
      <c r="D49" s="54">
        <v>325</v>
      </c>
      <c r="E49">
        <f t="shared" si="1"/>
        <v>1.7663043478260869</v>
      </c>
    </row>
    <row r="50" spans="1:5" x14ac:dyDescent="0.3">
      <c r="A50">
        <f t="shared" si="0"/>
        <v>2016</v>
      </c>
      <c r="B50" s="59">
        <v>42401</v>
      </c>
      <c r="C50" s="54">
        <v>184</v>
      </c>
      <c r="D50" s="54">
        <v>327</v>
      </c>
      <c r="E50">
        <f t="shared" si="1"/>
        <v>1.7771739130434783</v>
      </c>
    </row>
    <row r="51" spans="1:5" x14ac:dyDescent="0.3">
      <c r="A51">
        <f t="shared" si="0"/>
        <v>2016</v>
      </c>
      <c r="B51" s="59">
        <v>42402</v>
      </c>
      <c r="C51" s="54">
        <v>184</v>
      </c>
      <c r="D51" s="54">
        <v>325</v>
      </c>
      <c r="E51">
        <f t="shared" si="1"/>
        <v>1.7663043478260869</v>
      </c>
    </row>
    <row r="52" spans="1:5" x14ac:dyDescent="0.3">
      <c r="A52">
        <f t="shared" si="0"/>
        <v>2016</v>
      </c>
      <c r="B52" s="59">
        <v>42403</v>
      </c>
      <c r="C52" s="54">
        <v>184</v>
      </c>
      <c r="D52" s="54">
        <v>325</v>
      </c>
      <c r="E52">
        <f t="shared" si="1"/>
        <v>1.7663043478260869</v>
      </c>
    </row>
    <row r="53" spans="1:5" x14ac:dyDescent="0.3">
      <c r="A53">
        <f t="shared" si="0"/>
        <v>2016</v>
      </c>
      <c r="B53" s="59">
        <v>42404</v>
      </c>
      <c r="C53" s="54">
        <v>182</v>
      </c>
      <c r="D53" s="54">
        <v>325</v>
      </c>
      <c r="E53">
        <f t="shared" si="1"/>
        <v>1.7857142857142858</v>
      </c>
    </row>
    <row r="54" spans="1:5" x14ac:dyDescent="0.3">
      <c r="A54">
        <f t="shared" si="0"/>
        <v>2016</v>
      </c>
      <c r="B54" s="59">
        <v>42405</v>
      </c>
      <c r="C54" s="54">
        <v>182</v>
      </c>
      <c r="D54" s="54">
        <v>325</v>
      </c>
      <c r="E54">
        <f t="shared" si="1"/>
        <v>1.7857142857142858</v>
      </c>
    </row>
    <row r="55" spans="1:5" x14ac:dyDescent="0.3">
      <c r="A55">
        <f t="shared" si="0"/>
        <v>2016</v>
      </c>
      <c r="B55" s="59">
        <v>42408</v>
      </c>
      <c r="C55" s="54">
        <v>181</v>
      </c>
      <c r="D55" s="54">
        <v>325</v>
      </c>
      <c r="E55">
        <f t="shared" si="1"/>
        <v>1.7955801104972375</v>
      </c>
    </row>
    <row r="56" spans="1:5" x14ac:dyDescent="0.3">
      <c r="A56">
        <f t="shared" si="0"/>
        <v>2016</v>
      </c>
      <c r="B56" s="59">
        <v>42409</v>
      </c>
      <c r="C56" s="54">
        <v>174</v>
      </c>
      <c r="D56" s="54">
        <v>325</v>
      </c>
      <c r="E56">
        <f t="shared" si="1"/>
        <v>1.867816091954023</v>
      </c>
    </row>
    <row r="57" spans="1:5" x14ac:dyDescent="0.3">
      <c r="A57">
        <f t="shared" si="0"/>
        <v>2016</v>
      </c>
      <c r="B57" s="59">
        <v>42410</v>
      </c>
      <c r="C57" s="54">
        <v>175</v>
      </c>
      <c r="D57" s="54">
        <v>325</v>
      </c>
      <c r="E57">
        <f t="shared" si="1"/>
        <v>1.8571428571428572</v>
      </c>
    </row>
    <row r="58" spans="1:5" x14ac:dyDescent="0.3">
      <c r="A58">
        <f t="shared" si="0"/>
        <v>2016</v>
      </c>
      <c r="B58" s="59">
        <v>42411</v>
      </c>
      <c r="C58" s="54">
        <v>175</v>
      </c>
      <c r="D58" s="54">
        <v>325</v>
      </c>
      <c r="E58">
        <f t="shared" si="1"/>
        <v>1.8571428571428572</v>
      </c>
    </row>
    <row r="59" spans="1:5" x14ac:dyDescent="0.3">
      <c r="A59">
        <f t="shared" si="0"/>
        <v>2016</v>
      </c>
      <c r="B59" s="59">
        <v>42412</v>
      </c>
      <c r="C59" s="54">
        <v>175</v>
      </c>
      <c r="D59" s="54">
        <v>322.5</v>
      </c>
      <c r="E59">
        <f t="shared" si="1"/>
        <v>1.8428571428571427</v>
      </c>
    </row>
    <row r="60" spans="1:5" x14ac:dyDescent="0.3">
      <c r="A60">
        <f t="shared" si="0"/>
        <v>2016</v>
      </c>
      <c r="B60" s="59">
        <v>42415</v>
      </c>
      <c r="C60" s="54">
        <v>170</v>
      </c>
      <c r="D60" s="54">
        <v>322.5</v>
      </c>
      <c r="E60">
        <f t="shared" si="1"/>
        <v>1.8970588235294117</v>
      </c>
    </row>
    <row r="61" spans="1:5" x14ac:dyDescent="0.3">
      <c r="A61">
        <f t="shared" si="0"/>
        <v>2016</v>
      </c>
      <c r="B61" s="59">
        <v>42416</v>
      </c>
      <c r="C61" s="54">
        <v>172.5</v>
      </c>
      <c r="D61" s="54">
        <v>321.5</v>
      </c>
      <c r="E61">
        <f t="shared" si="1"/>
        <v>1.863768115942029</v>
      </c>
    </row>
    <row r="62" spans="1:5" x14ac:dyDescent="0.3">
      <c r="A62">
        <f t="shared" si="0"/>
        <v>2016</v>
      </c>
      <c r="B62" s="59">
        <v>42417</v>
      </c>
      <c r="C62" s="54">
        <v>172.5</v>
      </c>
      <c r="D62" s="54">
        <v>320.5</v>
      </c>
      <c r="E62">
        <f t="shared" si="1"/>
        <v>1.8579710144927537</v>
      </c>
    </row>
    <row r="63" spans="1:5" x14ac:dyDescent="0.3">
      <c r="A63">
        <f t="shared" si="0"/>
        <v>2016</v>
      </c>
      <c r="B63" s="59">
        <v>42418</v>
      </c>
      <c r="C63" s="54">
        <v>172.5</v>
      </c>
      <c r="D63" s="54">
        <v>320.5</v>
      </c>
      <c r="E63">
        <f t="shared" si="1"/>
        <v>1.8579710144927537</v>
      </c>
    </row>
    <row r="64" spans="1:5" x14ac:dyDescent="0.3">
      <c r="A64">
        <f t="shared" si="0"/>
        <v>2016</v>
      </c>
      <c r="B64" s="59">
        <v>42419</v>
      </c>
      <c r="C64" s="54">
        <v>172.5</v>
      </c>
      <c r="D64" s="54">
        <v>320.5</v>
      </c>
      <c r="E64">
        <f t="shared" si="1"/>
        <v>1.8579710144927537</v>
      </c>
    </row>
    <row r="65" spans="1:5" x14ac:dyDescent="0.3">
      <c r="A65">
        <f t="shared" si="0"/>
        <v>2016</v>
      </c>
      <c r="B65" s="59">
        <v>42422</v>
      </c>
      <c r="C65" s="54">
        <v>172.5</v>
      </c>
      <c r="D65" s="54">
        <v>320</v>
      </c>
      <c r="E65">
        <f t="shared" si="1"/>
        <v>1.855072463768116</v>
      </c>
    </row>
    <row r="66" spans="1:5" x14ac:dyDescent="0.3">
      <c r="A66">
        <f t="shared" si="0"/>
        <v>2016</v>
      </c>
      <c r="B66" s="59">
        <v>42423</v>
      </c>
      <c r="C66" s="54">
        <v>170</v>
      </c>
      <c r="D66" s="54">
        <v>320</v>
      </c>
      <c r="E66">
        <f t="shared" si="1"/>
        <v>1.8823529411764706</v>
      </c>
    </row>
    <row r="67" spans="1:5" x14ac:dyDescent="0.3">
      <c r="A67">
        <f t="shared" si="0"/>
        <v>2016</v>
      </c>
      <c r="B67" s="59">
        <v>42424</v>
      </c>
      <c r="C67" s="54">
        <v>168</v>
      </c>
      <c r="D67" s="54">
        <v>319.5</v>
      </c>
      <c r="E67">
        <f t="shared" si="1"/>
        <v>1.9017857142857142</v>
      </c>
    </row>
    <row r="68" spans="1:5" x14ac:dyDescent="0.3">
      <c r="A68">
        <f t="shared" ref="A68:A131" si="2">YEAR(B68)</f>
        <v>2016</v>
      </c>
      <c r="B68" s="59">
        <v>42425</v>
      </c>
      <c r="C68" s="54">
        <v>171</v>
      </c>
      <c r="D68" s="54">
        <v>319.5</v>
      </c>
      <c r="E68">
        <f t="shared" ref="E68:E131" si="3">D68/C68</f>
        <v>1.868421052631579</v>
      </c>
    </row>
    <row r="69" spans="1:5" x14ac:dyDescent="0.3">
      <c r="A69">
        <f t="shared" si="2"/>
        <v>2016</v>
      </c>
      <c r="B69" s="59">
        <v>42426</v>
      </c>
      <c r="C69" s="54">
        <v>171</v>
      </c>
      <c r="D69" s="54">
        <v>322.5</v>
      </c>
      <c r="E69">
        <f t="shared" si="3"/>
        <v>1.8859649122807018</v>
      </c>
    </row>
    <row r="70" spans="1:5" x14ac:dyDescent="0.3">
      <c r="A70">
        <f t="shared" si="2"/>
        <v>2016</v>
      </c>
      <c r="B70" s="59">
        <v>42429</v>
      </c>
      <c r="C70" s="54">
        <v>171</v>
      </c>
      <c r="D70" s="54">
        <v>322</v>
      </c>
      <c r="E70">
        <f t="shared" si="3"/>
        <v>1.8830409356725146</v>
      </c>
    </row>
    <row r="71" spans="1:5" x14ac:dyDescent="0.3">
      <c r="A71">
        <f t="shared" si="2"/>
        <v>2016</v>
      </c>
      <c r="B71" s="59">
        <v>42430</v>
      </c>
      <c r="C71" s="54">
        <v>175</v>
      </c>
      <c r="D71" s="54">
        <v>324</v>
      </c>
      <c r="E71">
        <f t="shared" si="3"/>
        <v>1.8514285714285714</v>
      </c>
    </row>
    <row r="72" spans="1:5" x14ac:dyDescent="0.3">
      <c r="A72">
        <f t="shared" si="2"/>
        <v>2016</v>
      </c>
      <c r="B72" s="59">
        <v>42431</v>
      </c>
      <c r="C72" s="54">
        <v>179</v>
      </c>
      <c r="D72" s="54">
        <v>324</v>
      </c>
      <c r="E72">
        <f t="shared" si="3"/>
        <v>1.8100558659217878</v>
      </c>
    </row>
    <row r="73" spans="1:5" x14ac:dyDescent="0.3">
      <c r="A73">
        <f t="shared" si="2"/>
        <v>2016</v>
      </c>
      <c r="B73" s="59">
        <v>42432</v>
      </c>
      <c r="C73" s="54">
        <v>185</v>
      </c>
      <c r="D73" s="54">
        <v>325.5</v>
      </c>
      <c r="E73">
        <f t="shared" si="3"/>
        <v>1.7594594594594595</v>
      </c>
    </row>
    <row r="74" spans="1:5" x14ac:dyDescent="0.3">
      <c r="A74">
        <f t="shared" si="2"/>
        <v>2016</v>
      </c>
      <c r="B74" s="59">
        <v>42433</v>
      </c>
      <c r="C74" s="54">
        <v>185</v>
      </c>
      <c r="D74" s="54">
        <v>325.5</v>
      </c>
      <c r="E74">
        <f t="shared" si="3"/>
        <v>1.7594594594594595</v>
      </c>
    </row>
    <row r="75" spans="1:5" x14ac:dyDescent="0.3">
      <c r="A75">
        <f t="shared" si="2"/>
        <v>2016</v>
      </c>
      <c r="B75" s="59">
        <v>42436</v>
      </c>
      <c r="C75" s="54">
        <v>190</v>
      </c>
      <c r="D75" s="54">
        <v>330.5</v>
      </c>
      <c r="E75">
        <f t="shared" si="3"/>
        <v>1.7394736842105263</v>
      </c>
    </row>
    <row r="76" spans="1:5" x14ac:dyDescent="0.3">
      <c r="A76">
        <f t="shared" si="2"/>
        <v>2016</v>
      </c>
      <c r="B76" s="59">
        <v>42437</v>
      </c>
      <c r="C76" s="54">
        <v>190</v>
      </c>
      <c r="D76" s="54">
        <v>335</v>
      </c>
      <c r="E76">
        <f t="shared" si="3"/>
        <v>1.763157894736842</v>
      </c>
    </row>
    <row r="77" spans="1:5" x14ac:dyDescent="0.3">
      <c r="A77">
        <f t="shared" si="2"/>
        <v>2016</v>
      </c>
      <c r="B77" s="59">
        <v>42438</v>
      </c>
      <c r="C77" s="54">
        <v>194</v>
      </c>
      <c r="D77" s="54">
        <v>340.5</v>
      </c>
      <c r="E77">
        <f t="shared" si="3"/>
        <v>1.7551546391752577</v>
      </c>
    </row>
    <row r="78" spans="1:5" x14ac:dyDescent="0.3">
      <c r="A78">
        <f t="shared" si="2"/>
        <v>2016</v>
      </c>
      <c r="B78" s="59">
        <v>42439</v>
      </c>
      <c r="C78" s="54">
        <v>200</v>
      </c>
      <c r="D78" s="54">
        <v>347</v>
      </c>
      <c r="E78">
        <f t="shared" si="3"/>
        <v>1.7350000000000001</v>
      </c>
    </row>
    <row r="79" spans="1:5" x14ac:dyDescent="0.3">
      <c r="A79">
        <f t="shared" si="2"/>
        <v>2016</v>
      </c>
      <c r="B79" s="59">
        <v>42440</v>
      </c>
      <c r="C79" s="54">
        <v>200</v>
      </c>
      <c r="D79" s="54">
        <v>350</v>
      </c>
      <c r="E79">
        <f t="shared" si="3"/>
        <v>1.75</v>
      </c>
    </row>
    <row r="80" spans="1:5" x14ac:dyDescent="0.3">
      <c r="A80">
        <f t="shared" si="2"/>
        <v>2016</v>
      </c>
      <c r="B80" s="59">
        <v>42443</v>
      </c>
      <c r="C80" s="54">
        <v>200</v>
      </c>
      <c r="D80" s="54">
        <v>352</v>
      </c>
      <c r="E80">
        <f t="shared" si="3"/>
        <v>1.76</v>
      </c>
    </row>
    <row r="81" spans="1:5" x14ac:dyDescent="0.3">
      <c r="A81">
        <f t="shared" si="2"/>
        <v>2016</v>
      </c>
      <c r="B81" s="59">
        <v>42444</v>
      </c>
      <c r="C81" s="54">
        <v>198</v>
      </c>
      <c r="D81" s="54">
        <v>352</v>
      </c>
      <c r="E81">
        <f t="shared" si="3"/>
        <v>1.7777777777777777</v>
      </c>
    </row>
    <row r="82" spans="1:5" x14ac:dyDescent="0.3">
      <c r="A82">
        <f t="shared" si="2"/>
        <v>2016</v>
      </c>
      <c r="B82" s="59">
        <v>42445</v>
      </c>
      <c r="C82" s="54">
        <v>198</v>
      </c>
      <c r="D82" s="54">
        <v>352</v>
      </c>
      <c r="E82">
        <f t="shared" si="3"/>
        <v>1.7777777777777777</v>
      </c>
    </row>
    <row r="83" spans="1:5" x14ac:dyDescent="0.3">
      <c r="A83">
        <f t="shared" si="2"/>
        <v>2016</v>
      </c>
      <c r="B83" s="59">
        <v>42446</v>
      </c>
      <c r="C83" s="54">
        <v>204</v>
      </c>
      <c r="D83" s="54">
        <v>355</v>
      </c>
      <c r="E83">
        <f t="shared" si="3"/>
        <v>1.7401960784313726</v>
      </c>
    </row>
    <row r="84" spans="1:5" x14ac:dyDescent="0.3">
      <c r="A84">
        <f t="shared" si="2"/>
        <v>2016</v>
      </c>
      <c r="B84" s="59">
        <v>42447</v>
      </c>
      <c r="C84" s="54">
        <v>206</v>
      </c>
      <c r="D84" s="54">
        <v>355</v>
      </c>
      <c r="E84">
        <f t="shared" si="3"/>
        <v>1.7233009708737863</v>
      </c>
    </row>
    <row r="85" spans="1:5" x14ac:dyDescent="0.3">
      <c r="A85">
        <f t="shared" si="2"/>
        <v>2016</v>
      </c>
      <c r="B85" s="59">
        <v>42450</v>
      </c>
      <c r="C85" s="54">
        <v>207</v>
      </c>
      <c r="D85" s="54">
        <v>358</v>
      </c>
      <c r="E85">
        <f t="shared" si="3"/>
        <v>1.7294685990338163</v>
      </c>
    </row>
    <row r="86" spans="1:5" x14ac:dyDescent="0.3">
      <c r="A86">
        <f t="shared" si="2"/>
        <v>2016</v>
      </c>
      <c r="B86" s="59">
        <v>42451</v>
      </c>
      <c r="C86" s="54">
        <v>208</v>
      </c>
      <c r="D86" s="54">
        <v>358</v>
      </c>
      <c r="E86">
        <f t="shared" si="3"/>
        <v>1.7211538461538463</v>
      </c>
    </row>
    <row r="87" spans="1:5" x14ac:dyDescent="0.3">
      <c r="A87">
        <f t="shared" si="2"/>
        <v>2016</v>
      </c>
      <c r="B87" s="59">
        <v>42452</v>
      </c>
      <c r="C87" s="54">
        <v>212</v>
      </c>
      <c r="D87" s="54">
        <v>361</v>
      </c>
      <c r="E87">
        <f t="shared" si="3"/>
        <v>1.7028301886792452</v>
      </c>
    </row>
    <row r="88" spans="1:5" x14ac:dyDescent="0.3">
      <c r="A88">
        <f t="shared" si="2"/>
        <v>2016</v>
      </c>
      <c r="B88" s="59">
        <v>42453</v>
      </c>
      <c r="C88" s="54">
        <v>216</v>
      </c>
      <c r="D88" s="54">
        <v>364</v>
      </c>
      <c r="E88">
        <f t="shared" si="3"/>
        <v>1.6851851851851851</v>
      </c>
    </row>
    <row r="89" spans="1:5" x14ac:dyDescent="0.3">
      <c r="A89">
        <f t="shared" si="2"/>
        <v>2016</v>
      </c>
      <c r="B89" s="59">
        <v>42458</v>
      </c>
      <c r="C89" s="54">
        <v>222</v>
      </c>
      <c r="D89" s="54">
        <v>373</v>
      </c>
      <c r="E89">
        <f t="shared" si="3"/>
        <v>1.6801801801801801</v>
      </c>
    </row>
    <row r="90" spans="1:5" x14ac:dyDescent="0.3">
      <c r="A90">
        <f t="shared" si="2"/>
        <v>2016</v>
      </c>
      <c r="B90" s="59">
        <v>42459</v>
      </c>
      <c r="C90" s="54">
        <v>228</v>
      </c>
      <c r="D90" s="54">
        <v>374</v>
      </c>
      <c r="E90">
        <f t="shared" si="3"/>
        <v>1.6403508771929824</v>
      </c>
    </row>
    <row r="91" spans="1:5" x14ac:dyDescent="0.3">
      <c r="A91">
        <f t="shared" si="2"/>
        <v>2016</v>
      </c>
      <c r="B91" s="59">
        <v>42460</v>
      </c>
      <c r="C91" s="54">
        <v>235</v>
      </c>
      <c r="D91" s="54">
        <v>384</v>
      </c>
      <c r="E91">
        <f t="shared" si="3"/>
        <v>1.6340425531914893</v>
      </c>
    </row>
    <row r="92" spans="1:5" x14ac:dyDescent="0.3">
      <c r="A92">
        <f t="shared" si="2"/>
        <v>2016</v>
      </c>
      <c r="B92" s="59">
        <v>42461</v>
      </c>
      <c r="C92" s="54">
        <v>235</v>
      </c>
      <c r="D92" s="54">
        <v>385</v>
      </c>
      <c r="E92">
        <f t="shared" si="3"/>
        <v>1.6382978723404256</v>
      </c>
    </row>
    <row r="93" spans="1:5" x14ac:dyDescent="0.3">
      <c r="A93">
        <f t="shared" si="2"/>
        <v>2016</v>
      </c>
      <c r="B93" s="59">
        <v>42464</v>
      </c>
      <c r="C93" s="54">
        <v>247</v>
      </c>
      <c r="D93" s="54">
        <v>398</v>
      </c>
      <c r="E93">
        <f t="shared" si="3"/>
        <v>1.6113360323886641</v>
      </c>
    </row>
    <row r="94" spans="1:5" x14ac:dyDescent="0.3">
      <c r="A94">
        <f t="shared" si="2"/>
        <v>2016</v>
      </c>
      <c r="B94" s="59">
        <v>42465</v>
      </c>
      <c r="C94" s="54">
        <v>247</v>
      </c>
      <c r="D94" s="54">
        <v>398</v>
      </c>
      <c r="E94">
        <f t="shared" si="3"/>
        <v>1.6113360323886641</v>
      </c>
    </row>
    <row r="95" spans="1:5" x14ac:dyDescent="0.3">
      <c r="A95">
        <f t="shared" si="2"/>
        <v>2016</v>
      </c>
      <c r="B95" s="59">
        <v>42466</v>
      </c>
      <c r="C95" s="54">
        <v>247</v>
      </c>
      <c r="D95" s="54">
        <v>408</v>
      </c>
      <c r="E95">
        <f t="shared" si="3"/>
        <v>1.6518218623481782</v>
      </c>
    </row>
    <row r="96" spans="1:5" x14ac:dyDescent="0.3">
      <c r="A96">
        <f t="shared" si="2"/>
        <v>2016</v>
      </c>
      <c r="B96" s="59">
        <v>42467</v>
      </c>
      <c r="C96" s="54">
        <v>250</v>
      </c>
      <c r="D96" s="54">
        <v>408</v>
      </c>
      <c r="E96">
        <f t="shared" si="3"/>
        <v>1.6319999999999999</v>
      </c>
    </row>
    <row r="97" spans="1:5" x14ac:dyDescent="0.3">
      <c r="A97">
        <f t="shared" si="2"/>
        <v>2016</v>
      </c>
      <c r="B97" s="59">
        <v>42468</v>
      </c>
      <c r="C97" s="54">
        <v>253</v>
      </c>
      <c r="D97" s="54">
        <v>423</v>
      </c>
      <c r="E97">
        <f t="shared" si="3"/>
        <v>1.6719367588932805</v>
      </c>
    </row>
    <row r="98" spans="1:5" x14ac:dyDescent="0.3">
      <c r="A98">
        <f t="shared" si="2"/>
        <v>2016</v>
      </c>
      <c r="B98" s="59">
        <v>42471</v>
      </c>
      <c r="C98" s="54">
        <v>254</v>
      </c>
      <c r="D98" s="54">
        <v>423</v>
      </c>
      <c r="E98">
        <f t="shared" si="3"/>
        <v>1.6653543307086613</v>
      </c>
    </row>
    <row r="99" spans="1:5" x14ac:dyDescent="0.3">
      <c r="A99">
        <f t="shared" si="2"/>
        <v>2016</v>
      </c>
      <c r="B99" s="59">
        <v>42472</v>
      </c>
      <c r="C99" s="54">
        <v>256</v>
      </c>
      <c r="D99" s="54">
        <v>428</v>
      </c>
      <c r="E99">
        <f t="shared" si="3"/>
        <v>1.671875</v>
      </c>
    </row>
    <row r="100" spans="1:5" x14ac:dyDescent="0.3">
      <c r="A100">
        <f t="shared" si="2"/>
        <v>2016</v>
      </c>
      <c r="B100" s="59">
        <v>42473</v>
      </c>
      <c r="C100" s="54">
        <v>260</v>
      </c>
      <c r="D100" s="54">
        <v>438</v>
      </c>
      <c r="E100">
        <f t="shared" si="3"/>
        <v>1.6846153846153846</v>
      </c>
    </row>
    <row r="101" spans="1:5" x14ac:dyDescent="0.3">
      <c r="A101">
        <f t="shared" si="2"/>
        <v>2016</v>
      </c>
      <c r="B101" s="59">
        <v>42474</v>
      </c>
      <c r="C101" s="54">
        <v>266</v>
      </c>
      <c r="D101" s="54">
        <v>447</v>
      </c>
      <c r="E101">
        <f t="shared" si="3"/>
        <v>1.6804511278195489</v>
      </c>
    </row>
    <row r="102" spans="1:5" x14ac:dyDescent="0.3">
      <c r="A102">
        <f t="shared" si="2"/>
        <v>2016</v>
      </c>
      <c r="B102" s="59">
        <v>42475</v>
      </c>
      <c r="C102" s="54">
        <v>266</v>
      </c>
      <c r="D102" s="54">
        <v>447</v>
      </c>
      <c r="E102">
        <f t="shared" si="3"/>
        <v>1.6804511278195489</v>
      </c>
    </row>
    <row r="103" spans="1:5" x14ac:dyDescent="0.3">
      <c r="A103">
        <f t="shared" si="2"/>
        <v>2016</v>
      </c>
      <c r="B103" s="59">
        <v>42478</v>
      </c>
      <c r="C103" s="54">
        <v>267</v>
      </c>
      <c r="D103" s="54">
        <v>447</v>
      </c>
      <c r="E103">
        <f t="shared" si="3"/>
        <v>1.6741573033707866</v>
      </c>
    </row>
    <row r="104" spans="1:5" x14ac:dyDescent="0.3">
      <c r="A104">
        <f t="shared" si="2"/>
        <v>2016</v>
      </c>
      <c r="B104" s="59">
        <v>42479</v>
      </c>
      <c r="C104" s="54">
        <v>271</v>
      </c>
      <c r="D104" s="54">
        <v>459</v>
      </c>
      <c r="E104">
        <f t="shared" si="3"/>
        <v>1.6937269372693726</v>
      </c>
    </row>
    <row r="105" spans="1:5" x14ac:dyDescent="0.3">
      <c r="A105">
        <f t="shared" si="2"/>
        <v>2016</v>
      </c>
      <c r="B105" s="59">
        <v>42480</v>
      </c>
      <c r="C105" s="54">
        <v>280</v>
      </c>
      <c r="D105" s="54">
        <v>473</v>
      </c>
      <c r="E105">
        <f t="shared" si="3"/>
        <v>1.6892857142857143</v>
      </c>
    </row>
    <row r="106" spans="1:5" x14ac:dyDescent="0.3">
      <c r="A106">
        <f t="shared" si="2"/>
        <v>2016</v>
      </c>
      <c r="B106" s="59">
        <v>42481</v>
      </c>
      <c r="C106" s="54">
        <v>287</v>
      </c>
      <c r="D106" s="54">
        <v>478</v>
      </c>
      <c r="E106">
        <f t="shared" si="3"/>
        <v>1.6655052264808363</v>
      </c>
    </row>
    <row r="107" spans="1:5" x14ac:dyDescent="0.3">
      <c r="A107">
        <f t="shared" si="2"/>
        <v>2016</v>
      </c>
      <c r="B107" s="59">
        <v>42482</v>
      </c>
      <c r="C107" s="54">
        <v>288</v>
      </c>
      <c r="D107" s="54">
        <v>478</v>
      </c>
      <c r="E107">
        <f t="shared" si="3"/>
        <v>1.6597222222222223</v>
      </c>
    </row>
    <row r="108" spans="1:5" x14ac:dyDescent="0.3">
      <c r="A108">
        <f t="shared" si="2"/>
        <v>2016</v>
      </c>
      <c r="B108" s="59">
        <v>42485</v>
      </c>
      <c r="C108" s="54">
        <v>293</v>
      </c>
      <c r="D108" s="54">
        <v>478</v>
      </c>
      <c r="E108">
        <f t="shared" si="3"/>
        <v>1.6313993174061434</v>
      </c>
    </row>
    <row r="109" spans="1:5" x14ac:dyDescent="0.3">
      <c r="A109">
        <f t="shared" si="2"/>
        <v>2016</v>
      </c>
      <c r="B109" s="59">
        <v>42486</v>
      </c>
      <c r="C109" s="54">
        <v>302</v>
      </c>
      <c r="D109" s="54">
        <v>482</v>
      </c>
      <c r="E109">
        <f t="shared" si="3"/>
        <v>1.5960264900662251</v>
      </c>
    </row>
    <row r="110" spans="1:5" x14ac:dyDescent="0.3">
      <c r="A110">
        <f t="shared" si="2"/>
        <v>2016</v>
      </c>
      <c r="B110" s="59">
        <v>42487</v>
      </c>
      <c r="C110" s="54">
        <v>302</v>
      </c>
      <c r="D110" s="54">
        <v>483</v>
      </c>
      <c r="E110">
        <f t="shared" si="3"/>
        <v>1.5993377483443709</v>
      </c>
    </row>
    <row r="111" spans="1:5" x14ac:dyDescent="0.3">
      <c r="A111">
        <f t="shared" si="2"/>
        <v>2016</v>
      </c>
      <c r="B111" s="59">
        <v>42488</v>
      </c>
      <c r="C111" s="54">
        <v>306</v>
      </c>
      <c r="D111" s="54">
        <v>488</v>
      </c>
      <c r="E111">
        <f t="shared" si="3"/>
        <v>1.5947712418300655</v>
      </c>
    </row>
    <row r="112" spans="1:5" x14ac:dyDescent="0.3">
      <c r="A112">
        <f t="shared" si="2"/>
        <v>2016</v>
      </c>
      <c r="B112" s="59">
        <v>42489</v>
      </c>
      <c r="C112" s="54">
        <v>306</v>
      </c>
      <c r="D112" s="54">
        <v>488</v>
      </c>
      <c r="E112">
        <f t="shared" si="3"/>
        <v>1.5947712418300655</v>
      </c>
    </row>
    <row r="113" spans="1:5" x14ac:dyDescent="0.3">
      <c r="A113">
        <f t="shared" si="2"/>
        <v>2016</v>
      </c>
      <c r="B113" s="59">
        <v>42493</v>
      </c>
      <c r="C113" s="54">
        <v>304</v>
      </c>
      <c r="D113" s="54">
        <v>494</v>
      </c>
      <c r="E113">
        <f t="shared" si="3"/>
        <v>1.625</v>
      </c>
    </row>
    <row r="114" spans="1:5" x14ac:dyDescent="0.3">
      <c r="A114">
        <f t="shared" si="2"/>
        <v>2016</v>
      </c>
      <c r="B114" s="59">
        <v>42494</v>
      </c>
      <c r="C114" s="54">
        <v>307</v>
      </c>
      <c r="D114" s="54">
        <v>495</v>
      </c>
      <c r="E114">
        <f t="shared" si="3"/>
        <v>1.6123778501628665</v>
      </c>
    </row>
    <row r="115" spans="1:5" x14ac:dyDescent="0.3">
      <c r="A115">
        <f t="shared" si="2"/>
        <v>2016</v>
      </c>
      <c r="B115" s="59">
        <v>42495</v>
      </c>
      <c r="C115" s="54">
        <v>301</v>
      </c>
      <c r="D115" s="54">
        <v>498</v>
      </c>
      <c r="E115">
        <f t="shared" si="3"/>
        <v>1.654485049833887</v>
      </c>
    </row>
    <row r="116" spans="1:5" x14ac:dyDescent="0.3">
      <c r="A116">
        <f t="shared" si="2"/>
        <v>2016</v>
      </c>
      <c r="B116" s="59">
        <v>42496</v>
      </c>
      <c r="C116" s="54">
        <v>303</v>
      </c>
      <c r="D116" s="54">
        <v>498</v>
      </c>
      <c r="E116">
        <f t="shared" si="3"/>
        <v>1.6435643564356435</v>
      </c>
    </row>
    <row r="117" spans="1:5" x14ac:dyDescent="0.3">
      <c r="A117">
        <f t="shared" si="2"/>
        <v>2016</v>
      </c>
      <c r="B117" s="59">
        <v>42499</v>
      </c>
      <c r="C117" s="54">
        <v>297</v>
      </c>
      <c r="D117" s="54">
        <v>494</v>
      </c>
      <c r="E117">
        <f t="shared" si="3"/>
        <v>1.6632996632996633</v>
      </c>
    </row>
    <row r="118" spans="1:5" x14ac:dyDescent="0.3">
      <c r="A118">
        <f t="shared" si="2"/>
        <v>2016</v>
      </c>
      <c r="B118" s="59">
        <v>42500</v>
      </c>
      <c r="C118" s="54">
        <v>281</v>
      </c>
      <c r="D118" s="54">
        <v>490</v>
      </c>
      <c r="E118">
        <f t="shared" si="3"/>
        <v>1.7437722419928825</v>
      </c>
    </row>
    <row r="119" spans="1:5" x14ac:dyDescent="0.3">
      <c r="A119">
        <f t="shared" si="2"/>
        <v>2016</v>
      </c>
      <c r="B119" s="59">
        <v>42501</v>
      </c>
      <c r="C119" s="54">
        <v>281</v>
      </c>
      <c r="D119" s="54">
        <v>487</v>
      </c>
      <c r="E119">
        <f t="shared" si="3"/>
        <v>1.7330960854092528</v>
      </c>
    </row>
    <row r="120" spans="1:5" x14ac:dyDescent="0.3">
      <c r="A120">
        <f t="shared" si="2"/>
        <v>2016</v>
      </c>
      <c r="B120" s="59">
        <v>42502</v>
      </c>
      <c r="C120" s="54">
        <v>281</v>
      </c>
      <c r="D120" s="54">
        <v>487</v>
      </c>
      <c r="E120">
        <f t="shared" si="3"/>
        <v>1.7330960854092528</v>
      </c>
    </row>
    <row r="121" spans="1:5" x14ac:dyDescent="0.3">
      <c r="A121">
        <f t="shared" si="2"/>
        <v>2016</v>
      </c>
      <c r="B121" s="59">
        <v>42503</v>
      </c>
      <c r="C121" s="54">
        <v>280</v>
      </c>
      <c r="D121" s="54">
        <v>484</v>
      </c>
      <c r="E121">
        <f t="shared" si="3"/>
        <v>1.7285714285714286</v>
      </c>
    </row>
    <row r="122" spans="1:5" x14ac:dyDescent="0.3">
      <c r="A122">
        <f t="shared" si="2"/>
        <v>2016</v>
      </c>
      <c r="B122" s="59">
        <v>42506</v>
      </c>
      <c r="C122" s="54">
        <v>265</v>
      </c>
      <c r="D122" s="54">
        <v>471</v>
      </c>
      <c r="E122">
        <f t="shared" si="3"/>
        <v>1.7773584905660378</v>
      </c>
    </row>
    <row r="123" spans="1:5" x14ac:dyDescent="0.3">
      <c r="A123">
        <f t="shared" si="2"/>
        <v>2016</v>
      </c>
      <c r="B123" s="59">
        <v>42507</v>
      </c>
      <c r="C123" s="54">
        <v>265</v>
      </c>
      <c r="D123" s="54">
        <v>469</v>
      </c>
      <c r="E123">
        <f t="shared" si="3"/>
        <v>1.769811320754717</v>
      </c>
    </row>
    <row r="124" spans="1:5" x14ac:dyDescent="0.3">
      <c r="A124">
        <f t="shared" si="2"/>
        <v>2016</v>
      </c>
      <c r="B124" s="59">
        <v>42508</v>
      </c>
      <c r="C124" s="54">
        <v>265</v>
      </c>
      <c r="D124" s="54">
        <v>469</v>
      </c>
      <c r="E124">
        <f t="shared" si="3"/>
        <v>1.769811320754717</v>
      </c>
    </row>
    <row r="125" spans="1:5" x14ac:dyDescent="0.3">
      <c r="A125">
        <f t="shared" si="2"/>
        <v>2016</v>
      </c>
      <c r="B125" s="59">
        <v>42509</v>
      </c>
      <c r="C125" s="54">
        <v>250</v>
      </c>
      <c r="D125" s="54">
        <v>455</v>
      </c>
      <c r="E125">
        <f t="shared" si="3"/>
        <v>1.82</v>
      </c>
    </row>
    <row r="126" spans="1:5" x14ac:dyDescent="0.3">
      <c r="A126">
        <f t="shared" si="2"/>
        <v>2016</v>
      </c>
      <c r="B126" s="59">
        <v>42510</v>
      </c>
      <c r="C126" s="54">
        <v>250</v>
      </c>
      <c r="D126" s="54">
        <v>454</v>
      </c>
      <c r="E126">
        <f t="shared" si="3"/>
        <v>1.8160000000000001</v>
      </c>
    </row>
    <row r="127" spans="1:5" x14ac:dyDescent="0.3">
      <c r="A127">
        <f t="shared" si="2"/>
        <v>2016</v>
      </c>
      <c r="B127" s="59">
        <v>42513</v>
      </c>
      <c r="C127" s="54">
        <v>250</v>
      </c>
      <c r="D127" s="54">
        <v>445</v>
      </c>
      <c r="E127">
        <f t="shared" si="3"/>
        <v>1.78</v>
      </c>
    </row>
    <row r="128" spans="1:5" x14ac:dyDescent="0.3">
      <c r="A128">
        <f t="shared" si="2"/>
        <v>2016</v>
      </c>
      <c r="B128" s="59">
        <v>42514</v>
      </c>
      <c r="C128" s="54">
        <v>250</v>
      </c>
      <c r="D128" s="54">
        <v>445</v>
      </c>
      <c r="E128">
        <f t="shared" si="3"/>
        <v>1.78</v>
      </c>
    </row>
    <row r="129" spans="1:5" x14ac:dyDescent="0.3">
      <c r="A129">
        <f t="shared" si="2"/>
        <v>2016</v>
      </c>
      <c r="B129" s="59">
        <v>42515</v>
      </c>
      <c r="C129" s="54">
        <v>249</v>
      </c>
      <c r="D129" s="54">
        <v>431</v>
      </c>
      <c r="E129">
        <f t="shared" si="3"/>
        <v>1.7309236947791165</v>
      </c>
    </row>
    <row r="130" spans="1:5" x14ac:dyDescent="0.3">
      <c r="A130">
        <f t="shared" si="2"/>
        <v>2016</v>
      </c>
      <c r="B130" s="59">
        <v>42516</v>
      </c>
      <c r="C130" s="54">
        <v>250</v>
      </c>
      <c r="D130" s="54">
        <v>430</v>
      </c>
      <c r="E130">
        <f t="shared" si="3"/>
        <v>1.72</v>
      </c>
    </row>
    <row r="131" spans="1:5" x14ac:dyDescent="0.3">
      <c r="A131">
        <f t="shared" si="2"/>
        <v>2016</v>
      </c>
      <c r="B131" s="59">
        <v>42517</v>
      </c>
      <c r="C131" s="54">
        <v>250</v>
      </c>
      <c r="D131" s="54">
        <v>430</v>
      </c>
      <c r="E131">
        <f t="shared" si="3"/>
        <v>1.72</v>
      </c>
    </row>
    <row r="132" spans="1:5" x14ac:dyDescent="0.3">
      <c r="A132">
        <f t="shared" ref="A132:A195" si="4">YEAR(B132)</f>
        <v>2016</v>
      </c>
      <c r="B132" s="59">
        <v>42521</v>
      </c>
      <c r="C132" s="54">
        <v>250</v>
      </c>
      <c r="D132" s="54">
        <v>430</v>
      </c>
      <c r="E132">
        <f t="shared" ref="E132:E195" si="5">D132/C132</f>
        <v>1.72</v>
      </c>
    </row>
    <row r="133" spans="1:5" x14ac:dyDescent="0.3">
      <c r="A133">
        <f t="shared" si="4"/>
        <v>2016</v>
      </c>
      <c r="B133" s="59">
        <v>42522</v>
      </c>
      <c r="C133" s="54">
        <v>234</v>
      </c>
      <c r="D133" s="54">
        <v>420</v>
      </c>
      <c r="E133">
        <f t="shared" si="5"/>
        <v>1.7948717948717949</v>
      </c>
    </row>
    <row r="134" spans="1:5" x14ac:dyDescent="0.3">
      <c r="A134">
        <f t="shared" si="4"/>
        <v>2016</v>
      </c>
      <c r="B134" s="59">
        <v>42523</v>
      </c>
      <c r="C134" s="54">
        <v>231</v>
      </c>
      <c r="D134" s="54">
        <v>420</v>
      </c>
      <c r="E134">
        <f t="shared" si="5"/>
        <v>1.8181818181818181</v>
      </c>
    </row>
    <row r="135" spans="1:5" x14ac:dyDescent="0.3">
      <c r="A135">
        <f t="shared" si="4"/>
        <v>2016</v>
      </c>
      <c r="B135" s="59">
        <v>42524</v>
      </c>
      <c r="C135" s="54">
        <v>231</v>
      </c>
      <c r="D135" s="54">
        <v>402</v>
      </c>
      <c r="E135">
        <f t="shared" si="5"/>
        <v>1.7402597402597402</v>
      </c>
    </row>
    <row r="136" spans="1:5" x14ac:dyDescent="0.3">
      <c r="A136">
        <f t="shared" si="4"/>
        <v>2016</v>
      </c>
      <c r="B136" s="59">
        <v>42527</v>
      </c>
      <c r="C136" s="54">
        <v>230</v>
      </c>
      <c r="D136" s="54">
        <v>402</v>
      </c>
      <c r="E136">
        <f t="shared" si="5"/>
        <v>1.7478260869565216</v>
      </c>
    </row>
    <row r="137" spans="1:5" x14ac:dyDescent="0.3">
      <c r="A137">
        <f t="shared" si="4"/>
        <v>2016</v>
      </c>
      <c r="B137" s="59">
        <v>42528</v>
      </c>
      <c r="C137" s="54">
        <v>232</v>
      </c>
      <c r="D137" s="54">
        <v>402</v>
      </c>
      <c r="E137">
        <f t="shared" si="5"/>
        <v>1.7327586206896552</v>
      </c>
    </row>
    <row r="138" spans="1:5" x14ac:dyDescent="0.3">
      <c r="A138">
        <f t="shared" si="4"/>
        <v>2016</v>
      </c>
      <c r="B138" s="59">
        <v>42529</v>
      </c>
      <c r="C138" s="54">
        <v>230</v>
      </c>
      <c r="D138" s="54">
        <v>395</v>
      </c>
      <c r="E138">
        <f t="shared" si="5"/>
        <v>1.7173913043478262</v>
      </c>
    </row>
    <row r="139" spans="1:5" x14ac:dyDescent="0.3">
      <c r="A139">
        <f t="shared" si="4"/>
        <v>2016</v>
      </c>
      <c r="B139" s="59">
        <v>42530</v>
      </c>
      <c r="C139" s="54">
        <v>230</v>
      </c>
      <c r="D139" s="54">
        <v>395</v>
      </c>
      <c r="E139">
        <f t="shared" si="5"/>
        <v>1.7173913043478262</v>
      </c>
    </row>
    <row r="140" spans="1:5" x14ac:dyDescent="0.3">
      <c r="A140">
        <f t="shared" si="4"/>
        <v>2016</v>
      </c>
      <c r="B140" s="59">
        <v>42531</v>
      </c>
      <c r="C140" s="54">
        <v>220</v>
      </c>
      <c r="D140" s="54">
        <v>389.5</v>
      </c>
      <c r="E140">
        <f t="shared" si="5"/>
        <v>1.7704545454545455</v>
      </c>
    </row>
    <row r="141" spans="1:5" x14ac:dyDescent="0.3">
      <c r="A141">
        <f t="shared" si="4"/>
        <v>2016</v>
      </c>
      <c r="B141" s="59">
        <v>42534</v>
      </c>
      <c r="C141" s="54">
        <v>220</v>
      </c>
      <c r="D141" s="54">
        <v>390</v>
      </c>
      <c r="E141">
        <f t="shared" si="5"/>
        <v>1.7727272727272727</v>
      </c>
    </row>
    <row r="142" spans="1:5" x14ac:dyDescent="0.3">
      <c r="A142">
        <f t="shared" si="4"/>
        <v>2016</v>
      </c>
      <c r="B142" s="59">
        <v>42535</v>
      </c>
      <c r="C142" s="54">
        <v>220</v>
      </c>
      <c r="D142" s="54">
        <v>390</v>
      </c>
      <c r="E142">
        <f t="shared" si="5"/>
        <v>1.7727272727272727</v>
      </c>
    </row>
    <row r="143" spans="1:5" x14ac:dyDescent="0.3">
      <c r="A143">
        <f t="shared" si="4"/>
        <v>2016</v>
      </c>
      <c r="B143" s="59">
        <v>42536</v>
      </c>
      <c r="C143" s="54">
        <v>220</v>
      </c>
      <c r="D143" s="54">
        <v>390</v>
      </c>
      <c r="E143">
        <f t="shared" si="5"/>
        <v>1.7727272727272727</v>
      </c>
    </row>
    <row r="144" spans="1:5" x14ac:dyDescent="0.3">
      <c r="A144">
        <f t="shared" si="4"/>
        <v>2016</v>
      </c>
      <c r="B144" s="59">
        <v>42537</v>
      </c>
      <c r="C144" s="54">
        <v>220</v>
      </c>
      <c r="D144" s="54">
        <v>390</v>
      </c>
      <c r="E144">
        <f t="shared" si="5"/>
        <v>1.7727272727272727</v>
      </c>
    </row>
    <row r="145" spans="1:5" x14ac:dyDescent="0.3">
      <c r="A145">
        <f t="shared" si="4"/>
        <v>2016</v>
      </c>
      <c r="B145" s="59">
        <v>42538</v>
      </c>
      <c r="C145" s="54">
        <v>211</v>
      </c>
      <c r="D145" s="54">
        <v>390</v>
      </c>
      <c r="E145">
        <f t="shared" si="5"/>
        <v>1.8483412322274881</v>
      </c>
    </row>
    <row r="146" spans="1:5" x14ac:dyDescent="0.3">
      <c r="A146">
        <f t="shared" si="4"/>
        <v>2016</v>
      </c>
      <c r="B146" s="59">
        <v>42541</v>
      </c>
      <c r="C146" s="54">
        <v>209</v>
      </c>
      <c r="D146" s="54">
        <v>390</v>
      </c>
      <c r="E146">
        <f t="shared" si="5"/>
        <v>1.8660287081339713</v>
      </c>
    </row>
    <row r="147" spans="1:5" x14ac:dyDescent="0.3">
      <c r="A147">
        <f t="shared" si="4"/>
        <v>2016</v>
      </c>
      <c r="B147" s="59">
        <v>42542</v>
      </c>
      <c r="C147" s="54">
        <v>207</v>
      </c>
      <c r="D147" s="54">
        <v>390</v>
      </c>
      <c r="E147">
        <f t="shared" si="5"/>
        <v>1.8840579710144927</v>
      </c>
    </row>
    <row r="148" spans="1:5" x14ac:dyDescent="0.3">
      <c r="A148">
        <f t="shared" si="4"/>
        <v>2016</v>
      </c>
      <c r="B148" s="59">
        <v>42543</v>
      </c>
      <c r="C148" s="54">
        <v>207</v>
      </c>
      <c r="D148" s="54">
        <v>390</v>
      </c>
      <c r="E148">
        <f t="shared" si="5"/>
        <v>1.8840579710144927</v>
      </c>
    </row>
    <row r="149" spans="1:5" x14ac:dyDescent="0.3">
      <c r="A149">
        <f t="shared" si="4"/>
        <v>2016</v>
      </c>
      <c r="B149" s="59">
        <v>42544</v>
      </c>
      <c r="C149" s="54">
        <v>207</v>
      </c>
      <c r="D149" s="54">
        <v>388.5</v>
      </c>
      <c r="E149">
        <f t="shared" si="5"/>
        <v>1.8768115942028984</v>
      </c>
    </row>
    <row r="150" spans="1:5" x14ac:dyDescent="0.3">
      <c r="A150">
        <f t="shared" si="4"/>
        <v>2016</v>
      </c>
      <c r="B150" s="59">
        <v>42545</v>
      </c>
      <c r="C150" s="54">
        <v>207</v>
      </c>
      <c r="D150" s="54">
        <v>388.5</v>
      </c>
      <c r="E150">
        <f t="shared" si="5"/>
        <v>1.8768115942028984</v>
      </c>
    </row>
    <row r="151" spans="1:5" x14ac:dyDescent="0.3">
      <c r="A151">
        <f t="shared" si="4"/>
        <v>2016</v>
      </c>
      <c r="B151" s="59">
        <v>42548</v>
      </c>
      <c r="C151" s="54">
        <v>207</v>
      </c>
      <c r="D151" s="54">
        <v>388.5</v>
      </c>
      <c r="E151">
        <f t="shared" si="5"/>
        <v>1.8768115942028984</v>
      </c>
    </row>
    <row r="152" spans="1:5" x14ac:dyDescent="0.3">
      <c r="A152">
        <f t="shared" si="4"/>
        <v>2016</v>
      </c>
      <c r="B152" s="59">
        <v>42549</v>
      </c>
      <c r="C152" s="54">
        <v>207</v>
      </c>
      <c r="D152" s="54">
        <v>388</v>
      </c>
      <c r="E152">
        <f t="shared" si="5"/>
        <v>1.8743961352657006</v>
      </c>
    </row>
    <row r="153" spans="1:5" x14ac:dyDescent="0.3">
      <c r="A153">
        <f t="shared" si="4"/>
        <v>2016</v>
      </c>
      <c r="B153" s="59">
        <v>42550</v>
      </c>
      <c r="C153" s="54">
        <v>207</v>
      </c>
      <c r="D153" s="54">
        <v>384</v>
      </c>
      <c r="E153">
        <f t="shared" si="5"/>
        <v>1.855072463768116</v>
      </c>
    </row>
    <row r="154" spans="1:5" x14ac:dyDescent="0.3">
      <c r="A154">
        <f t="shared" si="4"/>
        <v>2016</v>
      </c>
      <c r="B154" s="59">
        <v>42551</v>
      </c>
      <c r="C154" s="54">
        <v>204</v>
      </c>
      <c r="D154" s="54">
        <v>381.5</v>
      </c>
      <c r="E154">
        <f t="shared" si="5"/>
        <v>1.8700980392156863</v>
      </c>
    </row>
    <row r="155" spans="1:5" x14ac:dyDescent="0.3">
      <c r="A155">
        <f t="shared" si="4"/>
        <v>2016</v>
      </c>
      <c r="B155" s="59">
        <v>42552</v>
      </c>
      <c r="C155" s="54">
        <v>214</v>
      </c>
      <c r="D155" s="54">
        <v>393</v>
      </c>
      <c r="E155">
        <f t="shared" si="5"/>
        <v>1.8364485981308412</v>
      </c>
    </row>
    <row r="156" spans="1:5" x14ac:dyDescent="0.3">
      <c r="A156">
        <f t="shared" si="4"/>
        <v>2016</v>
      </c>
      <c r="B156" s="59">
        <v>42555</v>
      </c>
      <c r="C156" s="54">
        <v>214</v>
      </c>
      <c r="D156" s="54">
        <v>393</v>
      </c>
      <c r="E156">
        <f t="shared" si="5"/>
        <v>1.8364485981308412</v>
      </c>
    </row>
    <row r="157" spans="1:5" x14ac:dyDescent="0.3">
      <c r="A157">
        <f t="shared" si="4"/>
        <v>2016</v>
      </c>
      <c r="B157" s="59">
        <v>42556</v>
      </c>
      <c r="C157" s="54">
        <v>214</v>
      </c>
      <c r="D157" s="54">
        <v>393</v>
      </c>
      <c r="E157">
        <f t="shared" si="5"/>
        <v>1.8364485981308412</v>
      </c>
    </row>
    <row r="158" spans="1:5" x14ac:dyDescent="0.3">
      <c r="A158">
        <f t="shared" si="4"/>
        <v>2016</v>
      </c>
      <c r="B158" s="59">
        <v>42557</v>
      </c>
      <c r="C158" s="54">
        <v>214</v>
      </c>
      <c r="D158" s="54">
        <v>393</v>
      </c>
      <c r="E158">
        <f t="shared" si="5"/>
        <v>1.8364485981308412</v>
      </c>
    </row>
    <row r="159" spans="1:5" x14ac:dyDescent="0.3">
      <c r="A159">
        <f t="shared" si="4"/>
        <v>2016</v>
      </c>
      <c r="B159" s="59">
        <v>42558</v>
      </c>
      <c r="C159" s="54">
        <v>214</v>
      </c>
      <c r="D159" s="54">
        <v>393</v>
      </c>
      <c r="E159">
        <f t="shared" si="5"/>
        <v>1.8364485981308412</v>
      </c>
    </row>
    <row r="160" spans="1:5" x14ac:dyDescent="0.3">
      <c r="A160">
        <f t="shared" si="4"/>
        <v>2016</v>
      </c>
      <c r="B160" s="59">
        <v>42559</v>
      </c>
      <c r="C160" s="54">
        <v>214</v>
      </c>
      <c r="D160" s="54">
        <v>393</v>
      </c>
      <c r="E160">
        <f t="shared" si="5"/>
        <v>1.8364485981308412</v>
      </c>
    </row>
    <row r="161" spans="1:5" x14ac:dyDescent="0.3">
      <c r="A161">
        <f t="shared" si="4"/>
        <v>2016</v>
      </c>
      <c r="B161" s="59">
        <v>42562</v>
      </c>
      <c r="C161" s="54">
        <v>214</v>
      </c>
      <c r="D161" s="54">
        <v>393</v>
      </c>
      <c r="E161">
        <f t="shared" si="5"/>
        <v>1.8364485981308412</v>
      </c>
    </row>
    <row r="162" spans="1:5" x14ac:dyDescent="0.3">
      <c r="A162">
        <f t="shared" si="4"/>
        <v>2016</v>
      </c>
      <c r="B162" s="59">
        <v>42563</v>
      </c>
      <c r="C162" s="54">
        <v>214</v>
      </c>
      <c r="D162" s="54">
        <v>393</v>
      </c>
      <c r="E162">
        <f t="shared" si="5"/>
        <v>1.8364485981308412</v>
      </c>
    </row>
    <row r="163" spans="1:5" x14ac:dyDescent="0.3">
      <c r="A163">
        <f t="shared" si="4"/>
        <v>2016</v>
      </c>
      <c r="B163" s="59">
        <v>42564</v>
      </c>
      <c r="C163" s="54">
        <v>214</v>
      </c>
      <c r="D163" s="54">
        <v>390</v>
      </c>
      <c r="E163">
        <f t="shared" si="5"/>
        <v>1.8224299065420562</v>
      </c>
    </row>
    <row r="164" spans="1:5" x14ac:dyDescent="0.3">
      <c r="A164">
        <f t="shared" si="4"/>
        <v>2016</v>
      </c>
      <c r="B164" s="59">
        <v>42565</v>
      </c>
      <c r="C164" s="54">
        <v>225</v>
      </c>
      <c r="D164" s="54">
        <v>390</v>
      </c>
      <c r="E164">
        <f t="shared" si="5"/>
        <v>1.7333333333333334</v>
      </c>
    </row>
    <row r="165" spans="1:5" x14ac:dyDescent="0.3">
      <c r="A165">
        <f t="shared" si="4"/>
        <v>2016</v>
      </c>
      <c r="B165" s="59">
        <v>42566</v>
      </c>
      <c r="C165" s="54">
        <v>225</v>
      </c>
      <c r="D165" s="54">
        <v>391</v>
      </c>
      <c r="E165">
        <f t="shared" si="5"/>
        <v>1.7377777777777779</v>
      </c>
    </row>
    <row r="166" spans="1:5" x14ac:dyDescent="0.3">
      <c r="A166">
        <f t="shared" si="4"/>
        <v>2016</v>
      </c>
      <c r="B166" s="59">
        <v>42569</v>
      </c>
      <c r="C166" s="54">
        <v>225</v>
      </c>
      <c r="D166" s="54">
        <v>391</v>
      </c>
      <c r="E166">
        <f t="shared" si="5"/>
        <v>1.7377777777777779</v>
      </c>
    </row>
    <row r="167" spans="1:5" x14ac:dyDescent="0.3">
      <c r="A167">
        <f t="shared" si="4"/>
        <v>2016</v>
      </c>
      <c r="B167" s="59">
        <v>42570</v>
      </c>
      <c r="C167" s="54">
        <v>225</v>
      </c>
      <c r="D167" s="54">
        <v>393</v>
      </c>
      <c r="E167">
        <f t="shared" si="5"/>
        <v>1.7466666666666666</v>
      </c>
    </row>
    <row r="168" spans="1:5" x14ac:dyDescent="0.3">
      <c r="A168">
        <f t="shared" si="4"/>
        <v>2016</v>
      </c>
      <c r="B168" s="59">
        <v>42571</v>
      </c>
      <c r="C168" s="54">
        <v>236</v>
      </c>
      <c r="D168" s="54">
        <v>393</v>
      </c>
      <c r="E168">
        <f t="shared" si="5"/>
        <v>1.6652542372881356</v>
      </c>
    </row>
    <row r="169" spans="1:5" x14ac:dyDescent="0.3">
      <c r="A169">
        <f t="shared" si="4"/>
        <v>2016</v>
      </c>
      <c r="B169" s="59">
        <v>42572</v>
      </c>
      <c r="C169" s="54">
        <v>235</v>
      </c>
      <c r="D169" s="54">
        <v>393</v>
      </c>
      <c r="E169">
        <f t="shared" si="5"/>
        <v>1.672340425531915</v>
      </c>
    </row>
    <row r="170" spans="1:5" x14ac:dyDescent="0.3">
      <c r="A170">
        <f t="shared" si="4"/>
        <v>2016</v>
      </c>
      <c r="B170" s="59">
        <v>42573</v>
      </c>
      <c r="C170" s="54">
        <v>235</v>
      </c>
      <c r="D170" s="54">
        <v>390</v>
      </c>
      <c r="E170">
        <f t="shared" si="5"/>
        <v>1.6595744680851063</v>
      </c>
    </row>
    <row r="171" spans="1:5" x14ac:dyDescent="0.3">
      <c r="A171">
        <f t="shared" si="4"/>
        <v>2016</v>
      </c>
      <c r="B171" s="59">
        <v>42576</v>
      </c>
      <c r="C171" s="54">
        <v>240</v>
      </c>
      <c r="D171" s="54">
        <v>390</v>
      </c>
      <c r="E171">
        <f t="shared" si="5"/>
        <v>1.625</v>
      </c>
    </row>
    <row r="172" spans="1:5" x14ac:dyDescent="0.3">
      <c r="A172">
        <f t="shared" si="4"/>
        <v>2016</v>
      </c>
      <c r="B172" s="59">
        <v>42577</v>
      </c>
      <c r="C172" s="54">
        <v>240</v>
      </c>
      <c r="D172" s="54">
        <v>390</v>
      </c>
      <c r="E172">
        <f t="shared" si="5"/>
        <v>1.625</v>
      </c>
    </row>
    <row r="173" spans="1:5" x14ac:dyDescent="0.3">
      <c r="A173">
        <f t="shared" si="4"/>
        <v>2016</v>
      </c>
      <c r="B173" s="59">
        <v>42578</v>
      </c>
      <c r="C173" s="54">
        <v>239</v>
      </c>
      <c r="D173" s="54">
        <v>390</v>
      </c>
      <c r="E173">
        <f t="shared" si="5"/>
        <v>1.6317991631799162</v>
      </c>
    </row>
    <row r="174" spans="1:5" x14ac:dyDescent="0.3">
      <c r="A174">
        <f t="shared" si="4"/>
        <v>2016</v>
      </c>
      <c r="B174" s="59">
        <v>42579</v>
      </c>
      <c r="C174" s="54">
        <v>239</v>
      </c>
      <c r="D174" s="54">
        <v>390</v>
      </c>
      <c r="E174">
        <f t="shared" si="5"/>
        <v>1.6317991631799162</v>
      </c>
    </row>
    <row r="175" spans="1:5" x14ac:dyDescent="0.3">
      <c r="A175">
        <f t="shared" si="4"/>
        <v>2016</v>
      </c>
      <c r="B175" s="59">
        <v>42580</v>
      </c>
      <c r="C175" s="54">
        <v>238</v>
      </c>
      <c r="D175" s="54">
        <v>390</v>
      </c>
      <c r="E175">
        <f t="shared" si="5"/>
        <v>1.6386554621848739</v>
      </c>
    </row>
    <row r="176" spans="1:5" x14ac:dyDescent="0.3">
      <c r="A176">
        <f t="shared" si="4"/>
        <v>2016</v>
      </c>
      <c r="B176" s="59">
        <v>42583</v>
      </c>
      <c r="C176" s="54">
        <v>235</v>
      </c>
      <c r="D176" s="54">
        <v>398</v>
      </c>
      <c r="E176">
        <f t="shared" si="5"/>
        <v>1.6936170212765957</v>
      </c>
    </row>
    <row r="177" spans="1:5" x14ac:dyDescent="0.3">
      <c r="A177">
        <f t="shared" si="4"/>
        <v>2016</v>
      </c>
      <c r="B177" s="59">
        <v>42584</v>
      </c>
      <c r="C177" s="54">
        <v>235</v>
      </c>
      <c r="D177" s="54">
        <v>398</v>
      </c>
      <c r="E177">
        <f t="shared" si="5"/>
        <v>1.6936170212765957</v>
      </c>
    </row>
    <row r="178" spans="1:5" x14ac:dyDescent="0.3">
      <c r="A178">
        <f t="shared" si="4"/>
        <v>2016</v>
      </c>
      <c r="B178" s="59">
        <v>42585</v>
      </c>
      <c r="C178" s="54">
        <v>236</v>
      </c>
      <c r="D178" s="54">
        <v>398</v>
      </c>
      <c r="E178">
        <f t="shared" si="5"/>
        <v>1.6864406779661016</v>
      </c>
    </row>
    <row r="179" spans="1:5" x14ac:dyDescent="0.3">
      <c r="A179">
        <f t="shared" si="4"/>
        <v>2016</v>
      </c>
      <c r="B179" s="59">
        <v>42586</v>
      </c>
      <c r="C179" s="54">
        <v>236</v>
      </c>
      <c r="D179" s="54">
        <v>398</v>
      </c>
      <c r="E179">
        <f t="shared" si="5"/>
        <v>1.6864406779661016</v>
      </c>
    </row>
    <row r="180" spans="1:5" x14ac:dyDescent="0.3">
      <c r="A180">
        <f t="shared" si="4"/>
        <v>2016</v>
      </c>
      <c r="B180" s="59">
        <v>42587</v>
      </c>
      <c r="C180" s="54">
        <v>230</v>
      </c>
      <c r="D180" s="54">
        <v>398</v>
      </c>
      <c r="E180">
        <f t="shared" si="5"/>
        <v>1.7304347826086957</v>
      </c>
    </row>
    <row r="181" spans="1:5" x14ac:dyDescent="0.3">
      <c r="A181">
        <f t="shared" si="4"/>
        <v>2016</v>
      </c>
      <c r="B181" s="59">
        <v>42590</v>
      </c>
      <c r="C181" s="54">
        <v>233</v>
      </c>
      <c r="D181" s="54">
        <v>400</v>
      </c>
      <c r="E181">
        <f t="shared" si="5"/>
        <v>1.7167381974248928</v>
      </c>
    </row>
    <row r="182" spans="1:5" x14ac:dyDescent="0.3">
      <c r="A182">
        <f t="shared" si="4"/>
        <v>2016</v>
      </c>
      <c r="B182" s="59">
        <v>42591</v>
      </c>
      <c r="C182" s="54">
        <v>233</v>
      </c>
      <c r="D182" s="54">
        <v>400</v>
      </c>
      <c r="E182">
        <f t="shared" si="5"/>
        <v>1.7167381974248928</v>
      </c>
    </row>
    <row r="183" spans="1:5" x14ac:dyDescent="0.3">
      <c r="A183">
        <f t="shared" si="4"/>
        <v>2016</v>
      </c>
      <c r="B183" s="59">
        <v>42592</v>
      </c>
      <c r="C183" s="54">
        <v>233</v>
      </c>
      <c r="D183" s="54">
        <v>397.5</v>
      </c>
      <c r="E183">
        <f t="shared" si="5"/>
        <v>1.7060085836909871</v>
      </c>
    </row>
    <row r="184" spans="1:5" x14ac:dyDescent="0.3">
      <c r="A184">
        <f t="shared" si="4"/>
        <v>2016</v>
      </c>
      <c r="B184" s="59">
        <v>42593</v>
      </c>
      <c r="C184" s="54">
        <v>232</v>
      </c>
      <c r="D184" s="54">
        <v>397.5</v>
      </c>
      <c r="E184">
        <f t="shared" si="5"/>
        <v>1.7133620689655173</v>
      </c>
    </row>
    <row r="185" spans="1:5" x14ac:dyDescent="0.3">
      <c r="A185">
        <f t="shared" si="4"/>
        <v>2016</v>
      </c>
      <c r="B185" s="59">
        <v>42594</v>
      </c>
      <c r="C185" s="54">
        <v>224</v>
      </c>
      <c r="D185" s="54">
        <v>397.5</v>
      </c>
      <c r="E185">
        <f t="shared" si="5"/>
        <v>1.7745535714285714</v>
      </c>
    </row>
    <row r="186" spans="1:5" x14ac:dyDescent="0.3">
      <c r="A186">
        <f t="shared" si="4"/>
        <v>2016</v>
      </c>
      <c r="B186" s="59">
        <v>42597</v>
      </c>
      <c r="C186" s="54">
        <v>224</v>
      </c>
      <c r="D186" s="54">
        <v>393</v>
      </c>
      <c r="E186">
        <f t="shared" si="5"/>
        <v>1.7544642857142858</v>
      </c>
    </row>
    <row r="187" spans="1:5" x14ac:dyDescent="0.3">
      <c r="A187">
        <f t="shared" si="4"/>
        <v>2016</v>
      </c>
      <c r="B187" s="59">
        <v>42598</v>
      </c>
      <c r="C187" s="54">
        <v>223</v>
      </c>
      <c r="D187" s="54">
        <v>393</v>
      </c>
      <c r="E187">
        <f t="shared" si="5"/>
        <v>1.7623318385650224</v>
      </c>
    </row>
    <row r="188" spans="1:5" x14ac:dyDescent="0.3">
      <c r="A188">
        <f t="shared" si="4"/>
        <v>2016</v>
      </c>
      <c r="B188" s="59">
        <v>42599</v>
      </c>
      <c r="C188" s="54">
        <v>223</v>
      </c>
      <c r="D188" s="54">
        <v>393</v>
      </c>
      <c r="E188">
        <f t="shared" si="5"/>
        <v>1.7623318385650224</v>
      </c>
    </row>
    <row r="189" spans="1:5" x14ac:dyDescent="0.3">
      <c r="A189">
        <f t="shared" si="4"/>
        <v>2016</v>
      </c>
      <c r="B189" s="59">
        <v>42600</v>
      </c>
      <c r="C189" s="54">
        <v>217</v>
      </c>
      <c r="D189" s="54">
        <v>388</v>
      </c>
      <c r="E189">
        <f t="shared" si="5"/>
        <v>1.7880184331797235</v>
      </c>
    </row>
    <row r="190" spans="1:5" x14ac:dyDescent="0.3">
      <c r="A190">
        <f t="shared" si="4"/>
        <v>2016</v>
      </c>
      <c r="B190" s="59">
        <v>42601</v>
      </c>
      <c r="C190" s="54">
        <v>217</v>
      </c>
      <c r="D190" s="54">
        <v>388</v>
      </c>
      <c r="E190">
        <f t="shared" si="5"/>
        <v>1.7880184331797235</v>
      </c>
    </row>
    <row r="191" spans="1:5" x14ac:dyDescent="0.3">
      <c r="A191">
        <f t="shared" si="4"/>
        <v>2016</v>
      </c>
      <c r="B191" s="59">
        <v>42604</v>
      </c>
      <c r="C191" s="54">
        <v>217</v>
      </c>
      <c r="D191" s="54">
        <v>388</v>
      </c>
      <c r="E191">
        <f t="shared" si="5"/>
        <v>1.7880184331797235</v>
      </c>
    </row>
    <row r="192" spans="1:5" x14ac:dyDescent="0.3">
      <c r="A192">
        <f t="shared" si="4"/>
        <v>2016</v>
      </c>
      <c r="B192" s="59">
        <v>42605</v>
      </c>
      <c r="C192" s="54">
        <v>217</v>
      </c>
      <c r="D192" s="54">
        <v>388</v>
      </c>
      <c r="E192">
        <f t="shared" si="5"/>
        <v>1.7880184331797235</v>
      </c>
    </row>
    <row r="193" spans="1:5" x14ac:dyDescent="0.3">
      <c r="A193">
        <f t="shared" si="4"/>
        <v>2016</v>
      </c>
      <c r="B193" s="59">
        <v>42606</v>
      </c>
      <c r="C193" s="54">
        <v>217</v>
      </c>
      <c r="D193" s="54">
        <v>388</v>
      </c>
      <c r="E193">
        <f t="shared" si="5"/>
        <v>1.7880184331797235</v>
      </c>
    </row>
    <row r="194" spans="1:5" x14ac:dyDescent="0.3">
      <c r="A194">
        <f t="shared" si="4"/>
        <v>2016</v>
      </c>
      <c r="B194" s="59">
        <v>42607</v>
      </c>
      <c r="C194" s="54">
        <v>217</v>
      </c>
      <c r="D194" s="54">
        <v>388</v>
      </c>
      <c r="E194">
        <f t="shared" si="5"/>
        <v>1.7880184331797235</v>
      </c>
    </row>
    <row r="195" spans="1:5" x14ac:dyDescent="0.3">
      <c r="A195">
        <f t="shared" si="4"/>
        <v>2016</v>
      </c>
      <c r="B195" s="59">
        <v>42608</v>
      </c>
      <c r="C195" s="54">
        <v>217</v>
      </c>
      <c r="D195" s="54">
        <v>388</v>
      </c>
      <c r="E195">
        <f t="shared" si="5"/>
        <v>1.7880184331797235</v>
      </c>
    </row>
    <row r="196" spans="1:5" x14ac:dyDescent="0.3">
      <c r="A196">
        <f t="shared" ref="A196:A259" si="6">YEAR(B196)</f>
        <v>2016</v>
      </c>
      <c r="B196" s="59">
        <v>42612</v>
      </c>
      <c r="C196" s="54">
        <v>217</v>
      </c>
      <c r="D196" s="54">
        <v>388</v>
      </c>
      <c r="E196">
        <f t="shared" ref="E196:E259" si="7">D196/C196</f>
        <v>1.7880184331797235</v>
      </c>
    </row>
    <row r="197" spans="1:5" x14ac:dyDescent="0.3">
      <c r="A197">
        <f t="shared" si="6"/>
        <v>2016</v>
      </c>
      <c r="B197" s="59">
        <v>42613</v>
      </c>
      <c r="C197" s="54">
        <v>217</v>
      </c>
      <c r="D197" s="54">
        <v>388</v>
      </c>
      <c r="E197">
        <f t="shared" si="7"/>
        <v>1.7880184331797235</v>
      </c>
    </row>
    <row r="198" spans="1:5" x14ac:dyDescent="0.3">
      <c r="A198">
        <f t="shared" si="6"/>
        <v>2016</v>
      </c>
      <c r="B198" s="59">
        <v>42614</v>
      </c>
      <c r="C198" s="54">
        <v>219</v>
      </c>
      <c r="D198" s="54">
        <v>386</v>
      </c>
      <c r="E198">
        <f t="shared" si="7"/>
        <v>1.7625570776255708</v>
      </c>
    </row>
    <row r="199" spans="1:5" x14ac:dyDescent="0.3">
      <c r="A199">
        <f t="shared" si="6"/>
        <v>2016</v>
      </c>
      <c r="B199" s="59">
        <v>42615</v>
      </c>
      <c r="C199" s="54">
        <v>219</v>
      </c>
      <c r="D199" s="54">
        <v>386</v>
      </c>
      <c r="E199">
        <f t="shared" si="7"/>
        <v>1.7625570776255708</v>
      </c>
    </row>
    <row r="200" spans="1:5" x14ac:dyDescent="0.3">
      <c r="A200">
        <f t="shared" si="6"/>
        <v>2016</v>
      </c>
      <c r="B200" s="59">
        <v>42618</v>
      </c>
      <c r="C200" s="54">
        <v>219</v>
      </c>
      <c r="D200" s="54">
        <v>386</v>
      </c>
      <c r="E200">
        <f t="shared" si="7"/>
        <v>1.7625570776255708</v>
      </c>
    </row>
    <row r="201" spans="1:5" x14ac:dyDescent="0.3">
      <c r="A201">
        <f t="shared" si="6"/>
        <v>2016</v>
      </c>
      <c r="B201" s="59">
        <v>42619</v>
      </c>
      <c r="C201" s="54">
        <v>219</v>
      </c>
      <c r="D201" s="54">
        <v>385</v>
      </c>
      <c r="E201">
        <f t="shared" si="7"/>
        <v>1.7579908675799087</v>
      </c>
    </row>
    <row r="202" spans="1:5" x14ac:dyDescent="0.3">
      <c r="A202">
        <f t="shared" si="6"/>
        <v>2016</v>
      </c>
      <c r="B202" s="59">
        <v>42620</v>
      </c>
      <c r="C202" s="54">
        <v>219</v>
      </c>
      <c r="D202" s="54">
        <v>384</v>
      </c>
      <c r="E202">
        <f t="shared" si="7"/>
        <v>1.7534246575342465</v>
      </c>
    </row>
    <row r="203" spans="1:5" x14ac:dyDescent="0.3">
      <c r="A203">
        <f t="shared" si="6"/>
        <v>2016</v>
      </c>
      <c r="B203" s="59">
        <v>42621</v>
      </c>
      <c r="C203" s="54">
        <v>219</v>
      </c>
      <c r="D203" s="54">
        <v>380</v>
      </c>
      <c r="E203">
        <f t="shared" si="7"/>
        <v>1.7351598173515981</v>
      </c>
    </row>
    <row r="204" spans="1:5" x14ac:dyDescent="0.3">
      <c r="A204">
        <f t="shared" si="6"/>
        <v>2016</v>
      </c>
      <c r="B204" s="59">
        <v>42622</v>
      </c>
      <c r="C204" s="54">
        <v>219</v>
      </c>
      <c r="D204" s="54">
        <v>380</v>
      </c>
      <c r="E204">
        <f t="shared" si="7"/>
        <v>1.7351598173515981</v>
      </c>
    </row>
    <row r="205" spans="1:5" x14ac:dyDescent="0.3">
      <c r="A205">
        <f t="shared" si="6"/>
        <v>2016</v>
      </c>
      <c r="B205" s="59">
        <v>42625</v>
      </c>
      <c r="C205" s="54">
        <v>219</v>
      </c>
      <c r="D205" s="54">
        <v>379</v>
      </c>
      <c r="E205">
        <f t="shared" si="7"/>
        <v>1.730593607305936</v>
      </c>
    </row>
    <row r="206" spans="1:5" x14ac:dyDescent="0.3">
      <c r="A206">
        <f t="shared" si="6"/>
        <v>2016</v>
      </c>
      <c r="B206" s="59">
        <v>42626</v>
      </c>
      <c r="C206" s="54">
        <v>219</v>
      </c>
      <c r="D206" s="54">
        <v>378</v>
      </c>
      <c r="E206">
        <f t="shared" si="7"/>
        <v>1.726027397260274</v>
      </c>
    </row>
    <row r="207" spans="1:5" x14ac:dyDescent="0.3">
      <c r="A207">
        <f t="shared" si="6"/>
        <v>2016</v>
      </c>
      <c r="B207" s="59">
        <v>42627</v>
      </c>
      <c r="C207" s="54">
        <v>219</v>
      </c>
      <c r="D207" s="54">
        <v>375</v>
      </c>
      <c r="E207">
        <f t="shared" si="7"/>
        <v>1.7123287671232876</v>
      </c>
    </row>
    <row r="208" spans="1:5" x14ac:dyDescent="0.3">
      <c r="A208">
        <f t="shared" si="6"/>
        <v>2016</v>
      </c>
      <c r="B208" s="59">
        <v>42628</v>
      </c>
      <c r="C208" s="54">
        <v>219</v>
      </c>
      <c r="D208" s="54">
        <v>372.5</v>
      </c>
      <c r="E208">
        <f t="shared" si="7"/>
        <v>1.7009132420091324</v>
      </c>
    </row>
    <row r="209" spans="1:5" x14ac:dyDescent="0.3">
      <c r="A209">
        <f t="shared" si="6"/>
        <v>2016</v>
      </c>
      <c r="B209" s="59">
        <v>42629</v>
      </c>
      <c r="C209" s="54">
        <v>213</v>
      </c>
      <c r="D209" s="54">
        <v>365</v>
      </c>
      <c r="E209">
        <f t="shared" si="7"/>
        <v>1.7136150234741785</v>
      </c>
    </row>
    <row r="210" spans="1:5" x14ac:dyDescent="0.3">
      <c r="A210">
        <f t="shared" si="6"/>
        <v>2016</v>
      </c>
      <c r="B210" s="59">
        <v>42632</v>
      </c>
      <c r="C210" s="54">
        <v>213</v>
      </c>
      <c r="D210" s="54">
        <v>364</v>
      </c>
      <c r="E210">
        <f t="shared" si="7"/>
        <v>1.7089201877934272</v>
      </c>
    </row>
    <row r="211" spans="1:5" x14ac:dyDescent="0.3">
      <c r="A211">
        <f t="shared" si="6"/>
        <v>2016</v>
      </c>
      <c r="B211" s="59">
        <v>42633</v>
      </c>
      <c r="C211" s="54">
        <v>213</v>
      </c>
      <c r="D211" s="54">
        <v>362</v>
      </c>
      <c r="E211">
        <f t="shared" si="7"/>
        <v>1.699530516431925</v>
      </c>
    </row>
    <row r="212" spans="1:5" x14ac:dyDescent="0.3">
      <c r="A212">
        <f t="shared" si="6"/>
        <v>2016</v>
      </c>
      <c r="B212" s="59">
        <v>42634</v>
      </c>
      <c r="C212" s="54">
        <v>217</v>
      </c>
      <c r="D212" s="54">
        <v>362</v>
      </c>
      <c r="E212">
        <f t="shared" si="7"/>
        <v>1.6682027649769586</v>
      </c>
    </row>
    <row r="213" spans="1:5" x14ac:dyDescent="0.3">
      <c r="A213">
        <f t="shared" si="6"/>
        <v>2016</v>
      </c>
      <c r="B213" s="59">
        <v>42635</v>
      </c>
      <c r="C213" s="54">
        <v>215</v>
      </c>
      <c r="D213" s="54">
        <v>365</v>
      </c>
      <c r="E213">
        <f t="shared" si="7"/>
        <v>1.6976744186046511</v>
      </c>
    </row>
    <row r="214" spans="1:5" x14ac:dyDescent="0.3">
      <c r="A214">
        <f t="shared" si="6"/>
        <v>2016</v>
      </c>
      <c r="B214" s="59">
        <v>42636</v>
      </c>
      <c r="C214" s="54">
        <v>217.5</v>
      </c>
      <c r="D214" s="54">
        <v>370</v>
      </c>
      <c r="E214">
        <f t="shared" si="7"/>
        <v>1.7011494252873562</v>
      </c>
    </row>
    <row r="215" spans="1:5" x14ac:dyDescent="0.3">
      <c r="A215">
        <f t="shared" si="6"/>
        <v>2016</v>
      </c>
      <c r="B215" s="59">
        <v>42639</v>
      </c>
      <c r="C215" s="54">
        <v>217.5</v>
      </c>
      <c r="D215" s="54">
        <v>370</v>
      </c>
      <c r="E215">
        <f t="shared" si="7"/>
        <v>1.7011494252873562</v>
      </c>
    </row>
    <row r="216" spans="1:5" x14ac:dyDescent="0.3">
      <c r="A216">
        <f t="shared" si="6"/>
        <v>2016</v>
      </c>
      <c r="B216" s="59">
        <v>42640</v>
      </c>
      <c r="C216" s="54">
        <v>217.5</v>
      </c>
      <c r="D216" s="54">
        <v>370</v>
      </c>
      <c r="E216">
        <f t="shared" si="7"/>
        <v>1.7011494252873562</v>
      </c>
    </row>
    <row r="217" spans="1:5" x14ac:dyDescent="0.3">
      <c r="A217">
        <f t="shared" si="6"/>
        <v>2016</v>
      </c>
      <c r="B217" s="59">
        <v>42641</v>
      </c>
      <c r="C217" s="54">
        <v>217.5</v>
      </c>
      <c r="D217" s="54">
        <v>370</v>
      </c>
      <c r="E217">
        <f t="shared" si="7"/>
        <v>1.7011494252873562</v>
      </c>
    </row>
    <row r="218" spans="1:5" x14ac:dyDescent="0.3">
      <c r="A218">
        <f t="shared" si="6"/>
        <v>2016</v>
      </c>
      <c r="B218" s="59">
        <v>42642</v>
      </c>
      <c r="C218" s="54">
        <v>212</v>
      </c>
      <c r="D218" s="54">
        <v>370</v>
      </c>
      <c r="E218">
        <f t="shared" si="7"/>
        <v>1.7452830188679245</v>
      </c>
    </row>
    <row r="219" spans="1:5" x14ac:dyDescent="0.3">
      <c r="A219">
        <f t="shared" si="6"/>
        <v>2016</v>
      </c>
      <c r="B219" s="59">
        <v>42643</v>
      </c>
      <c r="C219" s="54">
        <v>205</v>
      </c>
      <c r="D219" s="54">
        <v>370</v>
      </c>
      <c r="E219">
        <f t="shared" si="7"/>
        <v>1.8048780487804879</v>
      </c>
    </row>
    <row r="220" spans="1:5" x14ac:dyDescent="0.3">
      <c r="A220">
        <f t="shared" si="6"/>
        <v>2016</v>
      </c>
      <c r="B220" s="59">
        <v>42646</v>
      </c>
      <c r="C220" s="54">
        <v>209</v>
      </c>
      <c r="D220" s="54">
        <v>370</v>
      </c>
      <c r="E220">
        <f t="shared" si="7"/>
        <v>1.770334928229665</v>
      </c>
    </row>
    <row r="221" spans="1:5" x14ac:dyDescent="0.3">
      <c r="A221">
        <f t="shared" si="6"/>
        <v>2016</v>
      </c>
      <c r="B221" s="59">
        <v>42647</v>
      </c>
      <c r="C221" s="54">
        <v>209</v>
      </c>
      <c r="D221" s="54">
        <v>370</v>
      </c>
      <c r="E221">
        <f t="shared" si="7"/>
        <v>1.770334928229665</v>
      </c>
    </row>
    <row r="222" spans="1:5" x14ac:dyDescent="0.3">
      <c r="A222">
        <f t="shared" si="6"/>
        <v>2016</v>
      </c>
      <c r="B222" s="59">
        <v>42648</v>
      </c>
      <c r="C222" s="54">
        <v>207</v>
      </c>
      <c r="D222" s="54">
        <v>370</v>
      </c>
      <c r="E222">
        <f t="shared" si="7"/>
        <v>1.78743961352657</v>
      </c>
    </row>
    <row r="223" spans="1:5" x14ac:dyDescent="0.3">
      <c r="A223">
        <f t="shared" si="6"/>
        <v>2016</v>
      </c>
      <c r="B223" s="59">
        <v>42649</v>
      </c>
      <c r="C223" s="54">
        <v>210</v>
      </c>
      <c r="D223" s="54">
        <v>370</v>
      </c>
      <c r="E223">
        <f t="shared" si="7"/>
        <v>1.7619047619047619</v>
      </c>
    </row>
    <row r="224" spans="1:5" x14ac:dyDescent="0.3">
      <c r="A224">
        <f t="shared" si="6"/>
        <v>2016</v>
      </c>
      <c r="B224" s="59">
        <v>42650</v>
      </c>
      <c r="C224" s="54">
        <v>219</v>
      </c>
      <c r="D224" s="54">
        <v>384</v>
      </c>
      <c r="E224">
        <f t="shared" si="7"/>
        <v>1.7534246575342465</v>
      </c>
    </row>
    <row r="225" spans="1:5" x14ac:dyDescent="0.3">
      <c r="A225">
        <f t="shared" si="6"/>
        <v>2016</v>
      </c>
      <c r="B225" s="59">
        <v>42653</v>
      </c>
      <c r="C225" s="54">
        <v>221</v>
      </c>
      <c r="D225" s="54">
        <v>382</v>
      </c>
      <c r="E225">
        <f t="shared" si="7"/>
        <v>1.7285067873303168</v>
      </c>
    </row>
    <row r="226" spans="1:5" x14ac:dyDescent="0.3">
      <c r="A226">
        <f t="shared" si="6"/>
        <v>2016</v>
      </c>
      <c r="B226" s="59">
        <v>42654</v>
      </c>
      <c r="C226" s="54">
        <v>224</v>
      </c>
      <c r="D226" s="54">
        <v>382</v>
      </c>
      <c r="E226">
        <f t="shared" si="7"/>
        <v>1.7053571428571428</v>
      </c>
    </row>
    <row r="227" spans="1:5" x14ac:dyDescent="0.3">
      <c r="A227">
        <f t="shared" si="6"/>
        <v>2016</v>
      </c>
      <c r="B227" s="59">
        <v>42655</v>
      </c>
      <c r="C227" s="54">
        <v>232</v>
      </c>
      <c r="D227" s="54">
        <v>382</v>
      </c>
      <c r="E227">
        <f t="shared" si="7"/>
        <v>1.646551724137931</v>
      </c>
    </row>
    <row r="228" spans="1:5" x14ac:dyDescent="0.3">
      <c r="A228">
        <f t="shared" si="6"/>
        <v>2016</v>
      </c>
      <c r="B228" s="59">
        <v>42656</v>
      </c>
      <c r="C228" s="54">
        <v>232</v>
      </c>
      <c r="D228" s="54">
        <v>382</v>
      </c>
      <c r="E228">
        <f t="shared" si="7"/>
        <v>1.646551724137931</v>
      </c>
    </row>
    <row r="229" spans="1:5" x14ac:dyDescent="0.3">
      <c r="A229">
        <f t="shared" si="6"/>
        <v>2016</v>
      </c>
      <c r="B229" s="59">
        <v>42657</v>
      </c>
      <c r="C229" s="54">
        <v>230</v>
      </c>
      <c r="D229" s="54">
        <v>382</v>
      </c>
      <c r="E229">
        <f t="shared" si="7"/>
        <v>1.6608695652173913</v>
      </c>
    </row>
    <row r="230" spans="1:5" x14ac:dyDescent="0.3">
      <c r="A230">
        <f t="shared" si="6"/>
        <v>2016</v>
      </c>
      <c r="B230" s="59">
        <v>42660</v>
      </c>
      <c r="C230" s="54">
        <v>230</v>
      </c>
      <c r="D230" s="54">
        <v>382</v>
      </c>
      <c r="E230">
        <f t="shared" si="7"/>
        <v>1.6608695652173913</v>
      </c>
    </row>
    <row r="231" spans="1:5" x14ac:dyDescent="0.3">
      <c r="A231">
        <f t="shared" si="6"/>
        <v>2016</v>
      </c>
      <c r="B231" s="59">
        <v>42661</v>
      </c>
      <c r="C231" s="54">
        <v>236</v>
      </c>
      <c r="D231" s="54">
        <v>390</v>
      </c>
      <c r="E231">
        <f t="shared" si="7"/>
        <v>1.652542372881356</v>
      </c>
    </row>
    <row r="232" spans="1:5" x14ac:dyDescent="0.3">
      <c r="A232">
        <f t="shared" si="6"/>
        <v>2016</v>
      </c>
      <c r="B232" s="59">
        <v>42662</v>
      </c>
      <c r="C232" s="54">
        <v>236</v>
      </c>
      <c r="D232" s="54">
        <v>390</v>
      </c>
      <c r="E232">
        <f t="shared" si="7"/>
        <v>1.652542372881356</v>
      </c>
    </row>
    <row r="233" spans="1:5" x14ac:dyDescent="0.3">
      <c r="A233">
        <f t="shared" si="6"/>
        <v>2016</v>
      </c>
      <c r="B233" s="59">
        <v>42663</v>
      </c>
      <c r="C233" s="54">
        <v>236</v>
      </c>
      <c r="D233" s="54">
        <v>398</v>
      </c>
      <c r="E233">
        <f t="shared" si="7"/>
        <v>1.6864406779661016</v>
      </c>
    </row>
    <row r="234" spans="1:5" x14ac:dyDescent="0.3">
      <c r="A234">
        <f t="shared" si="6"/>
        <v>2016</v>
      </c>
      <c r="B234" s="59">
        <v>42664</v>
      </c>
      <c r="C234" s="54">
        <v>236</v>
      </c>
      <c r="D234" s="54">
        <v>398</v>
      </c>
      <c r="E234">
        <f t="shared" si="7"/>
        <v>1.6864406779661016</v>
      </c>
    </row>
    <row r="235" spans="1:5" x14ac:dyDescent="0.3">
      <c r="A235">
        <f t="shared" si="6"/>
        <v>2016</v>
      </c>
      <c r="B235" s="59">
        <v>42667</v>
      </c>
      <c r="C235" s="54">
        <v>240</v>
      </c>
      <c r="D235" s="54">
        <v>398</v>
      </c>
      <c r="E235">
        <f t="shared" si="7"/>
        <v>1.6583333333333334</v>
      </c>
    </row>
    <row r="236" spans="1:5" x14ac:dyDescent="0.3">
      <c r="A236">
        <f t="shared" si="6"/>
        <v>2016</v>
      </c>
      <c r="B236" s="59">
        <v>42668</v>
      </c>
      <c r="C236" s="54">
        <v>240</v>
      </c>
      <c r="D236" s="54">
        <v>398</v>
      </c>
      <c r="E236">
        <f t="shared" si="7"/>
        <v>1.6583333333333334</v>
      </c>
    </row>
    <row r="237" spans="1:5" x14ac:dyDescent="0.3">
      <c r="A237">
        <f t="shared" si="6"/>
        <v>2016</v>
      </c>
      <c r="B237" s="59">
        <v>42669</v>
      </c>
      <c r="C237" s="54">
        <v>241</v>
      </c>
      <c r="D237" s="54">
        <v>398</v>
      </c>
      <c r="E237">
        <f t="shared" si="7"/>
        <v>1.6514522821576763</v>
      </c>
    </row>
    <row r="238" spans="1:5" x14ac:dyDescent="0.3">
      <c r="A238">
        <f t="shared" si="6"/>
        <v>2016</v>
      </c>
      <c r="B238" s="59">
        <v>42670</v>
      </c>
      <c r="C238" s="54">
        <v>245</v>
      </c>
      <c r="D238" s="54">
        <v>398</v>
      </c>
      <c r="E238">
        <f t="shared" si="7"/>
        <v>1.6244897959183673</v>
      </c>
    </row>
    <row r="239" spans="1:5" x14ac:dyDescent="0.3">
      <c r="A239">
        <f t="shared" si="6"/>
        <v>2016</v>
      </c>
      <c r="B239" s="59">
        <v>42671</v>
      </c>
      <c r="C239" s="54">
        <v>248</v>
      </c>
      <c r="D239" s="54">
        <v>400</v>
      </c>
      <c r="E239">
        <f t="shared" si="7"/>
        <v>1.6129032258064515</v>
      </c>
    </row>
    <row r="240" spans="1:5" x14ac:dyDescent="0.3">
      <c r="A240">
        <f t="shared" si="6"/>
        <v>2016</v>
      </c>
      <c r="B240" s="59">
        <v>42674</v>
      </c>
      <c r="C240" s="54">
        <v>251</v>
      </c>
      <c r="D240" s="54">
        <v>401</v>
      </c>
      <c r="E240">
        <f t="shared" si="7"/>
        <v>1.597609561752988</v>
      </c>
    </row>
    <row r="241" spans="1:5" x14ac:dyDescent="0.3">
      <c r="A241">
        <f t="shared" si="6"/>
        <v>2016</v>
      </c>
      <c r="B241" s="59">
        <v>42675</v>
      </c>
      <c r="C241" s="54">
        <v>248</v>
      </c>
      <c r="D241" s="54">
        <v>402</v>
      </c>
      <c r="E241">
        <f t="shared" si="7"/>
        <v>1.6209677419354838</v>
      </c>
    </row>
    <row r="242" spans="1:5" x14ac:dyDescent="0.3">
      <c r="A242">
        <f t="shared" si="6"/>
        <v>2016</v>
      </c>
      <c r="B242" s="59">
        <v>42676</v>
      </c>
      <c r="C242" s="54">
        <v>256</v>
      </c>
      <c r="D242" s="54">
        <v>405</v>
      </c>
      <c r="E242">
        <f t="shared" si="7"/>
        <v>1.58203125</v>
      </c>
    </row>
    <row r="243" spans="1:5" x14ac:dyDescent="0.3">
      <c r="A243">
        <f t="shared" si="6"/>
        <v>2016</v>
      </c>
      <c r="B243" s="59">
        <v>42677</v>
      </c>
      <c r="C243" s="54">
        <v>264</v>
      </c>
      <c r="D243" s="54">
        <v>422</v>
      </c>
      <c r="E243">
        <f t="shared" si="7"/>
        <v>1.5984848484848484</v>
      </c>
    </row>
    <row r="244" spans="1:5" x14ac:dyDescent="0.3">
      <c r="A244">
        <f t="shared" si="6"/>
        <v>2016</v>
      </c>
      <c r="B244" s="59">
        <v>42678</v>
      </c>
      <c r="C244" s="54">
        <v>264</v>
      </c>
      <c r="D244" s="54">
        <v>422</v>
      </c>
      <c r="E244">
        <f t="shared" si="7"/>
        <v>1.5984848484848484</v>
      </c>
    </row>
    <row r="245" spans="1:5" x14ac:dyDescent="0.3">
      <c r="A245">
        <f t="shared" si="6"/>
        <v>2016</v>
      </c>
      <c r="B245" s="59">
        <v>42681</v>
      </c>
      <c r="C245" s="54">
        <v>281.5</v>
      </c>
      <c r="D245" s="54">
        <v>432</v>
      </c>
      <c r="E245">
        <f t="shared" si="7"/>
        <v>1.5346358792184724</v>
      </c>
    </row>
    <row r="246" spans="1:5" x14ac:dyDescent="0.3">
      <c r="A246">
        <f t="shared" si="6"/>
        <v>2016</v>
      </c>
      <c r="B246" s="59">
        <v>42682</v>
      </c>
      <c r="C246" s="54">
        <v>290</v>
      </c>
      <c r="D246" s="54">
        <v>448</v>
      </c>
      <c r="E246">
        <f t="shared" si="7"/>
        <v>1.5448275862068965</v>
      </c>
    </row>
    <row r="247" spans="1:5" x14ac:dyDescent="0.3">
      <c r="A247">
        <f t="shared" si="6"/>
        <v>2016</v>
      </c>
      <c r="B247" s="59">
        <v>42683</v>
      </c>
      <c r="C247" s="54">
        <v>293</v>
      </c>
      <c r="D247" s="54">
        <v>448</v>
      </c>
      <c r="E247">
        <f t="shared" si="7"/>
        <v>1.5290102389078499</v>
      </c>
    </row>
    <row r="248" spans="1:5" x14ac:dyDescent="0.3">
      <c r="A248">
        <f t="shared" si="6"/>
        <v>2016</v>
      </c>
      <c r="B248" s="59">
        <v>42684</v>
      </c>
      <c r="C248" s="54">
        <v>299</v>
      </c>
      <c r="D248" s="54">
        <v>457</v>
      </c>
      <c r="E248">
        <f t="shared" si="7"/>
        <v>1.528428093645485</v>
      </c>
    </row>
    <row r="249" spans="1:5" x14ac:dyDescent="0.3">
      <c r="A249">
        <f t="shared" si="6"/>
        <v>2016</v>
      </c>
      <c r="B249" s="59">
        <v>42685</v>
      </c>
      <c r="C249" s="54">
        <v>304</v>
      </c>
      <c r="D249" s="54">
        <v>457</v>
      </c>
      <c r="E249">
        <f t="shared" si="7"/>
        <v>1.5032894736842106</v>
      </c>
    </row>
    <row r="250" spans="1:5" x14ac:dyDescent="0.3">
      <c r="A250">
        <f t="shared" si="6"/>
        <v>2016</v>
      </c>
      <c r="B250" s="59">
        <v>42688</v>
      </c>
      <c r="C250" s="54">
        <v>300</v>
      </c>
      <c r="D250" s="54">
        <v>455</v>
      </c>
      <c r="E250">
        <f t="shared" si="7"/>
        <v>1.5166666666666666</v>
      </c>
    </row>
    <row r="251" spans="1:5" x14ac:dyDescent="0.3">
      <c r="A251">
        <f t="shared" si="6"/>
        <v>2016</v>
      </c>
      <c r="B251" s="59">
        <v>42689</v>
      </c>
      <c r="C251" s="54">
        <v>296</v>
      </c>
      <c r="D251" s="54">
        <v>448</v>
      </c>
      <c r="E251">
        <f t="shared" si="7"/>
        <v>1.5135135135135136</v>
      </c>
    </row>
    <row r="252" spans="1:5" x14ac:dyDescent="0.3">
      <c r="A252">
        <f t="shared" si="6"/>
        <v>2016</v>
      </c>
      <c r="B252" s="59">
        <v>42690</v>
      </c>
      <c r="C252" s="54">
        <v>296</v>
      </c>
      <c r="D252" s="54">
        <v>448</v>
      </c>
      <c r="E252">
        <f t="shared" si="7"/>
        <v>1.5135135135135136</v>
      </c>
    </row>
    <row r="253" spans="1:5" x14ac:dyDescent="0.3">
      <c r="A253">
        <f t="shared" si="6"/>
        <v>2016</v>
      </c>
      <c r="B253" s="59">
        <v>42691</v>
      </c>
      <c r="C253" s="54">
        <v>290</v>
      </c>
      <c r="D253" s="54">
        <v>444.5</v>
      </c>
      <c r="E253">
        <f t="shared" si="7"/>
        <v>1.5327586206896551</v>
      </c>
    </row>
    <row r="254" spans="1:5" x14ac:dyDescent="0.3">
      <c r="A254">
        <f t="shared" si="6"/>
        <v>2016</v>
      </c>
      <c r="B254" s="59">
        <v>42692</v>
      </c>
      <c r="C254" s="54">
        <v>286</v>
      </c>
      <c r="D254" s="54">
        <v>444.5</v>
      </c>
      <c r="E254">
        <f t="shared" si="7"/>
        <v>1.5541958041958042</v>
      </c>
    </row>
    <row r="255" spans="1:5" x14ac:dyDescent="0.3">
      <c r="A255">
        <f t="shared" si="6"/>
        <v>2016</v>
      </c>
      <c r="B255" s="59">
        <v>42695</v>
      </c>
      <c r="C255" s="54">
        <v>280</v>
      </c>
      <c r="D255" s="54">
        <v>440</v>
      </c>
      <c r="E255">
        <f t="shared" si="7"/>
        <v>1.5714285714285714</v>
      </c>
    </row>
    <row r="256" spans="1:5" x14ac:dyDescent="0.3">
      <c r="A256">
        <f t="shared" si="6"/>
        <v>2016</v>
      </c>
      <c r="B256" s="59">
        <v>42696</v>
      </c>
      <c r="C256" s="54">
        <v>288</v>
      </c>
      <c r="D256" s="54">
        <v>439</v>
      </c>
      <c r="E256">
        <f t="shared" si="7"/>
        <v>1.5243055555555556</v>
      </c>
    </row>
    <row r="257" spans="1:5" x14ac:dyDescent="0.3">
      <c r="A257">
        <f t="shared" si="6"/>
        <v>2016</v>
      </c>
      <c r="B257" s="59">
        <v>42697</v>
      </c>
      <c r="C257" s="54">
        <v>285.5</v>
      </c>
      <c r="D257" s="54">
        <v>439</v>
      </c>
      <c r="E257">
        <f t="shared" si="7"/>
        <v>1.5376532399299474</v>
      </c>
    </row>
    <row r="258" spans="1:5" x14ac:dyDescent="0.3">
      <c r="A258">
        <f t="shared" si="6"/>
        <v>2016</v>
      </c>
      <c r="B258" s="59">
        <v>42698</v>
      </c>
      <c r="C258" s="54">
        <v>285</v>
      </c>
      <c r="D258" s="54">
        <v>440</v>
      </c>
      <c r="E258">
        <f t="shared" si="7"/>
        <v>1.5438596491228069</v>
      </c>
    </row>
    <row r="259" spans="1:5" x14ac:dyDescent="0.3">
      <c r="A259">
        <f t="shared" si="6"/>
        <v>2016</v>
      </c>
      <c r="B259" s="59">
        <v>42699</v>
      </c>
      <c r="C259" s="54">
        <v>296</v>
      </c>
      <c r="D259" s="54">
        <v>445</v>
      </c>
      <c r="E259">
        <f t="shared" si="7"/>
        <v>1.5033783783783783</v>
      </c>
    </row>
    <row r="260" spans="1:5" x14ac:dyDescent="0.3">
      <c r="A260">
        <f t="shared" ref="A260:A323" si="8">YEAR(B260)</f>
        <v>2016</v>
      </c>
      <c r="B260" s="59">
        <v>42702</v>
      </c>
      <c r="C260" s="54">
        <v>300</v>
      </c>
      <c r="D260" s="54">
        <v>445</v>
      </c>
      <c r="E260">
        <f t="shared" ref="E260:E323" si="9">D260/C260</f>
        <v>1.4833333333333334</v>
      </c>
    </row>
    <row r="261" spans="1:5" x14ac:dyDescent="0.3">
      <c r="A261">
        <f t="shared" si="8"/>
        <v>2016</v>
      </c>
      <c r="B261" s="59">
        <v>42703</v>
      </c>
      <c r="C261" s="54">
        <v>291</v>
      </c>
      <c r="D261" s="54">
        <v>445</v>
      </c>
      <c r="E261">
        <f t="shared" si="9"/>
        <v>1.529209621993127</v>
      </c>
    </row>
    <row r="262" spans="1:5" x14ac:dyDescent="0.3">
      <c r="A262">
        <f t="shared" si="8"/>
        <v>2016</v>
      </c>
      <c r="B262" s="59">
        <v>42704</v>
      </c>
      <c r="C262" s="54">
        <v>291</v>
      </c>
      <c r="D262" s="54">
        <v>445</v>
      </c>
      <c r="E262">
        <f t="shared" si="9"/>
        <v>1.529209621993127</v>
      </c>
    </row>
    <row r="263" spans="1:5" x14ac:dyDescent="0.3">
      <c r="A263">
        <f t="shared" si="8"/>
        <v>2016</v>
      </c>
      <c r="B263" s="59">
        <v>42705</v>
      </c>
      <c r="C263" s="54">
        <v>283</v>
      </c>
      <c r="D263" s="54">
        <v>440</v>
      </c>
      <c r="E263">
        <f t="shared" si="9"/>
        <v>1.5547703180212014</v>
      </c>
    </row>
    <row r="264" spans="1:5" x14ac:dyDescent="0.3">
      <c r="A264">
        <f t="shared" si="8"/>
        <v>2016</v>
      </c>
      <c r="B264" s="59">
        <v>42706</v>
      </c>
      <c r="C264" s="54">
        <v>278</v>
      </c>
      <c r="D264" s="54">
        <v>440</v>
      </c>
      <c r="E264">
        <f t="shared" si="9"/>
        <v>1.5827338129496402</v>
      </c>
    </row>
    <row r="265" spans="1:5" x14ac:dyDescent="0.3">
      <c r="A265">
        <f t="shared" si="8"/>
        <v>2016</v>
      </c>
      <c r="B265" s="59">
        <v>42709</v>
      </c>
      <c r="C265" s="54">
        <v>294</v>
      </c>
      <c r="D265" s="54">
        <v>445</v>
      </c>
      <c r="E265">
        <f t="shared" si="9"/>
        <v>1.5136054421768708</v>
      </c>
    </row>
    <row r="266" spans="1:5" x14ac:dyDescent="0.3">
      <c r="A266">
        <f t="shared" si="8"/>
        <v>2016</v>
      </c>
      <c r="B266" s="59">
        <v>42710</v>
      </c>
      <c r="C266" s="54">
        <v>292.5</v>
      </c>
      <c r="D266" s="54">
        <v>445</v>
      </c>
      <c r="E266">
        <f t="shared" si="9"/>
        <v>1.5213675213675213</v>
      </c>
    </row>
    <row r="267" spans="1:5" x14ac:dyDescent="0.3">
      <c r="A267">
        <f t="shared" si="8"/>
        <v>2016</v>
      </c>
      <c r="B267" s="59">
        <v>42711</v>
      </c>
      <c r="C267" s="54">
        <v>289</v>
      </c>
      <c r="D267" s="54">
        <v>440</v>
      </c>
      <c r="E267">
        <f t="shared" si="9"/>
        <v>1.5224913494809689</v>
      </c>
    </row>
    <row r="268" spans="1:5" x14ac:dyDescent="0.3">
      <c r="A268">
        <f t="shared" si="8"/>
        <v>2016</v>
      </c>
      <c r="B268" s="59">
        <v>42712</v>
      </c>
      <c r="C268" s="54">
        <v>289</v>
      </c>
      <c r="D268" s="54">
        <v>440</v>
      </c>
      <c r="E268">
        <f t="shared" si="9"/>
        <v>1.5224913494809689</v>
      </c>
    </row>
    <row r="269" spans="1:5" x14ac:dyDescent="0.3">
      <c r="A269">
        <f t="shared" si="8"/>
        <v>2016</v>
      </c>
      <c r="B269" s="59">
        <v>42713</v>
      </c>
      <c r="C269" s="54">
        <v>285</v>
      </c>
      <c r="D269" s="54">
        <v>437</v>
      </c>
      <c r="E269">
        <f t="shared" si="9"/>
        <v>1.5333333333333334</v>
      </c>
    </row>
    <row r="270" spans="1:5" x14ac:dyDescent="0.3">
      <c r="A270">
        <f t="shared" si="8"/>
        <v>2016</v>
      </c>
      <c r="B270" s="59">
        <v>42716</v>
      </c>
      <c r="C270" s="54">
        <v>285</v>
      </c>
      <c r="D270" s="54">
        <v>437</v>
      </c>
      <c r="E270">
        <f t="shared" si="9"/>
        <v>1.5333333333333334</v>
      </c>
    </row>
    <row r="271" spans="1:5" x14ac:dyDescent="0.3">
      <c r="A271">
        <f t="shared" si="8"/>
        <v>2016</v>
      </c>
      <c r="B271" s="59">
        <v>42717</v>
      </c>
      <c r="C271" s="54">
        <v>281</v>
      </c>
      <c r="D271" s="54">
        <v>430.5</v>
      </c>
      <c r="E271">
        <f t="shared" si="9"/>
        <v>1.5320284697508897</v>
      </c>
    </row>
    <row r="272" spans="1:5" x14ac:dyDescent="0.3">
      <c r="A272">
        <f t="shared" si="8"/>
        <v>2016</v>
      </c>
      <c r="B272" s="59">
        <v>42718</v>
      </c>
      <c r="C272" s="54">
        <v>286</v>
      </c>
      <c r="D272" s="54">
        <v>430.5</v>
      </c>
      <c r="E272">
        <f t="shared" si="9"/>
        <v>1.5052447552447552</v>
      </c>
    </row>
    <row r="273" spans="1:5" x14ac:dyDescent="0.3">
      <c r="A273">
        <f t="shared" si="8"/>
        <v>2016</v>
      </c>
      <c r="B273" s="59">
        <v>42719</v>
      </c>
      <c r="C273" s="54">
        <v>290</v>
      </c>
      <c r="D273" s="54">
        <v>442</v>
      </c>
      <c r="E273">
        <f t="shared" si="9"/>
        <v>1.5241379310344827</v>
      </c>
    </row>
    <row r="274" spans="1:5" x14ac:dyDescent="0.3">
      <c r="A274">
        <f t="shared" si="8"/>
        <v>2016</v>
      </c>
      <c r="B274" s="59">
        <v>42720</v>
      </c>
      <c r="C274" s="54">
        <v>296</v>
      </c>
      <c r="D274" s="54">
        <v>447</v>
      </c>
      <c r="E274">
        <f t="shared" si="9"/>
        <v>1.5101351351351351</v>
      </c>
    </row>
    <row r="275" spans="1:5" x14ac:dyDescent="0.3">
      <c r="A275">
        <f t="shared" si="8"/>
        <v>2016</v>
      </c>
      <c r="B275" s="59">
        <v>42723</v>
      </c>
      <c r="C275" s="54">
        <v>300</v>
      </c>
      <c r="D275" s="54">
        <v>444</v>
      </c>
      <c r="E275">
        <f t="shared" si="9"/>
        <v>1.48</v>
      </c>
    </row>
    <row r="276" spans="1:5" x14ac:dyDescent="0.3">
      <c r="A276">
        <f t="shared" si="8"/>
        <v>2016</v>
      </c>
      <c r="B276" s="59">
        <v>42724</v>
      </c>
      <c r="C276" s="54">
        <v>296</v>
      </c>
      <c r="D276" s="54">
        <v>440</v>
      </c>
      <c r="E276">
        <f t="shared" si="9"/>
        <v>1.4864864864864864</v>
      </c>
    </row>
    <row r="277" spans="1:5" x14ac:dyDescent="0.3">
      <c r="A277">
        <f t="shared" si="8"/>
        <v>2016</v>
      </c>
      <c r="B277" s="59">
        <v>42725</v>
      </c>
      <c r="C277" s="54">
        <v>296</v>
      </c>
      <c r="D277" s="54">
        <v>442</v>
      </c>
      <c r="E277">
        <f t="shared" si="9"/>
        <v>1.4932432432432432</v>
      </c>
    </row>
    <row r="278" spans="1:5" x14ac:dyDescent="0.3">
      <c r="A278">
        <f t="shared" si="8"/>
        <v>2016</v>
      </c>
      <c r="B278" s="59">
        <v>42726</v>
      </c>
      <c r="C278" s="54">
        <v>296</v>
      </c>
      <c r="D278" s="54">
        <v>444</v>
      </c>
      <c r="E278">
        <f t="shared" si="9"/>
        <v>1.5</v>
      </c>
    </row>
    <row r="279" spans="1:5" x14ac:dyDescent="0.3">
      <c r="A279">
        <f t="shared" si="8"/>
        <v>2016</v>
      </c>
      <c r="B279" s="59">
        <v>42727</v>
      </c>
      <c r="C279" s="54">
        <v>296</v>
      </c>
      <c r="D279" s="54">
        <v>444</v>
      </c>
      <c r="E279">
        <f t="shared" si="9"/>
        <v>1.5</v>
      </c>
    </row>
    <row r="280" spans="1:5" x14ac:dyDescent="0.3">
      <c r="A280">
        <f t="shared" si="8"/>
        <v>2016</v>
      </c>
      <c r="B280" s="59">
        <v>42732</v>
      </c>
      <c r="C280" s="54">
        <v>296</v>
      </c>
      <c r="D280" s="54">
        <v>444</v>
      </c>
      <c r="E280">
        <f t="shared" si="9"/>
        <v>1.5</v>
      </c>
    </row>
    <row r="281" spans="1:5" x14ac:dyDescent="0.3">
      <c r="A281">
        <f t="shared" si="8"/>
        <v>2016</v>
      </c>
      <c r="B281" s="59">
        <v>42733</v>
      </c>
      <c r="C281" s="54">
        <v>295</v>
      </c>
      <c r="D281" s="54">
        <v>444</v>
      </c>
      <c r="E281">
        <f t="shared" si="9"/>
        <v>1.5050847457627119</v>
      </c>
    </row>
    <row r="282" spans="1:5" x14ac:dyDescent="0.3">
      <c r="A282">
        <f t="shared" si="8"/>
        <v>2016</v>
      </c>
      <c r="B282" s="59">
        <v>42734</v>
      </c>
      <c r="C282" s="54">
        <v>295</v>
      </c>
      <c r="D282" s="54">
        <v>444</v>
      </c>
      <c r="E282">
        <f t="shared" si="9"/>
        <v>1.5050847457627119</v>
      </c>
    </row>
    <row r="283" spans="1:5" x14ac:dyDescent="0.3">
      <c r="A283">
        <f t="shared" si="8"/>
        <v>2017</v>
      </c>
      <c r="B283" s="59">
        <v>42738</v>
      </c>
      <c r="C283" s="54">
        <v>284</v>
      </c>
      <c r="D283" s="54">
        <v>441</v>
      </c>
      <c r="E283">
        <f t="shared" si="9"/>
        <v>1.5528169014084507</v>
      </c>
    </row>
    <row r="284" spans="1:5" x14ac:dyDescent="0.3">
      <c r="A284">
        <f t="shared" si="8"/>
        <v>2017</v>
      </c>
      <c r="B284" s="59">
        <v>42739</v>
      </c>
      <c r="C284" s="54">
        <v>288</v>
      </c>
      <c r="D284" s="54">
        <v>441</v>
      </c>
      <c r="E284">
        <f t="shared" si="9"/>
        <v>1.53125</v>
      </c>
    </row>
    <row r="285" spans="1:5" x14ac:dyDescent="0.3">
      <c r="A285">
        <f t="shared" si="8"/>
        <v>2017</v>
      </c>
      <c r="B285" s="59">
        <v>42740</v>
      </c>
      <c r="C285" s="54">
        <v>287</v>
      </c>
      <c r="D285" s="54">
        <v>444.5</v>
      </c>
      <c r="E285">
        <f t="shared" si="9"/>
        <v>1.5487804878048781</v>
      </c>
    </row>
    <row r="286" spans="1:5" x14ac:dyDescent="0.3">
      <c r="A286">
        <f t="shared" si="8"/>
        <v>2017</v>
      </c>
      <c r="B286" s="59">
        <v>42741</v>
      </c>
      <c r="C286" s="54">
        <v>286</v>
      </c>
      <c r="D286" s="54">
        <v>439</v>
      </c>
      <c r="E286">
        <f t="shared" si="9"/>
        <v>1.534965034965035</v>
      </c>
    </row>
    <row r="287" spans="1:5" x14ac:dyDescent="0.3">
      <c r="A287">
        <f t="shared" si="8"/>
        <v>2017</v>
      </c>
      <c r="B287" s="59">
        <v>42744</v>
      </c>
      <c r="C287" s="54">
        <v>290</v>
      </c>
      <c r="D287" s="54">
        <v>437</v>
      </c>
      <c r="E287">
        <f t="shared" si="9"/>
        <v>1.5068965517241379</v>
      </c>
    </row>
    <row r="288" spans="1:5" x14ac:dyDescent="0.3">
      <c r="A288">
        <f t="shared" si="8"/>
        <v>2017</v>
      </c>
      <c r="B288" s="59">
        <v>42745</v>
      </c>
      <c r="C288" s="54">
        <v>295</v>
      </c>
      <c r="D288" s="54">
        <v>445</v>
      </c>
      <c r="E288">
        <f t="shared" si="9"/>
        <v>1.5084745762711864</v>
      </c>
    </row>
    <row r="289" spans="1:5" x14ac:dyDescent="0.3">
      <c r="A289">
        <f t="shared" si="8"/>
        <v>2017</v>
      </c>
      <c r="B289" s="59">
        <v>42746</v>
      </c>
      <c r="C289" s="54">
        <v>289</v>
      </c>
      <c r="D289" s="54">
        <v>446</v>
      </c>
      <c r="E289">
        <f t="shared" si="9"/>
        <v>1.5432525951557095</v>
      </c>
    </row>
    <row r="290" spans="1:5" x14ac:dyDescent="0.3">
      <c r="A290">
        <f t="shared" si="8"/>
        <v>2017</v>
      </c>
      <c r="B290" s="59">
        <v>42747</v>
      </c>
      <c r="C290" s="54">
        <v>289</v>
      </c>
      <c r="D290" s="54">
        <v>438.5</v>
      </c>
      <c r="E290">
        <f t="shared" si="9"/>
        <v>1.5173010380622838</v>
      </c>
    </row>
    <row r="291" spans="1:5" x14ac:dyDescent="0.3">
      <c r="A291">
        <f t="shared" si="8"/>
        <v>2017</v>
      </c>
      <c r="B291" s="59">
        <v>42748</v>
      </c>
      <c r="C291" s="54">
        <v>292</v>
      </c>
      <c r="D291" s="54">
        <v>439</v>
      </c>
      <c r="E291">
        <f t="shared" si="9"/>
        <v>1.5034246575342465</v>
      </c>
    </row>
    <row r="292" spans="1:5" x14ac:dyDescent="0.3">
      <c r="A292">
        <f t="shared" si="8"/>
        <v>2017</v>
      </c>
      <c r="B292" s="59">
        <v>42751</v>
      </c>
      <c r="C292" s="54">
        <v>292</v>
      </c>
      <c r="D292" s="54">
        <v>441.5</v>
      </c>
      <c r="E292">
        <f t="shared" si="9"/>
        <v>1.5119863013698631</v>
      </c>
    </row>
    <row r="293" spans="1:5" x14ac:dyDescent="0.3">
      <c r="A293">
        <f t="shared" si="8"/>
        <v>2017</v>
      </c>
      <c r="B293" s="59">
        <v>42752</v>
      </c>
      <c r="C293" s="54">
        <v>285.5</v>
      </c>
      <c r="D293" s="54">
        <v>435.5</v>
      </c>
      <c r="E293">
        <f t="shared" si="9"/>
        <v>1.5253940455341506</v>
      </c>
    </row>
    <row r="294" spans="1:5" x14ac:dyDescent="0.3">
      <c r="A294">
        <f t="shared" si="8"/>
        <v>2017</v>
      </c>
      <c r="B294" s="59">
        <v>42753</v>
      </c>
      <c r="C294" s="54">
        <v>280</v>
      </c>
      <c r="D294" s="54">
        <v>430</v>
      </c>
      <c r="E294">
        <f t="shared" si="9"/>
        <v>1.5357142857142858</v>
      </c>
    </row>
    <row r="295" spans="1:5" x14ac:dyDescent="0.3">
      <c r="A295">
        <f t="shared" si="8"/>
        <v>2017</v>
      </c>
      <c r="B295" s="59">
        <v>42754</v>
      </c>
      <c r="C295" s="54">
        <v>282</v>
      </c>
      <c r="D295" s="54">
        <v>430</v>
      </c>
      <c r="E295">
        <f t="shared" si="9"/>
        <v>1.5248226950354611</v>
      </c>
    </row>
    <row r="296" spans="1:5" x14ac:dyDescent="0.3">
      <c r="A296">
        <f t="shared" si="8"/>
        <v>2017</v>
      </c>
      <c r="B296" s="59">
        <v>42755</v>
      </c>
      <c r="C296" s="54">
        <v>283</v>
      </c>
      <c r="D296" s="54">
        <v>425</v>
      </c>
      <c r="E296">
        <f t="shared" si="9"/>
        <v>1.5017667844522968</v>
      </c>
    </row>
    <row r="297" spans="1:5" x14ac:dyDescent="0.3">
      <c r="A297">
        <f t="shared" si="8"/>
        <v>2017</v>
      </c>
      <c r="B297" s="59">
        <v>42758</v>
      </c>
      <c r="C297" s="54">
        <v>274</v>
      </c>
      <c r="D297" s="54">
        <v>412</v>
      </c>
      <c r="E297">
        <f t="shared" si="9"/>
        <v>1.5036496350364963</v>
      </c>
    </row>
    <row r="298" spans="1:5" x14ac:dyDescent="0.3">
      <c r="A298">
        <f t="shared" si="8"/>
        <v>2017</v>
      </c>
      <c r="B298" s="59">
        <v>42759</v>
      </c>
      <c r="C298" s="54">
        <v>252</v>
      </c>
      <c r="D298" s="54">
        <v>404.5</v>
      </c>
      <c r="E298">
        <f t="shared" si="9"/>
        <v>1.6051587301587302</v>
      </c>
    </row>
    <row r="299" spans="1:5" x14ac:dyDescent="0.3">
      <c r="A299">
        <f t="shared" si="8"/>
        <v>2017</v>
      </c>
      <c r="B299" s="59">
        <v>42760</v>
      </c>
      <c r="C299" s="54">
        <v>252</v>
      </c>
      <c r="D299" s="54">
        <v>412</v>
      </c>
      <c r="E299">
        <f t="shared" si="9"/>
        <v>1.6349206349206349</v>
      </c>
    </row>
    <row r="300" spans="1:5" x14ac:dyDescent="0.3">
      <c r="A300">
        <f t="shared" si="8"/>
        <v>2017</v>
      </c>
      <c r="B300" s="59">
        <v>42761</v>
      </c>
      <c r="C300" s="54">
        <v>240</v>
      </c>
      <c r="D300" s="54">
        <v>406</v>
      </c>
      <c r="E300">
        <f t="shared" si="9"/>
        <v>1.6916666666666667</v>
      </c>
    </row>
    <row r="301" spans="1:5" x14ac:dyDescent="0.3">
      <c r="A301">
        <f t="shared" si="8"/>
        <v>2017</v>
      </c>
      <c r="B301" s="59">
        <v>42762</v>
      </c>
      <c r="C301" s="54">
        <v>240</v>
      </c>
      <c r="D301" s="54">
        <v>398</v>
      </c>
      <c r="E301">
        <f t="shared" si="9"/>
        <v>1.6583333333333334</v>
      </c>
    </row>
    <row r="302" spans="1:5" x14ac:dyDescent="0.3">
      <c r="A302">
        <f t="shared" si="8"/>
        <v>2017</v>
      </c>
      <c r="B302" s="59">
        <v>42765</v>
      </c>
      <c r="C302" s="54">
        <v>236.5</v>
      </c>
      <c r="D302" s="54">
        <v>401</v>
      </c>
      <c r="E302">
        <f t="shared" si="9"/>
        <v>1.6955602536997887</v>
      </c>
    </row>
    <row r="303" spans="1:5" x14ac:dyDescent="0.3">
      <c r="A303">
        <f t="shared" si="8"/>
        <v>2017</v>
      </c>
      <c r="B303" s="59">
        <v>42766</v>
      </c>
      <c r="C303" s="54">
        <v>245</v>
      </c>
      <c r="D303" s="54">
        <v>403</v>
      </c>
      <c r="E303">
        <f t="shared" si="9"/>
        <v>1.6448979591836734</v>
      </c>
    </row>
    <row r="304" spans="1:5" x14ac:dyDescent="0.3">
      <c r="A304">
        <f t="shared" si="8"/>
        <v>2017</v>
      </c>
      <c r="B304" s="59">
        <v>42767</v>
      </c>
      <c r="C304" s="54">
        <v>253</v>
      </c>
      <c r="D304" s="54">
        <v>410</v>
      </c>
      <c r="E304">
        <f t="shared" si="9"/>
        <v>1.6205533596837944</v>
      </c>
    </row>
    <row r="305" spans="1:5" x14ac:dyDescent="0.3">
      <c r="A305">
        <f t="shared" si="8"/>
        <v>2017</v>
      </c>
      <c r="B305" s="59">
        <v>42768</v>
      </c>
      <c r="C305" s="54">
        <v>260</v>
      </c>
      <c r="D305" s="54">
        <v>411.5</v>
      </c>
      <c r="E305">
        <f t="shared" si="9"/>
        <v>1.5826923076923076</v>
      </c>
    </row>
    <row r="306" spans="1:5" x14ac:dyDescent="0.3">
      <c r="A306">
        <f t="shared" si="8"/>
        <v>2017</v>
      </c>
      <c r="B306" s="59">
        <v>42769</v>
      </c>
      <c r="C306" s="54">
        <v>253</v>
      </c>
      <c r="D306" s="54">
        <v>407</v>
      </c>
      <c r="E306">
        <f t="shared" si="9"/>
        <v>1.6086956521739131</v>
      </c>
    </row>
    <row r="307" spans="1:5" x14ac:dyDescent="0.3">
      <c r="A307">
        <f t="shared" si="8"/>
        <v>2017</v>
      </c>
      <c r="B307" s="59">
        <v>42772</v>
      </c>
      <c r="C307" s="54">
        <v>254</v>
      </c>
      <c r="D307" s="54">
        <v>410</v>
      </c>
      <c r="E307">
        <f t="shared" si="9"/>
        <v>1.6141732283464567</v>
      </c>
    </row>
    <row r="308" spans="1:5" x14ac:dyDescent="0.3">
      <c r="A308">
        <f t="shared" si="8"/>
        <v>2017</v>
      </c>
      <c r="B308" s="59">
        <v>42773</v>
      </c>
      <c r="C308" s="54">
        <v>263</v>
      </c>
      <c r="D308" s="54">
        <v>416</v>
      </c>
      <c r="E308">
        <f t="shared" si="9"/>
        <v>1.5817490494296578</v>
      </c>
    </row>
    <row r="309" spans="1:5" x14ac:dyDescent="0.3">
      <c r="A309">
        <f t="shared" si="8"/>
        <v>2017</v>
      </c>
      <c r="B309" s="59">
        <v>42774</v>
      </c>
      <c r="C309" s="54">
        <v>263</v>
      </c>
      <c r="D309" s="54">
        <v>417</v>
      </c>
      <c r="E309">
        <f t="shared" si="9"/>
        <v>1.585551330798479</v>
      </c>
    </row>
    <row r="310" spans="1:5" x14ac:dyDescent="0.3">
      <c r="A310">
        <f t="shared" si="8"/>
        <v>2017</v>
      </c>
      <c r="B310" s="59">
        <v>42775</v>
      </c>
      <c r="C310" s="54">
        <v>263</v>
      </c>
      <c r="D310" s="54">
        <v>416</v>
      </c>
      <c r="E310">
        <f t="shared" si="9"/>
        <v>1.5817490494296578</v>
      </c>
    </row>
    <row r="311" spans="1:5" x14ac:dyDescent="0.3">
      <c r="A311">
        <f t="shared" si="8"/>
        <v>2017</v>
      </c>
      <c r="B311" s="59">
        <v>42776</v>
      </c>
      <c r="C311" s="54">
        <v>275</v>
      </c>
      <c r="D311" s="54">
        <v>426</v>
      </c>
      <c r="E311">
        <f t="shared" si="9"/>
        <v>1.5490909090909091</v>
      </c>
    </row>
    <row r="312" spans="1:5" x14ac:dyDescent="0.3">
      <c r="A312">
        <f t="shared" si="8"/>
        <v>2017</v>
      </c>
      <c r="B312" s="59">
        <v>42779</v>
      </c>
      <c r="C312" s="54">
        <v>278</v>
      </c>
      <c r="D312" s="54">
        <v>434.5</v>
      </c>
      <c r="E312">
        <f t="shared" si="9"/>
        <v>1.5629496402877698</v>
      </c>
    </row>
    <row r="313" spans="1:5" x14ac:dyDescent="0.3">
      <c r="A313">
        <f t="shared" si="8"/>
        <v>2017</v>
      </c>
      <c r="B313" s="59">
        <v>42780</v>
      </c>
      <c r="C313" s="54">
        <v>286.5</v>
      </c>
      <c r="D313" s="54">
        <v>446</v>
      </c>
      <c r="E313">
        <f t="shared" si="9"/>
        <v>1.5567190226876091</v>
      </c>
    </row>
    <row r="314" spans="1:5" x14ac:dyDescent="0.3">
      <c r="A314">
        <f t="shared" si="8"/>
        <v>2017</v>
      </c>
      <c r="B314" s="59">
        <v>42781</v>
      </c>
      <c r="C314" s="54">
        <v>293.5</v>
      </c>
      <c r="D314" s="54">
        <v>443</v>
      </c>
      <c r="E314">
        <f t="shared" si="9"/>
        <v>1.5093696763202726</v>
      </c>
    </row>
    <row r="315" spans="1:5" x14ac:dyDescent="0.3">
      <c r="A315">
        <f t="shared" si="8"/>
        <v>2017</v>
      </c>
      <c r="B315" s="59">
        <v>42782</v>
      </c>
      <c r="C315" s="54">
        <v>290</v>
      </c>
      <c r="D315" s="54">
        <v>450</v>
      </c>
      <c r="E315">
        <f t="shared" si="9"/>
        <v>1.5517241379310345</v>
      </c>
    </row>
    <row r="316" spans="1:5" x14ac:dyDescent="0.3">
      <c r="A316">
        <f t="shared" si="8"/>
        <v>2017</v>
      </c>
      <c r="B316" s="59">
        <v>42783</v>
      </c>
      <c r="C316" s="54">
        <v>296.5</v>
      </c>
      <c r="D316" s="54">
        <v>455</v>
      </c>
      <c r="E316">
        <f t="shared" si="9"/>
        <v>1.5345699831365935</v>
      </c>
    </row>
    <row r="317" spans="1:5" x14ac:dyDescent="0.3">
      <c r="A317">
        <f t="shared" si="8"/>
        <v>2017</v>
      </c>
      <c r="B317" s="59">
        <v>42786</v>
      </c>
      <c r="C317" s="54">
        <v>293</v>
      </c>
      <c r="D317" s="54">
        <v>450</v>
      </c>
      <c r="E317">
        <f t="shared" si="9"/>
        <v>1.5358361774744027</v>
      </c>
    </row>
    <row r="318" spans="1:5" x14ac:dyDescent="0.3">
      <c r="A318">
        <f t="shared" si="8"/>
        <v>2017</v>
      </c>
      <c r="B318" s="59">
        <v>42787</v>
      </c>
      <c r="C318" s="54">
        <v>287</v>
      </c>
      <c r="D318" s="54">
        <v>446</v>
      </c>
      <c r="E318">
        <f t="shared" si="9"/>
        <v>1.5540069686411149</v>
      </c>
    </row>
    <row r="319" spans="1:5" x14ac:dyDescent="0.3">
      <c r="A319">
        <f t="shared" si="8"/>
        <v>2017</v>
      </c>
      <c r="B319" s="59">
        <v>42788</v>
      </c>
      <c r="C319" s="54">
        <v>291</v>
      </c>
      <c r="D319" s="54">
        <v>448</v>
      </c>
      <c r="E319">
        <f t="shared" si="9"/>
        <v>1.5395189003436427</v>
      </c>
    </row>
    <row r="320" spans="1:5" x14ac:dyDescent="0.3">
      <c r="A320">
        <f t="shared" si="8"/>
        <v>2017</v>
      </c>
      <c r="B320" s="59">
        <v>42789</v>
      </c>
      <c r="C320" s="54">
        <v>295</v>
      </c>
      <c r="D320" s="54">
        <v>452</v>
      </c>
      <c r="E320">
        <f t="shared" si="9"/>
        <v>1.5322033898305085</v>
      </c>
    </row>
    <row r="321" spans="1:5" x14ac:dyDescent="0.3">
      <c r="A321">
        <f t="shared" si="8"/>
        <v>2017</v>
      </c>
      <c r="B321" s="59">
        <v>42790</v>
      </c>
      <c r="C321" s="54">
        <v>293</v>
      </c>
      <c r="D321" s="54">
        <v>448</v>
      </c>
      <c r="E321">
        <f t="shared" si="9"/>
        <v>1.5290102389078499</v>
      </c>
    </row>
    <row r="322" spans="1:5" x14ac:dyDescent="0.3">
      <c r="A322">
        <f t="shared" si="8"/>
        <v>2017</v>
      </c>
      <c r="B322" s="59">
        <v>42793</v>
      </c>
      <c r="C322" s="54">
        <v>290</v>
      </c>
      <c r="D322" s="54">
        <v>448</v>
      </c>
      <c r="E322">
        <f t="shared" si="9"/>
        <v>1.5448275862068965</v>
      </c>
    </row>
    <row r="323" spans="1:5" x14ac:dyDescent="0.3">
      <c r="A323">
        <f t="shared" si="8"/>
        <v>2017</v>
      </c>
      <c r="B323" s="59">
        <v>42794</v>
      </c>
      <c r="C323" s="54">
        <v>290</v>
      </c>
      <c r="D323" s="54">
        <v>448</v>
      </c>
      <c r="E323">
        <f t="shared" si="9"/>
        <v>1.5448275862068965</v>
      </c>
    </row>
    <row r="324" spans="1:5" x14ac:dyDescent="0.3">
      <c r="A324">
        <f t="shared" ref="A324:A387" si="10">YEAR(B324)</f>
        <v>2017</v>
      </c>
      <c r="B324" s="59">
        <v>42795</v>
      </c>
      <c r="C324" s="54">
        <v>285</v>
      </c>
      <c r="D324" s="54">
        <v>448</v>
      </c>
      <c r="E324">
        <f t="shared" ref="E324:E387" si="11">D324/C324</f>
        <v>1.5719298245614035</v>
      </c>
    </row>
    <row r="325" spans="1:5" x14ac:dyDescent="0.3">
      <c r="A325">
        <f t="shared" si="10"/>
        <v>2017</v>
      </c>
      <c r="B325" s="59">
        <v>42796</v>
      </c>
      <c r="C325" s="54">
        <v>285</v>
      </c>
      <c r="D325" s="54">
        <v>447</v>
      </c>
      <c r="E325">
        <f t="shared" si="11"/>
        <v>1.5684210526315789</v>
      </c>
    </row>
    <row r="326" spans="1:5" x14ac:dyDescent="0.3">
      <c r="A326">
        <f t="shared" si="10"/>
        <v>2017</v>
      </c>
      <c r="B326" s="59">
        <v>42797</v>
      </c>
      <c r="C326" s="54">
        <v>288</v>
      </c>
      <c r="D326" s="54">
        <v>450</v>
      </c>
      <c r="E326">
        <f t="shared" si="11"/>
        <v>1.5625</v>
      </c>
    </row>
    <row r="327" spans="1:5" x14ac:dyDescent="0.3">
      <c r="A327">
        <f t="shared" si="10"/>
        <v>2017</v>
      </c>
      <c r="B327" s="59">
        <v>42800</v>
      </c>
      <c r="C327" s="54">
        <v>296</v>
      </c>
      <c r="D327" s="54">
        <v>450</v>
      </c>
      <c r="E327">
        <f t="shared" si="11"/>
        <v>1.5202702702702702</v>
      </c>
    </row>
    <row r="328" spans="1:5" x14ac:dyDescent="0.3">
      <c r="A328">
        <f t="shared" si="10"/>
        <v>2017</v>
      </c>
      <c r="B328" s="59">
        <v>42801</v>
      </c>
      <c r="C328" s="54">
        <v>302</v>
      </c>
      <c r="D328" s="54">
        <v>453</v>
      </c>
      <c r="E328">
        <f t="shared" si="11"/>
        <v>1.5</v>
      </c>
    </row>
    <row r="329" spans="1:5" x14ac:dyDescent="0.3">
      <c r="A329">
        <f t="shared" si="10"/>
        <v>2017</v>
      </c>
      <c r="B329" s="59">
        <v>42802</v>
      </c>
      <c r="C329" s="54">
        <v>301</v>
      </c>
      <c r="D329" s="54">
        <v>455</v>
      </c>
      <c r="E329">
        <f t="shared" si="11"/>
        <v>1.5116279069767442</v>
      </c>
    </row>
    <row r="330" spans="1:5" x14ac:dyDescent="0.3">
      <c r="A330">
        <f t="shared" si="10"/>
        <v>2017</v>
      </c>
      <c r="B330" s="59">
        <v>42803</v>
      </c>
      <c r="C330" s="54">
        <v>299</v>
      </c>
      <c r="D330" s="54">
        <v>455.5</v>
      </c>
      <c r="E330">
        <f t="shared" si="11"/>
        <v>1.5234113712374582</v>
      </c>
    </row>
    <row r="331" spans="1:5" x14ac:dyDescent="0.3">
      <c r="A331">
        <f t="shared" si="10"/>
        <v>2017</v>
      </c>
      <c r="B331" s="59">
        <v>42804</v>
      </c>
      <c r="C331" s="54">
        <v>290</v>
      </c>
      <c r="D331" s="54">
        <v>450</v>
      </c>
      <c r="E331">
        <f t="shared" si="11"/>
        <v>1.5517241379310345</v>
      </c>
    </row>
    <row r="332" spans="1:5" x14ac:dyDescent="0.3">
      <c r="A332">
        <f t="shared" si="10"/>
        <v>2017</v>
      </c>
      <c r="B332" s="59">
        <v>42807</v>
      </c>
      <c r="C332" s="54">
        <v>287.5</v>
      </c>
      <c r="D332" s="54">
        <v>447.5</v>
      </c>
      <c r="E332">
        <f t="shared" si="11"/>
        <v>1.5565217391304347</v>
      </c>
    </row>
    <row r="333" spans="1:5" x14ac:dyDescent="0.3">
      <c r="A333">
        <f t="shared" si="10"/>
        <v>2017</v>
      </c>
      <c r="B333" s="59">
        <v>42808</v>
      </c>
      <c r="C333" s="54">
        <v>293.5</v>
      </c>
      <c r="D333" s="54">
        <v>447.5</v>
      </c>
      <c r="E333">
        <f t="shared" si="11"/>
        <v>1.524701873935264</v>
      </c>
    </row>
    <row r="334" spans="1:5" x14ac:dyDescent="0.3">
      <c r="A334">
        <f t="shared" si="10"/>
        <v>2017</v>
      </c>
      <c r="B334" s="59">
        <v>42809</v>
      </c>
      <c r="C334" s="54">
        <v>296</v>
      </c>
      <c r="D334" s="54">
        <v>445</v>
      </c>
      <c r="E334">
        <f t="shared" si="11"/>
        <v>1.5033783783783783</v>
      </c>
    </row>
    <row r="335" spans="1:5" x14ac:dyDescent="0.3">
      <c r="A335">
        <f t="shared" si="10"/>
        <v>2017</v>
      </c>
      <c r="B335" s="59">
        <v>42810</v>
      </c>
      <c r="C335" s="54">
        <v>296</v>
      </c>
      <c r="D335" s="54">
        <v>446</v>
      </c>
      <c r="E335">
        <f t="shared" si="11"/>
        <v>1.5067567567567568</v>
      </c>
    </row>
    <row r="336" spans="1:5" x14ac:dyDescent="0.3">
      <c r="A336">
        <f t="shared" si="10"/>
        <v>2017</v>
      </c>
      <c r="B336" s="59">
        <v>42811</v>
      </c>
      <c r="C336" s="54">
        <v>296</v>
      </c>
      <c r="D336" s="54">
        <v>450.5</v>
      </c>
      <c r="E336">
        <f t="shared" si="11"/>
        <v>1.5219594594594594</v>
      </c>
    </row>
    <row r="337" spans="1:5" x14ac:dyDescent="0.3">
      <c r="A337">
        <f t="shared" si="10"/>
        <v>2017</v>
      </c>
      <c r="B337" s="59">
        <v>42814</v>
      </c>
      <c r="C337" s="54">
        <v>285</v>
      </c>
      <c r="D337" s="54">
        <v>443.5</v>
      </c>
      <c r="E337">
        <f t="shared" si="11"/>
        <v>1.5561403508771929</v>
      </c>
    </row>
    <row r="338" spans="1:5" x14ac:dyDescent="0.3">
      <c r="A338">
        <f t="shared" si="10"/>
        <v>2017</v>
      </c>
      <c r="B338" s="59">
        <v>42815</v>
      </c>
      <c r="C338" s="54">
        <v>272.5</v>
      </c>
      <c r="D338" s="54">
        <v>432.5</v>
      </c>
      <c r="E338">
        <f t="shared" si="11"/>
        <v>1.5871559633027523</v>
      </c>
    </row>
    <row r="339" spans="1:5" x14ac:dyDescent="0.3">
      <c r="A339">
        <f t="shared" si="10"/>
        <v>2017</v>
      </c>
      <c r="B339" s="59">
        <v>42816</v>
      </c>
      <c r="C339" s="54">
        <v>278</v>
      </c>
      <c r="D339" s="54">
        <v>435</v>
      </c>
      <c r="E339">
        <f t="shared" si="11"/>
        <v>1.564748201438849</v>
      </c>
    </row>
    <row r="340" spans="1:5" x14ac:dyDescent="0.3">
      <c r="A340">
        <f t="shared" si="10"/>
        <v>2017</v>
      </c>
      <c r="B340" s="59">
        <v>42817</v>
      </c>
      <c r="C340" s="54">
        <v>282.5</v>
      </c>
      <c r="D340" s="54">
        <v>439</v>
      </c>
      <c r="E340">
        <f t="shared" si="11"/>
        <v>1.5539823008849558</v>
      </c>
    </row>
    <row r="341" spans="1:5" x14ac:dyDescent="0.3">
      <c r="A341">
        <f t="shared" si="10"/>
        <v>2017</v>
      </c>
      <c r="B341" s="59">
        <v>42818</v>
      </c>
      <c r="C341" s="54">
        <v>276.5</v>
      </c>
      <c r="D341" s="54">
        <v>433.5</v>
      </c>
      <c r="E341">
        <f t="shared" si="11"/>
        <v>1.5678119349005426</v>
      </c>
    </row>
    <row r="342" spans="1:5" x14ac:dyDescent="0.3">
      <c r="A342">
        <f t="shared" si="10"/>
        <v>2017</v>
      </c>
      <c r="B342" s="59">
        <v>42821</v>
      </c>
      <c r="C342" s="54">
        <v>260</v>
      </c>
      <c r="D342" s="54">
        <v>424</v>
      </c>
      <c r="E342">
        <f t="shared" si="11"/>
        <v>1.6307692307692307</v>
      </c>
    </row>
    <row r="343" spans="1:5" x14ac:dyDescent="0.3">
      <c r="A343">
        <f t="shared" si="10"/>
        <v>2017</v>
      </c>
      <c r="B343" s="59">
        <v>42822</v>
      </c>
      <c r="C343" s="54">
        <v>266</v>
      </c>
      <c r="D343" s="54">
        <v>424</v>
      </c>
      <c r="E343">
        <f t="shared" si="11"/>
        <v>1.5939849624060149</v>
      </c>
    </row>
    <row r="344" spans="1:5" x14ac:dyDescent="0.3">
      <c r="A344">
        <f t="shared" si="10"/>
        <v>2017</v>
      </c>
      <c r="B344" s="59">
        <v>42823</v>
      </c>
      <c r="C344" s="54">
        <v>273</v>
      </c>
      <c r="D344" s="54">
        <v>428</v>
      </c>
      <c r="E344">
        <f t="shared" si="11"/>
        <v>1.5677655677655677</v>
      </c>
    </row>
    <row r="345" spans="1:5" x14ac:dyDescent="0.3">
      <c r="A345">
        <f t="shared" si="10"/>
        <v>2017</v>
      </c>
      <c r="B345" s="59">
        <v>42824</v>
      </c>
      <c r="C345" s="54">
        <v>282</v>
      </c>
      <c r="D345" s="54">
        <v>428</v>
      </c>
      <c r="E345">
        <f t="shared" si="11"/>
        <v>1.5177304964539007</v>
      </c>
    </row>
    <row r="346" spans="1:5" x14ac:dyDescent="0.3">
      <c r="A346">
        <f t="shared" si="10"/>
        <v>2017</v>
      </c>
      <c r="B346" s="59">
        <v>42825</v>
      </c>
      <c r="C346" s="54">
        <v>280</v>
      </c>
      <c r="D346" s="54">
        <v>433</v>
      </c>
      <c r="E346">
        <f t="shared" si="11"/>
        <v>1.5464285714285715</v>
      </c>
    </row>
    <row r="347" spans="1:5" x14ac:dyDescent="0.3">
      <c r="A347">
        <f t="shared" si="10"/>
        <v>2017</v>
      </c>
      <c r="B347" s="59">
        <v>42828</v>
      </c>
      <c r="C347" s="54">
        <v>280</v>
      </c>
      <c r="D347" s="54">
        <v>436</v>
      </c>
      <c r="E347">
        <f t="shared" si="11"/>
        <v>1.5571428571428572</v>
      </c>
    </row>
    <row r="348" spans="1:5" x14ac:dyDescent="0.3">
      <c r="A348">
        <f t="shared" si="10"/>
        <v>2017</v>
      </c>
      <c r="B348" s="59">
        <v>42829</v>
      </c>
      <c r="C348" s="54">
        <v>290</v>
      </c>
      <c r="D348" s="54">
        <v>445</v>
      </c>
      <c r="E348">
        <f t="shared" si="11"/>
        <v>1.5344827586206897</v>
      </c>
    </row>
    <row r="349" spans="1:5" x14ac:dyDescent="0.3">
      <c r="A349">
        <f t="shared" si="10"/>
        <v>2017</v>
      </c>
      <c r="B349" s="59">
        <v>42830</v>
      </c>
      <c r="C349" s="54">
        <v>291</v>
      </c>
      <c r="D349" s="54">
        <v>450</v>
      </c>
      <c r="E349">
        <f t="shared" si="11"/>
        <v>1.5463917525773196</v>
      </c>
    </row>
    <row r="350" spans="1:5" x14ac:dyDescent="0.3">
      <c r="A350">
        <f t="shared" si="10"/>
        <v>2017</v>
      </c>
      <c r="B350" s="59">
        <v>42831</v>
      </c>
      <c r="C350" s="54">
        <v>280</v>
      </c>
      <c r="D350" s="54">
        <v>445</v>
      </c>
      <c r="E350">
        <f t="shared" si="11"/>
        <v>1.5892857142857142</v>
      </c>
    </row>
    <row r="351" spans="1:5" x14ac:dyDescent="0.3">
      <c r="A351">
        <f t="shared" si="10"/>
        <v>2017</v>
      </c>
      <c r="B351" s="59">
        <v>42832</v>
      </c>
      <c r="C351" s="54">
        <v>284.5</v>
      </c>
      <c r="D351" s="54">
        <v>444</v>
      </c>
      <c r="E351">
        <f t="shared" si="11"/>
        <v>1.5606326889279438</v>
      </c>
    </row>
    <row r="352" spans="1:5" x14ac:dyDescent="0.3">
      <c r="A352">
        <f t="shared" si="10"/>
        <v>2017</v>
      </c>
      <c r="B352" s="59">
        <v>42835</v>
      </c>
      <c r="C352" s="54">
        <v>276</v>
      </c>
      <c r="D352" s="54">
        <v>439</v>
      </c>
      <c r="E352">
        <f t="shared" si="11"/>
        <v>1.5905797101449275</v>
      </c>
    </row>
    <row r="353" spans="1:5" x14ac:dyDescent="0.3">
      <c r="A353">
        <f t="shared" si="10"/>
        <v>2017</v>
      </c>
      <c r="B353" s="59">
        <v>42836</v>
      </c>
      <c r="C353" s="54">
        <v>270</v>
      </c>
      <c r="D353" s="54">
        <v>435</v>
      </c>
      <c r="E353">
        <f t="shared" si="11"/>
        <v>1.6111111111111112</v>
      </c>
    </row>
    <row r="354" spans="1:5" x14ac:dyDescent="0.3">
      <c r="A354">
        <f t="shared" si="10"/>
        <v>2017</v>
      </c>
      <c r="B354" s="59">
        <v>42837</v>
      </c>
      <c r="C354" s="54">
        <v>270</v>
      </c>
      <c r="D354" s="54">
        <v>432</v>
      </c>
      <c r="E354">
        <f t="shared" si="11"/>
        <v>1.6</v>
      </c>
    </row>
    <row r="355" spans="1:5" x14ac:dyDescent="0.3">
      <c r="A355">
        <f t="shared" si="10"/>
        <v>2017</v>
      </c>
      <c r="B355" s="59">
        <v>42838</v>
      </c>
      <c r="C355" s="54">
        <v>272</v>
      </c>
      <c r="D355" s="54">
        <v>422</v>
      </c>
      <c r="E355">
        <f t="shared" si="11"/>
        <v>1.5514705882352942</v>
      </c>
    </row>
    <row r="356" spans="1:5" x14ac:dyDescent="0.3">
      <c r="A356">
        <f t="shared" si="10"/>
        <v>2017</v>
      </c>
      <c r="B356" s="59">
        <v>42843</v>
      </c>
      <c r="C356" s="54">
        <v>266</v>
      </c>
      <c r="D356" s="54">
        <v>420</v>
      </c>
      <c r="E356">
        <f t="shared" si="11"/>
        <v>1.5789473684210527</v>
      </c>
    </row>
    <row r="357" spans="1:5" x14ac:dyDescent="0.3">
      <c r="A357">
        <f t="shared" si="10"/>
        <v>2017</v>
      </c>
      <c r="B357" s="59">
        <v>42844</v>
      </c>
      <c r="C357" s="54">
        <v>270</v>
      </c>
      <c r="D357" s="54">
        <v>421</v>
      </c>
      <c r="E357">
        <f t="shared" si="11"/>
        <v>1.5592592592592593</v>
      </c>
    </row>
    <row r="358" spans="1:5" x14ac:dyDescent="0.3">
      <c r="A358">
        <f t="shared" si="10"/>
        <v>2017</v>
      </c>
      <c r="B358" s="59">
        <v>42845</v>
      </c>
      <c r="C358" s="54">
        <v>270</v>
      </c>
      <c r="D358" s="54">
        <v>427</v>
      </c>
      <c r="E358">
        <f t="shared" si="11"/>
        <v>1.5814814814814815</v>
      </c>
    </row>
    <row r="359" spans="1:5" x14ac:dyDescent="0.3">
      <c r="A359">
        <f t="shared" si="10"/>
        <v>2017</v>
      </c>
      <c r="B359" s="59">
        <v>42846</v>
      </c>
      <c r="C359" s="54">
        <v>268</v>
      </c>
      <c r="D359" s="54">
        <v>419.5</v>
      </c>
      <c r="E359">
        <f t="shared" si="11"/>
        <v>1.5652985074626866</v>
      </c>
    </row>
    <row r="360" spans="1:5" x14ac:dyDescent="0.3">
      <c r="A360">
        <f t="shared" si="10"/>
        <v>2017</v>
      </c>
      <c r="B360" s="59">
        <v>42849</v>
      </c>
      <c r="C360" s="54">
        <v>265</v>
      </c>
      <c r="D360" s="54">
        <v>420</v>
      </c>
      <c r="E360">
        <f t="shared" si="11"/>
        <v>1.5849056603773586</v>
      </c>
    </row>
    <row r="361" spans="1:5" x14ac:dyDescent="0.3">
      <c r="A361">
        <f t="shared" si="10"/>
        <v>2017</v>
      </c>
      <c r="B361" s="59">
        <v>42850</v>
      </c>
      <c r="C361" s="54">
        <v>262</v>
      </c>
      <c r="D361" s="54">
        <v>417</v>
      </c>
      <c r="E361">
        <f t="shared" si="11"/>
        <v>1.5916030534351144</v>
      </c>
    </row>
    <row r="362" spans="1:5" x14ac:dyDescent="0.3">
      <c r="A362">
        <f t="shared" si="10"/>
        <v>2017</v>
      </c>
      <c r="B362" s="59">
        <v>42851</v>
      </c>
      <c r="C362" s="54">
        <v>269.5</v>
      </c>
      <c r="D362" s="54">
        <v>420</v>
      </c>
      <c r="E362">
        <f t="shared" si="11"/>
        <v>1.5584415584415585</v>
      </c>
    </row>
    <row r="363" spans="1:5" x14ac:dyDescent="0.3">
      <c r="A363">
        <f t="shared" si="10"/>
        <v>2017</v>
      </c>
      <c r="B363" s="59">
        <v>42852</v>
      </c>
      <c r="C363" s="54">
        <v>273</v>
      </c>
      <c r="D363" s="54">
        <v>428</v>
      </c>
      <c r="E363">
        <f t="shared" si="11"/>
        <v>1.5677655677655677</v>
      </c>
    </row>
    <row r="364" spans="1:5" x14ac:dyDescent="0.3">
      <c r="A364">
        <f t="shared" si="10"/>
        <v>2017</v>
      </c>
      <c r="B364" s="59">
        <v>42853</v>
      </c>
      <c r="C364" s="54">
        <v>278</v>
      </c>
      <c r="D364" s="54">
        <v>432</v>
      </c>
      <c r="E364">
        <f t="shared" si="11"/>
        <v>1.5539568345323742</v>
      </c>
    </row>
    <row r="365" spans="1:5" x14ac:dyDescent="0.3">
      <c r="A365">
        <f t="shared" si="10"/>
        <v>2017</v>
      </c>
      <c r="B365" s="59">
        <v>42857</v>
      </c>
      <c r="C365" s="54">
        <v>281</v>
      </c>
      <c r="D365" s="54">
        <v>437</v>
      </c>
      <c r="E365">
        <f t="shared" si="11"/>
        <v>1.5551601423487544</v>
      </c>
    </row>
    <row r="366" spans="1:5" x14ac:dyDescent="0.3">
      <c r="A366">
        <f t="shared" si="10"/>
        <v>2017</v>
      </c>
      <c r="B366" s="59">
        <v>42858</v>
      </c>
      <c r="C366" s="54">
        <v>279</v>
      </c>
      <c r="D366" s="54">
        <v>437</v>
      </c>
      <c r="E366">
        <f t="shared" si="11"/>
        <v>1.5663082437275986</v>
      </c>
    </row>
    <row r="367" spans="1:5" x14ac:dyDescent="0.3">
      <c r="A367">
        <f t="shared" si="10"/>
        <v>2017</v>
      </c>
      <c r="B367" s="59">
        <v>42859</v>
      </c>
      <c r="C367" s="54">
        <v>273</v>
      </c>
      <c r="D367" s="54">
        <v>427</v>
      </c>
      <c r="E367">
        <f t="shared" si="11"/>
        <v>1.5641025641025641</v>
      </c>
    </row>
    <row r="368" spans="1:5" x14ac:dyDescent="0.3">
      <c r="A368">
        <f t="shared" si="10"/>
        <v>2017</v>
      </c>
      <c r="B368" s="59">
        <v>42860</v>
      </c>
      <c r="C368" s="54">
        <v>273</v>
      </c>
      <c r="D368" s="54">
        <v>427</v>
      </c>
      <c r="E368">
        <f t="shared" si="11"/>
        <v>1.5641025641025641</v>
      </c>
    </row>
    <row r="369" spans="1:5" x14ac:dyDescent="0.3">
      <c r="A369">
        <f t="shared" si="10"/>
        <v>2017</v>
      </c>
      <c r="B369" s="59">
        <v>42863</v>
      </c>
      <c r="C369" s="54">
        <v>276</v>
      </c>
      <c r="D369" s="54">
        <v>429</v>
      </c>
      <c r="E369">
        <f t="shared" si="11"/>
        <v>1.5543478260869565</v>
      </c>
    </row>
    <row r="370" spans="1:5" x14ac:dyDescent="0.3">
      <c r="A370">
        <f t="shared" si="10"/>
        <v>2017</v>
      </c>
      <c r="B370" s="59">
        <v>42864</v>
      </c>
      <c r="C370" s="54">
        <v>282</v>
      </c>
      <c r="D370" s="54">
        <v>439</v>
      </c>
      <c r="E370">
        <f t="shared" si="11"/>
        <v>1.5567375886524824</v>
      </c>
    </row>
    <row r="371" spans="1:5" x14ac:dyDescent="0.3">
      <c r="A371">
        <f t="shared" si="10"/>
        <v>2017</v>
      </c>
      <c r="B371" s="59">
        <v>42865</v>
      </c>
      <c r="C371" s="54">
        <v>274</v>
      </c>
      <c r="D371" s="54">
        <v>433</v>
      </c>
      <c r="E371">
        <f t="shared" si="11"/>
        <v>1.5802919708029197</v>
      </c>
    </row>
    <row r="372" spans="1:5" x14ac:dyDescent="0.3">
      <c r="A372">
        <f t="shared" si="10"/>
        <v>2017</v>
      </c>
      <c r="B372" s="59">
        <v>42866</v>
      </c>
      <c r="C372" s="54">
        <v>274</v>
      </c>
      <c r="D372" s="54">
        <v>433</v>
      </c>
      <c r="E372">
        <f t="shared" si="11"/>
        <v>1.5802919708029197</v>
      </c>
    </row>
    <row r="373" spans="1:5" x14ac:dyDescent="0.3">
      <c r="A373">
        <f t="shared" si="10"/>
        <v>2017</v>
      </c>
      <c r="B373" s="59">
        <v>42867</v>
      </c>
      <c r="C373" s="54">
        <v>274</v>
      </c>
      <c r="D373" s="54">
        <v>433</v>
      </c>
      <c r="E373">
        <f t="shared" si="11"/>
        <v>1.5802919708029197</v>
      </c>
    </row>
    <row r="374" spans="1:5" x14ac:dyDescent="0.3">
      <c r="A374">
        <f t="shared" si="10"/>
        <v>2017</v>
      </c>
      <c r="B374" s="59">
        <v>42870</v>
      </c>
      <c r="C374" s="54">
        <v>274</v>
      </c>
      <c r="D374" s="54">
        <v>436</v>
      </c>
      <c r="E374">
        <f t="shared" si="11"/>
        <v>1.5912408759124088</v>
      </c>
    </row>
    <row r="375" spans="1:5" x14ac:dyDescent="0.3">
      <c r="A375">
        <f t="shared" si="10"/>
        <v>2017</v>
      </c>
      <c r="B375" s="59">
        <v>42871</v>
      </c>
      <c r="C375" s="54">
        <v>277</v>
      </c>
      <c r="D375" s="54">
        <v>440</v>
      </c>
      <c r="E375">
        <f t="shared" si="11"/>
        <v>1.5884476534296028</v>
      </c>
    </row>
    <row r="376" spans="1:5" x14ac:dyDescent="0.3">
      <c r="A376">
        <f t="shared" si="10"/>
        <v>2017</v>
      </c>
      <c r="B376" s="59">
        <v>42872</v>
      </c>
      <c r="C376" s="54">
        <v>277</v>
      </c>
      <c r="D376" s="54">
        <v>440</v>
      </c>
      <c r="E376">
        <f t="shared" si="11"/>
        <v>1.5884476534296028</v>
      </c>
    </row>
    <row r="377" spans="1:5" x14ac:dyDescent="0.3">
      <c r="A377">
        <f t="shared" si="10"/>
        <v>2017</v>
      </c>
      <c r="B377" s="59">
        <v>42873</v>
      </c>
      <c r="C377" s="54">
        <v>281</v>
      </c>
      <c r="D377" s="54">
        <v>445</v>
      </c>
      <c r="E377">
        <f t="shared" si="11"/>
        <v>1.5836298932384341</v>
      </c>
    </row>
    <row r="378" spans="1:5" x14ac:dyDescent="0.3">
      <c r="A378">
        <f t="shared" si="10"/>
        <v>2017</v>
      </c>
      <c r="B378" s="59">
        <v>42874</v>
      </c>
      <c r="C378" s="54">
        <v>283</v>
      </c>
      <c r="D378" s="54">
        <v>450.5</v>
      </c>
      <c r="E378">
        <f t="shared" si="11"/>
        <v>1.5918727915194346</v>
      </c>
    </row>
    <row r="379" spans="1:5" x14ac:dyDescent="0.3">
      <c r="A379">
        <f t="shared" si="10"/>
        <v>2017</v>
      </c>
      <c r="B379" s="59">
        <v>42877</v>
      </c>
      <c r="C379" s="54">
        <v>285</v>
      </c>
      <c r="D379" s="54">
        <v>455</v>
      </c>
      <c r="E379">
        <f t="shared" si="11"/>
        <v>1.5964912280701755</v>
      </c>
    </row>
    <row r="380" spans="1:5" x14ac:dyDescent="0.3">
      <c r="A380">
        <f t="shared" si="10"/>
        <v>2017</v>
      </c>
      <c r="B380" s="59">
        <v>42878</v>
      </c>
      <c r="C380" s="54">
        <v>285</v>
      </c>
      <c r="D380" s="54">
        <v>449</v>
      </c>
      <c r="E380">
        <f t="shared" si="11"/>
        <v>1.5754385964912281</v>
      </c>
    </row>
    <row r="381" spans="1:5" x14ac:dyDescent="0.3">
      <c r="A381">
        <f t="shared" si="10"/>
        <v>2017</v>
      </c>
      <c r="B381" s="59">
        <v>42879</v>
      </c>
      <c r="C381" s="54">
        <v>280</v>
      </c>
      <c r="D381" s="54">
        <v>443.5</v>
      </c>
      <c r="E381">
        <f t="shared" si="11"/>
        <v>1.5839285714285714</v>
      </c>
    </row>
    <row r="382" spans="1:5" x14ac:dyDescent="0.3">
      <c r="A382">
        <f t="shared" si="10"/>
        <v>2017</v>
      </c>
      <c r="B382" s="59">
        <v>42880</v>
      </c>
      <c r="C382" s="54">
        <v>285</v>
      </c>
      <c r="D382" s="54">
        <v>444.5</v>
      </c>
      <c r="E382">
        <f t="shared" si="11"/>
        <v>1.5596491228070175</v>
      </c>
    </row>
    <row r="383" spans="1:5" x14ac:dyDescent="0.3">
      <c r="A383">
        <f t="shared" si="10"/>
        <v>2017</v>
      </c>
      <c r="B383" s="59">
        <v>42881</v>
      </c>
      <c r="C383" s="54">
        <v>279.5</v>
      </c>
      <c r="D383" s="54">
        <v>446</v>
      </c>
      <c r="E383">
        <f t="shared" si="11"/>
        <v>1.5957066189624329</v>
      </c>
    </row>
    <row r="384" spans="1:5" x14ac:dyDescent="0.3">
      <c r="A384">
        <f t="shared" si="10"/>
        <v>2017</v>
      </c>
      <c r="B384" s="59">
        <v>42885</v>
      </c>
      <c r="C384" s="54">
        <v>278</v>
      </c>
      <c r="D384" s="54">
        <v>448</v>
      </c>
      <c r="E384">
        <f t="shared" si="11"/>
        <v>1.6115107913669064</v>
      </c>
    </row>
    <row r="385" spans="1:5" x14ac:dyDescent="0.3">
      <c r="A385">
        <f t="shared" si="10"/>
        <v>2017</v>
      </c>
      <c r="B385" s="59">
        <v>42886</v>
      </c>
      <c r="C385" s="54">
        <v>278</v>
      </c>
      <c r="D385" s="54">
        <v>448</v>
      </c>
      <c r="E385">
        <f t="shared" si="11"/>
        <v>1.6115107913669064</v>
      </c>
    </row>
    <row r="386" spans="1:5" x14ac:dyDescent="0.3">
      <c r="A386">
        <f t="shared" si="10"/>
        <v>2017</v>
      </c>
      <c r="B386" s="59">
        <v>42887</v>
      </c>
      <c r="C386" s="54">
        <v>277</v>
      </c>
      <c r="D386" s="54">
        <v>445</v>
      </c>
      <c r="E386">
        <f t="shared" si="11"/>
        <v>1.6064981949458483</v>
      </c>
    </row>
    <row r="387" spans="1:5" x14ac:dyDescent="0.3">
      <c r="A387">
        <f t="shared" si="10"/>
        <v>2017</v>
      </c>
      <c r="B387" s="59">
        <v>42888</v>
      </c>
      <c r="C387" s="54">
        <v>275</v>
      </c>
      <c r="D387" s="54">
        <v>430</v>
      </c>
      <c r="E387">
        <f t="shared" si="11"/>
        <v>1.5636363636363637</v>
      </c>
    </row>
    <row r="388" spans="1:5" x14ac:dyDescent="0.3">
      <c r="A388">
        <f t="shared" ref="A388:A451" si="12">YEAR(B388)</f>
        <v>2017</v>
      </c>
      <c r="B388" s="59">
        <v>42891</v>
      </c>
      <c r="C388" s="54">
        <v>275</v>
      </c>
      <c r="D388" s="54">
        <v>430</v>
      </c>
      <c r="E388">
        <f t="shared" ref="E388:E451" si="13">D388/C388</f>
        <v>1.5636363636363637</v>
      </c>
    </row>
    <row r="389" spans="1:5" x14ac:dyDescent="0.3">
      <c r="A389">
        <f t="shared" si="12"/>
        <v>2017</v>
      </c>
      <c r="B389" s="59">
        <v>42892</v>
      </c>
      <c r="C389" s="54">
        <v>270</v>
      </c>
      <c r="D389" s="54">
        <v>430</v>
      </c>
      <c r="E389">
        <f t="shared" si="13"/>
        <v>1.5925925925925926</v>
      </c>
    </row>
    <row r="390" spans="1:5" x14ac:dyDescent="0.3">
      <c r="A390">
        <f t="shared" si="12"/>
        <v>2017</v>
      </c>
      <c r="B390" s="59">
        <v>42893</v>
      </c>
      <c r="C390" s="54">
        <v>270</v>
      </c>
      <c r="D390" s="54">
        <v>432</v>
      </c>
      <c r="E390">
        <f t="shared" si="13"/>
        <v>1.6</v>
      </c>
    </row>
    <row r="391" spans="1:5" x14ac:dyDescent="0.3">
      <c r="A391">
        <f t="shared" si="12"/>
        <v>2017</v>
      </c>
      <c r="B391" s="59">
        <v>42894</v>
      </c>
      <c r="C391" s="54">
        <v>271.5</v>
      </c>
      <c r="D391" s="54">
        <v>436</v>
      </c>
      <c r="E391">
        <f t="shared" si="13"/>
        <v>1.6058931860036831</v>
      </c>
    </row>
    <row r="392" spans="1:5" x14ac:dyDescent="0.3">
      <c r="A392">
        <f t="shared" si="12"/>
        <v>2017</v>
      </c>
      <c r="B392" s="59">
        <v>42895</v>
      </c>
      <c r="C392" s="54">
        <v>277</v>
      </c>
      <c r="D392" s="54">
        <v>438</v>
      </c>
      <c r="E392">
        <f t="shared" si="13"/>
        <v>1.5812274368231047</v>
      </c>
    </row>
    <row r="393" spans="1:5" x14ac:dyDescent="0.3">
      <c r="A393">
        <f t="shared" si="12"/>
        <v>2017</v>
      </c>
      <c r="B393" s="59">
        <v>42898</v>
      </c>
      <c r="C393" s="54">
        <v>283</v>
      </c>
      <c r="D393" s="54">
        <v>438</v>
      </c>
      <c r="E393">
        <f t="shared" si="13"/>
        <v>1.547703180212014</v>
      </c>
    </row>
    <row r="394" spans="1:5" x14ac:dyDescent="0.3">
      <c r="A394">
        <f t="shared" si="12"/>
        <v>2017</v>
      </c>
      <c r="B394" s="59">
        <v>42899</v>
      </c>
      <c r="C394" s="54">
        <v>280.5</v>
      </c>
      <c r="D394" s="54">
        <v>433</v>
      </c>
      <c r="E394">
        <f t="shared" si="13"/>
        <v>1.5436720142602496</v>
      </c>
    </row>
    <row r="395" spans="1:5" x14ac:dyDescent="0.3">
      <c r="A395">
        <f t="shared" si="12"/>
        <v>2017</v>
      </c>
      <c r="B395" s="59">
        <v>42900</v>
      </c>
      <c r="C395" s="54">
        <v>281</v>
      </c>
      <c r="D395" s="54">
        <v>433</v>
      </c>
      <c r="E395">
        <f t="shared" si="13"/>
        <v>1.5409252669039146</v>
      </c>
    </row>
    <row r="396" spans="1:5" x14ac:dyDescent="0.3">
      <c r="A396">
        <f t="shared" si="12"/>
        <v>2017</v>
      </c>
      <c r="B396" s="59">
        <v>42901</v>
      </c>
      <c r="C396" s="54">
        <v>283</v>
      </c>
      <c r="D396" s="54">
        <v>442</v>
      </c>
      <c r="E396">
        <f t="shared" si="13"/>
        <v>1.5618374558303887</v>
      </c>
    </row>
    <row r="397" spans="1:5" x14ac:dyDescent="0.3">
      <c r="A397">
        <f t="shared" si="12"/>
        <v>2017</v>
      </c>
      <c r="B397" s="59">
        <v>42902</v>
      </c>
      <c r="C397" s="54">
        <v>285</v>
      </c>
      <c r="D397" s="54">
        <v>442</v>
      </c>
      <c r="E397">
        <f t="shared" si="13"/>
        <v>1.5508771929824561</v>
      </c>
    </row>
    <row r="398" spans="1:5" x14ac:dyDescent="0.3">
      <c r="A398">
        <f t="shared" si="12"/>
        <v>2017</v>
      </c>
      <c r="B398" s="59">
        <v>42905</v>
      </c>
      <c r="C398" s="54">
        <v>289</v>
      </c>
      <c r="D398" s="54">
        <v>441</v>
      </c>
      <c r="E398">
        <f t="shared" si="13"/>
        <v>1.5259515570934257</v>
      </c>
    </row>
    <row r="399" spans="1:5" x14ac:dyDescent="0.3">
      <c r="A399">
        <f t="shared" si="12"/>
        <v>2017</v>
      </c>
      <c r="B399" s="59">
        <v>42906</v>
      </c>
      <c r="C399" s="54">
        <v>287.5</v>
      </c>
      <c r="D399" s="54">
        <v>439.5</v>
      </c>
      <c r="E399">
        <f t="shared" si="13"/>
        <v>1.528695652173913</v>
      </c>
    </row>
    <row r="400" spans="1:5" x14ac:dyDescent="0.3">
      <c r="A400">
        <f t="shared" si="12"/>
        <v>2017</v>
      </c>
      <c r="B400" s="59">
        <v>42907</v>
      </c>
      <c r="C400" s="54">
        <v>286</v>
      </c>
      <c r="D400" s="54">
        <v>439.5</v>
      </c>
      <c r="E400">
        <f t="shared" si="13"/>
        <v>1.5367132867132867</v>
      </c>
    </row>
    <row r="401" spans="1:5" x14ac:dyDescent="0.3">
      <c r="A401">
        <f t="shared" si="12"/>
        <v>2017</v>
      </c>
      <c r="B401" s="59">
        <v>42908</v>
      </c>
      <c r="C401" s="54">
        <v>286</v>
      </c>
      <c r="D401" s="54">
        <v>440</v>
      </c>
      <c r="E401">
        <f t="shared" si="13"/>
        <v>1.5384615384615385</v>
      </c>
    </row>
    <row r="402" spans="1:5" x14ac:dyDescent="0.3">
      <c r="A402">
        <f t="shared" si="12"/>
        <v>2017</v>
      </c>
      <c r="B402" s="59">
        <v>42909</v>
      </c>
      <c r="C402" s="54">
        <v>287.5</v>
      </c>
      <c r="D402" s="54">
        <v>442</v>
      </c>
      <c r="E402">
        <f t="shared" si="13"/>
        <v>1.537391304347826</v>
      </c>
    </row>
    <row r="403" spans="1:5" x14ac:dyDescent="0.3">
      <c r="A403">
        <f t="shared" si="12"/>
        <v>2017</v>
      </c>
      <c r="B403" s="59">
        <v>42912</v>
      </c>
      <c r="C403" s="54">
        <v>287.5</v>
      </c>
      <c r="D403" s="54">
        <v>444</v>
      </c>
      <c r="E403">
        <f t="shared" si="13"/>
        <v>1.5443478260869565</v>
      </c>
    </row>
    <row r="404" spans="1:5" x14ac:dyDescent="0.3">
      <c r="A404">
        <f t="shared" si="12"/>
        <v>2017</v>
      </c>
      <c r="B404" s="59">
        <v>42913</v>
      </c>
      <c r="C404" s="54">
        <v>287.5</v>
      </c>
      <c r="D404" s="54">
        <v>444</v>
      </c>
      <c r="E404">
        <f t="shared" si="13"/>
        <v>1.5443478260869565</v>
      </c>
    </row>
    <row r="405" spans="1:5" x14ac:dyDescent="0.3">
      <c r="A405">
        <f t="shared" si="12"/>
        <v>2017</v>
      </c>
      <c r="B405" s="59">
        <v>42914</v>
      </c>
      <c r="C405" s="54">
        <v>290.5</v>
      </c>
      <c r="D405" s="54">
        <v>444</v>
      </c>
      <c r="E405">
        <f t="shared" si="13"/>
        <v>1.5283993115318417</v>
      </c>
    </row>
    <row r="406" spans="1:5" x14ac:dyDescent="0.3">
      <c r="A406">
        <f t="shared" si="12"/>
        <v>2017</v>
      </c>
      <c r="B406" s="59">
        <v>42915</v>
      </c>
      <c r="C406" s="54">
        <v>297.5</v>
      </c>
      <c r="D406" s="54">
        <v>448</v>
      </c>
      <c r="E406">
        <f t="shared" si="13"/>
        <v>1.5058823529411764</v>
      </c>
    </row>
    <row r="407" spans="1:5" x14ac:dyDescent="0.3">
      <c r="A407">
        <f t="shared" si="12"/>
        <v>2017</v>
      </c>
      <c r="B407" s="59">
        <v>42916</v>
      </c>
      <c r="C407" s="54">
        <v>297.5</v>
      </c>
      <c r="D407" s="54">
        <v>448</v>
      </c>
      <c r="E407">
        <f t="shared" si="13"/>
        <v>1.5058823529411764</v>
      </c>
    </row>
    <row r="408" spans="1:5" x14ac:dyDescent="0.3">
      <c r="A408">
        <f t="shared" si="12"/>
        <v>2017</v>
      </c>
      <c r="B408" s="59">
        <v>42919</v>
      </c>
      <c r="C408" s="54">
        <v>300</v>
      </c>
      <c r="D408" s="54">
        <v>452</v>
      </c>
      <c r="E408">
        <f t="shared" si="13"/>
        <v>1.5066666666666666</v>
      </c>
    </row>
    <row r="409" spans="1:5" x14ac:dyDescent="0.3">
      <c r="A409">
        <f t="shared" si="12"/>
        <v>2017</v>
      </c>
      <c r="B409" s="59">
        <v>42920</v>
      </c>
      <c r="C409" s="54">
        <v>296</v>
      </c>
      <c r="D409" s="54">
        <v>450</v>
      </c>
      <c r="E409">
        <f t="shared" si="13"/>
        <v>1.5202702702702702</v>
      </c>
    </row>
    <row r="410" spans="1:5" x14ac:dyDescent="0.3">
      <c r="A410">
        <f t="shared" si="12"/>
        <v>2017</v>
      </c>
      <c r="B410" s="59">
        <v>42921</v>
      </c>
      <c r="C410" s="54">
        <v>301</v>
      </c>
      <c r="D410" s="54">
        <v>455</v>
      </c>
      <c r="E410">
        <f t="shared" si="13"/>
        <v>1.5116279069767442</v>
      </c>
    </row>
    <row r="411" spans="1:5" x14ac:dyDescent="0.3">
      <c r="A411">
        <f t="shared" si="12"/>
        <v>2017</v>
      </c>
      <c r="B411" s="59">
        <v>42922</v>
      </c>
      <c r="C411" s="54">
        <v>298</v>
      </c>
      <c r="D411" s="54">
        <v>460</v>
      </c>
      <c r="E411">
        <f t="shared" si="13"/>
        <v>1.5436241610738255</v>
      </c>
    </row>
    <row r="412" spans="1:5" x14ac:dyDescent="0.3">
      <c r="A412">
        <f t="shared" si="12"/>
        <v>2017</v>
      </c>
      <c r="B412" s="59">
        <v>42923</v>
      </c>
      <c r="C412" s="54">
        <v>300</v>
      </c>
      <c r="D412" s="54">
        <v>460</v>
      </c>
      <c r="E412">
        <f t="shared" si="13"/>
        <v>1.5333333333333334</v>
      </c>
    </row>
    <row r="413" spans="1:5" x14ac:dyDescent="0.3">
      <c r="A413">
        <f t="shared" si="12"/>
        <v>2017</v>
      </c>
      <c r="B413" s="59">
        <v>42926</v>
      </c>
      <c r="C413" s="54">
        <v>299</v>
      </c>
      <c r="D413" s="54">
        <v>463</v>
      </c>
      <c r="E413">
        <f t="shared" si="13"/>
        <v>1.5484949832775921</v>
      </c>
    </row>
    <row r="414" spans="1:5" x14ac:dyDescent="0.3">
      <c r="A414">
        <f t="shared" si="12"/>
        <v>2017</v>
      </c>
      <c r="B414" s="59">
        <v>42927</v>
      </c>
      <c r="C414" s="54">
        <v>299</v>
      </c>
      <c r="D414" s="54">
        <v>463</v>
      </c>
      <c r="E414">
        <f t="shared" si="13"/>
        <v>1.5484949832775921</v>
      </c>
    </row>
    <row r="415" spans="1:5" x14ac:dyDescent="0.3">
      <c r="A415">
        <f t="shared" si="12"/>
        <v>2017</v>
      </c>
      <c r="B415" s="59">
        <v>42928</v>
      </c>
      <c r="C415" s="54">
        <v>297</v>
      </c>
      <c r="D415" s="54">
        <v>460</v>
      </c>
      <c r="E415">
        <f t="shared" si="13"/>
        <v>1.5488215488215489</v>
      </c>
    </row>
    <row r="416" spans="1:5" x14ac:dyDescent="0.3">
      <c r="A416">
        <f t="shared" si="12"/>
        <v>2017</v>
      </c>
      <c r="B416" s="59">
        <v>42929</v>
      </c>
      <c r="C416" s="54">
        <v>299</v>
      </c>
      <c r="D416" s="54">
        <v>457</v>
      </c>
      <c r="E416">
        <f t="shared" si="13"/>
        <v>1.528428093645485</v>
      </c>
    </row>
    <row r="417" spans="1:5" x14ac:dyDescent="0.3">
      <c r="A417">
        <f t="shared" si="12"/>
        <v>2017</v>
      </c>
      <c r="B417" s="59">
        <v>42930</v>
      </c>
      <c r="C417" s="54">
        <v>298</v>
      </c>
      <c r="D417" s="54">
        <v>461</v>
      </c>
      <c r="E417">
        <f t="shared" si="13"/>
        <v>1.5469798657718121</v>
      </c>
    </row>
    <row r="418" spans="1:5" x14ac:dyDescent="0.3">
      <c r="A418">
        <f t="shared" si="12"/>
        <v>2017</v>
      </c>
      <c r="B418" s="59">
        <v>42933</v>
      </c>
      <c r="C418" s="54">
        <v>302</v>
      </c>
      <c r="D418" s="54">
        <v>463</v>
      </c>
      <c r="E418">
        <f t="shared" si="13"/>
        <v>1.5331125827814569</v>
      </c>
    </row>
    <row r="419" spans="1:5" x14ac:dyDescent="0.3">
      <c r="A419">
        <f t="shared" si="12"/>
        <v>2017</v>
      </c>
      <c r="B419" s="59">
        <v>42934</v>
      </c>
      <c r="C419" s="54">
        <v>304</v>
      </c>
      <c r="D419" s="54">
        <v>466</v>
      </c>
      <c r="E419">
        <f t="shared" si="13"/>
        <v>1.5328947368421053</v>
      </c>
    </row>
    <row r="420" spans="1:5" x14ac:dyDescent="0.3">
      <c r="A420">
        <f t="shared" si="12"/>
        <v>2017</v>
      </c>
      <c r="B420" s="59">
        <v>42935</v>
      </c>
      <c r="C420" s="54">
        <v>305</v>
      </c>
      <c r="D420" s="54">
        <v>466</v>
      </c>
      <c r="E420">
        <f t="shared" si="13"/>
        <v>1.5278688524590165</v>
      </c>
    </row>
    <row r="421" spans="1:5" x14ac:dyDescent="0.3">
      <c r="A421">
        <f t="shared" si="12"/>
        <v>2017</v>
      </c>
      <c r="B421" s="59">
        <v>42936</v>
      </c>
      <c r="C421" s="54">
        <v>303</v>
      </c>
      <c r="D421" s="54">
        <v>462</v>
      </c>
      <c r="E421">
        <f t="shared" si="13"/>
        <v>1.5247524752475248</v>
      </c>
    </row>
    <row r="422" spans="1:5" x14ac:dyDescent="0.3">
      <c r="A422">
        <f t="shared" si="12"/>
        <v>2017</v>
      </c>
      <c r="B422" s="59">
        <v>42937</v>
      </c>
      <c r="C422" s="54">
        <v>310</v>
      </c>
      <c r="D422" s="54">
        <v>464</v>
      </c>
      <c r="E422">
        <f t="shared" si="13"/>
        <v>1.4967741935483871</v>
      </c>
    </row>
    <row r="423" spans="1:5" x14ac:dyDescent="0.3">
      <c r="A423">
        <f t="shared" si="12"/>
        <v>2017</v>
      </c>
      <c r="B423" s="59">
        <v>42940</v>
      </c>
      <c r="C423" s="54">
        <v>308</v>
      </c>
      <c r="D423" s="54">
        <v>470</v>
      </c>
      <c r="E423">
        <f t="shared" si="13"/>
        <v>1.525974025974026</v>
      </c>
    </row>
    <row r="424" spans="1:5" x14ac:dyDescent="0.3">
      <c r="A424">
        <f t="shared" si="12"/>
        <v>2017</v>
      </c>
      <c r="B424" s="59">
        <v>42941</v>
      </c>
      <c r="C424" s="54">
        <v>323</v>
      </c>
      <c r="D424" s="54">
        <v>480</v>
      </c>
      <c r="E424">
        <f t="shared" si="13"/>
        <v>1.4860681114551084</v>
      </c>
    </row>
    <row r="425" spans="1:5" x14ac:dyDescent="0.3">
      <c r="A425">
        <f t="shared" si="12"/>
        <v>2017</v>
      </c>
      <c r="B425" s="59">
        <v>42942</v>
      </c>
      <c r="C425" s="54">
        <v>325</v>
      </c>
      <c r="D425" s="54">
        <v>487</v>
      </c>
      <c r="E425">
        <f t="shared" si="13"/>
        <v>1.4984615384615385</v>
      </c>
    </row>
    <row r="426" spans="1:5" x14ac:dyDescent="0.3">
      <c r="A426">
        <f t="shared" si="12"/>
        <v>2017</v>
      </c>
      <c r="B426" s="59">
        <v>42943</v>
      </c>
      <c r="C426" s="54">
        <v>319</v>
      </c>
      <c r="D426" s="54">
        <v>489.5</v>
      </c>
      <c r="E426">
        <f t="shared" si="13"/>
        <v>1.5344827586206897</v>
      </c>
    </row>
    <row r="427" spans="1:5" x14ac:dyDescent="0.3">
      <c r="A427">
        <f t="shared" si="12"/>
        <v>2017</v>
      </c>
      <c r="B427" s="59">
        <v>42944</v>
      </c>
      <c r="C427" s="54">
        <v>325</v>
      </c>
      <c r="D427" s="54">
        <v>489.5</v>
      </c>
      <c r="E427">
        <f t="shared" si="13"/>
        <v>1.5061538461538462</v>
      </c>
    </row>
    <row r="428" spans="1:5" x14ac:dyDescent="0.3">
      <c r="A428">
        <f t="shared" si="12"/>
        <v>2017</v>
      </c>
      <c r="B428" s="59">
        <v>42947</v>
      </c>
      <c r="C428" s="54">
        <v>333</v>
      </c>
      <c r="D428" s="54">
        <v>499</v>
      </c>
      <c r="E428">
        <f t="shared" si="13"/>
        <v>1.4984984984984986</v>
      </c>
    </row>
    <row r="429" spans="1:5" x14ac:dyDescent="0.3">
      <c r="A429">
        <f t="shared" si="12"/>
        <v>2017</v>
      </c>
      <c r="B429" s="59">
        <v>42948</v>
      </c>
      <c r="C429" s="54">
        <v>325</v>
      </c>
      <c r="D429" s="54">
        <v>495</v>
      </c>
      <c r="E429">
        <f t="shared" si="13"/>
        <v>1.523076923076923</v>
      </c>
    </row>
    <row r="430" spans="1:5" x14ac:dyDescent="0.3">
      <c r="A430">
        <f t="shared" si="12"/>
        <v>2017</v>
      </c>
      <c r="B430" s="59">
        <v>42949</v>
      </c>
      <c r="C430" s="54">
        <v>324</v>
      </c>
      <c r="D430" s="54">
        <v>498</v>
      </c>
      <c r="E430">
        <f t="shared" si="13"/>
        <v>1.537037037037037</v>
      </c>
    </row>
    <row r="431" spans="1:5" x14ac:dyDescent="0.3">
      <c r="A431">
        <f t="shared" si="12"/>
        <v>2017</v>
      </c>
      <c r="B431" s="59">
        <v>42950</v>
      </c>
      <c r="C431" s="54">
        <v>333</v>
      </c>
      <c r="D431" s="54">
        <v>496.5</v>
      </c>
      <c r="E431">
        <f t="shared" si="13"/>
        <v>1.4909909909909911</v>
      </c>
    </row>
    <row r="432" spans="1:5" x14ac:dyDescent="0.3">
      <c r="A432">
        <f t="shared" si="12"/>
        <v>2017</v>
      </c>
      <c r="B432" s="59">
        <v>42951</v>
      </c>
      <c r="C432" s="54">
        <v>332</v>
      </c>
      <c r="D432" s="54">
        <v>500</v>
      </c>
      <c r="E432">
        <f t="shared" si="13"/>
        <v>1.5060240963855422</v>
      </c>
    </row>
    <row r="433" spans="1:5" x14ac:dyDescent="0.3">
      <c r="A433">
        <f t="shared" si="12"/>
        <v>2017</v>
      </c>
      <c r="B433" s="59">
        <v>42954</v>
      </c>
      <c r="C433" s="54">
        <v>343</v>
      </c>
      <c r="D433" s="54">
        <v>509</v>
      </c>
      <c r="E433">
        <f t="shared" si="13"/>
        <v>1.4839650145772594</v>
      </c>
    </row>
    <row r="434" spans="1:5" x14ac:dyDescent="0.3">
      <c r="A434">
        <f t="shared" si="12"/>
        <v>2017</v>
      </c>
      <c r="B434" s="59">
        <v>42955</v>
      </c>
      <c r="C434" s="54">
        <v>347</v>
      </c>
      <c r="D434" s="54">
        <v>519</v>
      </c>
      <c r="E434">
        <f t="shared" si="13"/>
        <v>1.4956772334293948</v>
      </c>
    </row>
    <row r="435" spans="1:5" x14ac:dyDescent="0.3">
      <c r="A435">
        <f t="shared" si="12"/>
        <v>2017</v>
      </c>
      <c r="B435" s="59">
        <v>42956</v>
      </c>
      <c r="C435" s="54">
        <v>341</v>
      </c>
      <c r="D435" s="54">
        <v>520</v>
      </c>
      <c r="E435">
        <f t="shared" si="13"/>
        <v>1.5249266862170088</v>
      </c>
    </row>
    <row r="436" spans="1:5" x14ac:dyDescent="0.3">
      <c r="A436">
        <f t="shared" si="12"/>
        <v>2017</v>
      </c>
      <c r="B436" s="59">
        <v>42957</v>
      </c>
      <c r="C436" s="54">
        <v>355</v>
      </c>
      <c r="D436" s="54">
        <v>536</v>
      </c>
      <c r="E436">
        <f t="shared" si="13"/>
        <v>1.5098591549295775</v>
      </c>
    </row>
    <row r="437" spans="1:5" x14ac:dyDescent="0.3">
      <c r="A437">
        <f t="shared" si="12"/>
        <v>2017</v>
      </c>
      <c r="B437" s="59">
        <v>42958</v>
      </c>
      <c r="C437" s="54">
        <v>348</v>
      </c>
      <c r="D437" s="54">
        <v>525</v>
      </c>
      <c r="E437">
        <f t="shared" si="13"/>
        <v>1.5086206896551724</v>
      </c>
    </row>
    <row r="438" spans="1:5" x14ac:dyDescent="0.3">
      <c r="A438">
        <f t="shared" si="12"/>
        <v>2017</v>
      </c>
      <c r="B438" s="59">
        <v>42961</v>
      </c>
      <c r="C438" s="54">
        <v>344</v>
      </c>
      <c r="D438" s="54">
        <v>520</v>
      </c>
      <c r="E438">
        <f t="shared" si="13"/>
        <v>1.5116279069767442</v>
      </c>
    </row>
    <row r="439" spans="1:5" x14ac:dyDescent="0.3">
      <c r="A439">
        <f t="shared" si="12"/>
        <v>2017</v>
      </c>
      <c r="B439" s="59">
        <v>42962</v>
      </c>
      <c r="C439" s="54">
        <v>335</v>
      </c>
      <c r="D439" s="54">
        <v>510</v>
      </c>
      <c r="E439">
        <f t="shared" si="13"/>
        <v>1.5223880597014925</v>
      </c>
    </row>
    <row r="440" spans="1:5" x14ac:dyDescent="0.3">
      <c r="A440">
        <f t="shared" si="12"/>
        <v>2017</v>
      </c>
      <c r="B440" s="59">
        <v>42963</v>
      </c>
      <c r="C440" s="54">
        <v>346.5</v>
      </c>
      <c r="D440" s="54">
        <v>534</v>
      </c>
      <c r="E440">
        <f t="shared" si="13"/>
        <v>1.5411255411255411</v>
      </c>
    </row>
    <row r="441" spans="1:5" x14ac:dyDescent="0.3">
      <c r="A441">
        <f t="shared" si="12"/>
        <v>2017</v>
      </c>
      <c r="B441" s="59">
        <v>42964</v>
      </c>
      <c r="C441" s="54">
        <v>346</v>
      </c>
      <c r="D441" s="54">
        <v>538</v>
      </c>
      <c r="E441">
        <f t="shared" si="13"/>
        <v>1.5549132947976878</v>
      </c>
    </row>
    <row r="442" spans="1:5" x14ac:dyDescent="0.3">
      <c r="A442">
        <f t="shared" si="12"/>
        <v>2017</v>
      </c>
      <c r="B442" s="59">
        <v>42965</v>
      </c>
      <c r="C442" s="54">
        <v>347</v>
      </c>
      <c r="D442" s="54">
        <v>538</v>
      </c>
      <c r="E442">
        <f t="shared" si="13"/>
        <v>1.5504322766570606</v>
      </c>
    </row>
    <row r="443" spans="1:5" x14ac:dyDescent="0.3">
      <c r="A443">
        <f t="shared" si="12"/>
        <v>2017</v>
      </c>
      <c r="B443" s="59">
        <v>42968</v>
      </c>
      <c r="C443" s="54">
        <v>354.5</v>
      </c>
      <c r="D443" s="54">
        <v>541</v>
      </c>
      <c r="E443">
        <f t="shared" si="13"/>
        <v>1.5260930888575459</v>
      </c>
    </row>
    <row r="444" spans="1:5" x14ac:dyDescent="0.3">
      <c r="A444">
        <f t="shared" si="12"/>
        <v>2017</v>
      </c>
      <c r="B444" s="59">
        <v>42969</v>
      </c>
      <c r="C444" s="54">
        <v>345</v>
      </c>
      <c r="D444" s="54">
        <v>549</v>
      </c>
      <c r="E444">
        <f t="shared" si="13"/>
        <v>1.5913043478260869</v>
      </c>
    </row>
    <row r="445" spans="1:5" x14ac:dyDescent="0.3">
      <c r="A445">
        <f t="shared" si="12"/>
        <v>2017</v>
      </c>
      <c r="B445" s="59">
        <v>42970</v>
      </c>
      <c r="C445" s="54">
        <v>349</v>
      </c>
      <c r="D445" s="54">
        <v>548.5</v>
      </c>
      <c r="E445">
        <f t="shared" si="13"/>
        <v>1.5716332378223496</v>
      </c>
    </row>
    <row r="446" spans="1:5" x14ac:dyDescent="0.3">
      <c r="A446">
        <f t="shared" si="12"/>
        <v>2017</v>
      </c>
      <c r="B446" s="59">
        <v>42971</v>
      </c>
      <c r="C446" s="54">
        <v>354.5</v>
      </c>
      <c r="D446" s="54">
        <v>546</v>
      </c>
      <c r="E446">
        <f t="shared" si="13"/>
        <v>1.5401974612129761</v>
      </c>
    </row>
    <row r="447" spans="1:5" x14ac:dyDescent="0.3">
      <c r="A447">
        <f t="shared" si="12"/>
        <v>2017</v>
      </c>
      <c r="B447" s="59">
        <v>42972</v>
      </c>
      <c r="C447" s="54">
        <v>346</v>
      </c>
      <c r="D447" s="54">
        <v>539</v>
      </c>
      <c r="E447">
        <f t="shared" si="13"/>
        <v>1.5578034682080926</v>
      </c>
    </row>
    <row r="448" spans="1:5" x14ac:dyDescent="0.3">
      <c r="A448">
        <f t="shared" si="12"/>
        <v>2017</v>
      </c>
      <c r="B448" s="59">
        <v>42976</v>
      </c>
      <c r="C448" s="54">
        <v>344</v>
      </c>
      <c r="D448" s="54">
        <v>535</v>
      </c>
      <c r="E448">
        <f t="shared" si="13"/>
        <v>1.555232558139535</v>
      </c>
    </row>
    <row r="449" spans="1:5" x14ac:dyDescent="0.3">
      <c r="A449">
        <f t="shared" si="12"/>
        <v>2017</v>
      </c>
      <c r="B449" s="59">
        <v>42977</v>
      </c>
      <c r="C449" s="54">
        <v>342</v>
      </c>
      <c r="D449" s="54">
        <v>535</v>
      </c>
      <c r="E449">
        <f t="shared" si="13"/>
        <v>1.564327485380117</v>
      </c>
    </row>
    <row r="450" spans="1:5" x14ac:dyDescent="0.3">
      <c r="A450">
        <f t="shared" si="12"/>
        <v>2017</v>
      </c>
      <c r="B450" s="59">
        <v>42978</v>
      </c>
      <c r="C450" s="54">
        <v>342</v>
      </c>
      <c r="D450" s="54">
        <v>539</v>
      </c>
      <c r="E450">
        <f t="shared" si="13"/>
        <v>1.5760233918128654</v>
      </c>
    </row>
    <row r="451" spans="1:5" x14ac:dyDescent="0.3">
      <c r="A451">
        <f t="shared" si="12"/>
        <v>2017</v>
      </c>
      <c r="B451" s="59">
        <v>42979</v>
      </c>
      <c r="C451" s="54">
        <v>345</v>
      </c>
      <c r="D451" s="54">
        <v>537</v>
      </c>
      <c r="E451">
        <f t="shared" si="13"/>
        <v>1.5565217391304347</v>
      </c>
    </row>
    <row r="452" spans="1:5" x14ac:dyDescent="0.3">
      <c r="A452">
        <f t="shared" ref="A452:A515" si="14">YEAR(B452)</f>
        <v>2017</v>
      </c>
      <c r="B452" s="59">
        <v>42982</v>
      </c>
      <c r="C452" s="54">
        <v>354</v>
      </c>
      <c r="D452" s="54">
        <v>545</v>
      </c>
      <c r="E452">
        <f t="shared" ref="E452:E515" si="15">D452/C452</f>
        <v>1.53954802259887</v>
      </c>
    </row>
    <row r="453" spans="1:5" x14ac:dyDescent="0.3">
      <c r="A453">
        <f t="shared" si="14"/>
        <v>2017</v>
      </c>
      <c r="B453" s="59">
        <v>42983</v>
      </c>
      <c r="C453" s="54">
        <v>354</v>
      </c>
      <c r="D453" s="54">
        <v>548</v>
      </c>
      <c r="E453">
        <f t="shared" si="15"/>
        <v>1.5480225988700564</v>
      </c>
    </row>
    <row r="454" spans="1:5" x14ac:dyDescent="0.3">
      <c r="A454">
        <f t="shared" si="14"/>
        <v>2017</v>
      </c>
      <c r="B454" s="59">
        <v>42984</v>
      </c>
      <c r="C454" s="54">
        <v>348</v>
      </c>
      <c r="D454" s="54">
        <v>546</v>
      </c>
      <c r="E454">
        <f t="shared" si="15"/>
        <v>1.5689655172413792</v>
      </c>
    </row>
    <row r="455" spans="1:5" x14ac:dyDescent="0.3">
      <c r="A455">
        <f t="shared" si="14"/>
        <v>2017</v>
      </c>
      <c r="B455" s="59">
        <v>42985</v>
      </c>
      <c r="C455" s="54">
        <v>360</v>
      </c>
      <c r="D455" s="54">
        <v>551</v>
      </c>
      <c r="E455">
        <f t="shared" si="15"/>
        <v>1.5305555555555554</v>
      </c>
    </row>
    <row r="456" spans="1:5" x14ac:dyDescent="0.3">
      <c r="A456">
        <f t="shared" si="14"/>
        <v>2017</v>
      </c>
      <c r="B456" s="59">
        <v>42986</v>
      </c>
      <c r="C456" s="54">
        <v>359</v>
      </c>
      <c r="D456" s="54">
        <v>560</v>
      </c>
      <c r="E456">
        <f t="shared" si="15"/>
        <v>1.5598885793871866</v>
      </c>
    </row>
    <row r="457" spans="1:5" x14ac:dyDescent="0.3">
      <c r="A457">
        <f t="shared" si="14"/>
        <v>2017</v>
      </c>
      <c r="B457" s="59">
        <v>42989</v>
      </c>
      <c r="C457" s="54">
        <v>359</v>
      </c>
      <c r="D457" s="54">
        <v>560</v>
      </c>
      <c r="E457">
        <f t="shared" si="15"/>
        <v>1.5598885793871866</v>
      </c>
    </row>
    <row r="458" spans="1:5" x14ac:dyDescent="0.3">
      <c r="A458">
        <f t="shared" si="14"/>
        <v>2017</v>
      </c>
      <c r="B458" s="59">
        <v>42990</v>
      </c>
      <c r="C458" s="54">
        <v>355</v>
      </c>
      <c r="D458" s="54">
        <v>566</v>
      </c>
      <c r="E458">
        <f t="shared" si="15"/>
        <v>1.5943661971830987</v>
      </c>
    </row>
    <row r="459" spans="1:5" x14ac:dyDescent="0.3">
      <c r="A459">
        <f t="shared" si="14"/>
        <v>2017</v>
      </c>
      <c r="B459" s="59">
        <v>42991</v>
      </c>
      <c r="C459" s="54">
        <v>345</v>
      </c>
      <c r="D459" s="54">
        <v>564</v>
      </c>
      <c r="E459">
        <f t="shared" si="15"/>
        <v>1.6347826086956523</v>
      </c>
    </row>
    <row r="460" spans="1:5" x14ac:dyDescent="0.3">
      <c r="A460">
        <f t="shared" si="14"/>
        <v>2017</v>
      </c>
      <c r="B460" s="59">
        <v>42992</v>
      </c>
      <c r="C460" s="54">
        <v>338</v>
      </c>
      <c r="D460" s="54">
        <v>549</v>
      </c>
      <c r="E460">
        <f t="shared" si="15"/>
        <v>1.6242603550295858</v>
      </c>
    </row>
    <row r="461" spans="1:5" x14ac:dyDescent="0.3">
      <c r="A461">
        <f t="shared" si="14"/>
        <v>2017</v>
      </c>
      <c r="B461" s="59">
        <v>42993</v>
      </c>
      <c r="C461" s="54">
        <v>337</v>
      </c>
      <c r="D461" s="54">
        <v>549</v>
      </c>
      <c r="E461">
        <f t="shared" si="15"/>
        <v>1.629080118694362</v>
      </c>
    </row>
    <row r="462" spans="1:5" x14ac:dyDescent="0.3">
      <c r="A462">
        <f t="shared" si="14"/>
        <v>2017</v>
      </c>
      <c r="B462" s="59">
        <v>42996</v>
      </c>
      <c r="C462" s="54">
        <v>329</v>
      </c>
      <c r="D462" s="54">
        <v>553</v>
      </c>
      <c r="E462">
        <f t="shared" si="15"/>
        <v>1.6808510638297873</v>
      </c>
    </row>
    <row r="463" spans="1:5" x14ac:dyDescent="0.3">
      <c r="A463">
        <f t="shared" si="14"/>
        <v>2017</v>
      </c>
      <c r="B463" s="59">
        <v>42997</v>
      </c>
      <c r="C463" s="54">
        <v>323</v>
      </c>
      <c r="D463" s="54">
        <v>552</v>
      </c>
      <c r="E463">
        <f t="shared" si="15"/>
        <v>1.7089783281733746</v>
      </c>
    </row>
    <row r="464" spans="1:5" x14ac:dyDescent="0.3">
      <c r="A464">
        <f t="shared" si="14"/>
        <v>2017</v>
      </c>
      <c r="B464" s="59">
        <v>42998</v>
      </c>
      <c r="C464" s="54">
        <v>325</v>
      </c>
      <c r="D464" s="54">
        <v>555</v>
      </c>
      <c r="E464">
        <f t="shared" si="15"/>
        <v>1.7076923076923076</v>
      </c>
    </row>
    <row r="465" spans="1:5" x14ac:dyDescent="0.3">
      <c r="A465">
        <f t="shared" si="14"/>
        <v>2017</v>
      </c>
      <c r="B465" s="59">
        <v>42999</v>
      </c>
      <c r="C465" s="54">
        <v>304</v>
      </c>
      <c r="D465" s="54">
        <v>528</v>
      </c>
      <c r="E465">
        <f t="shared" si="15"/>
        <v>1.736842105263158</v>
      </c>
    </row>
    <row r="466" spans="1:5" x14ac:dyDescent="0.3">
      <c r="A466">
        <f t="shared" si="14"/>
        <v>2017</v>
      </c>
      <c r="B466" s="59">
        <v>43000</v>
      </c>
      <c r="C466" s="54">
        <v>294</v>
      </c>
      <c r="D466" s="54">
        <v>530</v>
      </c>
      <c r="E466">
        <f t="shared" si="15"/>
        <v>1.8027210884353742</v>
      </c>
    </row>
    <row r="467" spans="1:5" x14ac:dyDescent="0.3">
      <c r="A467">
        <f t="shared" si="14"/>
        <v>2017</v>
      </c>
      <c r="B467" s="59">
        <v>43003</v>
      </c>
      <c r="C467" s="54">
        <v>292</v>
      </c>
      <c r="D467" s="54">
        <v>530</v>
      </c>
      <c r="E467">
        <f t="shared" si="15"/>
        <v>1.8150684931506849</v>
      </c>
    </row>
    <row r="468" spans="1:5" x14ac:dyDescent="0.3">
      <c r="A468">
        <f t="shared" si="14"/>
        <v>2017</v>
      </c>
      <c r="B468" s="59">
        <v>43004</v>
      </c>
      <c r="C468" s="54">
        <v>294</v>
      </c>
      <c r="D468" s="54">
        <v>530</v>
      </c>
      <c r="E468">
        <f t="shared" si="15"/>
        <v>1.8027210884353742</v>
      </c>
    </row>
    <row r="469" spans="1:5" x14ac:dyDescent="0.3">
      <c r="A469">
        <f t="shared" si="14"/>
        <v>2017</v>
      </c>
      <c r="B469" s="59">
        <v>43005</v>
      </c>
      <c r="C469" s="54">
        <v>295</v>
      </c>
      <c r="D469" s="54">
        <v>536</v>
      </c>
      <c r="E469">
        <f t="shared" si="15"/>
        <v>1.8169491525423729</v>
      </c>
    </row>
    <row r="470" spans="1:5" x14ac:dyDescent="0.3">
      <c r="A470">
        <f t="shared" si="14"/>
        <v>2017</v>
      </c>
      <c r="B470" s="59">
        <v>43006</v>
      </c>
      <c r="C470" s="54">
        <v>295.5</v>
      </c>
      <c r="D470" s="54">
        <v>528.5</v>
      </c>
      <c r="E470">
        <f t="shared" si="15"/>
        <v>1.7884940778341794</v>
      </c>
    </row>
    <row r="471" spans="1:5" x14ac:dyDescent="0.3">
      <c r="A471">
        <f t="shared" si="14"/>
        <v>2017</v>
      </c>
      <c r="B471" s="59">
        <v>43007</v>
      </c>
      <c r="C471" s="54">
        <v>298</v>
      </c>
      <c r="D471" s="54">
        <v>532.5</v>
      </c>
      <c r="E471">
        <f t="shared" si="15"/>
        <v>1.7869127516778522</v>
      </c>
    </row>
    <row r="472" spans="1:5" x14ac:dyDescent="0.3">
      <c r="A472">
        <f t="shared" si="14"/>
        <v>2017</v>
      </c>
      <c r="B472" s="59">
        <v>43010</v>
      </c>
      <c r="C472" s="54">
        <v>281</v>
      </c>
      <c r="D472" s="54">
        <v>517</v>
      </c>
      <c r="E472">
        <f t="shared" si="15"/>
        <v>1.8398576512455516</v>
      </c>
    </row>
    <row r="473" spans="1:5" x14ac:dyDescent="0.3">
      <c r="A473">
        <f t="shared" si="14"/>
        <v>2017</v>
      </c>
      <c r="B473" s="59">
        <v>43011</v>
      </c>
      <c r="C473" s="54">
        <v>291</v>
      </c>
      <c r="D473" s="54">
        <v>520</v>
      </c>
      <c r="E473">
        <f t="shared" si="15"/>
        <v>1.7869415807560138</v>
      </c>
    </row>
    <row r="474" spans="1:5" x14ac:dyDescent="0.3">
      <c r="A474">
        <f t="shared" si="14"/>
        <v>2017</v>
      </c>
      <c r="B474" s="59">
        <v>43012</v>
      </c>
      <c r="C474" s="54">
        <v>290.5</v>
      </c>
      <c r="D474" s="54">
        <v>517</v>
      </c>
      <c r="E474">
        <f t="shared" si="15"/>
        <v>1.7796901893287436</v>
      </c>
    </row>
    <row r="475" spans="1:5" x14ac:dyDescent="0.3">
      <c r="A475">
        <f t="shared" si="14"/>
        <v>2017</v>
      </c>
      <c r="B475" s="59">
        <v>43013</v>
      </c>
      <c r="C475" s="54">
        <v>290</v>
      </c>
      <c r="D475" s="54">
        <v>517</v>
      </c>
      <c r="E475">
        <f t="shared" si="15"/>
        <v>1.7827586206896551</v>
      </c>
    </row>
    <row r="476" spans="1:5" x14ac:dyDescent="0.3">
      <c r="A476">
        <f t="shared" si="14"/>
        <v>2017</v>
      </c>
      <c r="B476" s="59">
        <v>43014</v>
      </c>
      <c r="C476" s="54">
        <v>299</v>
      </c>
      <c r="D476" s="54">
        <v>517</v>
      </c>
      <c r="E476">
        <f t="shared" si="15"/>
        <v>1.7290969899665551</v>
      </c>
    </row>
    <row r="477" spans="1:5" x14ac:dyDescent="0.3">
      <c r="A477">
        <f t="shared" si="14"/>
        <v>2017</v>
      </c>
      <c r="B477" s="59">
        <v>43017</v>
      </c>
      <c r="C477" s="54">
        <v>310</v>
      </c>
      <c r="D477" s="54">
        <v>516</v>
      </c>
      <c r="E477">
        <f t="shared" si="15"/>
        <v>1.6645161290322581</v>
      </c>
    </row>
    <row r="478" spans="1:5" x14ac:dyDescent="0.3">
      <c r="A478">
        <f t="shared" si="14"/>
        <v>2017</v>
      </c>
      <c r="B478" s="59">
        <v>43018</v>
      </c>
      <c r="C478" s="54">
        <v>310</v>
      </c>
      <c r="D478" s="54">
        <v>525</v>
      </c>
      <c r="E478">
        <f t="shared" si="15"/>
        <v>1.6935483870967742</v>
      </c>
    </row>
    <row r="479" spans="1:5" x14ac:dyDescent="0.3">
      <c r="A479">
        <f t="shared" si="14"/>
        <v>2017</v>
      </c>
      <c r="B479" s="59">
        <v>43019</v>
      </c>
      <c r="C479" s="54">
        <v>307</v>
      </c>
      <c r="D479" s="54">
        <v>512</v>
      </c>
      <c r="E479">
        <f t="shared" si="15"/>
        <v>1.6677524429967427</v>
      </c>
    </row>
    <row r="480" spans="1:5" x14ac:dyDescent="0.3">
      <c r="A480">
        <f t="shared" si="14"/>
        <v>2017</v>
      </c>
      <c r="B480" s="59">
        <v>43020</v>
      </c>
      <c r="C480" s="54">
        <v>312</v>
      </c>
      <c r="D480" s="54">
        <v>523</v>
      </c>
      <c r="E480">
        <f t="shared" si="15"/>
        <v>1.6762820512820513</v>
      </c>
    </row>
    <row r="481" spans="1:5" x14ac:dyDescent="0.3">
      <c r="A481">
        <f t="shared" si="14"/>
        <v>2017</v>
      </c>
      <c r="B481" s="59">
        <v>43021</v>
      </c>
      <c r="C481" s="54">
        <v>313</v>
      </c>
      <c r="D481" s="54">
        <v>531</v>
      </c>
      <c r="E481">
        <f t="shared" si="15"/>
        <v>1.6964856230031948</v>
      </c>
    </row>
    <row r="482" spans="1:5" x14ac:dyDescent="0.3">
      <c r="A482">
        <f t="shared" si="14"/>
        <v>2017</v>
      </c>
      <c r="B482" s="59">
        <v>43024</v>
      </c>
      <c r="C482" s="54">
        <v>308</v>
      </c>
      <c r="D482" s="54">
        <v>525</v>
      </c>
      <c r="E482">
        <f t="shared" si="15"/>
        <v>1.7045454545454546</v>
      </c>
    </row>
    <row r="483" spans="1:5" x14ac:dyDescent="0.3">
      <c r="A483">
        <f t="shared" si="14"/>
        <v>2017</v>
      </c>
      <c r="B483" s="59">
        <v>43025</v>
      </c>
      <c r="C483" s="54">
        <v>308</v>
      </c>
      <c r="D483" s="54">
        <v>521</v>
      </c>
      <c r="E483">
        <f t="shared" si="15"/>
        <v>1.6915584415584415</v>
      </c>
    </row>
    <row r="484" spans="1:5" x14ac:dyDescent="0.3">
      <c r="A484">
        <f t="shared" si="14"/>
        <v>2017</v>
      </c>
      <c r="B484" s="59">
        <v>43026</v>
      </c>
      <c r="C484" s="54">
        <v>300</v>
      </c>
      <c r="D484" s="54">
        <v>507</v>
      </c>
      <c r="E484">
        <f t="shared" si="15"/>
        <v>1.69</v>
      </c>
    </row>
    <row r="485" spans="1:5" x14ac:dyDescent="0.3">
      <c r="A485">
        <f t="shared" si="14"/>
        <v>2017</v>
      </c>
      <c r="B485" s="59">
        <v>43027</v>
      </c>
      <c r="C485" s="54">
        <v>294</v>
      </c>
      <c r="D485" s="54">
        <v>509</v>
      </c>
      <c r="E485">
        <f t="shared" si="15"/>
        <v>1.7312925170068028</v>
      </c>
    </row>
    <row r="486" spans="1:5" x14ac:dyDescent="0.3">
      <c r="A486">
        <f t="shared" si="14"/>
        <v>2017</v>
      </c>
      <c r="B486" s="59">
        <v>43028</v>
      </c>
      <c r="C486" s="54">
        <v>308.5</v>
      </c>
      <c r="D486" s="54">
        <v>524</v>
      </c>
      <c r="E486">
        <f t="shared" si="15"/>
        <v>1.6985413290113451</v>
      </c>
    </row>
    <row r="487" spans="1:5" x14ac:dyDescent="0.3">
      <c r="A487">
        <f t="shared" si="14"/>
        <v>2017</v>
      </c>
      <c r="B487" s="59">
        <v>43031</v>
      </c>
      <c r="C487" s="54">
        <v>309</v>
      </c>
      <c r="D487" s="54">
        <v>530</v>
      </c>
      <c r="E487">
        <f t="shared" si="15"/>
        <v>1.7152103559870551</v>
      </c>
    </row>
    <row r="488" spans="1:5" x14ac:dyDescent="0.3">
      <c r="A488">
        <f t="shared" si="14"/>
        <v>2017</v>
      </c>
      <c r="B488" s="59">
        <v>43032</v>
      </c>
      <c r="C488" s="54">
        <v>307</v>
      </c>
      <c r="D488" s="54">
        <v>516</v>
      </c>
      <c r="E488">
        <f t="shared" si="15"/>
        <v>1.6807817589576548</v>
      </c>
    </row>
    <row r="489" spans="1:5" x14ac:dyDescent="0.3">
      <c r="A489">
        <f t="shared" si="14"/>
        <v>2017</v>
      </c>
      <c r="B489" s="59">
        <v>43033</v>
      </c>
      <c r="C489" s="54">
        <v>308</v>
      </c>
      <c r="D489" s="54">
        <v>526</v>
      </c>
      <c r="E489">
        <f t="shared" si="15"/>
        <v>1.7077922077922079</v>
      </c>
    </row>
    <row r="490" spans="1:5" x14ac:dyDescent="0.3">
      <c r="A490">
        <f t="shared" si="14"/>
        <v>2017</v>
      </c>
      <c r="B490" s="59">
        <v>43034</v>
      </c>
      <c r="C490" s="54">
        <v>310</v>
      </c>
      <c r="D490" s="54">
        <v>526</v>
      </c>
      <c r="E490">
        <f t="shared" si="15"/>
        <v>1.6967741935483871</v>
      </c>
    </row>
    <row r="491" spans="1:5" x14ac:dyDescent="0.3">
      <c r="A491">
        <f t="shared" si="14"/>
        <v>2017</v>
      </c>
      <c r="B491" s="59">
        <v>43035</v>
      </c>
      <c r="C491" s="54">
        <v>311</v>
      </c>
      <c r="D491" s="54">
        <v>523</v>
      </c>
      <c r="E491">
        <f t="shared" si="15"/>
        <v>1.6816720257234727</v>
      </c>
    </row>
    <row r="492" spans="1:5" x14ac:dyDescent="0.3">
      <c r="A492">
        <f t="shared" si="14"/>
        <v>2017</v>
      </c>
      <c r="B492" s="59">
        <v>43038</v>
      </c>
      <c r="C492" s="54">
        <v>314</v>
      </c>
      <c r="D492" s="54">
        <v>525</v>
      </c>
      <c r="E492">
        <f t="shared" si="15"/>
        <v>1.6719745222929936</v>
      </c>
    </row>
    <row r="493" spans="1:5" x14ac:dyDescent="0.3">
      <c r="A493">
        <f t="shared" si="14"/>
        <v>2017</v>
      </c>
      <c r="B493" s="59">
        <v>43039</v>
      </c>
      <c r="C493" s="54">
        <v>320</v>
      </c>
      <c r="D493" s="54">
        <v>526</v>
      </c>
      <c r="E493">
        <f t="shared" si="15"/>
        <v>1.64375</v>
      </c>
    </row>
    <row r="494" spans="1:5" x14ac:dyDescent="0.3">
      <c r="A494">
        <f t="shared" si="14"/>
        <v>2017</v>
      </c>
      <c r="B494" s="59">
        <v>43040</v>
      </c>
      <c r="C494" s="54">
        <v>320.5</v>
      </c>
      <c r="D494" s="54">
        <v>528</v>
      </c>
      <c r="E494">
        <f t="shared" si="15"/>
        <v>1.6474258970358815</v>
      </c>
    </row>
    <row r="495" spans="1:5" x14ac:dyDescent="0.3">
      <c r="A495">
        <f t="shared" si="14"/>
        <v>2017</v>
      </c>
      <c r="B495" s="59">
        <v>43041</v>
      </c>
      <c r="C495" s="54">
        <v>322</v>
      </c>
      <c r="D495" s="54">
        <v>535.5</v>
      </c>
      <c r="E495">
        <f t="shared" si="15"/>
        <v>1.6630434782608696</v>
      </c>
    </row>
    <row r="496" spans="1:5" x14ac:dyDescent="0.3">
      <c r="A496">
        <f t="shared" si="14"/>
        <v>2017</v>
      </c>
      <c r="B496" s="59">
        <v>43042</v>
      </c>
      <c r="C496" s="54">
        <v>327</v>
      </c>
      <c r="D496" s="54">
        <v>528</v>
      </c>
      <c r="E496">
        <f t="shared" si="15"/>
        <v>1.6146788990825689</v>
      </c>
    </row>
    <row r="497" spans="1:5" x14ac:dyDescent="0.3">
      <c r="A497">
        <f t="shared" si="14"/>
        <v>2017</v>
      </c>
      <c r="B497" s="59">
        <v>43045</v>
      </c>
      <c r="C497" s="54">
        <v>331</v>
      </c>
      <c r="D497" s="54">
        <v>534</v>
      </c>
      <c r="E497">
        <f t="shared" si="15"/>
        <v>1.6132930513595165</v>
      </c>
    </row>
    <row r="498" spans="1:5" x14ac:dyDescent="0.3">
      <c r="A498">
        <f t="shared" si="14"/>
        <v>2017</v>
      </c>
      <c r="B498" s="59">
        <v>43046</v>
      </c>
      <c r="C498" s="54">
        <v>325</v>
      </c>
      <c r="D498" s="54">
        <v>523</v>
      </c>
      <c r="E498">
        <f t="shared" si="15"/>
        <v>1.6092307692307692</v>
      </c>
    </row>
    <row r="499" spans="1:5" x14ac:dyDescent="0.3">
      <c r="A499">
        <f t="shared" si="14"/>
        <v>2017</v>
      </c>
      <c r="B499" s="59">
        <v>43047</v>
      </c>
      <c r="C499" s="54">
        <v>329.5</v>
      </c>
      <c r="D499" s="54">
        <v>526</v>
      </c>
      <c r="E499">
        <f t="shared" si="15"/>
        <v>1.5963581183611533</v>
      </c>
    </row>
    <row r="500" spans="1:5" x14ac:dyDescent="0.3">
      <c r="A500">
        <f t="shared" si="14"/>
        <v>2017</v>
      </c>
      <c r="B500" s="59">
        <v>43048</v>
      </c>
      <c r="C500" s="54">
        <v>319</v>
      </c>
      <c r="D500" s="54">
        <v>516</v>
      </c>
      <c r="E500">
        <f t="shared" si="15"/>
        <v>1.6175548589341693</v>
      </c>
    </row>
    <row r="501" spans="1:5" x14ac:dyDescent="0.3">
      <c r="A501">
        <f t="shared" si="14"/>
        <v>2017</v>
      </c>
      <c r="B501" s="59">
        <v>43049</v>
      </c>
      <c r="C501" s="54">
        <v>322</v>
      </c>
      <c r="D501" s="54">
        <v>519</v>
      </c>
      <c r="E501">
        <f t="shared" si="15"/>
        <v>1.6118012422360248</v>
      </c>
    </row>
    <row r="502" spans="1:5" x14ac:dyDescent="0.3">
      <c r="A502">
        <f t="shared" si="14"/>
        <v>2017</v>
      </c>
      <c r="B502" s="59">
        <v>43052</v>
      </c>
      <c r="C502" s="54">
        <v>318</v>
      </c>
      <c r="D502" s="54">
        <v>519</v>
      </c>
      <c r="E502">
        <f t="shared" si="15"/>
        <v>1.6320754716981132</v>
      </c>
    </row>
    <row r="503" spans="1:5" x14ac:dyDescent="0.3">
      <c r="A503">
        <f t="shared" si="14"/>
        <v>2017</v>
      </c>
      <c r="B503" s="59">
        <v>43053</v>
      </c>
      <c r="C503" s="54">
        <v>320</v>
      </c>
      <c r="D503" s="54">
        <v>519</v>
      </c>
      <c r="E503">
        <f t="shared" si="15"/>
        <v>1.621875</v>
      </c>
    </row>
    <row r="504" spans="1:5" x14ac:dyDescent="0.3">
      <c r="A504">
        <f t="shared" si="14"/>
        <v>2017</v>
      </c>
      <c r="B504" s="59">
        <v>43054</v>
      </c>
      <c r="C504" s="54">
        <v>324</v>
      </c>
      <c r="D504" s="54">
        <v>519</v>
      </c>
      <c r="E504">
        <f t="shared" si="15"/>
        <v>1.6018518518518519</v>
      </c>
    </row>
    <row r="505" spans="1:5" x14ac:dyDescent="0.3">
      <c r="A505">
        <f t="shared" si="14"/>
        <v>2017</v>
      </c>
      <c r="B505" s="59">
        <v>43055</v>
      </c>
      <c r="C505" s="54">
        <v>330</v>
      </c>
      <c r="D505" s="54">
        <v>519</v>
      </c>
      <c r="E505">
        <f t="shared" si="15"/>
        <v>1.5727272727272728</v>
      </c>
    </row>
    <row r="506" spans="1:5" x14ac:dyDescent="0.3">
      <c r="A506">
        <f t="shared" si="14"/>
        <v>2017</v>
      </c>
      <c r="B506" s="59">
        <v>43056</v>
      </c>
      <c r="C506" s="54">
        <v>329</v>
      </c>
      <c r="D506" s="54">
        <v>520.5</v>
      </c>
      <c r="E506">
        <f t="shared" si="15"/>
        <v>1.5820668693009119</v>
      </c>
    </row>
    <row r="507" spans="1:5" x14ac:dyDescent="0.3">
      <c r="A507">
        <f t="shared" si="14"/>
        <v>2017</v>
      </c>
      <c r="B507" s="59">
        <v>43059</v>
      </c>
      <c r="C507" s="54">
        <v>327</v>
      </c>
      <c r="D507" s="54">
        <v>528</v>
      </c>
      <c r="E507">
        <f t="shared" si="15"/>
        <v>1.6146788990825689</v>
      </c>
    </row>
    <row r="508" spans="1:5" x14ac:dyDescent="0.3">
      <c r="A508">
        <f t="shared" si="14"/>
        <v>2017</v>
      </c>
      <c r="B508" s="59">
        <v>43060</v>
      </c>
      <c r="C508" s="54">
        <v>333</v>
      </c>
      <c r="D508" s="54">
        <v>533</v>
      </c>
      <c r="E508">
        <f t="shared" si="15"/>
        <v>1.6006006006006006</v>
      </c>
    </row>
    <row r="509" spans="1:5" x14ac:dyDescent="0.3">
      <c r="A509">
        <f t="shared" si="14"/>
        <v>2017</v>
      </c>
      <c r="B509" s="59">
        <v>43061</v>
      </c>
      <c r="C509" s="54">
        <v>330</v>
      </c>
      <c r="D509" s="54">
        <v>534</v>
      </c>
      <c r="E509">
        <f t="shared" si="15"/>
        <v>1.6181818181818182</v>
      </c>
    </row>
    <row r="510" spans="1:5" x14ac:dyDescent="0.3">
      <c r="A510">
        <f t="shared" si="14"/>
        <v>2017</v>
      </c>
      <c r="B510" s="59">
        <v>43062</v>
      </c>
      <c r="C510" s="54">
        <v>330</v>
      </c>
      <c r="D510" s="54">
        <v>534</v>
      </c>
      <c r="E510">
        <f t="shared" si="15"/>
        <v>1.6181818181818182</v>
      </c>
    </row>
    <row r="511" spans="1:5" x14ac:dyDescent="0.3">
      <c r="A511">
        <f t="shared" si="14"/>
        <v>2017</v>
      </c>
      <c r="B511" s="59">
        <v>43063</v>
      </c>
      <c r="C511" s="54">
        <v>334</v>
      </c>
      <c r="D511" s="54">
        <v>536.5</v>
      </c>
      <c r="E511">
        <f t="shared" si="15"/>
        <v>1.6062874251497006</v>
      </c>
    </row>
    <row r="512" spans="1:5" x14ac:dyDescent="0.3">
      <c r="A512">
        <f t="shared" si="14"/>
        <v>2017</v>
      </c>
      <c r="B512" s="59">
        <v>43066</v>
      </c>
      <c r="C512" s="54">
        <v>334</v>
      </c>
      <c r="D512" s="54">
        <v>545</v>
      </c>
      <c r="E512">
        <f t="shared" si="15"/>
        <v>1.6317365269461077</v>
      </c>
    </row>
    <row r="513" spans="1:5" x14ac:dyDescent="0.3">
      <c r="A513">
        <f t="shared" si="14"/>
        <v>2017</v>
      </c>
      <c r="B513" s="59">
        <v>43067</v>
      </c>
      <c r="C513" s="54">
        <v>334</v>
      </c>
      <c r="D513" s="54">
        <v>547</v>
      </c>
      <c r="E513">
        <f t="shared" si="15"/>
        <v>1.6377245508982037</v>
      </c>
    </row>
    <row r="514" spans="1:5" x14ac:dyDescent="0.3">
      <c r="A514">
        <f t="shared" si="14"/>
        <v>2017</v>
      </c>
      <c r="B514" s="59">
        <v>43068</v>
      </c>
      <c r="C514" s="54">
        <v>339</v>
      </c>
      <c r="D514" s="54">
        <v>549</v>
      </c>
      <c r="E514">
        <f t="shared" si="15"/>
        <v>1.6194690265486726</v>
      </c>
    </row>
    <row r="515" spans="1:5" x14ac:dyDescent="0.3">
      <c r="A515">
        <f t="shared" si="14"/>
        <v>2017</v>
      </c>
      <c r="B515" s="59">
        <v>43069</v>
      </c>
      <c r="C515" s="54">
        <v>342</v>
      </c>
      <c r="D515" s="54">
        <v>559.5</v>
      </c>
      <c r="E515">
        <f t="shared" si="15"/>
        <v>1.6359649122807018</v>
      </c>
    </row>
    <row r="516" spans="1:5" x14ac:dyDescent="0.3">
      <c r="A516">
        <f t="shared" ref="A516:A579" si="16">YEAR(B516)</f>
        <v>2017</v>
      </c>
      <c r="B516" s="59">
        <v>43070</v>
      </c>
      <c r="C516" s="54">
        <v>342.5</v>
      </c>
      <c r="D516" s="54">
        <v>560</v>
      </c>
      <c r="E516">
        <f t="shared" ref="E516:E579" si="17">D516/C516</f>
        <v>1.635036496350365</v>
      </c>
    </row>
    <row r="517" spans="1:5" x14ac:dyDescent="0.3">
      <c r="A517">
        <f t="shared" si="16"/>
        <v>2017</v>
      </c>
      <c r="B517" s="59">
        <v>43073</v>
      </c>
      <c r="C517" s="54">
        <v>347</v>
      </c>
      <c r="D517" s="54">
        <v>559</v>
      </c>
      <c r="E517">
        <f t="shared" si="17"/>
        <v>1.6109510086455332</v>
      </c>
    </row>
    <row r="518" spans="1:5" x14ac:dyDescent="0.3">
      <c r="A518">
        <f t="shared" si="16"/>
        <v>2017</v>
      </c>
      <c r="B518" s="59">
        <v>43074</v>
      </c>
      <c r="C518" s="54">
        <v>347</v>
      </c>
      <c r="D518" s="54">
        <v>559</v>
      </c>
      <c r="E518">
        <f t="shared" si="17"/>
        <v>1.6109510086455332</v>
      </c>
    </row>
    <row r="519" spans="1:5" x14ac:dyDescent="0.3">
      <c r="A519">
        <f t="shared" si="16"/>
        <v>2017</v>
      </c>
      <c r="B519" s="59">
        <v>43075</v>
      </c>
      <c r="C519" s="54">
        <v>347</v>
      </c>
      <c r="D519" s="54">
        <v>560</v>
      </c>
      <c r="E519">
        <f t="shared" si="17"/>
        <v>1.6138328530259367</v>
      </c>
    </row>
    <row r="520" spans="1:5" x14ac:dyDescent="0.3">
      <c r="A520">
        <f t="shared" si="16"/>
        <v>2017</v>
      </c>
      <c r="B520" s="59">
        <v>43076</v>
      </c>
      <c r="C520" s="54">
        <v>346</v>
      </c>
      <c r="D520" s="54">
        <v>552</v>
      </c>
      <c r="E520">
        <f t="shared" si="17"/>
        <v>1.5953757225433527</v>
      </c>
    </row>
    <row r="521" spans="1:5" x14ac:dyDescent="0.3">
      <c r="A521">
        <f t="shared" si="16"/>
        <v>2017</v>
      </c>
      <c r="B521" s="59">
        <v>43077</v>
      </c>
      <c r="C521" s="54">
        <v>349</v>
      </c>
      <c r="D521" s="54">
        <v>558</v>
      </c>
      <c r="E521">
        <f t="shared" si="17"/>
        <v>1.5988538681948423</v>
      </c>
    </row>
    <row r="522" spans="1:5" x14ac:dyDescent="0.3">
      <c r="A522">
        <f t="shared" si="16"/>
        <v>2017</v>
      </c>
      <c r="B522" s="59">
        <v>43080</v>
      </c>
      <c r="C522" s="54">
        <v>354</v>
      </c>
      <c r="D522" s="54">
        <v>561</v>
      </c>
      <c r="E522">
        <f t="shared" si="17"/>
        <v>1.5847457627118644</v>
      </c>
    </row>
    <row r="523" spans="1:5" x14ac:dyDescent="0.3">
      <c r="A523">
        <f t="shared" si="16"/>
        <v>2017</v>
      </c>
      <c r="B523" s="59">
        <v>43081</v>
      </c>
      <c r="C523" s="54">
        <v>354</v>
      </c>
      <c r="D523" s="54">
        <v>557</v>
      </c>
      <c r="E523">
        <f t="shared" si="17"/>
        <v>1.5734463276836159</v>
      </c>
    </row>
    <row r="524" spans="1:5" x14ac:dyDescent="0.3">
      <c r="A524">
        <f t="shared" si="16"/>
        <v>2017</v>
      </c>
      <c r="B524" s="59">
        <v>43082</v>
      </c>
      <c r="C524" s="54">
        <v>354</v>
      </c>
      <c r="D524" s="54">
        <v>557</v>
      </c>
      <c r="E524">
        <f t="shared" si="17"/>
        <v>1.5734463276836159</v>
      </c>
    </row>
    <row r="525" spans="1:5" x14ac:dyDescent="0.3">
      <c r="A525">
        <f t="shared" si="16"/>
        <v>2017</v>
      </c>
      <c r="B525" s="59">
        <v>43083</v>
      </c>
      <c r="C525" s="54">
        <v>348.5</v>
      </c>
      <c r="D525" s="54">
        <v>557</v>
      </c>
      <c r="E525">
        <f t="shared" si="17"/>
        <v>1.5982783357245338</v>
      </c>
    </row>
    <row r="526" spans="1:5" x14ac:dyDescent="0.3">
      <c r="A526">
        <f t="shared" si="16"/>
        <v>2017</v>
      </c>
      <c r="B526" s="59">
        <v>43084</v>
      </c>
      <c r="C526" s="54">
        <v>348.5</v>
      </c>
      <c r="D526" s="54">
        <v>557</v>
      </c>
      <c r="E526">
        <f t="shared" si="17"/>
        <v>1.5982783357245338</v>
      </c>
    </row>
    <row r="527" spans="1:5" x14ac:dyDescent="0.3">
      <c r="A527">
        <f t="shared" si="16"/>
        <v>2017</v>
      </c>
      <c r="B527" s="59">
        <v>43087</v>
      </c>
      <c r="C527" s="54">
        <v>354</v>
      </c>
      <c r="D527" s="54">
        <v>555</v>
      </c>
      <c r="E527">
        <f t="shared" si="17"/>
        <v>1.5677966101694916</v>
      </c>
    </row>
    <row r="528" spans="1:5" x14ac:dyDescent="0.3">
      <c r="A528">
        <f t="shared" si="16"/>
        <v>2017</v>
      </c>
      <c r="B528" s="59">
        <v>43088</v>
      </c>
      <c r="C528" s="54">
        <v>353</v>
      </c>
      <c r="D528" s="54">
        <v>555</v>
      </c>
      <c r="E528">
        <f t="shared" si="17"/>
        <v>1.5722379603399435</v>
      </c>
    </row>
    <row r="529" spans="1:5" x14ac:dyDescent="0.3">
      <c r="A529">
        <f t="shared" si="16"/>
        <v>2017</v>
      </c>
      <c r="B529" s="59">
        <v>43089</v>
      </c>
      <c r="C529" s="54">
        <v>355</v>
      </c>
      <c r="D529" s="54">
        <v>555</v>
      </c>
      <c r="E529">
        <f t="shared" si="17"/>
        <v>1.5633802816901408</v>
      </c>
    </row>
    <row r="530" spans="1:5" x14ac:dyDescent="0.3">
      <c r="A530">
        <f t="shared" si="16"/>
        <v>2017</v>
      </c>
      <c r="B530" s="59">
        <v>43090</v>
      </c>
      <c r="C530" s="54">
        <v>355</v>
      </c>
      <c r="D530" s="54">
        <v>555</v>
      </c>
      <c r="E530">
        <f t="shared" si="17"/>
        <v>1.5633802816901408</v>
      </c>
    </row>
    <row r="531" spans="1:5" x14ac:dyDescent="0.3">
      <c r="A531">
        <f t="shared" si="16"/>
        <v>2017</v>
      </c>
      <c r="B531" s="59">
        <v>43091</v>
      </c>
      <c r="C531" s="54">
        <v>357</v>
      </c>
      <c r="D531" s="54">
        <v>555</v>
      </c>
      <c r="E531">
        <f t="shared" si="17"/>
        <v>1.5546218487394958</v>
      </c>
    </row>
    <row r="532" spans="1:5" x14ac:dyDescent="0.3">
      <c r="A532">
        <f t="shared" si="16"/>
        <v>2017</v>
      </c>
      <c r="B532" s="59">
        <v>43096</v>
      </c>
      <c r="C532" s="54">
        <v>357</v>
      </c>
      <c r="D532" s="54">
        <v>555</v>
      </c>
      <c r="E532">
        <f t="shared" si="17"/>
        <v>1.5546218487394958</v>
      </c>
    </row>
    <row r="533" spans="1:5" x14ac:dyDescent="0.3">
      <c r="A533">
        <f t="shared" si="16"/>
        <v>2017</v>
      </c>
      <c r="B533" s="59">
        <v>43097</v>
      </c>
      <c r="C533" s="54">
        <v>357</v>
      </c>
      <c r="D533" s="54">
        <v>555</v>
      </c>
      <c r="E533">
        <f t="shared" si="17"/>
        <v>1.5546218487394958</v>
      </c>
    </row>
    <row r="534" spans="1:5" x14ac:dyDescent="0.3">
      <c r="A534">
        <f t="shared" si="16"/>
        <v>2017</v>
      </c>
      <c r="B534" s="59">
        <v>43098</v>
      </c>
      <c r="C534" s="54">
        <v>359.5</v>
      </c>
      <c r="D534" s="54">
        <v>555</v>
      </c>
      <c r="E534">
        <f t="shared" si="17"/>
        <v>1.5438108484005564</v>
      </c>
    </row>
    <row r="535" spans="1:5" x14ac:dyDescent="0.3">
      <c r="A535">
        <f t="shared" si="16"/>
        <v>2018</v>
      </c>
      <c r="B535" s="59">
        <v>43102</v>
      </c>
      <c r="C535" s="54">
        <v>353</v>
      </c>
      <c r="D535" s="54">
        <v>549</v>
      </c>
      <c r="E535">
        <f t="shared" si="17"/>
        <v>1.5552407932011332</v>
      </c>
    </row>
    <row r="536" spans="1:5" x14ac:dyDescent="0.3">
      <c r="A536">
        <f t="shared" si="16"/>
        <v>2018</v>
      </c>
      <c r="B536" s="59">
        <v>43103</v>
      </c>
      <c r="C536" s="54">
        <v>356</v>
      </c>
      <c r="D536" s="54">
        <v>549</v>
      </c>
      <c r="E536">
        <f t="shared" si="17"/>
        <v>1.5421348314606742</v>
      </c>
    </row>
    <row r="537" spans="1:5" x14ac:dyDescent="0.3">
      <c r="A537">
        <f t="shared" si="16"/>
        <v>2018</v>
      </c>
      <c r="B537" s="59">
        <v>43104</v>
      </c>
      <c r="C537" s="54">
        <v>356</v>
      </c>
      <c r="D537" s="54">
        <v>549</v>
      </c>
      <c r="E537">
        <f t="shared" si="17"/>
        <v>1.5421348314606742</v>
      </c>
    </row>
    <row r="538" spans="1:5" x14ac:dyDescent="0.3">
      <c r="A538">
        <f t="shared" si="16"/>
        <v>2018</v>
      </c>
      <c r="B538" s="59">
        <v>43105</v>
      </c>
      <c r="C538" s="54">
        <v>358</v>
      </c>
      <c r="D538" s="54">
        <v>549</v>
      </c>
      <c r="E538">
        <f t="shared" si="17"/>
        <v>1.5335195530726258</v>
      </c>
    </row>
    <row r="539" spans="1:5" x14ac:dyDescent="0.3">
      <c r="A539">
        <f t="shared" si="16"/>
        <v>2018</v>
      </c>
      <c r="B539" s="59">
        <v>43108</v>
      </c>
      <c r="C539" s="54">
        <v>358</v>
      </c>
      <c r="D539" s="54">
        <v>549</v>
      </c>
      <c r="E539">
        <f t="shared" si="17"/>
        <v>1.5335195530726258</v>
      </c>
    </row>
    <row r="540" spans="1:5" x14ac:dyDescent="0.3">
      <c r="A540">
        <f t="shared" si="16"/>
        <v>2018</v>
      </c>
      <c r="B540" s="59">
        <v>43109</v>
      </c>
      <c r="C540" s="54">
        <v>358</v>
      </c>
      <c r="D540" s="54">
        <v>549</v>
      </c>
      <c r="E540">
        <f t="shared" si="17"/>
        <v>1.5335195530726258</v>
      </c>
    </row>
    <row r="541" spans="1:5" x14ac:dyDescent="0.3">
      <c r="A541">
        <f t="shared" si="16"/>
        <v>2018</v>
      </c>
      <c r="B541" s="59">
        <v>43110</v>
      </c>
      <c r="C541" s="54">
        <v>365</v>
      </c>
      <c r="D541" s="54">
        <v>558</v>
      </c>
      <c r="E541">
        <f t="shared" si="17"/>
        <v>1.5287671232876712</v>
      </c>
    </row>
    <row r="542" spans="1:5" x14ac:dyDescent="0.3">
      <c r="A542">
        <f t="shared" si="16"/>
        <v>2018</v>
      </c>
      <c r="B542" s="59">
        <v>43111</v>
      </c>
      <c r="C542" s="54">
        <v>357</v>
      </c>
      <c r="D542" s="54">
        <v>556</v>
      </c>
      <c r="E542">
        <f t="shared" si="17"/>
        <v>1.5574229691876751</v>
      </c>
    </row>
    <row r="543" spans="1:5" x14ac:dyDescent="0.3">
      <c r="A543">
        <f t="shared" si="16"/>
        <v>2018</v>
      </c>
      <c r="B543" s="59">
        <v>43112</v>
      </c>
      <c r="C543" s="54">
        <v>357</v>
      </c>
      <c r="D543" s="54">
        <v>555</v>
      </c>
      <c r="E543">
        <f t="shared" si="17"/>
        <v>1.5546218487394958</v>
      </c>
    </row>
    <row r="544" spans="1:5" x14ac:dyDescent="0.3">
      <c r="A544">
        <f t="shared" si="16"/>
        <v>2018</v>
      </c>
      <c r="B544" s="59">
        <v>43115</v>
      </c>
      <c r="C544" s="54">
        <v>352.5</v>
      </c>
      <c r="D544" s="54">
        <v>554</v>
      </c>
      <c r="E544">
        <f t="shared" si="17"/>
        <v>1.5716312056737589</v>
      </c>
    </row>
    <row r="545" spans="1:5" x14ac:dyDescent="0.3">
      <c r="A545">
        <f t="shared" si="16"/>
        <v>2018</v>
      </c>
      <c r="B545" s="59">
        <v>43116</v>
      </c>
      <c r="C545" s="54">
        <v>352</v>
      </c>
      <c r="D545" s="54">
        <v>549</v>
      </c>
      <c r="E545">
        <f t="shared" si="17"/>
        <v>1.5596590909090908</v>
      </c>
    </row>
    <row r="546" spans="1:5" x14ac:dyDescent="0.3">
      <c r="A546">
        <f t="shared" si="16"/>
        <v>2018</v>
      </c>
      <c r="B546" s="59">
        <v>43117</v>
      </c>
      <c r="C546" s="54">
        <v>352</v>
      </c>
      <c r="D546" s="54">
        <v>549</v>
      </c>
      <c r="E546">
        <f t="shared" si="17"/>
        <v>1.5596590909090908</v>
      </c>
    </row>
    <row r="547" spans="1:5" x14ac:dyDescent="0.3">
      <c r="A547">
        <f t="shared" si="16"/>
        <v>2018</v>
      </c>
      <c r="B547" s="59">
        <v>43118</v>
      </c>
      <c r="C547" s="54">
        <v>357</v>
      </c>
      <c r="D547" s="54">
        <v>553</v>
      </c>
      <c r="E547">
        <f t="shared" si="17"/>
        <v>1.5490196078431373</v>
      </c>
    </row>
    <row r="548" spans="1:5" x14ac:dyDescent="0.3">
      <c r="A548">
        <f t="shared" si="16"/>
        <v>2018</v>
      </c>
      <c r="B548" s="59">
        <v>43119</v>
      </c>
      <c r="C548" s="54">
        <v>362</v>
      </c>
      <c r="D548" s="54">
        <v>561</v>
      </c>
      <c r="E548">
        <f t="shared" si="17"/>
        <v>1.5497237569060773</v>
      </c>
    </row>
    <row r="549" spans="1:5" x14ac:dyDescent="0.3">
      <c r="A549">
        <f t="shared" si="16"/>
        <v>2018</v>
      </c>
      <c r="B549" s="59">
        <v>43122</v>
      </c>
      <c r="C549" s="54">
        <v>354</v>
      </c>
      <c r="D549" s="54">
        <v>544</v>
      </c>
      <c r="E549">
        <f t="shared" si="17"/>
        <v>1.536723163841808</v>
      </c>
    </row>
    <row r="550" spans="1:5" x14ac:dyDescent="0.3">
      <c r="A550">
        <f t="shared" si="16"/>
        <v>2018</v>
      </c>
      <c r="B550" s="59">
        <v>43123</v>
      </c>
      <c r="C550" s="54">
        <v>348</v>
      </c>
      <c r="D550" s="54">
        <v>544</v>
      </c>
      <c r="E550">
        <f t="shared" si="17"/>
        <v>1.5632183908045978</v>
      </c>
    </row>
    <row r="551" spans="1:5" x14ac:dyDescent="0.3">
      <c r="A551">
        <f t="shared" si="16"/>
        <v>2018</v>
      </c>
      <c r="B551" s="59">
        <v>43124</v>
      </c>
      <c r="C551" s="54">
        <v>360</v>
      </c>
      <c r="D551" s="54">
        <v>558</v>
      </c>
      <c r="E551">
        <f t="shared" si="17"/>
        <v>1.55</v>
      </c>
    </row>
    <row r="552" spans="1:5" x14ac:dyDescent="0.3">
      <c r="A552">
        <f t="shared" si="16"/>
        <v>2018</v>
      </c>
      <c r="B552" s="59">
        <v>43125</v>
      </c>
      <c r="C552" s="54">
        <v>355</v>
      </c>
      <c r="D552" s="54">
        <v>555</v>
      </c>
      <c r="E552">
        <f t="shared" si="17"/>
        <v>1.5633802816901408</v>
      </c>
    </row>
    <row r="553" spans="1:5" x14ac:dyDescent="0.3">
      <c r="A553">
        <f t="shared" si="16"/>
        <v>2018</v>
      </c>
      <c r="B553" s="59">
        <v>43126</v>
      </c>
      <c r="C553" s="54">
        <v>359</v>
      </c>
      <c r="D553" s="54">
        <v>551.5</v>
      </c>
      <c r="E553">
        <f t="shared" si="17"/>
        <v>1.5362116991643453</v>
      </c>
    </row>
    <row r="554" spans="1:5" x14ac:dyDescent="0.3">
      <c r="A554">
        <f t="shared" si="16"/>
        <v>2018</v>
      </c>
      <c r="B554" s="59">
        <v>43129</v>
      </c>
      <c r="C554" s="54">
        <v>359</v>
      </c>
      <c r="D554" s="54">
        <v>551.5</v>
      </c>
      <c r="E554">
        <f t="shared" si="17"/>
        <v>1.5362116991643453</v>
      </c>
    </row>
    <row r="555" spans="1:5" x14ac:dyDescent="0.3">
      <c r="A555">
        <f t="shared" si="16"/>
        <v>2018</v>
      </c>
      <c r="B555" s="59">
        <v>43130</v>
      </c>
      <c r="C555" s="54">
        <v>347</v>
      </c>
      <c r="D555" s="54">
        <v>550.5</v>
      </c>
      <c r="E555">
        <f t="shared" si="17"/>
        <v>1.5864553314121037</v>
      </c>
    </row>
    <row r="556" spans="1:5" x14ac:dyDescent="0.3">
      <c r="A556">
        <f t="shared" si="16"/>
        <v>2018</v>
      </c>
      <c r="B556" s="59">
        <v>43131</v>
      </c>
      <c r="C556" s="54">
        <v>355</v>
      </c>
      <c r="D556" s="54">
        <v>547.5</v>
      </c>
      <c r="E556">
        <f t="shared" si="17"/>
        <v>1.5422535211267605</v>
      </c>
    </row>
    <row r="557" spans="1:5" x14ac:dyDescent="0.3">
      <c r="A557">
        <f t="shared" si="16"/>
        <v>2018</v>
      </c>
      <c r="B557" s="59">
        <v>43132</v>
      </c>
      <c r="C557" s="54">
        <v>348</v>
      </c>
      <c r="D557" s="54">
        <v>542</v>
      </c>
      <c r="E557">
        <f t="shared" si="17"/>
        <v>1.5574712643678161</v>
      </c>
    </row>
    <row r="558" spans="1:5" x14ac:dyDescent="0.3">
      <c r="A558">
        <f t="shared" si="16"/>
        <v>2018</v>
      </c>
      <c r="B558" s="59">
        <v>43133</v>
      </c>
      <c r="C558" s="54">
        <v>353</v>
      </c>
      <c r="D558" s="54">
        <v>542</v>
      </c>
      <c r="E558">
        <f t="shared" si="17"/>
        <v>1.5354107648725213</v>
      </c>
    </row>
    <row r="559" spans="1:5" x14ac:dyDescent="0.3">
      <c r="A559">
        <f t="shared" si="16"/>
        <v>2018</v>
      </c>
      <c r="B559" s="59">
        <v>43136</v>
      </c>
      <c r="C559" s="54">
        <v>363</v>
      </c>
      <c r="D559" s="54">
        <v>560</v>
      </c>
      <c r="E559">
        <f t="shared" si="17"/>
        <v>1.5426997245179064</v>
      </c>
    </row>
    <row r="560" spans="1:5" x14ac:dyDescent="0.3">
      <c r="A560">
        <f t="shared" si="16"/>
        <v>2018</v>
      </c>
      <c r="B560" s="59">
        <v>43137</v>
      </c>
      <c r="C560" s="54">
        <v>363</v>
      </c>
      <c r="D560" s="54">
        <v>560</v>
      </c>
      <c r="E560">
        <f t="shared" si="17"/>
        <v>1.5426997245179064</v>
      </c>
    </row>
    <row r="561" spans="1:5" x14ac:dyDescent="0.3">
      <c r="A561">
        <f t="shared" si="16"/>
        <v>2018</v>
      </c>
      <c r="B561" s="59">
        <v>43138</v>
      </c>
      <c r="C561" s="54">
        <v>363</v>
      </c>
      <c r="D561" s="54">
        <v>560</v>
      </c>
      <c r="E561">
        <f t="shared" si="17"/>
        <v>1.5426997245179064</v>
      </c>
    </row>
    <row r="562" spans="1:5" x14ac:dyDescent="0.3">
      <c r="A562">
        <f t="shared" si="16"/>
        <v>2018</v>
      </c>
      <c r="B562" s="59">
        <v>43139</v>
      </c>
      <c r="C562" s="54">
        <v>368.5</v>
      </c>
      <c r="D562" s="54">
        <v>565</v>
      </c>
      <c r="E562">
        <f t="shared" si="17"/>
        <v>1.5332428765264585</v>
      </c>
    </row>
    <row r="563" spans="1:5" x14ac:dyDescent="0.3">
      <c r="A563">
        <f t="shared" si="16"/>
        <v>2018</v>
      </c>
      <c r="B563" s="59">
        <v>43140</v>
      </c>
      <c r="C563" s="54">
        <v>374</v>
      </c>
      <c r="D563" s="54">
        <v>571</v>
      </c>
      <c r="E563">
        <f t="shared" si="17"/>
        <v>1.5267379679144386</v>
      </c>
    </row>
    <row r="564" spans="1:5" x14ac:dyDescent="0.3">
      <c r="A564">
        <f t="shared" si="16"/>
        <v>2018</v>
      </c>
      <c r="B564" s="59">
        <v>43143</v>
      </c>
      <c r="C564" s="54">
        <v>372</v>
      </c>
      <c r="D564" s="54">
        <v>577</v>
      </c>
      <c r="E564">
        <f t="shared" si="17"/>
        <v>1.5510752688172043</v>
      </c>
    </row>
    <row r="565" spans="1:5" x14ac:dyDescent="0.3">
      <c r="A565">
        <f t="shared" si="16"/>
        <v>2018</v>
      </c>
      <c r="B565" s="59">
        <v>43144</v>
      </c>
      <c r="C565" s="54">
        <v>372</v>
      </c>
      <c r="D565" s="54">
        <v>580</v>
      </c>
      <c r="E565">
        <f t="shared" si="17"/>
        <v>1.5591397849462365</v>
      </c>
    </row>
    <row r="566" spans="1:5" x14ac:dyDescent="0.3">
      <c r="A566">
        <f t="shared" si="16"/>
        <v>2018</v>
      </c>
      <c r="B566" s="59">
        <v>43145</v>
      </c>
      <c r="C566" s="54">
        <v>375</v>
      </c>
      <c r="D566" s="54">
        <v>592</v>
      </c>
      <c r="E566">
        <f t="shared" si="17"/>
        <v>1.5786666666666667</v>
      </c>
    </row>
    <row r="567" spans="1:5" x14ac:dyDescent="0.3">
      <c r="A567">
        <f t="shared" si="16"/>
        <v>2018</v>
      </c>
      <c r="B567" s="59">
        <v>43146</v>
      </c>
      <c r="C567" s="54">
        <v>373</v>
      </c>
      <c r="D567" s="54">
        <v>588</v>
      </c>
      <c r="E567">
        <f t="shared" si="17"/>
        <v>1.5764075067024128</v>
      </c>
    </row>
    <row r="568" spans="1:5" x14ac:dyDescent="0.3">
      <c r="A568">
        <f t="shared" si="16"/>
        <v>2018</v>
      </c>
      <c r="B568" s="59">
        <v>43147</v>
      </c>
      <c r="C568" s="54">
        <v>371.5</v>
      </c>
      <c r="D568" s="54">
        <v>588</v>
      </c>
      <c r="E568">
        <f t="shared" si="17"/>
        <v>1.5827725437415883</v>
      </c>
    </row>
    <row r="569" spans="1:5" x14ac:dyDescent="0.3">
      <c r="A569">
        <f t="shared" si="16"/>
        <v>2018</v>
      </c>
      <c r="B569" s="59">
        <v>43150</v>
      </c>
      <c r="C569" s="54">
        <v>378</v>
      </c>
      <c r="D569" s="54">
        <v>586</v>
      </c>
      <c r="E569">
        <f t="shared" si="17"/>
        <v>1.5502645502645502</v>
      </c>
    </row>
    <row r="570" spans="1:5" x14ac:dyDescent="0.3">
      <c r="A570">
        <f t="shared" si="16"/>
        <v>2018</v>
      </c>
      <c r="B570" s="59">
        <v>43151</v>
      </c>
      <c r="C570" s="54">
        <v>375</v>
      </c>
      <c r="D570" s="54">
        <v>589</v>
      </c>
      <c r="E570">
        <f t="shared" si="17"/>
        <v>1.5706666666666667</v>
      </c>
    </row>
    <row r="571" spans="1:5" x14ac:dyDescent="0.3">
      <c r="A571">
        <f t="shared" si="16"/>
        <v>2018</v>
      </c>
      <c r="B571" s="59">
        <v>43152</v>
      </c>
      <c r="C571" s="54">
        <v>379.5</v>
      </c>
      <c r="D571" s="54">
        <v>589</v>
      </c>
      <c r="E571">
        <f t="shared" si="17"/>
        <v>1.552042160737813</v>
      </c>
    </row>
    <row r="572" spans="1:5" x14ac:dyDescent="0.3">
      <c r="A572">
        <f t="shared" si="16"/>
        <v>2018</v>
      </c>
      <c r="B572" s="59">
        <v>43153</v>
      </c>
      <c r="C572" s="54">
        <v>379</v>
      </c>
      <c r="D572" s="54">
        <v>589</v>
      </c>
      <c r="E572">
        <f t="shared" si="17"/>
        <v>1.554089709762533</v>
      </c>
    </row>
    <row r="573" spans="1:5" x14ac:dyDescent="0.3">
      <c r="A573">
        <f t="shared" si="16"/>
        <v>2018</v>
      </c>
      <c r="B573" s="59">
        <v>43154</v>
      </c>
      <c r="C573" s="54">
        <v>379</v>
      </c>
      <c r="D573" s="54">
        <v>589</v>
      </c>
      <c r="E573">
        <f t="shared" si="17"/>
        <v>1.554089709762533</v>
      </c>
    </row>
    <row r="574" spans="1:5" x14ac:dyDescent="0.3">
      <c r="A574">
        <f t="shared" si="16"/>
        <v>2018</v>
      </c>
      <c r="B574" s="59">
        <v>43157</v>
      </c>
      <c r="C574" s="54">
        <v>390</v>
      </c>
      <c r="D574" s="54">
        <v>596</v>
      </c>
      <c r="E574">
        <f t="shared" si="17"/>
        <v>1.5282051282051281</v>
      </c>
    </row>
    <row r="575" spans="1:5" x14ac:dyDescent="0.3">
      <c r="A575">
        <f t="shared" si="16"/>
        <v>2018</v>
      </c>
      <c r="B575" s="59">
        <v>43158</v>
      </c>
      <c r="C575" s="54">
        <v>390</v>
      </c>
      <c r="D575" s="54">
        <v>594</v>
      </c>
      <c r="E575">
        <f t="shared" si="17"/>
        <v>1.523076923076923</v>
      </c>
    </row>
    <row r="576" spans="1:5" x14ac:dyDescent="0.3">
      <c r="A576">
        <f t="shared" si="16"/>
        <v>2018</v>
      </c>
      <c r="B576" s="59">
        <v>43159</v>
      </c>
      <c r="C576" s="54">
        <v>389</v>
      </c>
      <c r="D576" s="54">
        <v>594</v>
      </c>
      <c r="E576">
        <f t="shared" si="17"/>
        <v>1.5269922879177378</v>
      </c>
    </row>
    <row r="577" spans="1:5" x14ac:dyDescent="0.3">
      <c r="A577">
        <f t="shared" si="16"/>
        <v>2018</v>
      </c>
      <c r="B577" s="59">
        <v>43160</v>
      </c>
      <c r="C577" s="54">
        <v>388.5</v>
      </c>
      <c r="D577" s="54">
        <v>580</v>
      </c>
      <c r="E577">
        <f t="shared" si="17"/>
        <v>1.4929214929214929</v>
      </c>
    </row>
    <row r="578" spans="1:5" x14ac:dyDescent="0.3">
      <c r="A578">
        <f t="shared" si="16"/>
        <v>2018</v>
      </c>
      <c r="B578" s="59">
        <v>43161</v>
      </c>
      <c r="C578" s="54">
        <v>397.5</v>
      </c>
      <c r="D578" s="54">
        <v>585</v>
      </c>
      <c r="E578">
        <f t="shared" si="17"/>
        <v>1.4716981132075471</v>
      </c>
    </row>
    <row r="579" spans="1:5" x14ac:dyDescent="0.3">
      <c r="A579">
        <f t="shared" si="16"/>
        <v>2018</v>
      </c>
      <c r="B579" s="59">
        <v>43164</v>
      </c>
      <c r="C579" s="54">
        <v>393</v>
      </c>
      <c r="D579" s="54">
        <v>585</v>
      </c>
      <c r="E579">
        <f t="shared" si="17"/>
        <v>1.4885496183206106</v>
      </c>
    </row>
    <row r="580" spans="1:5" x14ac:dyDescent="0.3">
      <c r="A580">
        <f t="shared" ref="A580:A643" si="18">YEAR(B580)</f>
        <v>2018</v>
      </c>
      <c r="B580" s="59">
        <v>43165</v>
      </c>
      <c r="C580" s="54">
        <v>391</v>
      </c>
      <c r="D580" s="54">
        <v>578</v>
      </c>
      <c r="E580">
        <f t="shared" ref="E580:E643" si="19">D580/C580</f>
        <v>1.4782608695652173</v>
      </c>
    </row>
    <row r="581" spans="1:5" x14ac:dyDescent="0.3">
      <c r="A581">
        <f t="shared" si="18"/>
        <v>2018</v>
      </c>
      <c r="B581" s="59">
        <v>43166</v>
      </c>
      <c r="C581" s="54">
        <v>385</v>
      </c>
      <c r="D581" s="54">
        <v>588</v>
      </c>
      <c r="E581">
        <f t="shared" si="19"/>
        <v>1.5272727272727273</v>
      </c>
    </row>
    <row r="582" spans="1:5" x14ac:dyDescent="0.3">
      <c r="A582">
        <f t="shared" si="18"/>
        <v>2018</v>
      </c>
      <c r="B582" s="59">
        <v>43167</v>
      </c>
      <c r="C582" s="54">
        <v>377</v>
      </c>
      <c r="D582" s="54">
        <v>577</v>
      </c>
      <c r="E582">
        <f t="shared" si="19"/>
        <v>1.5305039787798409</v>
      </c>
    </row>
    <row r="583" spans="1:5" x14ac:dyDescent="0.3">
      <c r="A583">
        <f t="shared" si="18"/>
        <v>2018</v>
      </c>
      <c r="B583" s="59">
        <v>43168</v>
      </c>
      <c r="C583" s="54">
        <v>379.5</v>
      </c>
      <c r="D583" s="54">
        <v>572</v>
      </c>
      <c r="E583">
        <f t="shared" si="19"/>
        <v>1.5072463768115942</v>
      </c>
    </row>
    <row r="584" spans="1:5" x14ac:dyDescent="0.3">
      <c r="A584">
        <f t="shared" si="18"/>
        <v>2018</v>
      </c>
      <c r="B584" s="59">
        <v>43171</v>
      </c>
      <c r="C584" s="54">
        <v>374</v>
      </c>
      <c r="D584" s="54">
        <v>572</v>
      </c>
      <c r="E584">
        <f t="shared" si="19"/>
        <v>1.5294117647058822</v>
      </c>
    </row>
    <row r="585" spans="1:5" x14ac:dyDescent="0.3">
      <c r="A585">
        <f t="shared" si="18"/>
        <v>2018</v>
      </c>
      <c r="B585" s="59">
        <v>43172</v>
      </c>
      <c r="C585" s="54">
        <v>372</v>
      </c>
      <c r="D585" s="54">
        <v>565</v>
      </c>
      <c r="E585">
        <f t="shared" si="19"/>
        <v>1.5188172043010753</v>
      </c>
    </row>
    <row r="586" spans="1:5" x14ac:dyDescent="0.3">
      <c r="A586">
        <f t="shared" si="18"/>
        <v>2018</v>
      </c>
      <c r="B586" s="59">
        <v>43173</v>
      </c>
      <c r="C586" s="54">
        <v>369</v>
      </c>
      <c r="D586" s="54">
        <v>565</v>
      </c>
      <c r="E586">
        <f t="shared" si="19"/>
        <v>1.5311653116531165</v>
      </c>
    </row>
    <row r="587" spans="1:5" x14ac:dyDescent="0.3">
      <c r="A587">
        <f t="shared" si="18"/>
        <v>2018</v>
      </c>
      <c r="B587" s="59">
        <v>43174</v>
      </c>
      <c r="C587" s="54">
        <v>370</v>
      </c>
      <c r="D587" s="54">
        <v>565</v>
      </c>
      <c r="E587">
        <f t="shared" si="19"/>
        <v>1.527027027027027</v>
      </c>
    </row>
    <row r="588" spans="1:5" x14ac:dyDescent="0.3">
      <c r="A588">
        <f t="shared" si="18"/>
        <v>2018</v>
      </c>
      <c r="B588" s="59">
        <v>43175</v>
      </c>
      <c r="C588" s="54">
        <v>375</v>
      </c>
      <c r="D588" s="54">
        <v>565</v>
      </c>
      <c r="E588">
        <f t="shared" si="19"/>
        <v>1.5066666666666666</v>
      </c>
    </row>
    <row r="589" spans="1:5" x14ac:dyDescent="0.3">
      <c r="A589">
        <f t="shared" si="18"/>
        <v>2018</v>
      </c>
      <c r="B589" s="59">
        <v>43178</v>
      </c>
      <c r="C589" s="54">
        <v>365</v>
      </c>
      <c r="D589" s="54">
        <v>557</v>
      </c>
      <c r="E589">
        <f t="shared" si="19"/>
        <v>1.526027397260274</v>
      </c>
    </row>
    <row r="590" spans="1:5" x14ac:dyDescent="0.3">
      <c r="A590">
        <f t="shared" si="18"/>
        <v>2018</v>
      </c>
      <c r="B590" s="59">
        <v>43179</v>
      </c>
      <c r="C590" s="54">
        <v>360</v>
      </c>
      <c r="D590" s="54">
        <v>549</v>
      </c>
      <c r="E590">
        <f t="shared" si="19"/>
        <v>1.5249999999999999</v>
      </c>
    </row>
    <row r="591" spans="1:5" x14ac:dyDescent="0.3">
      <c r="A591">
        <f t="shared" si="18"/>
        <v>2018</v>
      </c>
      <c r="B591" s="59">
        <v>43180</v>
      </c>
      <c r="C591" s="54">
        <v>360</v>
      </c>
      <c r="D591" s="54">
        <v>549.5</v>
      </c>
      <c r="E591">
        <f t="shared" si="19"/>
        <v>1.5263888888888888</v>
      </c>
    </row>
    <row r="592" spans="1:5" x14ac:dyDescent="0.3">
      <c r="A592">
        <f t="shared" si="18"/>
        <v>2018</v>
      </c>
      <c r="B592" s="59">
        <v>43181</v>
      </c>
      <c r="C592" s="54">
        <v>362</v>
      </c>
      <c r="D592" s="54">
        <v>551</v>
      </c>
      <c r="E592">
        <f t="shared" si="19"/>
        <v>1.5220994475138121</v>
      </c>
    </row>
    <row r="593" spans="1:5" x14ac:dyDescent="0.3">
      <c r="A593">
        <f t="shared" si="18"/>
        <v>2018</v>
      </c>
      <c r="B593" s="59">
        <v>43182</v>
      </c>
      <c r="C593" s="54">
        <v>353</v>
      </c>
      <c r="D593" s="54">
        <v>548</v>
      </c>
      <c r="E593">
        <f t="shared" si="19"/>
        <v>1.5524079320113315</v>
      </c>
    </row>
    <row r="594" spans="1:5" x14ac:dyDescent="0.3">
      <c r="A594">
        <f t="shared" si="18"/>
        <v>2018</v>
      </c>
      <c r="B594" s="59">
        <v>43185</v>
      </c>
      <c r="C594" s="54">
        <v>353</v>
      </c>
      <c r="D594" s="54">
        <v>546</v>
      </c>
      <c r="E594">
        <f t="shared" si="19"/>
        <v>1.546742209631728</v>
      </c>
    </row>
    <row r="595" spans="1:5" x14ac:dyDescent="0.3">
      <c r="A595">
        <f t="shared" si="18"/>
        <v>2018</v>
      </c>
      <c r="B595" s="59">
        <v>43186</v>
      </c>
      <c r="C595" s="54">
        <v>350</v>
      </c>
      <c r="D595" s="54">
        <v>543</v>
      </c>
      <c r="E595">
        <f t="shared" si="19"/>
        <v>1.5514285714285714</v>
      </c>
    </row>
    <row r="596" spans="1:5" x14ac:dyDescent="0.3">
      <c r="A596">
        <f t="shared" si="18"/>
        <v>2018</v>
      </c>
      <c r="B596" s="59">
        <v>43187</v>
      </c>
      <c r="C596" s="54">
        <v>345</v>
      </c>
      <c r="D596" s="54">
        <v>543</v>
      </c>
      <c r="E596">
        <f t="shared" si="19"/>
        <v>1.5739130434782609</v>
      </c>
    </row>
    <row r="597" spans="1:5" x14ac:dyDescent="0.3">
      <c r="A597">
        <f t="shared" si="18"/>
        <v>2018</v>
      </c>
      <c r="B597" s="59">
        <v>43188</v>
      </c>
      <c r="C597" s="54">
        <v>342</v>
      </c>
      <c r="D597" s="54">
        <v>535</v>
      </c>
      <c r="E597">
        <f t="shared" si="19"/>
        <v>1.564327485380117</v>
      </c>
    </row>
    <row r="598" spans="1:5" x14ac:dyDescent="0.3">
      <c r="A598">
        <f t="shared" si="18"/>
        <v>2018</v>
      </c>
      <c r="B598" s="59">
        <v>43193</v>
      </c>
      <c r="C598" s="54">
        <v>339</v>
      </c>
      <c r="D598" s="54">
        <v>532</v>
      </c>
      <c r="E598">
        <f t="shared" si="19"/>
        <v>1.5693215339233038</v>
      </c>
    </row>
    <row r="599" spans="1:5" x14ac:dyDescent="0.3">
      <c r="A599">
        <f t="shared" si="18"/>
        <v>2018</v>
      </c>
      <c r="B599" s="59">
        <v>43194</v>
      </c>
      <c r="C599" s="54">
        <v>327</v>
      </c>
      <c r="D599" s="54">
        <v>525</v>
      </c>
      <c r="E599">
        <f t="shared" si="19"/>
        <v>1.6055045871559632</v>
      </c>
    </row>
    <row r="600" spans="1:5" x14ac:dyDescent="0.3">
      <c r="A600">
        <f t="shared" si="18"/>
        <v>2018</v>
      </c>
      <c r="B600" s="59">
        <v>43195</v>
      </c>
      <c r="C600" s="54">
        <v>320</v>
      </c>
      <c r="D600" s="54">
        <v>512</v>
      </c>
      <c r="E600">
        <f t="shared" si="19"/>
        <v>1.6</v>
      </c>
    </row>
    <row r="601" spans="1:5" x14ac:dyDescent="0.3">
      <c r="A601">
        <f t="shared" si="18"/>
        <v>2018</v>
      </c>
      <c r="B601" s="59">
        <v>43196</v>
      </c>
      <c r="C601" s="54">
        <v>342</v>
      </c>
      <c r="D601" s="54">
        <v>524</v>
      </c>
      <c r="E601">
        <f t="shared" si="19"/>
        <v>1.5321637426900585</v>
      </c>
    </row>
    <row r="602" spans="1:5" x14ac:dyDescent="0.3">
      <c r="A602">
        <f t="shared" si="18"/>
        <v>2018</v>
      </c>
      <c r="B602" s="59">
        <v>43199</v>
      </c>
      <c r="C602" s="54">
        <v>342</v>
      </c>
      <c r="D602" s="54">
        <v>532</v>
      </c>
      <c r="E602">
        <f t="shared" si="19"/>
        <v>1.5555555555555556</v>
      </c>
    </row>
    <row r="603" spans="1:5" x14ac:dyDescent="0.3">
      <c r="A603">
        <f t="shared" si="18"/>
        <v>2018</v>
      </c>
      <c r="B603" s="59">
        <v>43200</v>
      </c>
      <c r="C603" s="54">
        <v>344</v>
      </c>
      <c r="D603" s="54">
        <v>535</v>
      </c>
      <c r="E603">
        <f t="shared" si="19"/>
        <v>1.555232558139535</v>
      </c>
    </row>
    <row r="604" spans="1:5" x14ac:dyDescent="0.3">
      <c r="A604">
        <f t="shared" si="18"/>
        <v>2018</v>
      </c>
      <c r="B604" s="59">
        <v>43201</v>
      </c>
      <c r="C604" s="54">
        <v>336</v>
      </c>
      <c r="D604" s="54">
        <v>535</v>
      </c>
      <c r="E604">
        <f t="shared" si="19"/>
        <v>1.5922619047619047</v>
      </c>
    </row>
    <row r="605" spans="1:5" x14ac:dyDescent="0.3">
      <c r="A605">
        <f t="shared" si="18"/>
        <v>2018</v>
      </c>
      <c r="B605" s="59">
        <v>43202</v>
      </c>
      <c r="C605" s="54">
        <v>336</v>
      </c>
      <c r="D605" s="54">
        <v>529</v>
      </c>
      <c r="E605">
        <f t="shared" si="19"/>
        <v>1.5744047619047619</v>
      </c>
    </row>
    <row r="606" spans="1:5" x14ac:dyDescent="0.3">
      <c r="A606">
        <f t="shared" si="18"/>
        <v>2018</v>
      </c>
      <c r="B606" s="59">
        <v>43203</v>
      </c>
      <c r="C606" s="54">
        <v>336</v>
      </c>
      <c r="D606" s="54">
        <v>538</v>
      </c>
      <c r="E606">
        <f t="shared" si="19"/>
        <v>1.6011904761904763</v>
      </c>
    </row>
    <row r="607" spans="1:5" x14ac:dyDescent="0.3">
      <c r="A607">
        <f t="shared" si="18"/>
        <v>2018</v>
      </c>
      <c r="B607" s="59">
        <v>43206</v>
      </c>
      <c r="C607" s="54">
        <v>339</v>
      </c>
      <c r="D607" s="54">
        <v>534.5</v>
      </c>
      <c r="E607">
        <f t="shared" si="19"/>
        <v>1.5766961651917404</v>
      </c>
    </row>
    <row r="608" spans="1:5" x14ac:dyDescent="0.3">
      <c r="A608">
        <f t="shared" si="18"/>
        <v>2018</v>
      </c>
      <c r="B608" s="59">
        <v>43207</v>
      </c>
      <c r="C608" s="54">
        <v>348</v>
      </c>
      <c r="D608" s="54">
        <v>538</v>
      </c>
      <c r="E608">
        <f t="shared" si="19"/>
        <v>1.5459770114942528</v>
      </c>
    </row>
    <row r="609" spans="1:5" x14ac:dyDescent="0.3">
      <c r="A609">
        <f t="shared" si="18"/>
        <v>2018</v>
      </c>
      <c r="B609" s="59">
        <v>43208</v>
      </c>
      <c r="C609" s="54">
        <v>346</v>
      </c>
      <c r="D609" s="54">
        <v>548</v>
      </c>
      <c r="E609">
        <f t="shared" si="19"/>
        <v>1.5838150289017341</v>
      </c>
    </row>
    <row r="610" spans="1:5" x14ac:dyDescent="0.3">
      <c r="A610">
        <f t="shared" si="18"/>
        <v>2018</v>
      </c>
      <c r="B610" s="59">
        <v>43209</v>
      </c>
      <c r="C610" s="54">
        <v>343</v>
      </c>
      <c r="D610" s="54">
        <v>548</v>
      </c>
      <c r="E610">
        <f t="shared" si="19"/>
        <v>1.597667638483965</v>
      </c>
    </row>
    <row r="611" spans="1:5" x14ac:dyDescent="0.3">
      <c r="A611">
        <f t="shared" si="18"/>
        <v>2018</v>
      </c>
      <c r="B611" s="59">
        <v>43210</v>
      </c>
      <c r="C611" s="54">
        <v>344</v>
      </c>
      <c r="D611" s="54">
        <v>548</v>
      </c>
      <c r="E611">
        <f t="shared" si="19"/>
        <v>1.5930232558139534</v>
      </c>
    </row>
    <row r="612" spans="1:5" x14ac:dyDescent="0.3">
      <c r="A612">
        <f t="shared" si="18"/>
        <v>2018</v>
      </c>
      <c r="B612" s="59">
        <v>43213</v>
      </c>
      <c r="C612" s="54">
        <v>352.5</v>
      </c>
      <c r="D612" s="54">
        <v>550</v>
      </c>
      <c r="E612">
        <f t="shared" si="19"/>
        <v>1.5602836879432624</v>
      </c>
    </row>
    <row r="613" spans="1:5" x14ac:dyDescent="0.3">
      <c r="A613">
        <f t="shared" si="18"/>
        <v>2018</v>
      </c>
      <c r="B613" s="59">
        <v>43214</v>
      </c>
      <c r="C613" s="54">
        <v>347</v>
      </c>
      <c r="D613" s="54">
        <v>550</v>
      </c>
      <c r="E613">
        <f t="shared" si="19"/>
        <v>1.5850144092219021</v>
      </c>
    </row>
    <row r="614" spans="1:5" x14ac:dyDescent="0.3">
      <c r="A614">
        <f t="shared" si="18"/>
        <v>2018</v>
      </c>
      <c r="B614" s="59">
        <v>43215</v>
      </c>
      <c r="C614" s="54">
        <v>337</v>
      </c>
      <c r="D614" s="54">
        <v>540</v>
      </c>
      <c r="E614">
        <f t="shared" si="19"/>
        <v>1.6023738872403561</v>
      </c>
    </row>
    <row r="615" spans="1:5" x14ac:dyDescent="0.3">
      <c r="A615">
        <f t="shared" si="18"/>
        <v>2018</v>
      </c>
      <c r="B615" s="59">
        <v>43216</v>
      </c>
      <c r="C615" s="54">
        <v>346</v>
      </c>
      <c r="D615" s="54">
        <v>539</v>
      </c>
      <c r="E615">
        <f t="shared" si="19"/>
        <v>1.5578034682080926</v>
      </c>
    </row>
    <row r="616" spans="1:5" x14ac:dyDescent="0.3">
      <c r="A616">
        <f t="shared" si="18"/>
        <v>2018</v>
      </c>
      <c r="B616" s="59">
        <v>43217</v>
      </c>
      <c r="C616" s="54">
        <v>346</v>
      </c>
      <c r="D616" s="54">
        <v>539</v>
      </c>
      <c r="E616">
        <f t="shared" si="19"/>
        <v>1.5578034682080926</v>
      </c>
    </row>
    <row r="617" spans="1:5" x14ac:dyDescent="0.3">
      <c r="A617">
        <f t="shared" si="18"/>
        <v>2018</v>
      </c>
      <c r="B617" s="59">
        <v>43220</v>
      </c>
      <c r="C617" s="54">
        <v>350.5</v>
      </c>
      <c r="D617" s="54">
        <v>545</v>
      </c>
      <c r="E617">
        <f t="shared" si="19"/>
        <v>1.5549215406562054</v>
      </c>
    </row>
    <row r="618" spans="1:5" x14ac:dyDescent="0.3">
      <c r="A618">
        <f t="shared" si="18"/>
        <v>2018</v>
      </c>
      <c r="B618" s="59">
        <v>43221</v>
      </c>
      <c r="C618" s="54">
        <v>347</v>
      </c>
      <c r="D618" s="54">
        <v>546</v>
      </c>
      <c r="E618">
        <f t="shared" si="19"/>
        <v>1.5734870317002883</v>
      </c>
    </row>
    <row r="619" spans="1:5" x14ac:dyDescent="0.3">
      <c r="A619">
        <f t="shared" si="18"/>
        <v>2018</v>
      </c>
      <c r="B619" s="59">
        <v>43222</v>
      </c>
      <c r="C619" s="54">
        <v>349</v>
      </c>
      <c r="D619" s="54">
        <v>548</v>
      </c>
      <c r="E619">
        <f t="shared" si="19"/>
        <v>1.5702005730659025</v>
      </c>
    </row>
    <row r="620" spans="1:5" x14ac:dyDescent="0.3">
      <c r="A620">
        <f t="shared" si="18"/>
        <v>2018</v>
      </c>
      <c r="B620" s="59">
        <v>43223</v>
      </c>
      <c r="C620" s="54">
        <v>352</v>
      </c>
      <c r="D620" s="54">
        <v>549</v>
      </c>
      <c r="E620">
        <f t="shared" si="19"/>
        <v>1.5596590909090908</v>
      </c>
    </row>
    <row r="621" spans="1:5" x14ac:dyDescent="0.3">
      <c r="A621">
        <f t="shared" si="18"/>
        <v>2018</v>
      </c>
      <c r="B621" s="59">
        <v>43224</v>
      </c>
      <c r="C621" s="54">
        <v>352</v>
      </c>
      <c r="D621" s="54">
        <v>550</v>
      </c>
      <c r="E621">
        <f t="shared" si="19"/>
        <v>1.5625</v>
      </c>
    </row>
    <row r="622" spans="1:5" x14ac:dyDescent="0.3">
      <c r="A622">
        <f t="shared" si="18"/>
        <v>2018</v>
      </c>
      <c r="B622" s="59">
        <v>43228</v>
      </c>
      <c r="C622" s="54">
        <v>352</v>
      </c>
      <c r="D622" s="54">
        <v>550</v>
      </c>
      <c r="E622">
        <f t="shared" si="19"/>
        <v>1.5625</v>
      </c>
    </row>
    <row r="623" spans="1:5" x14ac:dyDescent="0.3">
      <c r="A623">
        <f t="shared" si="18"/>
        <v>2018</v>
      </c>
      <c r="B623" s="59">
        <v>43229</v>
      </c>
      <c r="C623" s="54">
        <v>345</v>
      </c>
      <c r="D623" s="54">
        <v>550</v>
      </c>
      <c r="E623">
        <f t="shared" si="19"/>
        <v>1.5942028985507246</v>
      </c>
    </row>
    <row r="624" spans="1:5" x14ac:dyDescent="0.3">
      <c r="A624">
        <f t="shared" si="18"/>
        <v>2018</v>
      </c>
      <c r="B624" s="59">
        <v>43230</v>
      </c>
      <c r="C624" s="54">
        <v>345</v>
      </c>
      <c r="D624" s="54">
        <v>550</v>
      </c>
      <c r="E624">
        <f t="shared" si="19"/>
        <v>1.5942028985507246</v>
      </c>
    </row>
    <row r="625" spans="1:5" x14ac:dyDescent="0.3">
      <c r="A625">
        <f t="shared" si="18"/>
        <v>2018</v>
      </c>
      <c r="B625" s="59">
        <v>43231</v>
      </c>
      <c r="C625" s="54">
        <v>350</v>
      </c>
      <c r="D625" s="54">
        <v>550</v>
      </c>
      <c r="E625">
        <f t="shared" si="19"/>
        <v>1.5714285714285714</v>
      </c>
    </row>
    <row r="626" spans="1:5" x14ac:dyDescent="0.3">
      <c r="A626">
        <f t="shared" si="18"/>
        <v>2018</v>
      </c>
      <c r="B626" s="59">
        <v>43234</v>
      </c>
      <c r="C626" s="54">
        <v>351</v>
      </c>
      <c r="D626" s="54">
        <v>550</v>
      </c>
      <c r="E626">
        <f t="shared" si="19"/>
        <v>1.566951566951567</v>
      </c>
    </row>
    <row r="627" spans="1:5" x14ac:dyDescent="0.3">
      <c r="A627">
        <f t="shared" si="18"/>
        <v>2018</v>
      </c>
      <c r="B627" s="59">
        <v>43235</v>
      </c>
      <c r="C627" s="54">
        <v>351</v>
      </c>
      <c r="D627" s="54">
        <v>546</v>
      </c>
      <c r="E627">
        <f t="shared" si="19"/>
        <v>1.5555555555555556</v>
      </c>
    </row>
    <row r="628" spans="1:5" x14ac:dyDescent="0.3">
      <c r="A628">
        <f t="shared" si="18"/>
        <v>2018</v>
      </c>
      <c r="B628" s="59">
        <v>43236</v>
      </c>
      <c r="C628" s="54">
        <v>350</v>
      </c>
      <c r="D628" s="54">
        <v>546</v>
      </c>
      <c r="E628">
        <f t="shared" si="19"/>
        <v>1.56</v>
      </c>
    </row>
    <row r="629" spans="1:5" x14ac:dyDescent="0.3">
      <c r="A629">
        <f t="shared" si="18"/>
        <v>2018</v>
      </c>
      <c r="B629" s="59">
        <v>43237</v>
      </c>
      <c r="C629" s="54">
        <v>343</v>
      </c>
      <c r="D629" s="54">
        <v>549</v>
      </c>
      <c r="E629">
        <f t="shared" si="19"/>
        <v>1.6005830903790088</v>
      </c>
    </row>
    <row r="630" spans="1:5" x14ac:dyDescent="0.3">
      <c r="A630">
        <f t="shared" si="18"/>
        <v>2018</v>
      </c>
      <c r="B630" s="59">
        <v>43238</v>
      </c>
      <c r="C630" s="54">
        <v>338</v>
      </c>
      <c r="D630" s="54">
        <v>539.5</v>
      </c>
      <c r="E630">
        <f t="shared" si="19"/>
        <v>1.5961538461538463</v>
      </c>
    </row>
    <row r="631" spans="1:5" x14ac:dyDescent="0.3">
      <c r="A631">
        <f t="shared" si="18"/>
        <v>2018</v>
      </c>
      <c r="B631" s="59">
        <v>43241</v>
      </c>
      <c r="C631" s="54">
        <v>343</v>
      </c>
      <c r="D631" s="54">
        <v>538</v>
      </c>
      <c r="E631">
        <f t="shared" si="19"/>
        <v>1.5685131195335278</v>
      </c>
    </row>
    <row r="632" spans="1:5" x14ac:dyDescent="0.3">
      <c r="A632">
        <f t="shared" si="18"/>
        <v>2018</v>
      </c>
      <c r="B632" s="59">
        <v>43242</v>
      </c>
      <c r="C632" s="54">
        <v>340</v>
      </c>
      <c r="D632" s="54">
        <v>530</v>
      </c>
      <c r="E632">
        <f t="shared" si="19"/>
        <v>1.5588235294117647</v>
      </c>
    </row>
    <row r="633" spans="1:5" x14ac:dyDescent="0.3">
      <c r="A633">
        <f t="shared" si="18"/>
        <v>2018</v>
      </c>
      <c r="B633" s="59">
        <v>43243</v>
      </c>
      <c r="C633" s="54">
        <v>334</v>
      </c>
      <c r="D633" s="54">
        <v>529</v>
      </c>
      <c r="E633">
        <f t="shared" si="19"/>
        <v>1.5838323353293413</v>
      </c>
    </row>
    <row r="634" spans="1:5" x14ac:dyDescent="0.3">
      <c r="A634">
        <f t="shared" si="18"/>
        <v>2018</v>
      </c>
      <c r="B634" s="59">
        <v>43244</v>
      </c>
      <c r="C634" s="54">
        <v>336</v>
      </c>
      <c r="D634" s="54">
        <v>529</v>
      </c>
      <c r="E634">
        <f t="shared" si="19"/>
        <v>1.5744047619047619</v>
      </c>
    </row>
    <row r="635" spans="1:5" x14ac:dyDescent="0.3">
      <c r="A635">
        <f t="shared" si="18"/>
        <v>2018</v>
      </c>
      <c r="B635" s="59">
        <v>43245</v>
      </c>
      <c r="C635" s="54">
        <v>329</v>
      </c>
      <c r="D635" s="54">
        <v>522</v>
      </c>
      <c r="E635">
        <f t="shared" si="19"/>
        <v>1.5866261398176291</v>
      </c>
    </row>
    <row r="636" spans="1:5" x14ac:dyDescent="0.3">
      <c r="A636">
        <f t="shared" si="18"/>
        <v>2018</v>
      </c>
      <c r="B636" s="59">
        <v>43249</v>
      </c>
      <c r="C636" s="54">
        <v>330</v>
      </c>
      <c r="D636" s="54">
        <v>526.5</v>
      </c>
      <c r="E636">
        <f t="shared" si="19"/>
        <v>1.5954545454545455</v>
      </c>
    </row>
    <row r="637" spans="1:5" x14ac:dyDescent="0.3">
      <c r="A637">
        <f t="shared" si="18"/>
        <v>2018</v>
      </c>
      <c r="B637" s="59">
        <v>43250</v>
      </c>
      <c r="C637" s="54">
        <v>330</v>
      </c>
      <c r="D637" s="54">
        <v>522</v>
      </c>
      <c r="E637">
        <f t="shared" si="19"/>
        <v>1.5818181818181818</v>
      </c>
    </row>
    <row r="638" spans="1:5" x14ac:dyDescent="0.3">
      <c r="A638">
        <f t="shared" si="18"/>
        <v>2018</v>
      </c>
      <c r="B638" s="59">
        <v>43251</v>
      </c>
      <c r="C638" s="54">
        <v>334</v>
      </c>
      <c r="D638" s="54">
        <v>522</v>
      </c>
      <c r="E638">
        <f t="shared" si="19"/>
        <v>1.562874251497006</v>
      </c>
    </row>
    <row r="639" spans="1:5" x14ac:dyDescent="0.3">
      <c r="A639">
        <f t="shared" si="18"/>
        <v>2018</v>
      </c>
      <c r="B639" s="59">
        <v>43252</v>
      </c>
      <c r="C639" s="54">
        <v>335</v>
      </c>
      <c r="D639" s="54">
        <v>520</v>
      </c>
      <c r="E639">
        <f t="shared" si="19"/>
        <v>1.5522388059701493</v>
      </c>
    </row>
    <row r="640" spans="1:5" x14ac:dyDescent="0.3">
      <c r="A640">
        <f t="shared" si="18"/>
        <v>2018</v>
      </c>
      <c r="B640" s="59">
        <v>43255</v>
      </c>
      <c r="C640" s="54">
        <v>336</v>
      </c>
      <c r="D640" s="54">
        <v>527</v>
      </c>
      <c r="E640">
        <f t="shared" si="19"/>
        <v>1.5684523809523809</v>
      </c>
    </row>
    <row r="641" spans="1:5" x14ac:dyDescent="0.3">
      <c r="A641">
        <f t="shared" si="18"/>
        <v>2018</v>
      </c>
      <c r="B641" s="59">
        <v>43256</v>
      </c>
      <c r="C641" s="54">
        <v>345</v>
      </c>
      <c r="D641" s="54">
        <v>543</v>
      </c>
      <c r="E641">
        <f t="shared" si="19"/>
        <v>1.5739130434782609</v>
      </c>
    </row>
    <row r="642" spans="1:5" x14ac:dyDescent="0.3">
      <c r="A642">
        <f t="shared" si="18"/>
        <v>2018</v>
      </c>
      <c r="B642" s="59">
        <v>43257</v>
      </c>
      <c r="C642" s="54">
        <v>341</v>
      </c>
      <c r="D642" s="54">
        <v>543</v>
      </c>
      <c r="E642">
        <f t="shared" si="19"/>
        <v>1.5923753665689149</v>
      </c>
    </row>
    <row r="643" spans="1:5" x14ac:dyDescent="0.3">
      <c r="A643">
        <f t="shared" si="18"/>
        <v>2018</v>
      </c>
      <c r="B643" s="59">
        <v>43258</v>
      </c>
      <c r="C643" s="54">
        <v>345</v>
      </c>
      <c r="D643" s="54">
        <v>543</v>
      </c>
      <c r="E643">
        <f t="shared" si="19"/>
        <v>1.5739130434782609</v>
      </c>
    </row>
    <row r="644" spans="1:5" x14ac:dyDescent="0.3">
      <c r="A644">
        <f t="shared" ref="A644:A707" si="20">YEAR(B644)</f>
        <v>2018</v>
      </c>
      <c r="B644" s="59">
        <v>43259</v>
      </c>
      <c r="C644" s="54">
        <v>340</v>
      </c>
      <c r="D644" s="54">
        <v>548</v>
      </c>
      <c r="E644">
        <f t="shared" ref="E644:E707" si="21">D644/C644</f>
        <v>1.611764705882353</v>
      </c>
    </row>
    <row r="645" spans="1:5" x14ac:dyDescent="0.3">
      <c r="A645">
        <f t="shared" si="20"/>
        <v>2018</v>
      </c>
      <c r="B645" s="59">
        <v>43262</v>
      </c>
      <c r="C645" s="54">
        <v>350</v>
      </c>
      <c r="D645" s="54">
        <v>548</v>
      </c>
      <c r="E645">
        <f t="shared" si="21"/>
        <v>1.5657142857142856</v>
      </c>
    </row>
    <row r="646" spans="1:5" x14ac:dyDescent="0.3">
      <c r="A646">
        <f t="shared" si="20"/>
        <v>2018</v>
      </c>
      <c r="B646" s="59">
        <v>43263</v>
      </c>
      <c r="C646" s="54">
        <v>351</v>
      </c>
      <c r="D646" s="54">
        <v>551.5</v>
      </c>
      <c r="E646">
        <f t="shared" si="21"/>
        <v>1.5712250712250713</v>
      </c>
    </row>
    <row r="647" spans="1:5" x14ac:dyDescent="0.3">
      <c r="A647">
        <f t="shared" si="20"/>
        <v>2018</v>
      </c>
      <c r="B647" s="59">
        <v>43264</v>
      </c>
      <c r="C647" s="54">
        <v>343.5</v>
      </c>
      <c r="D647" s="54">
        <v>551.5</v>
      </c>
      <c r="E647">
        <f t="shared" si="21"/>
        <v>1.6055312954876273</v>
      </c>
    </row>
    <row r="648" spans="1:5" x14ac:dyDescent="0.3">
      <c r="A648">
        <f t="shared" si="20"/>
        <v>2018</v>
      </c>
      <c r="B648" s="59">
        <v>43265</v>
      </c>
      <c r="C648" s="54">
        <v>348.5</v>
      </c>
      <c r="D648" s="54">
        <v>551.5</v>
      </c>
      <c r="E648">
        <f t="shared" si="21"/>
        <v>1.5824964131994261</v>
      </c>
    </row>
    <row r="649" spans="1:5" x14ac:dyDescent="0.3">
      <c r="A649">
        <f t="shared" si="20"/>
        <v>2018</v>
      </c>
      <c r="B649" s="59">
        <v>43266</v>
      </c>
      <c r="C649" s="54">
        <v>352</v>
      </c>
      <c r="D649" s="54">
        <v>556</v>
      </c>
      <c r="E649">
        <f t="shared" si="21"/>
        <v>1.5795454545454546</v>
      </c>
    </row>
    <row r="650" spans="1:5" x14ac:dyDescent="0.3">
      <c r="A650">
        <f t="shared" si="20"/>
        <v>2018</v>
      </c>
      <c r="B650" s="59">
        <v>43269</v>
      </c>
      <c r="C650" s="54">
        <v>350</v>
      </c>
      <c r="D650" s="54">
        <v>556</v>
      </c>
      <c r="E650">
        <f t="shared" si="21"/>
        <v>1.5885714285714285</v>
      </c>
    </row>
    <row r="651" spans="1:5" x14ac:dyDescent="0.3">
      <c r="A651">
        <f t="shared" si="20"/>
        <v>2018</v>
      </c>
      <c r="B651" s="59">
        <v>43270</v>
      </c>
      <c r="C651" s="54">
        <v>346</v>
      </c>
      <c r="D651" s="54">
        <v>545.5</v>
      </c>
      <c r="E651">
        <f t="shared" si="21"/>
        <v>1.5765895953757225</v>
      </c>
    </row>
    <row r="652" spans="1:5" x14ac:dyDescent="0.3">
      <c r="A652">
        <f t="shared" si="20"/>
        <v>2018</v>
      </c>
      <c r="B652" s="59">
        <v>43271</v>
      </c>
      <c r="C652" s="54">
        <v>346</v>
      </c>
      <c r="D652" s="54">
        <v>545.5</v>
      </c>
      <c r="E652">
        <f t="shared" si="21"/>
        <v>1.5765895953757225</v>
      </c>
    </row>
    <row r="653" spans="1:5" x14ac:dyDescent="0.3">
      <c r="A653">
        <f t="shared" si="20"/>
        <v>2018</v>
      </c>
      <c r="B653" s="59">
        <v>43272</v>
      </c>
      <c r="C653" s="54">
        <v>353</v>
      </c>
      <c r="D653" s="54">
        <v>545.5</v>
      </c>
      <c r="E653">
        <f t="shared" si="21"/>
        <v>1.5453257790368271</v>
      </c>
    </row>
    <row r="654" spans="1:5" x14ac:dyDescent="0.3">
      <c r="A654">
        <f t="shared" si="20"/>
        <v>2018</v>
      </c>
      <c r="B654" s="59">
        <v>43273</v>
      </c>
      <c r="C654" s="54">
        <v>352</v>
      </c>
      <c r="D654" s="54">
        <v>552</v>
      </c>
      <c r="E654">
        <f t="shared" si="21"/>
        <v>1.5681818181818181</v>
      </c>
    </row>
    <row r="655" spans="1:5" x14ac:dyDescent="0.3">
      <c r="A655">
        <f t="shared" si="20"/>
        <v>2018</v>
      </c>
      <c r="B655" s="59">
        <v>43276</v>
      </c>
      <c r="C655" s="54">
        <v>351</v>
      </c>
      <c r="D655" s="54">
        <v>552</v>
      </c>
      <c r="E655">
        <f t="shared" si="21"/>
        <v>1.5726495726495726</v>
      </c>
    </row>
    <row r="656" spans="1:5" x14ac:dyDescent="0.3">
      <c r="A656">
        <f t="shared" si="20"/>
        <v>2018</v>
      </c>
      <c r="B656" s="59">
        <v>43277</v>
      </c>
      <c r="C656" s="54">
        <v>351</v>
      </c>
      <c r="D656" s="54">
        <v>549.5</v>
      </c>
      <c r="E656">
        <f t="shared" si="21"/>
        <v>1.5655270655270654</v>
      </c>
    </row>
    <row r="657" spans="1:5" x14ac:dyDescent="0.3">
      <c r="A657">
        <f t="shared" si="20"/>
        <v>2018</v>
      </c>
      <c r="B657" s="59">
        <v>43278</v>
      </c>
      <c r="C657" s="54">
        <v>351</v>
      </c>
      <c r="D657" s="54">
        <v>549.5</v>
      </c>
      <c r="E657">
        <f t="shared" si="21"/>
        <v>1.5655270655270654</v>
      </c>
    </row>
    <row r="658" spans="1:5" x14ac:dyDescent="0.3">
      <c r="A658">
        <f t="shared" si="20"/>
        <v>2018</v>
      </c>
      <c r="B658" s="59">
        <v>43279</v>
      </c>
      <c r="C658" s="54">
        <v>351</v>
      </c>
      <c r="D658" s="54">
        <v>549.5</v>
      </c>
      <c r="E658">
        <f t="shared" si="21"/>
        <v>1.5655270655270654</v>
      </c>
    </row>
    <row r="659" spans="1:5" x14ac:dyDescent="0.3">
      <c r="A659">
        <f t="shared" si="20"/>
        <v>2018</v>
      </c>
      <c r="B659" s="59">
        <v>43280</v>
      </c>
      <c r="C659" s="54">
        <v>351</v>
      </c>
      <c r="D659" s="54">
        <v>549.5</v>
      </c>
      <c r="E659">
        <f t="shared" si="21"/>
        <v>1.5655270655270654</v>
      </c>
    </row>
    <row r="660" spans="1:5" x14ac:dyDescent="0.3">
      <c r="A660">
        <f t="shared" si="20"/>
        <v>2018</v>
      </c>
      <c r="B660" s="59">
        <v>43283</v>
      </c>
      <c r="C660" s="54">
        <v>335</v>
      </c>
      <c r="D660" s="54">
        <v>539.5</v>
      </c>
      <c r="E660">
        <f t="shared" si="21"/>
        <v>1.6104477611940298</v>
      </c>
    </row>
    <row r="661" spans="1:5" x14ac:dyDescent="0.3">
      <c r="A661">
        <f t="shared" si="20"/>
        <v>2018</v>
      </c>
      <c r="B661" s="59">
        <v>43284</v>
      </c>
      <c r="C661" s="54">
        <v>336</v>
      </c>
      <c r="D661" s="54">
        <v>539.5</v>
      </c>
      <c r="E661">
        <f t="shared" si="21"/>
        <v>1.6056547619047619</v>
      </c>
    </row>
    <row r="662" spans="1:5" x14ac:dyDescent="0.3">
      <c r="A662">
        <f t="shared" si="20"/>
        <v>2018</v>
      </c>
      <c r="B662" s="59">
        <v>43285</v>
      </c>
      <c r="C662" s="54">
        <v>328</v>
      </c>
      <c r="D662" s="54">
        <v>539.5</v>
      </c>
      <c r="E662">
        <f t="shared" si="21"/>
        <v>1.6448170731707317</v>
      </c>
    </row>
    <row r="663" spans="1:5" x14ac:dyDescent="0.3">
      <c r="A663">
        <f t="shared" si="20"/>
        <v>2018</v>
      </c>
      <c r="B663" s="59">
        <v>43286</v>
      </c>
      <c r="C663" s="54">
        <v>330</v>
      </c>
      <c r="D663" s="54">
        <v>535</v>
      </c>
      <c r="E663">
        <f t="shared" si="21"/>
        <v>1.6212121212121211</v>
      </c>
    </row>
    <row r="664" spans="1:5" x14ac:dyDescent="0.3">
      <c r="A664">
        <f t="shared" si="20"/>
        <v>2018</v>
      </c>
      <c r="B664" s="59">
        <v>43287</v>
      </c>
      <c r="C664" s="54">
        <v>332</v>
      </c>
      <c r="D664" s="54">
        <v>534</v>
      </c>
      <c r="E664">
        <f t="shared" si="21"/>
        <v>1.6084337349397591</v>
      </c>
    </row>
    <row r="665" spans="1:5" x14ac:dyDescent="0.3">
      <c r="A665">
        <f t="shared" si="20"/>
        <v>2018</v>
      </c>
      <c r="B665" s="59">
        <v>43290</v>
      </c>
      <c r="C665" s="54">
        <v>331</v>
      </c>
      <c r="D665" s="54">
        <v>538</v>
      </c>
      <c r="E665">
        <f t="shared" si="21"/>
        <v>1.6253776435045317</v>
      </c>
    </row>
    <row r="666" spans="1:5" x14ac:dyDescent="0.3">
      <c r="A666">
        <f t="shared" si="20"/>
        <v>2018</v>
      </c>
      <c r="B666" s="59">
        <v>43291</v>
      </c>
      <c r="C666" s="54">
        <v>335</v>
      </c>
      <c r="D666" s="54">
        <v>535</v>
      </c>
      <c r="E666">
        <f t="shared" si="21"/>
        <v>1.5970149253731343</v>
      </c>
    </row>
    <row r="667" spans="1:5" x14ac:dyDescent="0.3">
      <c r="A667">
        <f t="shared" si="20"/>
        <v>2018</v>
      </c>
      <c r="B667" s="59">
        <v>43292</v>
      </c>
      <c r="C667" s="54">
        <v>337</v>
      </c>
      <c r="D667" s="54">
        <v>535</v>
      </c>
      <c r="E667">
        <f t="shared" si="21"/>
        <v>1.5875370919881306</v>
      </c>
    </row>
    <row r="668" spans="1:5" x14ac:dyDescent="0.3">
      <c r="A668">
        <f t="shared" si="20"/>
        <v>2018</v>
      </c>
      <c r="B668" s="59">
        <v>43293</v>
      </c>
      <c r="C668" s="54">
        <v>333.5</v>
      </c>
      <c r="D668" s="54">
        <v>535</v>
      </c>
      <c r="E668">
        <f t="shared" si="21"/>
        <v>1.6041979010494753</v>
      </c>
    </row>
    <row r="669" spans="1:5" x14ac:dyDescent="0.3">
      <c r="A669">
        <f t="shared" si="20"/>
        <v>2018</v>
      </c>
      <c r="B669" s="59">
        <v>43294</v>
      </c>
      <c r="C669" s="54">
        <v>332</v>
      </c>
      <c r="D669" s="54">
        <v>535</v>
      </c>
      <c r="E669">
        <f t="shared" si="21"/>
        <v>1.6114457831325302</v>
      </c>
    </row>
    <row r="670" spans="1:5" x14ac:dyDescent="0.3">
      <c r="A670">
        <f t="shared" si="20"/>
        <v>2018</v>
      </c>
      <c r="B670" s="59">
        <v>43297</v>
      </c>
      <c r="C670" s="54">
        <v>331</v>
      </c>
      <c r="D670" s="54">
        <v>535</v>
      </c>
      <c r="E670">
        <f t="shared" si="21"/>
        <v>1.6163141993957704</v>
      </c>
    </row>
    <row r="671" spans="1:5" x14ac:dyDescent="0.3">
      <c r="A671">
        <f t="shared" si="20"/>
        <v>2018</v>
      </c>
      <c r="B671" s="59">
        <v>43298</v>
      </c>
      <c r="C671" s="54">
        <v>331</v>
      </c>
      <c r="D671" s="54">
        <v>535</v>
      </c>
      <c r="E671">
        <f t="shared" si="21"/>
        <v>1.6163141993957704</v>
      </c>
    </row>
    <row r="672" spans="1:5" x14ac:dyDescent="0.3">
      <c r="A672">
        <f t="shared" si="20"/>
        <v>2018</v>
      </c>
      <c r="B672" s="59">
        <v>43299</v>
      </c>
      <c r="C672" s="54">
        <v>330</v>
      </c>
      <c r="D672" s="54">
        <v>535</v>
      </c>
      <c r="E672">
        <f t="shared" si="21"/>
        <v>1.6212121212121211</v>
      </c>
    </row>
    <row r="673" spans="1:5" x14ac:dyDescent="0.3">
      <c r="A673">
        <f t="shared" si="20"/>
        <v>2018</v>
      </c>
      <c r="B673" s="59">
        <v>43300</v>
      </c>
      <c r="C673" s="54">
        <v>336</v>
      </c>
      <c r="D673" s="54">
        <v>531</v>
      </c>
      <c r="E673">
        <f t="shared" si="21"/>
        <v>1.5803571428571428</v>
      </c>
    </row>
    <row r="674" spans="1:5" x14ac:dyDescent="0.3">
      <c r="A674">
        <f t="shared" si="20"/>
        <v>2018</v>
      </c>
      <c r="B674" s="59">
        <v>43301</v>
      </c>
      <c r="C674" s="54">
        <v>332.5</v>
      </c>
      <c r="D674" s="54">
        <v>527</v>
      </c>
      <c r="E674">
        <f t="shared" si="21"/>
        <v>1.5849624060150376</v>
      </c>
    </row>
    <row r="675" spans="1:5" x14ac:dyDescent="0.3">
      <c r="A675">
        <f t="shared" si="20"/>
        <v>2018</v>
      </c>
      <c r="B675" s="59">
        <v>43304</v>
      </c>
      <c r="C675" s="54">
        <v>335</v>
      </c>
      <c r="D675" s="54">
        <v>527</v>
      </c>
      <c r="E675">
        <f t="shared" si="21"/>
        <v>1.5731343283582089</v>
      </c>
    </row>
    <row r="676" spans="1:5" x14ac:dyDescent="0.3">
      <c r="A676">
        <f t="shared" si="20"/>
        <v>2018</v>
      </c>
      <c r="B676" s="59">
        <v>43305</v>
      </c>
      <c r="C676" s="54">
        <v>335</v>
      </c>
      <c r="D676" s="54">
        <v>533</v>
      </c>
      <c r="E676">
        <f t="shared" si="21"/>
        <v>1.5910447761194031</v>
      </c>
    </row>
    <row r="677" spans="1:5" x14ac:dyDescent="0.3">
      <c r="A677">
        <f t="shared" si="20"/>
        <v>2018</v>
      </c>
      <c r="B677" s="59">
        <v>43306</v>
      </c>
      <c r="C677" s="54">
        <v>334</v>
      </c>
      <c r="D677" s="54">
        <v>536</v>
      </c>
      <c r="E677">
        <f t="shared" si="21"/>
        <v>1.6047904191616766</v>
      </c>
    </row>
    <row r="678" spans="1:5" x14ac:dyDescent="0.3">
      <c r="A678">
        <f t="shared" si="20"/>
        <v>2018</v>
      </c>
      <c r="B678" s="59">
        <v>43307</v>
      </c>
      <c r="C678" s="54">
        <v>340</v>
      </c>
      <c r="D678" s="54">
        <v>536</v>
      </c>
      <c r="E678">
        <f t="shared" si="21"/>
        <v>1.5764705882352941</v>
      </c>
    </row>
    <row r="679" spans="1:5" x14ac:dyDescent="0.3">
      <c r="A679">
        <f t="shared" si="20"/>
        <v>2018</v>
      </c>
      <c r="B679" s="59">
        <v>43308</v>
      </c>
      <c r="C679" s="54">
        <v>333</v>
      </c>
      <c r="D679" s="54">
        <v>544</v>
      </c>
      <c r="E679">
        <f t="shared" si="21"/>
        <v>1.6336336336336337</v>
      </c>
    </row>
    <row r="680" spans="1:5" x14ac:dyDescent="0.3">
      <c r="A680">
        <f t="shared" si="20"/>
        <v>2018</v>
      </c>
      <c r="B680" s="59">
        <v>43311</v>
      </c>
      <c r="C680" s="54">
        <v>335</v>
      </c>
      <c r="D680" s="54">
        <v>542</v>
      </c>
      <c r="E680">
        <f t="shared" si="21"/>
        <v>1.6179104477611941</v>
      </c>
    </row>
    <row r="681" spans="1:5" x14ac:dyDescent="0.3">
      <c r="A681">
        <f t="shared" si="20"/>
        <v>2018</v>
      </c>
      <c r="B681" s="59">
        <v>43312</v>
      </c>
      <c r="C681" s="54">
        <v>340</v>
      </c>
      <c r="D681" s="54">
        <v>542</v>
      </c>
      <c r="E681">
        <f t="shared" si="21"/>
        <v>1.5941176470588236</v>
      </c>
    </row>
    <row r="682" spans="1:5" x14ac:dyDescent="0.3">
      <c r="A682">
        <f t="shared" si="20"/>
        <v>2018</v>
      </c>
      <c r="B682" s="59">
        <v>43313</v>
      </c>
      <c r="C682" s="54">
        <v>327</v>
      </c>
      <c r="D682" s="54">
        <v>537</v>
      </c>
      <c r="E682">
        <f t="shared" si="21"/>
        <v>1.6422018348623852</v>
      </c>
    </row>
    <row r="683" spans="1:5" x14ac:dyDescent="0.3">
      <c r="A683">
        <f t="shared" si="20"/>
        <v>2018</v>
      </c>
      <c r="B683" s="59">
        <v>43314</v>
      </c>
      <c r="C683" s="54">
        <v>327</v>
      </c>
      <c r="D683" s="54">
        <v>526.5</v>
      </c>
      <c r="E683">
        <f t="shared" si="21"/>
        <v>1.6100917431192661</v>
      </c>
    </row>
    <row r="684" spans="1:5" x14ac:dyDescent="0.3">
      <c r="A684">
        <f t="shared" si="20"/>
        <v>2018</v>
      </c>
      <c r="B684" s="59">
        <v>43315</v>
      </c>
      <c r="C684" s="54">
        <v>327</v>
      </c>
      <c r="D684" s="54">
        <v>534</v>
      </c>
      <c r="E684">
        <f t="shared" si="21"/>
        <v>1.6330275229357798</v>
      </c>
    </row>
    <row r="685" spans="1:5" x14ac:dyDescent="0.3">
      <c r="A685">
        <f t="shared" si="20"/>
        <v>2018</v>
      </c>
      <c r="B685" s="59">
        <v>43318</v>
      </c>
      <c r="C685" s="54">
        <v>324</v>
      </c>
      <c r="D685" s="54">
        <v>534</v>
      </c>
      <c r="E685">
        <f t="shared" si="21"/>
        <v>1.6481481481481481</v>
      </c>
    </row>
    <row r="686" spans="1:5" x14ac:dyDescent="0.3">
      <c r="A686">
        <f t="shared" si="20"/>
        <v>2018</v>
      </c>
      <c r="B686" s="59">
        <v>43319</v>
      </c>
      <c r="C686" s="54">
        <v>320</v>
      </c>
      <c r="D686" s="54">
        <v>525</v>
      </c>
      <c r="E686">
        <f t="shared" si="21"/>
        <v>1.640625</v>
      </c>
    </row>
    <row r="687" spans="1:5" x14ac:dyDescent="0.3">
      <c r="A687">
        <f t="shared" si="20"/>
        <v>2018</v>
      </c>
      <c r="B687" s="59">
        <v>43320</v>
      </c>
      <c r="C687" s="54">
        <v>315</v>
      </c>
      <c r="D687" s="54">
        <v>525</v>
      </c>
      <c r="E687">
        <f t="shared" si="21"/>
        <v>1.6666666666666667</v>
      </c>
    </row>
    <row r="688" spans="1:5" x14ac:dyDescent="0.3">
      <c r="A688">
        <f t="shared" si="20"/>
        <v>2018</v>
      </c>
      <c r="B688" s="59">
        <v>43321</v>
      </c>
      <c r="C688" s="54">
        <v>313</v>
      </c>
      <c r="D688" s="54">
        <v>516</v>
      </c>
      <c r="E688">
        <f t="shared" si="21"/>
        <v>1.6485623003194889</v>
      </c>
    </row>
    <row r="689" spans="1:5" x14ac:dyDescent="0.3">
      <c r="A689">
        <f t="shared" si="20"/>
        <v>2018</v>
      </c>
      <c r="B689" s="59">
        <v>43322</v>
      </c>
      <c r="C689" s="54">
        <v>306</v>
      </c>
      <c r="D689" s="54">
        <v>500</v>
      </c>
      <c r="E689">
        <f t="shared" si="21"/>
        <v>1.6339869281045751</v>
      </c>
    </row>
    <row r="690" spans="1:5" x14ac:dyDescent="0.3">
      <c r="A690">
        <f t="shared" si="20"/>
        <v>2018</v>
      </c>
      <c r="B690" s="59">
        <v>43325</v>
      </c>
      <c r="C690" s="54">
        <v>290</v>
      </c>
      <c r="D690" s="54">
        <v>505</v>
      </c>
      <c r="E690">
        <f t="shared" si="21"/>
        <v>1.7413793103448276</v>
      </c>
    </row>
    <row r="691" spans="1:5" x14ac:dyDescent="0.3">
      <c r="A691">
        <f t="shared" si="20"/>
        <v>2018</v>
      </c>
      <c r="B691" s="59">
        <v>43326</v>
      </c>
      <c r="C691" s="54">
        <v>304</v>
      </c>
      <c r="D691" s="54">
        <v>506</v>
      </c>
      <c r="E691">
        <f t="shared" si="21"/>
        <v>1.6644736842105263</v>
      </c>
    </row>
    <row r="692" spans="1:5" x14ac:dyDescent="0.3">
      <c r="A692">
        <f t="shared" si="20"/>
        <v>2018</v>
      </c>
      <c r="B692" s="59">
        <v>43327</v>
      </c>
      <c r="C692" s="54">
        <v>303</v>
      </c>
      <c r="D692" s="54">
        <v>513</v>
      </c>
      <c r="E692">
        <f t="shared" si="21"/>
        <v>1.693069306930693</v>
      </c>
    </row>
    <row r="693" spans="1:5" x14ac:dyDescent="0.3">
      <c r="A693">
        <f t="shared" si="20"/>
        <v>2018</v>
      </c>
      <c r="B693" s="59">
        <v>43328</v>
      </c>
      <c r="C693" s="54">
        <v>304</v>
      </c>
      <c r="D693" s="54">
        <v>509</v>
      </c>
      <c r="E693">
        <f t="shared" si="21"/>
        <v>1.674342105263158</v>
      </c>
    </row>
    <row r="694" spans="1:5" x14ac:dyDescent="0.3">
      <c r="A694">
        <f t="shared" si="20"/>
        <v>2018</v>
      </c>
      <c r="B694" s="59">
        <v>43329</v>
      </c>
      <c r="C694" s="54">
        <v>293</v>
      </c>
      <c r="D694" s="54">
        <v>498</v>
      </c>
      <c r="E694">
        <f t="shared" si="21"/>
        <v>1.6996587030716723</v>
      </c>
    </row>
    <row r="695" spans="1:5" x14ac:dyDescent="0.3">
      <c r="A695">
        <f t="shared" si="20"/>
        <v>2018</v>
      </c>
      <c r="B695" s="59">
        <v>43332</v>
      </c>
      <c r="C695" s="54">
        <v>297</v>
      </c>
      <c r="D695" s="54">
        <v>511</v>
      </c>
      <c r="E695">
        <f t="shared" si="21"/>
        <v>1.7205387205387206</v>
      </c>
    </row>
    <row r="696" spans="1:5" x14ac:dyDescent="0.3">
      <c r="A696">
        <f t="shared" si="20"/>
        <v>2018</v>
      </c>
      <c r="B696" s="59">
        <v>43333</v>
      </c>
      <c r="C696" s="54">
        <v>296</v>
      </c>
      <c r="D696" s="54">
        <v>510</v>
      </c>
      <c r="E696">
        <f t="shared" si="21"/>
        <v>1.722972972972973</v>
      </c>
    </row>
    <row r="697" spans="1:5" x14ac:dyDescent="0.3">
      <c r="A697">
        <f t="shared" si="20"/>
        <v>2018</v>
      </c>
      <c r="B697" s="59">
        <v>43334</v>
      </c>
      <c r="C697" s="54">
        <v>296</v>
      </c>
      <c r="D697" s="54">
        <v>507.5</v>
      </c>
      <c r="E697">
        <f t="shared" si="21"/>
        <v>1.714527027027027</v>
      </c>
    </row>
    <row r="698" spans="1:5" x14ac:dyDescent="0.3">
      <c r="A698">
        <f t="shared" si="20"/>
        <v>2018</v>
      </c>
      <c r="B698" s="59">
        <v>43335</v>
      </c>
      <c r="C698" s="54">
        <v>299</v>
      </c>
      <c r="D698" s="54">
        <v>506</v>
      </c>
      <c r="E698">
        <f t="shared" si="21"/>
        <v>1.6923076923076923</v>
      </c>
    </row>
    <row r="699" spans="1:5" x14ac:dyDescent="0.3">
      <c r="A699">
        <f t="shared" si="20"/>
        <v>2018</v>
      </c>
      <c r="B699" s="59">
        <v>43336</v>
      </c>
      <c r="C699" s="54">
        <v>306</v>
      </c>
      <c r="D699" s="54">
        <v>506</v>
      </c>
      <c r="E699">
        <f t="shared" si="21"/>
        <v>1.65359477124183</v>
      </c>
    </row>
    <row r="700" spans="1:5" x14ac:dyDescent="0.3">
      <c r="A700">
        <f t="shared" si="20"/>
        <v>2018</v>
      </c>
      <c r="B700" s="59">
        <v>43340</v>
      </c>
      <c r="C700" s="54">
        <v>303.5</v>
      </c>
      <c r="D700" s="54">
        <v>506</v>
      </c>
      <c r="E700">
        <f t="shared" si="21"/>
        <v>1.6672158154859966</v>
      </c>
    </row>
    <row r="701" spans="1:5" x14ac:dyDescent="0.3">
      <c r="A701">
        <f t="shared" si="20"/>
        <v>2018</v>
      </c>
      <c r="B701" s="59">
        <v>43341</v>
      </c>
      <c r="C701" s="54">
        <v>310</v>
      </c>
      <c r="D701" s="54">
        <v>508</v>
      </c>
      <c r="E701">
        <f t="shared" si="21"/>
        <v>1.6387096774193548</v>
      </c>
    </row>
    <row r="702" spans="1:5" x14ac:dyDescent="0.3">
      <c r="A702">
        <f t="shared" si="20"/>
        <v>2018</v>
      </c>
      <c r="B702" s="59">
        <v>43342</v>
      </c>
      <c r="C702" s="54">
        <v>308</v>
      </c>
      <c r="D702" s="54">
        <v>501</v>
      </c>
      <c r="E702">
        <f t="shared" si="21"/>
        <v>1.6266233766233766</v>
      </c>
    </row>
    <row r="703" spans="1:5" x14ac:dyDescent="0.3">
      <c r="A703">
        <f t="shared" si="20"/>
        <v>2018</v>
      </c>
      <c r="B703" s="59">
        <v>43343</v>
      </c>
      <c r="C703" s="54">
        <v>310</v>
      </c>
      <c r="D703" s="54">
        <v>506.5</v>
      </c>
      <c r="E703">
        <f t="shared" si="21"/>
        <v>1.6338709677419354</v>
      </c>
    </row>
    <row r="704" spans="1:5" x14ac:dyDescent="0.3">
      <c r="A704">
        <f t="shared" si="20"/>
        <v>2018</v>
      </c>
      <c r="B704" s="59">
        <v>43346</v>
      </c>
      <c r="C704" s="54">
        <v>314</v>
      </c>
      <c r="D704" s="54">
        <v>514</v>
      </c>
      <c r="E704">
        <f t="shared" si="21"/>
        <v>1.6369426751592357</v>
      </c>
    </row>
    <row r="705" spans="1:5" x14ac:dyDescent="0.3">
      <c r="A705">
        <f t="shared" si="20"/>
        <v>2018</v>
      </c>
      <c r="B705" s="59">
        <v>43347</v>
      </c>
      <c r="C705" s="54">
        <v>316</v>
      </c>
      <c r="D705" s="54">
        <v>516</v>
      </c>
      <c r="E705">
        <f t="shared" si="21"/>
        <v>1.6329113924050633</v>
      </c>
    </row>
    <row r="706" spans="1:5" x14ac:dyDescent="0.3">
      <c r="A706">
        <f t="shared" si="20"/>
        <v>2018</v>
      </c>
      <c r="B706" s="59">
        <v>43348</v>
      </c>
      <c r="C706" s="54">
        <v>314</v>
      </c>
      <c r="D706" s="54">
        <v>516</v>
      </c>
      <c r="E706">
        <f t="shared" si="21"/>
        <v>1.6433121019108281</v>
      </c>
    </row>
    <row r="707" spans="1:5" x14ac:dyDescent="0.3">
      <c r="A707">
        <f t="shared" si="20"/>
        <v>2018</v>
      </c>
      <c r="B707" s="59">
        <v>43349</v>
      </c>
      <c r="C707" s="54">
        <v>310</v>
      </c>
      <c r="D707" s="54">
        <v>517</v>
      </c>
      <c r="E707">
        <f t="shared" si="21"/>
        <v>1.667741935483871</v>
      </c>
    </row>
    <row r="708" spans="1:5" x14ac:dyDescent="0.3">
      <c r="A708">
        <f t="shared" ref="A708:A771" si="22">YEAR(B708)</f>
        <v>2018</v>
      </c>
      <c r="B708" s="59">
        <v>43350</v>
      </c>
      <c r="C708" s="54">
        <v>308</v>
      </c>
      <c r="D708" s="54">
        <v>514</v>
      </c>
      <c r="E708">
        <f t="shared" ref="E708:E771" si="23">D708/C708</f>
        <v>1.6688311688311688</v>
      </c>
    </row>
    <row r="709" spans="1:5" x14ac:dyDescent="0.3">
      <c r="A709">
        <f t="shared" si="22"/>
        <v>2018</v>
      </c>
      <c r="B709" s="59">
        <v>43353</v>
      </c>
      <c r="C709" s="54">
        <v>305</v>
      </c>
      <c r="D709" s="54">
        <v>514</v>
      </c>
      <c r="E709">
        <f t="shared" si="23"/>
        <v>1.6852459016393442</v>
      </c>
    </row>
    <row r="710" spans="1:5" x14ac:dyDescent="0.3">
      <c r="A710">
        <f t="shared" si="22"/>
        <v>2018</v>
      </c>
      <c r="B710" s="59">
        <v>43354</v>
      </c>
      <c r="C710" s="54">
        <v>305</v>
      </c>
      <c r="D710" s="54">
        <v>514</v>
      </c>
      <c r="E710">
        <f t="shared" si="23"/>
        <v>1.6852459016393442</v>
      </c>
    </row>
    <row r="711" spans="1:5" x14ac:dyDescent="0.3">
      <c r="A711">
        <f t="shared" si="22"/>
        <v>2018</v>
      </c>
      <c r="B711" s="59">
        <v>43355</v>
      </c>
      <c r="C711" s="54">
        <v>310</v>
      </c>
      <c r="D711" s="54">
        <v>514</v>
      </c>
      <c r="E711">
        <f t="shared" si="23"/>
        <v>1.6580645161290322</v>
      </c>
    </row>
    <row r="712" spans="1:5" x14ac:dyDescent="0.3">
      <c r="A712">
        <f t="shared" si="22"/>
        <v>2018</v>
      </c>
      <c r="B712" s="59">
        <v>43356</v>
      </c>
      <c r="C712" s="54">
        <v>308</v>
      </c>
      <c r="D712" s="54">
        <v>511</v>
      </c>
      <c r="E712">
        <f t="shared" si="23"/>
        <v>1.6590909090909092</v>
      </c>
    </row>
    <row r="713" spans="1:5" x14ac:dyDescent="0.3">
      <c r="A713">
        <f t="shared" si="22"/>
        <v>2018</v>
      </c>
      <c r="B713" s="59">
        <v>43357</v>
      </c>
      <c r="C713" s="54">
        <v>309</v>
      </c>
      <c r="D713" s="54">
        <v>511</v>
      </c>
      <c r="E713">
        <f t="shared" si="23"/>
        <v>1.6537216828478964</v>
      </c>
    </row>
    <row r="714" spans="1:5" x14ac:dyDescent="0.3">
      <c r="A714">
        <f t="shared" si="22"/>
        <v>2018</v>
      </c>
      <c r="B714" s="59">
        <v>43360</v>
      </c>
      <c r="C714" s="54">
        <v>312</v>
      </c>
      <c r="D714" s="54">
        <v>516.5</v>
      </c>
      <c r="E714">
        <f t="shared" si="23"/>
        <v>1.6554487179487178</v>
      </c>
    </row>
    <row r="715" spans="1:5" x14ac:dyDescent="0.3">
      <c r="A715">
        <f t="shared" si="22"/>
        <v>2018</v>
      </c>
      <c r="B715" s="59">
        <v>43361</v>
      </c>
      <c r="C715" s="54">
        <v>313</v>
      </c>
      <c r="D715" s="54">
        <v>517.5</v>
      </c>
      <c r="E715">
        <f t="shared" si="23"/>
        <v>1.6533546325878594</v>
      </c>
    </row>
    <row r="716" spans="1:5" x14ac:dyDescent="0.3">
      <c r="A716">
        <f t="shared" si="22"/>
        <v>2018</v>
      </c>
      <c r="B716" s="59">
        <v>43362</v>
      </c>
      <c r="C716" s="54">
        <v>309.5</v>
      </c>
      <c r="D716" s="54">
        <v>513</v>
      </c>
      <c r="E716">
        <f t="shared" si="23"/>
        <v>1.6575121163166397</v>
      </c>
    </row>
    <row r="717" spans="1:5" x14ac:dyDescent="0.3">
      <c r="A717">
        <f t="shared" si="22"/>
        <v>2018</v>
      </c>
      <c r="B717" s="59">
        <v>43363</v>
      </c>
      <c r="C717" s="54">
        <v>310.5</v>
      </c>
      <c r="D717" s="54">
        <v>508.5</v>
      </c>
      <c r="E717">
        <f t="shared" si="23"/>
        <v>1.6376811594202898</v>
      </c>
    </row>
    <row r="718" spans="1:5" x14ac:dyDescent="0.3">
      <c r="A718">
        <f t="shared" si="22"/>
        <v>2018</v>
      </c>
      <c r="B718" s="59">
        <v>43364</v>
      </c>
      <c r="C718" s="54">
        <v>308</v>
      </c>
      <c r="D718" s="54">
        <v>502.5</v>
      </c>
      <c r="E718">
        <f t="shared" si="23"/>
        <v>1.6314935064935066</v>
      </c>
    </row>
    <row r="719" spans="1:5" x14ac:dyDescent="0.3">
      <c r="A719">
        <f t="shared" si="22"/>
        <v>2018</v>
      </c>
      <c r="B719" s="59">
        <v>43367</v>
      </c>
      <c r="C719" s="54">
        <v>308</v>
      </c>
      <c r="D719" s="54">
        <v>502</v>
      </c>
      <c r="E719">
        <f t="shared" si="23"/>
        <v>1.6298701298701299</v>
      </c>
    </row>
    <row r="720" spans="1:5" x14ac:dyDescent="0.3">
      <c r="A720">
        <f t="shared" si="22"/>
        <v>2018</v>
      </c>
      <c r="B720" s="59">
        <v>43368</v>
      </c>
      <c r="C720" s="54">
        <v>308</v>
      </c>
      <c r="D720" s="54">
        <v>504</v>
      </c>
      <c r="E720">
        <f t="shared" si="23"/>
        <v>1.6363636363636365</v>
      </c>
    </row>
    <row r="721" spans="1:5" x14ac:dyDescent="0.3">
      <c r="A721">
        <f t="shared" si="22"/>
        <v>2018</v>
      </c>
      <c r="B721" s="59">
        <v>43369</v>
      </c>
      <c r="C721" s="54">
        <v>309</v>
      </c>
      <c r="D721" s="54">
        <v>502</v>
      </c>
      <c r="E721">
        <f t="shared" si="23"/>
        <v>1.6245954692556634</v>
      </c>
    </row>
    <row r="722" spans="1:5" x14ac:dyDescent="0.3">
      <c r="A722">
        <f t="shared" si="22"/>
        <v>2018</v>
      </c>
      <c r="B722" s="59">
        <v>43370</v>
      </c>
      <c r="C722" s="54">
        <v>311.5</v>
      </c>
      <c r="D722" s="54">
        <v>500</v>
      </c>
      <c r="E722">
        <f t="shared" si="23"/>
        <v>1.6051364365971108</v>
      </c>
    </row>
    <row r="723" spans="1:5" x14ac:dyDescent="0.3">
      <c r="A723">
        <f t="shared" si="22"/>
        <v>2018</v>
      </c>
      <c r="B723" s="59">
        <v>43371</v>
      </c>
      <c r="C723" s="54">
        <v>310</v>
      </c>
      <c r="D723" s="54">
        <v>500</v>
      </c>
      <c r="E723">
        <f t="shared" si="23"/>
        <v>1.6129032258064515</v>
      </c>
    </row>
    <row r="724" spans="1:5" x14ac:dyDescent="0.3">
      <c r="A724">
        <f t="shared" si="22"/>
        <v>2018</v>
      </c>
      <c r="B724" s="59">
        <v>43374</v>
      </c>
      <c r="C724" s="54">
        <v>303.5</v>
      </c>
      <c r="D724" s="54">
        <v>496</v>
      </c>
      <c r="E724">
        <f t="shared" si="23"/>
        <v>1.6342668863261944</v>
      </c>
    </row>
    <row r="725" spans="1:5" x14ac:dyDescent="0.3">
      <c r="A725">
        <f t="shared" si="22"/>
        <v>2018</v>
      </c>
      <c r="B725" s="59">
        <v>43375</v>
      </c>
      <c r="C725" s="54">
        <v>310</v>
      </c>
      <c r="D725" s="54">
        <v>494</v>
      </c>
      <c r="E725">
        <f t="shared" si="23"/>
        <v>1.5935483870967742</v>
      </c>
    </row>
    <row r="726" spans="1:5" x14ac:dyDescent="0.3">
      <c r="A726">
        <f t="shared" si="22"/>
        <v>2018</v>
      </c>
      <c r="B726" s="59">
        <v>43376</v>
      </c>
      <c r="C726" s="54">
        <v>310.5</v>
      </c>
      <c r="D726" s="54">
        <v>495</v>
      </c>
      <c r="E726">
        <f t="shared" si="23"/>
        <v>1.5942028985507246</v>
      </c>
    </row>
    <row r="727" spans="1:5" x14ac:dyDescent="0.3">
      <c r="A727">
        <f t="shared" si="22"/>
        <v>2018</v>
      </c>
      <c r="B727" s="59">
        <v>43377</v>
      </c>
      <c r="C727" s="54">
        <v>311</v>
      </c>
      <c r="D727" s="54">
        <v>492</v>
      </c>
      <c r="E727">
        <f t="shared" si="23"/>
        <v>1.5819935691318328</v>
      </c>
    </row>
    <row r="728" spans="1:5" x14ac:dyDescent="0.3">
      <c r="A728">
        <f t="shared" si="22"/>
        <v>2018</v>
      </c>
      <c r="B728" s="59">
        <v>43378</v>
      </c>
      <c r="C728" s="54">
        <v>310</v>
      </c>
      <c r="D728" s="54">
        <v>491.5</v>
      </c>
      <c r="E728">
        <f t="shared" si="23"/>
        <v>1.5854838709677419</v>
      </c>
    </row>
    <row r="729" spans="1:5" x14ac:dyDescent="0.3">
      <c r="A729">
        <f t="shared" si="22"/>
        <v>2018</v>
      </c>
      <c r="B729" s="59">
        <v>43381</v>
      </c>
      <c r="C729" s="54">
        <v>306</v>
      </c>
      <c r="D729" s="54">
        <v>492</v>
      </c>
      <c r="E729">
        <f t="shared" si="23"/>
        <v>1.607843137254902</v>
      </c>
    </row>
    <row r="730" spans="1:5" x14ac:dyDescent="0.3">
      <c r="A730">
        <f t="shared" si="22"/>
        <v>2018</v>
      </c>
      <c r="B730" s="59">
        <v>43382</v>
      </c>
      <c r="C730" s="54">
        <v>306</v>
      </c>
      <c r="D730" s="54">
        <v>495</v>
      </c>
      <c r="E730">
        <f t="shared" si="23"/>
        <v>1.6176470588235294</v>
      </c>
    </row>
    <row r="731" spans="1:5" x14ac:dyDescent="0.3">
      <c r="A731">
        <f t="shared" si="22"/>
        <v>2018</v>
      </c>
      <c r="B731" s="59">
        <v>43383</v>
      </c>
      <c r="C731" s="54">
        <v>307.5</v>
      </c>
      <c r="D731" s="54">
        <v>495</v>
      </c>
      <c r="E731">
        <f t="shared" si="23"/>
        <v>1.6097560975609757</v>
      </c>
    </row>
    <row r="732" spans="1:5" x14ac:dyDescent="0.3">
      <c r="A732">
        <f t="shared" si="22"/>
        <v>2018</v>
      </c>
      <c r="B732" s="59">
        <v>43384</v>
      </c>
      <c r="C732" s="54">
        <v>307</v>
      </c>
      <c r="D732" s="54">
        <v>495</v>
      </c>
      <c r="E732">
        <f t="shared" si="23"/>
        <v>1.6123778501628665</v>
      </c>
    </row>
    <row r="733" spans="1:5" x14ac:dyDescent="0.3">
      <c r="A733">
        <f t="shared" si="22"/>
        <v>2018</v>
      </c>
      <c r="B733" s="59">
        <v>43385</v>
      </c>
      <c r="C733" s="54">
        <v>311</v>
      </c>
      <c r="D733" s="54">
        <v>500</v>
      </c>
      <c r="E733">
        <f t="shared" si="23"/>
        <v>1.607717041800643</v>
      </c>
    </row>
    <row r="734" spans="1:5" x14ac:dyDescent="0.3">
      <c r="A734">
        <f t="shared" si="22"/>
        <v>2018</v>
      </c>
      <c r="B734" s="59">
        <v>43388</v>
      </c>
      <c r="C734" s="54">
        <v>310</v>
      </c>
      <c r="D734" s="54">
        <v>500</v>
      </c>
      <c r="E734">
        <f t="shared" si="23"/>
        <v>1.6129032258064515</v>
      </c>
    </row>
    <row r="735" spans="1:5" x14ac:dyDescent="0.3">
      <c r="A735">
        <f t="shared" si="22"/>
        <v>2018</v>
      </c>
      <c r="B735" s="59">
        <v>43389</v>
      </c>
      <c r="C735" s="54">
        <v>314</v>
      </c>
      <c r="D735" s="54">
        <v>500</v>
      </c>
      <c r="E735">
        <f t="shared" si="23"/>
        <v>1.5923566878980893</v>
      </c>
    </row>
    <row r="736" spans="1:5" x14ac:dyDescent="0.3">
      <c r="A736">
        <f t="shared" si="22"/>
        <v>2018</v>
      </c>
      <c r="B736" s="59">
        <v>43390</v>
      </c>
      <c r="C736" s="54">
        <v>312</v>
      </c>
      <c r="D736" s="54">
        <v>504</v>
      </c>
      <c r="E736">
        <f t="shared" si="23"/>
        <v>1.6153846153846154</v>
      </c>
    </row>
    <row r="737" spans="1:5" x14ac:dyDescent="0.3">
      <c r="A737">
        <f t="shared" si="22"/>
        <v>2018</v>
      </c>
      <c r="B737" s="59">
        <v>43391</v>
      </c>
      <c r="C737" s="54">
        <v>312</v>
      </c>
      <c r="D737" s="54">
        <v>502.5</v>
      </c>
      <c r="E737">
        <f t="shared" si="23"/>
        <v>1.6105769230769231</v>
      </c>
    </row>
    <row r="738" spans="1:5" x14ac:dyDescent="0.3">
      <c r="A738">
        <f t="shared" si="22"/>
        <v>2018</v>
      </c>
      <c r="B738" s="59">
        <v>43392</v>
      </c>
      <c r="C738" s="54">
        <v>311</v>
      </c>
      <c r="D738" s="54">
        <v>501</v>
      </c>
      <c r="E738">
        <f t="shared" si="23"/>
        <v>1.6109324758842443</v>
      </c>
    </row>
    <row r="739" spans="1:5" x14ac:dyDescent="0.3">
      <c r="A739">
        <f t="shared" si="22"/>
        <v>2018</v>
      </c>
      <c r="B739" s="59">
        <v>43395</v>
      </c>
      <c r="C739" s="54">
        <v>320</v>
      </c>
      <c r="D739" s="54">
        <v>505</v>
      </c>
      <c r="E739">
        <f t="shared" si="23"/>
        <v>1.578125</v>
      </c>
    </row>
    <row r="740" spans="1:5" x14ac:dyDescent="0.3">
      <c r="A740">
        <f t="shared" si="22"/>
        <v>2018</v>
      </c>
      <c r="B740" s="59">
        <v>43396</v>
      </c>
      <c r="C740" s="54">
        <v>322</v>
      </c>
      <c r="D740" s="54">
        <v>509</v>
      </c>
      <c r="E740">
        <f t="shared" si="23"/>
        <v>1.5807453416149069</v>
      </c>
    </row>
    <row r="741" spans="1:5" x14ac:dyDescent="0.3">
      <c r="A741">
        <f t="shared" si="22"/>
        <v>2018</v>
      </c>
      <c r="B741" s="59">
        <v>43397</v>
      </c>
      <c r="C741" s="54">
        <v>325</v>
      </c>
      <c r="D741" s="54">
        <v>511.5</v>
      </c>
      <c r="E741">
        <f t="shared" si="23"/>
        <v>1.5738461538461539</v>
      </c>
    </row>
    <row r="742" spans="1:5" x14ac:dyDescent="0.3">
      <c r="A742">
        <f t="shared" si="22"/>
        <v>2018</v>
      </c>
      <c r="B742" s="59">
        <v>43398</v>
      </c>
      <c r="C742" s="54">
        <v>325</v>
      </c>
      <c r="D742" s="54">
        <v>514</v>
      </c>
      <c r="E742">
        <f t="shared" si="23"/>
        <v>1.5815384615384616</v>
      </c>
    </row>
    <row r="743" spans="1:5" x14ac:dyDescent="0.3">
      <c r="A743">
        <f t="shared" si="22"/>
        <v>2018</v>
      </c>
      <c r="B743" s="59">
        <v>43399</v>
      </c>
      <c r="C743" s="54">
        <v>331.5</v>
      </c>
      <c r="D743" s="54">
        <v>520</v>
      </c>
      <c r="E743">
        <f t="shared" si="23"/>
        <v>1.5686274509803921</v>
      </c>
    </row>
    <row r="744" spans="1:5" x14ac:dyDescent="0.3">
      <c r="A744">
        <f t="shared" si="22"/>
        <v>2018</v>
      </c>
      <c r="B744" s="59">
        <v>43402</v>
      </c>
      <c r="C744" s="54">
        <v>331.5</v>
      </c>
      <c r="D744" s="54">
        <v>522.5</v>
      </c>
      <c r="E744">
        <f t="shared" si="23"/>
        <v>1.5761689291101055</v>
      </c>
    </row>
    <row r="745" spans="1:5" x14ac:dyDescent="0.3">
      <c r="A745">
        <f t="shared" si="22"/>
        <v>2018</v>
      </c>
      <c r="B745" s="59">
        <v>43403</v>
      </c>
      <c r="C745" s="54">
        <v>333</v>
      </c>
      <c r="D745" s="54">
        <v>523.5</v>
      </c>
      <c r="E745">
        <f t="shared" si="23"/>
        <v>1.572072072072072</v>
      </c>
    </row>
    <row r="746" spans="1:5" x14ac:dyDescent="0.3">
      <c r="A746">
        <f t="shared" si="22"/>
        <v>2018</v>
      </c>
      <c r="B746" s="59">
        <v>43404</v>
      </c>
      <c r="C746" s="54">
        <v>332</v>
      </c>
      <c r="D746" s="54">
        <v>522</v>
      </c>
      <c r="E746">
        <f t="shared" si="23"/>
        <v>1.572289156626506</v>
      </c>
    </row>
    <row r="747" spans="1:5" x14ac:dyDescent="0.3">
      <c r="A747">
        <f t="shared" si="22"/>
        <v>2018</v>
      </c>
      <c r="B747" s="59">
        <v>43405</v>
      </c>
      <c r="C747" s="54">
        <v>327</v>
      </c>
      <c r="D747" s="54">
        <v>513</v>
      </c>
      <c r="E747">
        <f t="shared" si="23"/>
        <v>1.5688073394495412</v>
      </c>
    </row>
    <row r="748" spans="1:5" x14ac:dyDescent="0.3">
      <c r="A748">
        <f t="shared" si="22"/>
        <v>2018</v>
      </c>
      <c r="B748" s="59">
        <v>43406</v>
      </c>
      <c r="C748" s="54">
        <v>325.5</v>
      </c>
      <c r="D748" s="54">
        <v>516.5</v>
      </c>
      <c r="E748">
        <f t="shared" si="23"/>
        <v>1.5867895545314901</v>
      </c>
    </row>
    <row r="749" spans="1:5" x14ac:dyDescent="0.3">
      <c r="A749">
        <f t="shared" si="22"/>
        <v>2018</v>
      </c>
      <c r="B749" s="59">
        <v>43409</v>
      </c>
      <c r="C749" s="54">
        <v>327.5</v>
      </c>
      <c r="D749" s="54">
        <v>524.5</v>
      </c>
      <c r="E749">
        <f t="shared" si="23"/>
        <v>1.6015267175572518</v>
      </c>
    </row>
    <row r="750" spans="1:5" x14ac:dyDescent="0.3">
      <c r="A750">
        <f t="shared" si="22"/>
        <v>2018</v>
      </c>
      <c r="B750" s="59">
        <v>43410</v>
      </c>
      <c r="C750" s="54">
        <v>330.5</v>
      </c>
      <c r="D750" s="54">
        <v>515.5</v>
      </c>
      <c r="E750">
        <f t="shared" si="23"/>
        <v>1.5597579425113464</v>
      </c>
    </row>
    <row r="751" spans="1:5" x14ac:dyDescent="0.3">
      <c r="A751">
        <f t="shared" si="22"/>
        <v>2018</v>
      </c>
      <c r="B751" s="59">
        <v>43411</v>
      </c>
      <c r="C751" s="54">
        <v>330.5</v>
      </c>
      <c r="D751" s="54">
        <v>516.5</v>
      </c>
      <c r="E751">
        <f t="shared" si="23"/>
        <v>1.5627836611195158</v>
      </c>
    </row>
    <row r="752" spans="1:5" x14ac:dyDescent="0.3">
      <c r="A752">
        <f t="shared" si="22"/>
        <v>2018</v>
      </c>
      <c r="B752" s="59">
        <v>43412</v>
      </c>
      <c r="C752" s="54">
        <v>326</v>
      </c>
      <c r="D752" s="54">
        <v>513.5</v>
      </c>
      <c r="E752">
        <f t="shared" si="23"/>
        <v>1.5751533742331287</v>
      </c>
    </row>
    <row r="753" spans="1:5" x14ac:dyDescent="0.3">
      <c r="A753">
        <f t="shared" si="22"/>
        <v>2018</v>
      </c>
      <c r="B753" s="59">
        <v>43413</v>
      </c>
      <c r="C753" s="54">
        <v>324</v>
      </c>
      <c r="D753" s="54">
        <v>507</v>
      </c>
      <c r="E753">
        <f t="shared" si="23"/>
        <v>1.5648148148148149</v>
      </c>
    </row>
    <row r="754" spans="1:5" x14ac:dyDescent="0.3">
      <c r="A754">
        <f t="shared" si="22"/>
        <v>2018</v>
      </c>
      <c r="B754" s="59">
        <v>43416</v>
      </c>
      <c r="C754" s="54">
        <v>322</v>
      </c>
      <c r="D754" s="54">
        <v>508</v>
      </c>
      <c r="E754">
        <f t="shared" si="23"/>
        <v>1.5776397515527951</v>
      </c>
    </row>
    <row r="755" spans="1:5" x14ac:dyDescent="0.3">
      <c r="A755">
        <f t="shared" si="22"/>
        <v>2018</v>
      </c>
      <c r="B755" s="59">
        <v>43417</v>
      </c>
      <c r="C755" s="54">
        <v>319</v>
      </c>
      <c r="D755" s="54">
        <v>504</v>
      </c>
      <c r="E755">
        <f t="shared" si="23"/>
        <v>1.5799373040752351</v>
      </c>
    </row>
    <row r="756" spans="1:5" x14ac:dyDescent="0.3">
      <c r="A756">
        <f t="shared" si="22"/>
        <v>2018</v>
      </c>
      <c r="B756" s="59">
        <v>43418</v>
      </c>
      <c r="C756" s="54">
        <v>316</v>
      </c>
      <c r="D756" s="54">
        <v>506</v>
      </c>
      <c r="E756">
        <f t="shared" si="23"/>
        <v>1.6012658227848102</v>
      </c>
    </row>
    <row r="757" spans="1:5" x14ac:dyDescent="0.3">
      <c r="A757">
        <f t="shared" si="22"/>
        <v>2018</v>
      </c>
      <c r="B757" s="59">
        <v>43419</v>
      </c>
      <c r="C757" s="54">
        <v>315</v>
      </c>
      <c r="D757" s="54">
        <v>497</v>
      </c>
      <c r="E757">
        <f t="shared" si="23"/>
        <v>1.5777777777777777</v>
      </c>
    </row>
    <row r="758" spans="1:5" x14ac:dyDescent="0.3">
      <c r="A758">
        <f t="shared" si="22"/>
        <v>2018</v>
      </c>
      <c r="B758" s="59">
        <v>43420</v>
      </c>
      <c r="C758" s="54">
        <v>319.5</v>
      </c>
      <c r="D758" s="54">
        <v>499</v>
      </c>
      <c r="E758">
        <f t="shared" si="23"/>
        <v>1.5618153364632237</v>
      </c>
    </row>
    <row r="759" spans="1:5" x14ac:dyDescent="0.3">
      <c r="A759">
        <f t="shared" si="22"/>
        <v>2018</v>
      </c>
      <c r="B759" s="59">
        <v>43423</v>
      </c>
      <c r="C759" s="54">
        <v>318</v>
      </c>
      <c r="D759" s="54">
        <v>490</v>
      </c>
      <c r="E759">
        <f t="shared" si="23"/>
        <v>1.5408805031446542</v>
      </c>
    </row>
    <row r="760" spans="1:5" x14ac:dyDescent="0.3">
      <c r="A760">
        <f t="shared" si="22"/>
        <v>2018</v>
      </c>
      <c r="B760" s="59">
        <v>43424</v>
      </c>
      <c r="C760" s="54">
        <v>316.5</v>
      </c>
      <c r="D760" s="54">
        <v>487</v>
      </c>
      <c r="E760">
        <f t="shared" si="23"/>
        <v>1.5387045813586098</v>
      </c>
    </row>
    <row r="761" spans="1:5" x14ac:dyDescent="0.3">
      <c r="A761">
        <f t="shared" si="22"/>
        <v>2018</v>
      </c>
      <c r="B761" s="59">
        <v>43425</v>
      </c>
      <c r="C761" s="54">
        <v>313</v>
      </c>
      <c r="D761" s="54">
        <v>488</v>
      </c>
      <c r="E761">
        <f t="shared" si="23"/>
        <v>1.5591054313099042</v>
      </c>
    </row>
    <row r="762" spans="1:5" x14ac:dyDescent="0.3">
      <c r="A762">
        <f t="shared" si="22"/>
        <v>2018</v>
      </c>
      <c r="B762" s="59">
        <v>43426</v>
      </c>
      <c r="C762" s="54">
        <v>311</v>
      </c>
      <c r="D762" s="54">
        <v>479</v>
      </c>
      <c r="E762">
        <f t="shared" si="23"/>
        <v>1.540192926045016</v>
      </c>
    </row>
    <row r="763" spans="1:5" x14ac:dyDescent="0.3">
      <c r="A763">
        <f t="shared" si="22"/>
        <v>2018</v>
      </c>
      <c r="B763" s="59">
        <v>43427</v>
      </c>
      <c r="C763" s="54">
        <v>307</v>
      </c>
      <c r="D763" s="54">
        <v>471</v>
      </c>
      <c r="E763">
        <f t="shared" si="23"/>
        <v>1.5342019543973942</v>
      </c>
    </row>
    <row r="764" spans="1:5" x14ac:dyDescent="0.3">
      <c r="A764">
        <f t="shared" si="22"/>
        <v>2018</v>
      </c>
      <c r="B764" s="59">
        <v>43430</v>
      </c>
      <c r="C764" s="54">
        <v>307</v>
      </c>
      <c r="D764" s="54">
        <v>469</v>
      </c>
      <c r="E764">
        <f t="shared" si="23"/>
        <v>1.5276872964169381</v>
      </c>
    </row>
    <row r="765" spans="1:5" x14ac:dyDescent="0.3">
      <c r="A765">
        <f t="shared" si="22"/>
        <v>2018</v>
      </c>
      <c r="B765" s="59">
        <v>43431</v>
      </c>
      <c r="C765" s="54">
        <v>300</v>
      </c>
      <c r="D765" s="54">
        <v>471</v>
      </c>
      <c r="E765">
        <f t="shared" si="23"/>
        <v>1.57</v>
      </c>
    </row>
    <row r="766" spans="1:5" x14ac:dyDescent="0.3">
      <c r="A766">
        <f t="shared" si="22"/>
        <v>2018</v>
      </c>
      <c r="B766" s="59">
        <v>43432</v>
      </c>
      <c r="C766" s="54">
        <v>302</v>
      </c>
      <c r="D766" s="54">
        <v>471</v>
      </c>
      <c r="E766">
        <f t="shared" si="23"/>
        <v>1.5596026490066226</v>
      </c>
    </row>
    <row r="767" spans="1:5" x14ac:dyDescent="0.3">
      <c r="A767">
        <f t="shared" si="22"/>
        <v>2018</v>
      </c>
      <c r="B767" s="59">
        <v>43433</v>
      </c>
      <c r="C767" s="54">
        <v>301</v>
      </c>
      <c r="D767" s="54">
        <v>472</v>
      </c>
      <c r="E767">
        <f t="shared" si="23"/>
        <v>1.5681063122923589</v>
      </c>
    </row>
    <row r="768" spans="1:5" x14ac:dyDescent="0.3">
      <c r="A768">
        <f t="shared" si="22"/>
        <v>2018</v>
      </c>
      <c r="B768" s="59">
        <v>43434</v>
      </c>
      <c r="C768" s="54">
        <v>296</v>
      </c>
      <c r="D768" s="54">
        <v>461</v>
      </c>
      <c r="E768">
        <f t="shared" si="23"/>
        <v>1.5574324324324325</v>
      </c>
    </row>
    <row r="769" spans="1:5" x14ac:dyDescent="0.3">
      <c r="A769">
        <f t="shared" si="22"/>
        <v>2018</v>
      </c>
      <c r="B769" s="59">
        <v>43437</v>
      </c>
      <c r="C769" s="54">
        <v>296</v>
      </c>
      <c r="D769" s="54">
        <v>458</v>
      </c>
      <c r="E769">
        <f t="shared" si="23"/>
        <v>1.5472972972972974</v>
      </c>
    </row>
    <row r="770" spans="1:5" x14ac:dyDescent="0.3">
      <c r="A770">
        <f t="shared" si="22"/>
        <v>2018</v>
      </c>
      <c r="B770" s="59">
        <v>43438</v>
      </c>
      <c r="C770" s="54">
        <v>300</v>
      </c>
      <c r="D770" s="54">
        <v>462</v>
      </c>
      <c r="E770">
        <f t="shared" si="23"/>
        <v>1.54</v>
      </c>
    </row>
    <row r="771" spans="1:5" x14ac:dyDescent="0.3">
      <c r="A771">
        <f t="shared" si="22"/>
        <v>2018</v>
      </c>
      <c r="B771" s="59">
        <v>43439</v>
      </c>
      <c r="C771" s="54">
        <v>298</v>
      </c>
      <c r="D771" s="54">
        <v>456</v>
      </c>
      <c r="E771">
        <f t="shared" si="23"/>
        <v>1.5302013422818792</v>
      </c>
    </row>
    <row r="772" spans="1:5" x14ac:dyDescent="0.3">
      <c r="A772">
        <f t="shared" ref="A772:A835" si="24">YEAR(B772)</f>
        <v>2018</v>
      </c>
      <c r="B772" s="59">
        <v>43440</v>
      </c>
      <c r="C772" s="54">
        <v>294</v>
      </c>
      <c r="D772" s="54">
        <v>462</v>
      </c>
      <c r="E772">
        <f t="shared" ref="E772:E835" si="25">D772/C772</f>
        <v>1.5714285714285714</v>
      </c>
    </row>
    <row r="773" spans="1:5" x14ac:dyDescent="0.3">
      <c r="A773">
        <f t="shared" si="24"/>
        <v>2018</v>
      </c>
      <c r="B773" s="59">
        <v>43441</v>
      </c>
      <c r="C773" s="54">
        <v>297</v>
      </c>
      <c r="D773" s="54">
        <v>466</v>
      </c>
      <c r="E773">
        <f t="shared" si="25"/>
        <v>1.569023569023569</v>
      </c>
    </row>
    <row r="774" spans="1:5" x14ac:dyDescent="0.3">
      <c r="A774">
        <f t="shared" si="24"/>
        <v>2018</v>
      </c>
      <c r="B774" s="59">
        <v>43444</v>
      </c>
      <c r="C774" s="54">
        <v>296</v>
      </c>
      <c r="D774" s="54">
        <v>467</v>
      </c>
      <c r="E774">
        <f t="shared" si="25"/>
        <v>1.5777027027027026</v>
      </c>
    </row>
    <row r="775" spans="1:5" x14ac:dyDescent="0.3">
      <c r="A775">
        <f t="shared" si="24"/>
        <v>2018</v>
      </c>
      <c r="B775" s="59">
        <v>43445</v>
      </c>
      <c r="C775" s="54">
        <v>293.5</v>
      </c>
      <c r="D775" s="54">
        <v>467</v>
      </c>
      <c r="E775">
        <f t="shared" si="25"/>
        <v>1.5911413969335604</v>
      </c>
    </row>
    <row r="776" spans="1:5" x14ac:dyDescent="0.3">
      <c r="A776">
        <f t="shared" si="24"/>
        <v>2018</v>
      </c>
      <c r="B776" s="59">
        <v>43446</v>
      </c>
      <c r="C776" s="54">
        <v>294.5</v>
      </c>
      <c r="D776" s="54">
        <v>470</v>
      </c>
      <c r="E776">
        <f t="shared" si="25"/>
        <v>1.5959252971137521</v>
      </c>
    </row>
    <row r="777" spans="1:5" x14ac:dyDescent="0.3">
      <c r="A777">
        <f t="shared" si="24"/>
        <v>2018</v>
      </c>
      <c r="B777" s="59">
        <v>43447</v>
      </c>
      <c r="C777" s="54">
        <v>294</v>
      </c>
      <c r="D777" s="54">
        <v>471</v>
      </c>
      <c r="E777">
        <f t="shared" si="25"/>
        <v>1.6020408163265305</v>
      </c>
    </row>
    <row r="778" spans="1:5" x14ac:dyDescent="0.3">
      <c r="A778">
        <f t="shared" si="24"/>
        <v>2018</v>
      </c>
      <c r="B778" s="59">
        <v>43448</v>
      </c>
      <c r="C778" s="54">
        <v>290.5</v>
      </c>
      <c r="D778" s="54">
        <v>470</v>
      </c>
      <c r="E778">
        <f t="shared" si="25"/>
        <v>1.6179001721170396</v>
      </c>
    </row>
    <row r="779" spans="1:5" x14ac:dyDescent="0.3">
      <c r="A779">
        <f t="shared" si="24"/>
        <v>2018</v>
      </c>
      <c r="B779" s="59">
        <v>43451</v>
      </c>
      <c r="C779" s="54">
        <v>292.5</v>
      </c>
      <c r="D779" s="54">
        <v>472</v>
      </c>
      <c r="E779">
        <f t="shared" si="25"/>
        <v>1.6136752136752137</v>
      </c>
    </row>
    <row r="780" spans="1:5" x14ac:dyDescent="0.3">
      <c r="A780">
        <f t="shared" si="24"/>
        <v>2018</v>
      </c>
      <c r="B780" s="59">
        <v>43452</v>
      </c>
      <c r="C780" s="54">
        <v>294</v>
      </c>
      <c r="D780" s="54">
        <v>465.5</v>
      </c>
      <c r="E780">
        <f t="shared" si="25"/>
        <v>1.5833333333333333</v>
      </c>
    </row>
    <row r="781" spans="1:5" x14ac:dyDescent="0.3">
      <c r="A781">
        <f t="shared" si="24"/>
        <v>2018</v>
      </c>
      <c r="B781" s="59">
        <v>43453</v>
      </c>
      <c r="C781" s="54">
        <v>296</v>
      </c>
      <c r="D781" s="54">
        <v>464</v>
      </c>
      <c r="E781">
        <f t="shared" si="25"/>
        <v>1.5675675675675675</v>
      </c>
    </row>
    <row r="782" spans="1:5" x14ac:dyDescent="0.3">
      <c r="A782">
        <f t="shared" si="24"/>
        <v>2018</v>
      </c>
      <c r="B782" s="59">
        <v>43454</v>
      </c>
      <c r="C782" s="54">
        <v>290</v>
      </c>
      <c r="D782" s="54">
        <v>463.5</v>
      </c>
      <c r="E782">
        <f t="shared" si="25"/>
        <v>1.5982758620689654</v>
      </c>
    </row>
    <row r="783" spans="1:5" x14ac:dyDescent="0.3">
      <c r="A783">
        <f t="shared" si="24"/>
        <v>2018</v>
      </c>
      <c r="B783" s="59">
        <v>43455</v>
      </c>
      <c r="C783" s="54">
        <v>288</v>
      </c>
      <c r="D783" s="54">
        <v>453</v>
      </c>
      <c r="E783">
        <f t="shared" si="25"/>
        <v>1.5729166666666667</v>
      </c>
    </row>
    <row r="784" spans="1:5" x14ac:dyDescent="0.3">
      <c r="A784">
        <f t="shared" si="24"/>
        <v>2018</v>
      </c>
      <c r="B784" s="59">
        <v>43458</v>
      </c>
      <c r="C784" s="54">
        <v>288</v>
      </c>
      <c r="D784" s="54">
        <v>453</v>
      </c>
      <c r="E784">
        <f t="shared" si="25"/>
        <v>1.5729166666666667</v>
      </c>
    </row>
    <row r="785" spans="1:5" x14ac:dyDescent="0.3">
      <c r="A785">
        <f t="shared" si="24"/>
        <v>2018</v>
      </c>
      <c r="B785" s="59">
        <v>43461</v>
      </c>
      <c r="C785" s="54">
        <v>288</v>
      </c>
      <c r="D785" s="54">
        <v>451</v>
      </c>
      <c r="E785">
        <f t="shared" si="25"/>
        <v>1.5659722222222223</v>
      </c>
    </row>
    <row r="786" spans="1:5" x14ac:dyDescent="0.3">
      <c r="A786">
        <f t="shared" si="24"/>
        <v>2018</v>
      </c>
      <c r="B786" s="59">
        <v>43462</v>
      </c>
      <c r="C786" s="54">
        <v>288</v>
      </c>
      <c r="D786" s="54">
        <v>451</v>
      </c>
      <c r="E786">
        <f t="shared" si="25"/>
        <v>1.5659722222222223</v>
      </c>
    </row>
    <row r="787" spans="1:5" x14ac:dyDescent="0.3">
      <c r="A787">
        <f t="shared" si="24"/>
        <v>2018</v>
      </c>
      <c r="B787" s="59">
        <v>43465</v>
      </c>
      <c r="C787" s="54">
        <v>288</v>
      </c>
      <c r="D787" s="54">
        <v>451</v>
      </c>
      <c r="E787">
        <f t="shared" si="25"/>
        <v>1.5659722222222223</v>
      </c>
    </row>
    <row r="788" spans="1:5" x14ac:dyDescent="0.3">
      <c r="A788">
        <f t="shared" si="24"/>
        <v>2019</v>
      </c>
      <c r="B788" s="59">
        <v>43467</v>
      </c>
      <c r="C788" s="54">
        <v>278.5</v>
      </c>
      <c r="D788" s="54">
        <v>453</v>
      </c>
      <c r="E788">
        <f t="shared" si="25"/>
        <v>1.6265709156193895</v>
      </c>
    </row>
    <row r="789" spans="1:5" x14ac:dyDescent="0.3">
      <c r="A789">
        <f t="shared" si="24"/>
        <v>2019</v>
      </c>
      <c r="B789" s="59">
        <v>43468</v>
      </c>
      <c r="C789" s="54">
        <v>282</v>
      </c>
      <c r="D789" s="54">
        <v>455</v>
      </c>
      <c r="E789">
        <f t="shared" si="25"/>
        <v>1.6134751773049645</v>
      </c>
    </row>
    <row r="790" spans="1:5" x14ac:dyDescent="0.3">
      <c r="A790">
        <f t="shared" si="24"/>
        <v>2019</v>
      </c>
      <c r="B790" s="59">
        <v>43469</v>
      </c>
      <c r="C790" s="54">
        <v>282</v>
      </c>
      <c r="D790" s="54">
        <v>452</v>
      </c>
      <c r="E790">
        <f t="shared" si="25"/>
        <v>1.6028368794326242</v>
      </c>
    </row>
    <row r="791" spans="1:5" x14ac:dyDescent="0.3">
      <c r="A791">
        <f t="shared" si="24"/>
        <v>2019</v>
      </c>
      <c r="B791" s="59">
        <v>43472</v>
      </c>
      <c r="C791" s="54">
        <v>284</v>
      </c>
      <c r="D791" s="54">
        <v>452</v>
      </c>
      <c r="E791">
        <f t="shared" si="25"/>
        <v>1.591549295774648</v>
      </c>
    </row>
    <row r="792" spans="1:5" x14ac:dyDescent="0.3">
      <c r="A792">
        <f t="shared" si="24"/>
        <v>2019</v>
      </c>
      <c r="B792" s="59">
        <v>43473</v>
      </c>
      <c r="C792" s="54">
        <v>283</v>
      </c>
      <c r="D792" s="54">
        <v>461.5</v>
      </c>
      <c r="E792">
        <f t="shared" si="25"/>
        <v>1.6307420494699647</v>
      </c>
    </row>
    <row r="793" spans="1:5" x14ac:dyDescent="0.3">
      <c r="A793">
        <f t="shared" si="24"/>
        <v>2019</v>
      </c>
      <c r="B793" s="59">
        <v>43474</v>
      </c>
      <c r="C793" s="54">
        <v>290.5</v>
      </c>
      <c r="D793" s="54">
        <v>460</v>
      </c>
      <c r="E793">
        <f t="shared" si="25"/>
        <v>1.5834767641996557</v>
      </c>
    </row>
    <row r="794" spans="1:5" x14ac:dyDescent="0.3">
      <c r="A794">
        <f t="shared" si="24"/>
        <v>2019</v>
      </c>
      <c r="B794" s="59">
        <v>43475</v>
      </c>
      <c r="C794" s="54">
        <v>288</v>
      </c>
      <c r="D794" s="54">
        <v>465.5</v>
      </c>
      <c r="E794">
        <f t="shared" si="25"/>
        <v>1.6163194444444444</v>
      </c>
    </row>
    <row r="795" spans="1:5" x14ac:dyDescent="0.3">
      <c r="A795">
        <f t="shared" si="24"/>
        <v>2019</v>
      </c>
      <c r="B795" s="59">
        <v>43476</v>
      </c>
      <c r="C795" s="54">
        <v>291.5</v>
      </c>
      <c r="D795" s="54">
        <v>465</v>
      </c>
      <c r="E795">
        <f t="shared" si="25"/>
        <v>1.5951972555746141</v>
      </c>
    </row>
    <row r="796" spans="1:5" x14ac:dyDescent="0.3">
      <c r="A796">
        <f t="shared" si="24"/>
        <v>2019</v>
      </c>
      <c r="B796" s="59">
        <v>43479</v>
      </c>
      <c r="C796" s="54">
        <v>289</v>
      </c>
      <c r="D796" s="54">
        <v>479</v>
      </c>
      <c r="E796">
        <f t="shared" si="25"/>
        <v>1.6574394463667821</v>
      </c>
    </row>
    <row r="797" spans="1:5" x14ac:dyDescent="0.3">
      <c r="A797">
        <f t="shared" si="24"/>
        <v>2019</v>
      </c>
      <c r="B797" s="59">
        <v>43480</v>
      </c>
      <c r="C797" s="54">
        <v>286</v>
      </c>
      <c r="D797" s="54">
        <v>463.5</v>
      </c>
      <c r="E797">
        <f t="shared" si="25"/>
        <v>1.6206293706293706</v>
      </c>
    </row>
    <row r="798" spans="1:5" x14ac:dyDescent="0.3">
      <c r="A798">
        <f t="shared" si="24"/>
        <v>2019</v>
      </c>
      <c r="B798" s="59">
        <v>43481</v>
      </c>
      <c r="C798" s="54">
        <v>288</v>
      </c>
      <c r="D798" s="54">
        <v>462</v>
      </c>
      <c r="E798">
        <f t="shared" si="25"/>
        <v>1.6041666666666667</v>
      </c>
    </row>
    <row r="799" spans="1:5" x14ac:dyDescent="0.3">
      <c r="A799">
        <f t="shared" si="24"/>
        <v>2019</v>
      </c>
      <c r="B799" s="59">
        <v>43482</v>
      </c>
      <c r="C799" s="54">
        <v>292</v>
      </c>
      <c r="D799" s="54">
        <v>464</v>
      </c>
      <c r="E799">
        <f t="shared" si="25"/>
        <v>1.5890410958904109</v>
      </c>
    </row>
    <row r="800" spans="1:5" x14ac:dyDescent="0.3">
      <c r="A800">
        <f t="shared" si="24"/>
        <v>2019</v>
      </c>
      <c r="B800" s="59">
        <v>43483</v>
      </c>
      <c r="C800" s="54">
        <v>292</v>
      </c>
      <c r="D800" s="54">
        <v>465</v>
      </c>
      <c r="E800">
        <f t="shared" si="25"/>
        <v>1.5924657534246576</v>
      </c>
    </row>
    <row r="801" spans="1:5" x14ac:dyDescent="0.3">
      <c r="A801">
        <f t="shared" si="24"/>
        <v>2019</v>
      </c>
      <c r="B801" s="59">
        <v>43486</v>
      </c>
      <c r="C801" s="54">
        <v>298</v>
      </c>
      <c r="D801" s="54">
        <v>463</v>
      </c>
      <c r="E801">
        <f t="shared" si="25"/>
        <v>1.5536912751677852</v>
      </c>
    </row>
    <row r="802" spans="1:5" x14ac:dyDescent="0.3">
      <c r="A802">
        <f t="shared" si="24"/>
        <v>2019</v>
      </c>
      <c r="B802" s="59">
        <v>43487</v>
      </c>
      <c r="C802" s="54">
        <v>298</v>
      </c>
      <c r="D802" s="54">
        <v>460.5</v>
      </c>
      <c r="E802">
        <f t="shared" si="25"/>
        <v>1.5453020134228188</v>
      </c>
    </row>
    <row r="803" spans="1:5" x14ac:dyDescent="0.3">
      <c r="A803">
        <f t="shared" si="24"/>
        <v>2019</v>
      </c>
      <c r="B803" s="59">
        <v>43488</v>
      </c>
      <c r="C803" s="54">
        <v>296</v>
      </c>
      <c r="D803" s="54">
        <v>461</v>
      </c>
      <c r="E803">
        <f t="shared" si="25"/>
        <v>1.5574324324324325</v>
      </c>
    </row>
    <row r="804" spans="1:5" x14ac:dyDescent="0.3">
      <c r="A804">
        <f t="shared" si="24"/>
        <v>2019</v>
      </c>
      <c r="B804" s="59">
        <v>43489</v>
      </c>
      <c r="C804" s="54">
        <v>308</v>
      </c>
      <c r="D804" s="54">
        <v>466</v>
      </c>
      <c r="E804">
        <f t="shared" si="25"/>
        <v>1.5129870129870129</v>
      </c>
    </row>
    <row r="805" spans="1:5" x14ac:dyDescent="0.3">
      <c r="A805">
        <f t="shared" si="24"/>
        <v>2019</v>
      </c>
      <c r="B805" s="59">
        <v>43490</v>
      </c>
      <c r="C805" s="54">
        <v>309</v>
      </c>
      <c r="D805" s="54">
        <v>473</v>
      </c>
      <c r="E805">
        <f t="shared" si="25"/>
        <v>1.5307443365695792</v>
      </c>
    </row>
    <row r="806" spans="1:5" x14ac:dyDescent="0.3">
      <c r="A806">
        <f t="shared" si="24"/>
        <v>2019</v>
      </c>
      <c r="B806" s="59">
        <v>43493</v>
      </c>
      <c r="C806" s="54">
        <v>314</v>
      </c>
      <c r="D806" s="54">
        <v>474</v>
      </c>
      <c r="E806">
        <f t="shared" si="25"/>
        <v>1.5095541401273886</v>
      </c>
    </row>
    <row r="807" spans="1:5" x14ac:dyDescent="0.3">
      <c r="A807">
        <f t="shared" si="24"/>
        <v>2019</v>
      </c>
      <c r="B807" s="59">
        <v>43494</v>
      </c>
      <c r="C807" s="54">
        <v>313</v>
      </c>
      <c r="D807" s="54">
        <v>474</v>
      </c>
      <c r="E807">
        <f t="shared" si="25"/>
        <v>1.5143769968051117</v>
      </c>
    </row>
    <row r="808" spans="1:5" x14ac:dyDescent="0.3">
      <c r="A808">
        <f t="shared" si="24"/>
        <v>2019</v>
      </c>
      <c r="B808" s="59">
        <v>43495</v>
      </c>
      <c r="C808" s="54">
        <v>323</v>
      </c>
      <c r="D808" s="54">
        <v>480</v>
      </c>
      <c r="E808">
        <f t="shared" si="25"/>
        <v>1.4860681114551084</v>
      </c>
    </row>
    <row r="809" spans="1:5" x14ac:dyDescent="0.3">
      <c r="A809">
        <f t="shared" si="24"/>
        <v>2019</v>
      </c>
      <c r="B809" s="59">
        <v>43496</v>
      </c>
      <c r="C809" s="54">
        <v>327.5</v>
      </c>
      <c r="D809" s="54">
        <v>484</v>
      </c>
      <c r="E809">
        <f t="shared" si="25"/>
        <v>1.4778625954198474</v>
      </c>
    </row>
    <row r="810" spans="1:5" x14ac:dyDescent="0.3">
      <c r="A810">
        <f t="shared" si="24"/>
        <v>2019</v>
      </c>
      <c r="B810" s="59">
        <v>43497</v>
      </c>
      <c r="C810" s="54">
        <v>332</v>
      </c>
      <c r="D810" s="54">
        <v>485</v>
      </c>
      <c r="E810">
        <f t="shared" si="25"/>
        <v>1.4608433734939759</v>
      </c>
    </row>
    <row r="811" spans="1:5" x14ac:dyDescent="0.3">
      <c r="A811">
        <f t="shared" si="24"/>
        <v>2019</v>
      </c>
      <c r="B811" s="59">
        <v>43500</v>
      </c>
      <c r="C811" s="54">
        <v>333.5</v>
      </c>
      <c r="D811" s="54">
        <v>482</v>
      </c>
      <c r="E811">
        <f t="shared" si="25"/>
        <v>1.4452773613193404</v>
      </c>
    </row>
    <row r="812" spans="1:5" x14ac:dyDescent="0.3">
      <c r="A812">
        <f t="shared" si="24"/>
        <v>2019</v>
      </c>
      <c r="B812" s="59">
        <v>43501</v>
      </c>
      <c r="C812" s="54">
        <v>340</v>
      </c>
      <c r="D812" s="54">
        <v>490.5</v>
      </c>
      <c r="E812">
        <f t="shared" si="25"/>
        <v>1.4426470588235294</v>
      </c>
    </row>
    <row r="813" spans="1:5" x14ac:dyDescent="0.3">
      <c r="A813">
        <f t="shared" si="24"/>
        <v>2019</v>
      </c>
      <c r="B813" s="59">
        <v>43502</v>
      </c>
      <c r="C813" s="54">
        <v>348</v>
      </c>
      <c r="D813" s="54">
        <v>493</v>
      </c>
      <c r="E813">
        <f t="shared" si="25"/>
        <v>1.4166666666666667</v>
      </c>
    </row>
    <row r="814" spans="1:5" x14ac:dyDescent="0.3">
      <c r="A814">
        <f t="shared" si="24"/>
        <v>2019</v>
      </c>
      <c r="B814" s="59">
        <v>43503</v>
      </c>
      <c r="C814" s="54">
        <v>344.5</v>
      </c>
      <c r="D814" s="54">
        <v>494.5</v>
      </c>
      <c r="E814">
        <f t="shared" si="25"/>
        <v>1.4354136429608129</v>
      </c>
    </row>
    <row r="815" spans="1:5" x14ac:dyDescent="0.3">
      <c r="A815">
        <f t="shared" si="24"/>
        <v>2019</v>
      </c>
      <c r="B815" s="59">
        <v>43504</v>
      </c>
      <c r="C815" s="54">
        <v>338</v>
      </c>
      <c r="D815" s="54">
        <v>493</v>
      </c>
      <c r="E815">
        <f t="shared" si="25"/>
        <v>1.4585798816568047</v>
      </c>
    </row>
    <row r="816" spans="1:5" x14ac:dyDescent="0.3">
      <c r="A816">
        <f t="shared" si="24"/>
        <v>2019</v>
      </c>
      <c r="B816" s="59">
        <v>43507</v>
      </c>
      <c r="C816" s="54">
        <v>336</v>
      </c>
      <c r="D816" s="54">
        <v>496</v>
      </c>
      <c r="E816">
        <f t="shared" si="25"/>
        <v>1.4761904761904763</v>
      </c>
    </row>
    <row r="817" spans="1:5" x14ac:dyDescent="0.3">
      <c r="A817">
        <f t="shared" si="24"/>
        <v>2019</v>
      </c>
      <c r="B817" s="59">
        <v>43508</v>
      </c>
      <c r="C817" s="54">
        <v>321</v>
      </c>
      <c r="D817" s="54">
        <v>472.5</v>
      </c>
      <c r="E817">
        <f t="shared" si="25"/>
        <v>1.47196261682243</v>
      </c>
    </row>
    <row r="818" spans="1:5" x14ac:dyDescent="0.3">
      <c r="A818">
        <f t="shared" si="24"/>
        <v>2019</v>
      </c>
      <c r="B818" s="59">
        <v>43509</v>
      </c>
      <c r="C818" s="54">
        <v>326</v>
      </c>
      <c r="D818" s="54">
        <v>474</v>
      </c>
      <c r="E818">
        <f t="shared" si="25"/>
        <v>1.4539877300613497</v>
      </c>
    </row>
    <row r="819" spans="1:5" x14ac:dyDescent="0.3">
      <c r="A819">
        <f t="shared" si="24"/>
        <v>2019</v>
      </c>
      <c r="B819" s="59">
        <v>43510</v>
      </c>
      <c r="C819" s="54">
        <v>325</v>
      </c>
      <c r="D819" s="54">
        <v>480</v>
      </c>
      <c r="E819">
        <f t="shared" si="25"/>
        <v>1.476923076923077</v>
      </c>
    </row>
    <row r="820" spans="1:5" x14ac:dyDescent="0.3">
      <c r="A820">
        <f t="shared" si="24"/>
        <v>2019</v>
      </c>
      <c r="B820" s="59">
        <v>43511</v>
      </c>
      <c r="C820" s="54">
        <v>331</v>
      </c>
      <c r="D820" s="54">
        <v>484</v>
      </c>
      <c r="E820">
        <f t="shared" si="25"/>
        <v>1.4622356495468278</v>
      </c>
    </row>
    <row r="821" spans="1:5" x14ac:dyDescent="0.3">
      <c r="A821">
        <f t="shared" si="24"/>
        <v>2019</v>
      </c>
      <c r="B821" s="59">
        <v>43514</v>
      </c>
      <c r="C821" s="54">
        <v>331</v>
      </c>
      <c r="D821" s="54">
        <v>482</v>
      </c>
      <c r="E821">
        <f t="shared" si="25"/>
        <v>1.4561933534743203</v>
      </c>
    </row>
    <row r="822" spans="1:5" x14ac:dyDescent="0.3">
      <c r="A822">
        <f t="shared" si="24"/>
        <v>2019</v>
      </c>
      <c r="B822" s="59">
        <v>43515</v>
      </c>
      <c r="C822" s="54">
        <v>328</v>
      </c>
      <c r="D822" s="54">
        <v>479</v>
      </c>
      <c r="E822">
        <f t="shared" si="25"/>
        <v>1.4603658536585367</v>
      </c>
    </row>
    <row r="823" spans="1:5" x14ac:dyDescent="0.3">
      <c r="A823">
        <f t="shared" si="24"/>
        <v>2019</v>
      </c>
      <c r="B823" s="59">
        <v>43516</v>
      </c>
      <c r="C823" s="54">
        <v>322.5</v>
      </c>
      <c r="D823" s="54">
        <v>479</v>
      </c>
      <c r="E823">
        <f t="shared" si="25"/>
        <v>1.4852713178294574</v>
      </c>
    </row>
    <row r="824" spans="1:5" x14ac:dyDescent="0.3">
      <c r="A824">
        <f t="shared" si="24"/>
        <v>2019</v>
      </c>
      <c r="B824" s="59">
        <v>43517</v>
      </c>
      <c r="C824" s="54">
        <v>325</v>
      </c>
      <c r="D824" s="54">
        <v>482</v>
      </c>
      <c r="E824">
        <f t="shared" si="25"/>
        <v>1.4830769230769232</v>
      </c>
    </row>
    <row r="825" spans="1:5" x14ac:dyDescent="0.3">
      <c r="A825">
        <f t="shared" si="24"/>
        <v>2019</v>
      </c>
      <c r="B825" s="59">
        <v>43518</v>
      </c>
      <c r="C825" s="54">
        <v>326.5</v>
      </c>
      <c r="D825" s="54">
        <v>485.5</v>
      </c>
      <c r="E825">
        <f t="shared" si="25"/>
        <v>1.4869831546707504</v>
      </c>
    </row>
    <row r="826" spans="1:5" x14ac:dyDescent="0.3">
      <c r="A826">
        <f t="shared" si="24"/>
        <v>2019</v>
      </c>
      <c r="B826" s="59">
        <v>43521</v>
      </c>
      <c r="C826" s="54">
        <v>325</v>
      </c>
      <c r="D826" s="54">
        <v>483</v>
      </c>
      <c r="E826">
        <f t="shared" si="25"/>
        <v>1.4861538461538462</v>
      </c>
    </row>
    <row r="827" spans="1:5" x14ac:dyDescent="0.3">
      <c r="A827">
        <f t="shared" si="24"/>
        <v>2019</v>
      </c>
      <c r="B827" s="59">
        <v>43522</v>
      </c>
      <c r="C827" s="54">
        <v>320</v>
      </c>
      <c r="D827" s="54">
        <v>483</v>
      </c>
      <c r="E827">
        <f t="shared" si="25"/>
        <v>1.5093749999999999</v>
      </c>
    </row>
    <row r="828" spans="1:5" x14ac:dyDescent="0.3">
      <c r="A828">
        <f t="shared" si="24"/>
        <v>2019</v>
      </c>
      <c r="B828" s="59">
        <v>43523</v>
      </c>
      <c r="C828" s="54">
        <v>318.5</v>
      </c>
      <c r="D828" s="54">
        <v>480</v>
      </c>
      <c r="E828">
        <f t="shared" si="25"/>
        <v>1.5070643642072215</v>
      </c>
    </row>
    <row r="829" spans="1:5" x14ac:dyDescent="0.3">
      <c r="A829">
        <f t="shared" si="24"/>
        <v>2019</v>
      </c>
      <c r="B829" s="59">
        <v>43524</v>
      </c>
      <c r="C829" s="54">
        <v>325</v>
      </c>
      <c r="D829" s="54">
        <v>479</v>
      </c>
      <c r="E829">
        <f t="shared" si="25"/>
        <v>1.4738461538461538</v>
      </c>
    </row>
    <row r="830" spans="1:5" x14ac:dyDescent="0.3">
      <c r="A830">
        <f t="shared" si="24"/>
        <v>2019</v>
      </c>
      <c r="B830" s="59">
        <v>43525</v>
      </c>
      <c r="C830" s="54">
        <v>332.5</v>
      </c>
      <c r="D830" s="54">
        <v>485</v>
      </c>
      <c r="E830">
        <f t="shared" si="25"/>
        <v>1.4586466165413534</v>
      </c>
    </row>
    <row r="831" spans="1:5" x14ac:dyDescent="0.3">
      <c r="A831">
        <f t="shared" si="24"/>
        <v>2019</v>
      </c>
      <c r="B831" s="59">
        <v>43528</v>
      </c>
      <c r="C831" s="54">
        <v>328</v>
      </c>
      <c r="D831" s="54">
        <v>487</v>
      </c>
      <c r="E831">
        <f t="shared" si="25"/>
        <v>1.4847560975609757</v>
      </c>
    </row>
    <row r="832" spans="1:5" x14ac:dyDescent="0.3">
      <c r="A832">
        <f t="shared" si="24"/>
        <v>2019</v>
      </c>
      <c r="B832" s="59">
        <v>43529</v>
      </c>
      <c r="C832" s="54">
        <v>330</v>
      </c>
      <c r="D832" s="54">
        <v>482</v>
      </c>
      <c r="E832">
        <f t="shared" si="25"/>
        <v>1.4606060606060607</v>
      </c>
    </row>
    <row r="833" spans="1:5" x14ac:dyDescent="0.3">
      <c r="A833">
        <f t="shared" si="24"/>
        <v>2019</v>
      </c>
      <c r="B833" s="59">
        <v>43530</v>
      </c>
      <c r="C833" s="54">
        <v>332</v>
      </c>
      <c r="D833" s="54">
        <v>482</v>
      </c>
      <c r="E833">
        <f t="shared" si="25"/>
        <v>1.4518072289156627</v>
      </c>
    </row>
    <row r="834" spans="1:5" x14ac:dyDescent="0.3">
      <c r="A834">
        <f t="shared" si="24"/>
        <v>2019</v>
      </c>
      <c r="B834" s="59">
        <v>43531</v>
      </c>
      <c r="C834" s="54">
        <v>330</v>
      </c>
      <c r="D834" s="54">
        <v>480</v>
      </c>
      <c r="E834">
        <f t="shared" si="25"/>
        <v>1.4545454545454546</v>
      </c>
    </row>
    <row r="835" spans="1:5" x14ac:dyDescent="0.3">
      <c r="A835">
        <f t="shared" si="24"/>
        <v>2019</v>
      </c>
      <c r="B835" s="59">
        <v>43532</v>
      </c>
      <c r="C835" s="54">
        <v>330</v>
      </c>
      <c r="D835" s="54">
        <v>480</v>
      </c>
      <c r="E835">
        <f t="shared" si="25"/>
        <v>1.4545454545454546</v>
      </c>
    </row>
    <row r="836" spans="1:5" x14ac:dyDescent="0.3">
      <c r="A836">
        <f t="shared" ref="A836:A899" si="26">YEAR(B836)</f>
        <v>2019</v>
      </c>
      <c r="B836" s="59">
        <v>43535</v>
      </c>
      <c r="C836" s="54">
        <v>328</v>
      </c>
      <c r="D836" s="54">
        <v>478</v>
      </c>
      <c r="E836">
        <f t="shared" ref="E836:E899" si="27">D836/C836</f>
        <v>1.4573170731707317</v>
      </c>
    </row>
    <row r="837" spans="1:5" x14ac:dyDescent="0.3">
      <c r="A837">
        <f t="shared" si="26"/>
        <v>2019</v>
      </c>
      <c r="B837" s="59">
        <v>43536</v>
      </c>
      <c r="C837" s="54">
        <v>325</v>
      </c>
      <c r="D837" s="54">
        <v>477</v>
      </c>
      <c r="E837">
        <f t="shared" si="27"/>
        <v>1.4676923076923076</v>
      </c>
    </row>
    <row r="838" spans="1:5" x14ac:dyDescent="0.3">
      <c r="A838">
        <f t="shared" si="26"/>
        <v>2019</v>
      </c>
      <c r="B838" s="59">
        <v>43537</v>
      </c>
      <c r="C838" s="54">
        <v>326</v>
      </c>
      <c r="D838" s="54">
        <v>477</v>
      </c>
      <c r="E838">
        <f t="shared" si="27"/>
        <v>1.4631901840490797</v>
      </c>
    </row>
    <row r="839" spans="1:5" x14ac:dyDescent="0.3">
      <c r="A839">
        <f t="shared" si="26"/>
        <v>2019</v>
      </c>
      <c r="B839" s="59">
        <v>43538</v>
      </c>
      <c r="C839" s="54">
        <v>326</v>
      </c>
      <c r="D839" s="54">
        <v>483.5</v>
      </c>
      <c r="E839">
        <f t="shared" si="27"/>
        <v>1.4831288343558282</v>
      </c>
    </row>
    <row r="840" spans="1:5" x14ac:dyDescent="0.3">
      <c r="A840">
        <f t="shared" si="26"/>
        <v>2019</v>
      </c>
      <c r="B840" s="59">
        <v>43539</v>
      </c>
      <c r="C840" s="54">
        <v>328</v>
      </c>
      <c r="D840" s="54">
        <v>480</v>
      </c>
      <c r="E840">
        <f t="shared" si="27"/>
        <v>1.4634146341463414</v>
      </c>
    </row>
    <row r="841" spans="1:5" x14ac:dyDescent="0.3">
      <c r="A841">
        <f t="shared" si="26"/>
        <v>2019</v>
      </c>
      <c r="B841" s="59">
        <v>43542</v>
      </c>
      <c r="C841" s="54">
        <v>325</v>
      </c>
      <c r="D841" s="54">
        <v>480</v>
      </c>
      <c r="E841">
        <f t="shared" si="27"/>
        <v>1.476923076923077</v>
      </c>
    </row>
    <row r="842" spans="1:5" x14ac:dyDescent="0.3">
      <c r="A842">
        <f t="shared" si="26"/>
        <v>2019</v>
      </c>
      <c r="B842" s="59">
        <v>43543</v>
      </c>
      <c r="C842" s="54">
        <v>322</v>
      </c>
      <c r="D842" s="54">
        <v>479</v>
      </c>
      <c r="E842">
        <f t="shared" si="27"/>
        <v>1.4875776397515528</v>
      </c>
    </row>
    <row r="843" spans="1:5" x14ac:dyDescent="0.3">
      <c r="A843">
        <f t="shared" si="26"/>
        <v>2019</v>
      </c>
      <c r="B843" s="59">
        <v>43544</v>
      </c>
      <c r="C843" s="54">
        <v>319</v>
      </c>
      <c r="D843" s="54">
        <v>474</v>
      </c>
      <c r="E843">
        <f t="shared" si="27"/>
        <v>1.4858934169278997</v>
      </c>
    </row>
    <row r="844" spans="1:5" x14ac:dyDescent="0.3">
      <c r="A844">
        <f t="shared" si="26"/>
        <v>2019</v>
      </c>
      <c r="B844" s="59">
        <v>43545</v>
      </c>
      <c r="C844" s="54">
        <v>320</v>
      </c>
      <c r="D844" s="54">
        <v>478</v>
      </c>
      <c r="E844">
        <f t="shared" si="27"/>
        <v>1.4937499999999999</v>
      </c>
    </row>
    <row r="845" spans="1:5" x14ac:dyDescent="0.3">
      <c r="A845">
        <f t="shared" si="26"/>
        <v>2019</v>
      </c>
      <c r="B845" s="59">
        <v>43546</v>
      </c>
      <c r="C845" s="54">
        <v>321</v>
      </c>
      <c r="D845" s="54">
        <v>476</v>
      </c>
      <c r="E845">
        <f t="shared" si="27"/>
        <v>1.4828660436137071</v>
      </c>
    </row>
    <row r="846" spans="1:5" x14ac:dyDescent="0.3">
      <c r="A846">
        <f t="shared" si="26"/>
        <v>2019</v>
      </c>
      <c r="B846" s="59">
        <v>43549</v>
      </c>
      <c r="C846" s="54">
        <v>320</v>
      </c>
      <c r="D846" s="54">
        <v>479</v>
      </c>
      <c r="E846">
        <f t="shared" si="27"/>
        <v>1.496875</v>
      </c>
    </row>
    <row r="847" spans="1:5" x14ac:dyDescent="0.3">
      <c r="A847">
        <f t="shared" si="26"/>
        <v>2019</v>
      </c>
      <c r="B847" s="59">
        <v>43550</v>
      </c>
      <c r="C847" s="54">
        <v>321</v>
      </c>
      <c r="D847" s="54">
        <v>480</v>
      </c>
      <c r="E847">
        <f t="shared" si="27"/>
        <v>1.4953271028037383</v>
      </c>
    </row>
    <row r="848" spans="1:5" x14ac:dyDescent="0.3">
      <c r="A848">
        <f t="shared" si="26"/>
        <v>2019</v>
      </c>
      <c r="B848" s="59">
        <v>43551</v>
      </c>
      <c r="C848" s="54">
        <v>319</v>
      </c>
      <c r="D848" s="54">
        <v>479</v>
      </c>
      <c r="E848">
        <f t="shared" si="27"/>
        <v>1.5015673981191222</v>
      </c>
    </row>
    <row r="849" spans="1:5" x14ac:dyDescent="0.3">
      <c r="A849">
        <f t="shared" si="26"/>
        <v>2019</v>
      </c>
      <c r="B849" s="59">
        <v>43552</v>
      </c>
      <c r="C849" s="54">
        <v>314</v>
      </c>
      <c r="D849" s="54">
        <v>477</v>
      </c>
      <c r="E849">
        <f t="shared" si="27"/>
        <v>1.5191082802547771</v>
      </c>
    </row>
    <row r="850" spans="1:5" x14ac:dyDescent="0.3">
      <c r="A850">
        <f t="shared" si="26"/>
        <v>2019</v>
      </c>
      <c r="B850" s="59">
        <v>43553</v>
      </c>
      <c r="C850" s="54">
        <v>311.5</v>
      </c>
      <c r="D850" s="54">
        <v>472</v>
      </c>
      <c r="E850">
        <f t="shared" si="27"/>
        <v>1.5152487961476726</v>
      </c>
    </row>
    <row r="851" spans="1:5" x14ac:dyDescent="0.3">
      <c r="A851">
        <f t="shared" si="26"/>
        <v>2019</v>
      </c>
      <c r="B851" s="59">
        <v>43556</v>
      </c>
      <c r="C851" s="54">
        <v>311</v>
      </c>
      <c r="D851" s="54">
        <v>474</v>
      </c>
      <c r="E851">
        <f t="shared" si="27"/>
        <v>1.5241157556270097</v>
      </c>
    </row>
    <row r="852" spans="1:5" x14ac:dyDescent="0.3">
      <c r="A852">
        <f t="shared" si="26"/>
        <v>2019</v>
      </c>
      <c r="B852" s="59">
        <v>43557</v>
      </c>
      <c r="C852" s="54">
        <v>314</v>
      </c>
      <c r="D852" s="54">
        <v>479</v>
      </c>
      <c r="E852">
        <f t="shared" si="27"/>
        <v>1.5254777070063694</v>
      </c>
    </row>
    <row r="853" spans="1:5" x14ac:dyDescent="0.3">
      <c r="A853">
        <f t="shared" si="26"/>
        <v>2019</v>
      </c>
      <c r="B853" s="59">
        <v>43558</v>
      </c>
      <c r="C853" s="54">
        <v>313</v>
      </c>
      <c r="D853" s="54">
        <v>485</v>
      </c>
      <c r="E853">
        <f t="shared" si="27"/>
        <v>1.549520766773163</v>
      </c>
    </row>
    <row r="854" spans="1:5" x14ac:dyDescent="0.3">
      <c r="A854">
        <f t="shared" si="26"/>
        <v>2019</v>
      </c>
      <c r="B854" s="59">
        <v>43559</v>
      </c>
      <c r="C854" s="54">
        <v>312</v>
      </c>
      <c r="D854" s="54">
        <v>485</v>
      </c>
      <c r="E854">
        <f t="shared" si="27"/>
        <v>1.5544871794871795</v>
      </c>
    </row>
    <row r="855" spans="1:5" x14ac:dyDescent="0.3">
      <c r="A855">
        <f t="shared" si="26"/>
        <v>2019</v>
      </c>
      <c r="B855" s="59">
        <v>43560</v>
      </c>
      <c r="C855" s="54">
        <v>314</v>
      </c>
      <c r="D855" s="54">
        <v>482</v>
      </c>
      <c r="E855">
        <f t="shared" si="27"/>
        <v>1.5350318471337581</v>
      </c>
    </row>
    <row r="856" spans="1:5" x14ac:dyDescent="0.3">
      <c r="A856">
        <f t="shared" si="26"/>
        <v>2019</v>
      </c>
      <c r="B856" s="59">
        <v>43563</v>
      </c>
      <c r="C856" s="54">
        <v>314</v>
      </c>
      <c r="D856" s="54">
        <v>486</v>
      </c>
      <c r="E856">
        <f t="shared" si="27"/>
        <v>1.5477707006369428</v>
      </c>
    </row>
    <row r="857" spans="1:5" x14ac:dyDescent="0.3">
      <c r="A857">
        <f t="shared" si="26"/>
        <v>2019</v>
      </c>
      <c r="B857" s="59">
        <v>43564</v>
      </c>
      <c r="C857" s="54">
        <v>310.5</v>
      </c>
      <c r="D857" s="54">
        <v>484</v>
      </c>
      <c r="E857">
        <f t="shared" si="27"/>
        <v>1.5587761674718197</v>
      </c>
    </row>
    <row r="858" spans="1:5" x14ac:dyDescent="0.3">
      <c r="A858">
        <f t="shared" si="26"/>
        <v>2019</v>
      </c>
      <c r="B858" s="59">
        <v>43565</v>
      </c>
      <c r="C858" s="54">
        <v>307</v>
      </c>
      <c r="D858" s="54">
        <v>474</v>
      </c>
      <c r="E858">
        <f t="shared" si="27"/>
        <v>1.5439739413680782</v>
      </c>
    </row>
    <row r="859" spans="1:5" x14ac:dyDescent="0.3">
      <c r="A859">
        <f t="shared" si="26"/>
        <v>2019</v>
      </c>
      <c r="B859" s="59">
        <v>43566</v>
      </c>
      <c r="C859" s="54">
        <v>307</v>
      </c>
      <c r="D859" s="54">
        <v>478</v>
      </c>
      <c r="E859">
        <f t="shared" si="27"/>
        <v>1.5570032573289903</v>
      </c>
    </row>
    <row r="860" spans="1:5" x14ac:dyDescent="0.3">
      <c r="A860">
        <f t="shared" si="26"/>
        <v>2019</v>
      </c>
      <c r="B860" s="59">
        <v>43567</v>
      </c>
      <c r="C860" s="54">
        <v>310</v>
      </c>
      <c r="D860" s="54">
        <v>476</v>
      </c>
      <c r="E860">
        <f t="shared" si="27"/>
        <v>1.5354838709677419</v>
      </c>
    </row>
    <row r="861" spans="1:5" x14ac:dyDescent="0.3">
      <c r="A861">
        <f t="shared" si="26"/>
        <v>2019</v>
      </c>
      <c r="B861" s="59">
        <v>43570</v>
      </c>
      <c r="C861" s="54">
        <v>311</v>
      </c>
      <c r="D861" s="54">
        <v>475</v>
      </c>
      <c r="E861">
        <f t="shared" si="27"/>
        <v>1.527331189710611</v>
      </c>
    </row>
    <row r="862" spans="1:5" x14ac:dyDescent="0.3">
      <c r="A862">
        <f t="shared" si="26"/>
        <v>2019</v>
      </c>
      <c r="B862" s="59">
        <v>43571</v>
      </c>
      <c r="C862" s="54">
        <v>312</v>
      </c>
      <c r="D862" s="54">
        <v>479</v>
      </c>
      <c r="E862">
        <f t="shared" si="27"/>
        <v>1.5352564102564104</v>
      </c>
    </row>
    <row r="863" spans="1:5" x14ac:dyDescent="0.3">
      <c r="A863">
        <f t="shared" si="26"/>
        <v>2019</v>
      </c>
      <c r="B863" s="59">
        <v>43572</v>
      </c>
      <c r="C863" s="54">
        <v>314</v>
      </c>
      <c r="D863" s="54">
        <v>478</v>
      </c>
      <c r="E863">
        <f t="shared" si="27"/>
        <v>1.5222929936305734</v>
      </c>
    </row>
    <row r="864" spans="1:5" x14ac:dyDescent="0.3">
      <c r="A864">
        <f t="shared" si="26"/>
        <v>2019</v>
      </c>
      <c r="B864" s="59">
        <v>43573</v>
      </c>
      <c r="C864" s="54">
        <v>309.5</v>
      </c>
      <c r="D864" s="54">
        <v>474</v>
      </c>
      <c r="E864">
        <f t="shared" si="27"/>
        <v>1.5315024232633279</v>
      </c>
    </row>
    <row r="865" spans="1:5" x14ac:dyDescent="0.3">
      <c r="A865">
        <f t="shared" si="26"/>
        <v>2019</v>
      </c>
      <c r="B865" s="59">
        <v>43578</v>
      </c>
      <c r="C865" s="54">
        <v>311</v>
      </c>
      <c r="D865" s="54">
        <v>478</v>
      </c>
      <c r="E865">
        <f t="shared" si="27"/>
        <v>1.5369774919614148</v>
      </c>
    </row>
    <row r="866" spans="1:5" x14ac:dyDescent="0.3">
      <c r="A866">
        <f t="shared" si="26"/>
        <v>2019</v>
      </c>
      <c r="B866" s="59">
        <v>43579</v>
      </c>
      <c r="C866" s="54">
        <v>308</v>
      </c>
      <c r="D866" s="54">
        <v>479</v>
      </c>
      <c r="E866">
        <f t="shared" si="27"/>
        <v>1.5551948051948052</v>
      </c>
    </row>
    <row r="867" spans="1:5" x14ac:dyDescent="0.3">
      <c r="A867">
        <f t="shared" si="26"/>
        <v>2019</v>
      </c>
      <c r="B867" s="59">
        <v>43580</v>
      </c>
      <c r="C867" s="54">
        <v>306.5</v>
      </c>
      <c r="D867" s="54">
        <v>468.5</v>
      </c>
      <c r="E867">
        <f t="shared" si="27"/>
        <v>1.5285481239804242</v>
      </c>
    </row>
    <row r="868" spans="1:5" x14ac:dyDescent="0.3">
      <c r="A868">
        <f t="shared" si="26"/>
        <v>2019</v>
      </c>
      <c r="B868" s="59">
        <v>43581</v>
      </c>
      <c r="C868" s="54">
        <v>303.5</v>
      </c>
      <c r="D868" s="54">
        <v>468</v>
      </c>
      <c r="E868">
        <f t="shared" si="27"/>
        <v>1.542009884678748</v>
      </c>
    </row>
    <row r="869" spans="1:5" x14ac:dyDescent="0.3">
      <c r="A869">
        <f t="shared" si="26"/>
        <v>2019</v>
      </c>
      <c r="B869" s="59">
        <v>43584</v>
      </c>
      <c r="C869" s="54">
        <v>303.5</v>
      </c>
      <c r="D869" s="54">
        <v>471</v>
      </c>
      <c r="E869">
        <f t="shared" si="27"/>
        <v>1.5518945634266885</v>
      </c>
    </row>
    <row r="870" spans="1:5" x14ac:dyDescent="0.3">
      <c r="A870">
        <f t="shared" si="26"/>
        <v>2019</v>
      </c>
      <c r="B870" s="59">
        <v>43585</v>
      </c>
      <c r="C870" s="54">
        <v>308</v>
      </c>
      <c r="D870" s="54">
        <v>474.5</v>
      </c>
      <c r="E870">
        <f t="shared" si="27"/>
        <v>1.5405844155844155</v>
      </c>
    </row>
    <row r="871" spans="1:5" x14ac:dyDescent="0.3">
      <c r="A871">
        <f t="shared" si="26"/>
        <v>2019</v>
      </c>
      <c r="B871" s="59">
        <v>43586</v>
      </c>
      <c r="C871" s="54">
        <v>306</v>
      </c>
      <c r="D871" s="54">
        <v>470.5</v>
      </c>
      <c r="E871">
        <f t="shared" si="27"/>
        <v>1.5375816993464053</v>
      </c>
    </row>
    <row r="872" spans="1:5" x14ac:dyDescent="0.3">
      <c r="A872">
        <f t="shared" si="26"/>
        <v>2019</v>
      </c>
      <c r="B872" s="59">
        <v>43587</v>
      </c>
      <c r="C872" s="54">
        <v>306</v>
      </c>
      <c r="D872" s="54">
        <v>474</v>
      </c>
      <c r="E872">
        <f t="shared" si="27"/>
        <v>1.5490196078431373</v>
      </c>
    </row>
    <row r="873" spans="1:5" x14ac:dyDescent="0.3">
      <c r="A873">
        <f t="shared" si="26"/>
        <v>2019</v>
      </c>
      <c r="B873" s="59">
        <v>43588</v>
      </c>
      <c r="C873" s="54">
        <v>305.5</v>
      </c>
      <c r="D873" s="54">
        <v>468.5</v>
      </c>
      <c r="E873">
        <f t="shared" si="27"/>
        <v>1.5335515548281506</v>
      </c>
    </row>
    <row r="874" spans="1:5" x14ac:dyDescent="0.3">
      <c r="A874">
        <f t="shared" si="26"/>
        <v>2019</v>
      </c>
      <c r="B874" s="59">
        <v>43592</v>
      </c>
      <c r="C874" s="54">
        <v>300</v>
      </c>
      <c r="D874" s="54">
        <v>463.5</v>
      </c>
      <c r="E874">
        <f t="shared" si="27"/>
        <v>1.5449999999999999</v>
      </c>
    </row>
    <row r="875" spans="1:5" x14ac:dyDescent="0.3">
      <c r="A875">
        <f t="shared" si="26"/>
        <v>2019</v>
      </c>
      <c r="B875" s="59">
        <v>43593</v>
      </c>
      <c r="C875" s="54">
        <v>297</v>
      </c>
      <c r="D875" s="54">
        <v>468</v>
      </c>
      <c r="E875">
        <f t="shared" si="27"/>
        <v>1.5757575757575757</v>
      </c>
    </row>
    <row r="876" spans="1:5" x14ac:dyDescent="0.3">
      <c r="A876">
        <f t="shared" si="26"/>
        <v>2019</v>
      </c>
      <c r="B876" s="59">
        <v>43594</v>
      </c>
      <c r="C876" s="54">
        <v>295</v>
      </c>
      <c r="D876" s="54">
        <v>461.5</v>
      </c>
      <c r="E876">
        <f t="shared" si="27"/>
        <v>1.564406779661017</v>
      </c>
    </row>
    <row r="877" spans="1:5" x14ac:dyDescent="0.3">
      <c r="A877">
        <f t="shared" si="26"/>
        <v>2019</v>
      </c>
      <c r="B877" s="59">
        <v>43595</v>
      </c>
      <c r="C877" s="54">
        <v>299</v>
      </c>
      <c r="D877" s="54">
        <v>465</v>
      </c>
      <c r="E877">
        <f t="shared" si="27"/>
        <v>1.5551839464882944</v>
      </c>
    </row>
    <row r="878" spans="1:5" x14ac:dyDescent="0.3">
      <c r="A878">
        <f t="shared" si="26"/>
        <v>2019</v>
      </c>
      <c r="B878" s="59">
        <v>43598</v>
      </c>
      <c r="C878" s="54">
        <v>292.5</v>
      </c>
      <c r="D878" s="54">
        <v>464.5</v>
      </c>
      <c r="E878">
        <f t="shared" si="27"/>
        <v>1.5880341880341879</v>
      </c>
    </row>
    <row r="879" spans="1:5" x14ac:dyDescent="0.3">
      <c r="A879">
        <f t="shared" si="26"/>
        <v>2019</v>
      </c>
      <c r="B879" s="59">
        <v>43599</v>
      </c>
      <c r="C879" s="54">
        <v>292</v>
      </c>
      <c r="D879" s="54">
        <v>467</v>
      </c>
      <c r="E879">
        <f t="shared" si="27"/>
        <v>1.5993150684931507</v>
      </c>
    </row>
    <row r="880" spans="1:5" x14ac:dyDescent="0.3">
      <c r="A880">
        <f t="shared" si="26"/>
        <v>2019</v>
      </c>
      <c r="B880" s="59">
        <v>43600</v>
      </c>
      <c r="C880" s="54">
        <v>291.5</v>
      </c>
      <c r="D880" s="54">
        <v>468</v>
      </c>
      <c r="E880">
        <f t="shared" si="27"/>
        <v>1.6054888507718696</v>
      </c>
    </row>
    <row r="881" spans="1:5" x14ac:dyDescent="0.3">
      <c r="A881">
        <f t="shared" si="26"/>
        <v>2019</v>
      </c>
      <c r="B881" s="59">
        <v>43601</v>
      </c>
      <c r="C881" s="54">
        <v>300.5</v>
      </c>
      <c r="D881" s="54">
        <v>478</v>
      </c>
      <c r="E881">
        <f t="shared" si="27"/>
        <v>1.5906821963394342</v>
      </c>
    </row>
    <row r="882" spans="1:5" x14ac:dyDescent="0.3">
      <c r="A882">
        <f t="shared" si="26"/>
        <v>2019</v>
      </c>
      <c r="B882" s="59">
        <v>43602</v>
      </c>
      <c r="C882" s="54">
        <v>312</v>
      </c>
      <c r="D882" s="54">
        <v>486</v>
      </c>
      <c r="E882">
        <f t="shared" si="27"/>
        <v>1.5576923076923077</v>
      </c>
    </row>
    <row r="883" spans="1:5" x14ac:dyDescent="0.3">
      <c r="A883">
        <f t="shared" si="26"/>
        <v>2019</v>
      </c>
      <c r="B883" s="59">
        <v>43605</v>
      </c>
      <c r="C883" s="54">
        <v>311</v>
      </c>
      <c r="D883" s="54">
        <v>485</v>
      </c>
      <c r="E883">
        <f t="shared" si="27"/>
        <v>1.5594855305466238</v>
      </c>
    </row>
    <row r="884" spans="1:5" x14ac:dyDescent="0.3">
      <c r="A884">
        <f t="shared" si="26"/>
        <v>2019</v>
      </c>
      <c r="B884" s="59">
        <v>43606</v>
      </c>
      <c r="C884" s="54">
        <v>309</v>
      </c>
      <c r="D884" s="54">
        <v>484</v>
      </c>
      <c r="E884">
        <f t="shared" si="27"/>
        <v>1.5663430420711975</v>
      </c>
    </row>
    <row r="885" spans="1:5" x14ac:dyDescent="0.3">
      <c r="A885">
        <f t="shared" si="26"/>
        <v>2019</v>
      </c>
      <c r="B885" s="59">
        <v>43607</v>
      </c>
      <c r="C885" s="54">
        <v>312.5</v>
      </c>
      <c r="D885" s="54">
        <v>483</v>
      </c>
      <c r="E885">
        <f t="shared" si="27"/>
        <v>1.5456000000000001</v>
      </c>
    </row>
    <row r="886" spans="1:5" x14ac:dyDescent="0.3">
      <c r="A886">
        <f t="shared" si="26"/>
        <v>2019</v>
      </c>
      <c r="B886" s="59">
        <v>43608</v>
      </c>
      <c r="C886" s="54">
        <v>310</v>
      </c>
      <c r="D886" s="54">
        <v>485</v>
      </c>
      <c r="E886">
        <f t="shared" si="27"/>
        <v>1.564516129032258</v>
      </c>
    </row>
    <row r="887" spans="1:5" x14ac:dyDescent="0.3">
      <c r="A887">
        <f t="shared" si="26"/>
        <v>2019</v>
      </c>
      <c r="B887" s="59">
        <v>43609</v>
      </c>
      <c r="C887" s="54">
        <v>309</v>
      </c>
      <c r="D887" s="54">
        <v>484</v>
      </c>
      <c r="E887">
        <f t="shared" si="27"/>
        <v>1.5663430420711975</v>
      </c>
    </row>
    <row r="888" spans="1:5" x14ac:dyDescent="0.3">
      <c r="A888">
        <f t="shared" si="26"/>
        <v>2019</v>
      </c>
      <c r="B888" s="59">
        <v>43613</v>
      </c>
      <c r="C888" s="54">
        <v>308.5</v>
      </c>
      <c r="D888" s="54">
        <v>479.5</v>
      </c>
      <c r="E888">
        <f t="shared" si="27"/>
        <v>1.5542949756888169</v>
      </c>
    </row>
    <row r="889" spans="1:5" x14ac:dyDescent="0.3">
      <c r="A889">
        <f t="shared" si="26"/>
        <v>2019</v>
      </c>
      <c r="B889" s="59">
        <v>43614</v>
      </c>
      <c r="C889" s="54">
        <v>309</v>
      </c>
      <c r="D889" s="54">
        <v>477.5</v>
      </c>
      <c r="E889">
        <f t="shared" si="27"/>
        <v>1.5453074433656957</v>
      </c>
    </row>
    <row r="890" spans="1:5" x14ac:dyDescent="0.3">
      <c r="A890">
        <f t="shared" si="26"/>
        <v>2019</v>
      </c>
      <c r="B890" s="59">
        <v>43615</v>
      </c>
      <c r="C890" s="54">
        <v>303</v>
      </c>
      <c r="D890" s="54">
        <v>473</v>
      </c>
      <c r="E890">
        <f t="shared" si="27"/>
        <v>1.561056105610561</v>
      </c>
    </row>
    <row r="891" spans="1:5" x14ac:dyDescent="0.3">
      <c r="A891">
        <f t="shared" si="26"/>
        <v>2019</v>
      </c>
      <c r="B891" s="59">
        <v>43616</v>
      </c>
      <c r="C891" s="54">
        <v>301</v>
      </c>
      <c r="D891" s="54">
        <v>472</v>
      </c>
      <c r="E891">
        <f t="shared" si="27"/>
        <v>1.5681063122923589</v>
      </c>
    </row>
    <row r="892" spans="1:5" x14ac:dyDescent="0.3">
      <c r="A892">
        <f t="shared" si="26"/>
        <v>2019</v>
      </c>
      <c r="B892" s="59">
        <v>43619</v>
      </c>
      <c r="C892" s="54">
        <v>296</v>
      </c>
      <c r="D892" s="54">
        <v>471</v>
      </c>
      <c r="E892">
        <f t="shared" si="27"/>
        <v>1.5912162162162162</v>
      </c>
    </row>
    <row r="893" spans="1:5" x14ac:dyDescent="0.3">
      <c r="A893">
        <f t="shared" si="26"/>
        <v>2019</v>
      </c>
      <c r="B893" s="59">
        <v>43620</v>
      </c>
      <c r="C893" s="54">
        <v>302</v>
      </c>
      <c r="D893" s="54">
        <v>476</v>
      </c>
      <c r="E893">
        <f t="shared" si="27"/>
        <v>1.576158940397351</v>
      </c>
    </row>
    <row r="894" spans="1:5" x14ac:dyDescent="0.3">
      <c r="A894">
        <f t="shared" si="26"/>
        <v>2019</v>
      </c>
      <c r="B894" s="59">
        <v>43621</v>
      </c>
      <c r="C894" s="54">
        <v>300</v>
      </c>
      <c r="D894" s="54">
        <v>478</v>
      </c>
      <c r="E894">
        <f t="shared" si="27"/>
        <v>1.5933333333333333</v>
      </c>
    </row>
    <row r="895" spans="1:5" x14ac:dyDescent="0.3">
      <c r="A895">
        <f t="shared" si="26"/>
        <v>2019</v>
      </c>
      <c r="B895" s="59">
        <v>43622</v>
      </c>
      <c r="C895" s="54">
        <v>299</v>
      </c>
      <c r="D895" s="54">
        <v>472.5</v>
      </c>
      <c r="E895">
        <f t="shared" si="27"/>
        <v>1.580267558528428</v>
      </c>
    </row>
    <row r="896" spans="1:5" x14ac:dyDescent="0.3">
      <c r="A896">
        <f t="shared" si="26"/>
        <v>2019</v>
      </c>
      <c r="B896" s="59">
        <v>43623</v>
      </c>
      <c r="C896" s="54">
        <v>297.5</v>
      </c>
      <c r="D896" s="54">
        <v>468.5</v>
      </c>
      <c r="E896">
        <f t="shared" si="27"/>
        <v>1.5747899159663865</v>
      </c>
    </row>
    <row r="897" spans="1:5" x14ac:dyDescent="0.3">
      <c r="A897">
        <f t="shared" si="26"/>
        <v>2019</v>
      </c>
      <c r="B897" s="59">
        <v>43626</v>
      </c>
      <c r="C897" s="54">
        <v>298.5</v>
      </c>
      <c r="D897" s="54">
        <v>470.5</v>
      </c>
      <c r="E897">
        <f t="shared" si="27"/>
        <v>1.5762144053601339</v>
      </c>
    </row>
    <row r="898" spans="1:5" x14ac:dyDescent="0.3">
      <c r="A898">
        <f t="shared" si="26"/>
        <v>2019</v>
      </c>
      <c r="B898" s="59">
        <v>43627</v>
      </c>
      <c r="C898" s="54">
        <v>309.5</v>
      </c>
      <c r="D898" s="54">
        <v>477</v>
      </c>
      <c r="E898">
        <f t="shared" si="27"/>
        <v>1.5411954765751212</v>
      </c>
    </row>
    <row r="899" spans="1:5" x14ac:dyDescent="0.3">
      <c r="A899">
        <f t="shared" si="26"/>
        <v>2019</v>
      </c>
      <c r="B899" s="59">
        <v>43628</v>
      </c>
      <c r="C899" s="54">
        <v>301</v>
      </c>
      <c r="D899" s="54">
        <v>477</v>
      </c>
      <c r="E899">
        <f t="shared" si="27"/>
        <v>1.584717607973422</v>
      </c>
    </row>
    <row r="900" spans="1:5" x14ac:dyDescent="0.3">
      <c r="A900">
        <f t="shared" ref="A900:A963" si="28">YEAR(B900)</f>
        <v>2019</v>
      </c>
      <c r="B900" s="59">
        <v>43629</v>
      </c>
      <c r="C900" s="54">
        <v>304.5</v>
      </c>
      <c r="D900" s="54">
        <v>478</v>
      </c>
      <c r="E900">
        <f t="shared" ref="E900:E963" si="29">D900/C900</f>
        <v>1.5697865353037768</v>
      </c>
    </row>
    <row r="901" spans="1:5" x14ac:dyDescent="0.3">
      <c r="A901">
        <f t="shared" si="28"/>
        <v>2019</v>
      </c>
      <c r="B901" s="59">
        <v>43630</v>
      </c>
      <c r="C901" s="54">
        <v>289.5</v>
      </c>
      <c r="D901" s="54">
        <v>468</v>
      </c>
      <c r="E901">
        <f t="shared" si="29"/>
        <v>1.616580310880829</v>
      </c>
    </row>
    <row r="902" spans="1:5" x14ac:dyDescent="0.3">
      <c r="A902">
        <f t="shared" si="28"/>
        <v>2019</v>
      </c>
      <c r="B902" s="59">
        <v>43633</v>
      </c>
      <c r="C902" s="54">
        <v>288</v>
      </c>
      <c r="D902" s="54">
        <v>467</v>
      </c>
      <c r="E902">
        <f t="shared" si="29"/>
        <v>1.6215277777777777</v>
      </c>
    </row>
    <row r="903" spans="1:5" x14ac:dyDescent="0.3">
      <c r="A903">
        <f t="shared" si="28"/>
        <v>2019</v>
      </c>
      <c r="B903" s="59">
        <v>43634</v>
      </c>
      <c r="C903" s="54">
        <v>290.5</v>
      </c>
      <c r="D903" s="54">
        <v>469</v>
      </c>
      <c r="E903">
        <f t="shared" si="29"/>
        <v>1.6144578313253013</v>
      </c>
    </row>
    <row r="904" spans="1:5" x14ac:dyDescent="0.3">
      <c r="A904">
        <f t="shared" si="28"/>
        <v>2019</v>
      </c>
      <c r="B904" s="59">
        <v>43635</v>
      </c>
      <c r="C904" s="54">
        <v>294</v>
      </c>
      <c r="D904" s="54">
        <v>471</v>
      </c>
      <c r="E904">
        <f t="shared" si="29"/>
        <v>1.6020408163265305</v>
      </c>
    </row>
    <row r="905" spans="1:5" x14ac:dyDescent="0.3">
      <c r="A905">
        <f t="shared" si="28"/>
        <v>2019</v>
      </c>
      <c r="B905" s="59">
        <v>43636</v>
      </c>
      <c r="C905" s="54">
        <v>296</v>
      </c>
      <c r="D905" s="54">
        <v>470.5</v>
      </c>
      <c r="E905">
        <f t="shared" si="29"/>
        <v>1.589527027027027</v>
      </c>
    </row>
    <row r="906" spans="1:5" x14ac:dyDescent="0.3">
      <c r="A906">
        <f t="shared" si="28"/>
        <v>2019</v>
      </c>
      <c r="B906" s="59">
        <v>43637</v>
      </c>
      <c r="C906" s="54">
        <v>293</v>
      </c>
      <c r="D906" s="54">
        <v>466</v>
      </c>
      <c r="E906">
        <f t="shared" si="29"/>
        <v>1.5904436860068258</v>
      </c>
    </row>
    <row r="907" spans="1:5" x14ac:dyDescent="0.3">
      <c r="A907">
        <f t="shared" si="28"/>
        <v>2019</v>
      </c>
      <c r="B907" s="59">
        <v>43640</v>
      </c>
      <c r="C907" s="54">
        <v>299</v>
      </c>
      <c r="D907" s="54">
        <v>473.5</v>
      </c>
      <c r="E907">
        <f t="shared" si="29"/>
        <v>1.5836120401337792</v>
      </c>
    </row>
    <row r="908" spans="1:5" x14ac:dyDescent="0.3">
      <c r="A908">
        <f t="shared" si="28"/>
        <v>2019</v>
      </c>
      <c r="B908" s="59">
        <v>43641</v>
      </c>
      <c r="C908" s="54">
        <v>300</v>
      </c>
      <c r="D908" s="54">
        <v>475</v>
      </c>
      <c r="E908">
        <f t="shared" si="29"/>
        <v>1.5833333333333333</v>
      </c>
    </row>
    <row r="909" spans="1:5" x14ac:dyDescent="0.3">
      <c r="A909">
        <f t="shared" si="28"/>
        <v>2019</v>
      </c>
      <c r="B909" s="59">
        <v>43642</v>
      </c>
      <c r="C909" s="54">
        <v>299</v>
      </c>
      <c r="D909" s="54">
        <v>476</v>
      </c>
      <c r="E909">
        <f t="shared" si="29"/>
        <v>1.5919732441471572</v>
      </c>
    </row>
    <row r="910" spans="1:5" x14ac:dyDescent="0.3">
      <c r="A910">
        <f t="shared" si="28"/>
        <v>2019</v>
      </c>
      <c r="B910" s="59">
        <v>43643</v>
      </c>
      <c r="C910" s="54">
        <v>298</v>
      </c>
      <c r="D910" s="54">
        <v>479.5</v>
      </c>
      <c r="E910">
        <f t="shared" si="29"/>
        <v>1.6090604026845639</v>
      </c>
    </row>
    <row r="911" spans="1:5" x14ac:dyDescent="0.3">
      <c r="A911">
        <f t="shared" si="28"/>
        <v>2019</v>
      </c>
      <c r="B911" s="59">
        <v>43644</v>
      </c>
      <c r="C911" s="54">
        <v>301</v>
      </c>
      <c r="D911" s="54">
        <v>482.5</v>
      </c>
      <c r="E911">
        <f t="shared" si="29"/>
        <v>1.6029900332225913</v>
      </c>
    </row>
    <row r="912" spans="1:5" x14ac:dyDescent="0.3">
      <c r="A912">
        <f t="shared" si="28"/>
        <v>2019</v>
      </c>
      <c r="B912" s="59">
        <v>43647</v>
      </c>
      <c r="C912" s="54">
        <v>306</v>
      </c>
      <c r="D912" s="54">
        <v>481</v>
      </c>
      <c r="E912">
        <f t="shared" si="29"/>
        <v>1.5718954248366013</v>
      </c>
    </row>
    <row r="913" spans="1:5" x14ac:dyDescent="0.3">
      <c r="A913">
        <f t="shared" si="28"/>
        <v>2019</v>
      </c>
      <c r="B913" s="59">
        <v>43648</v>
      </c>
      <c r="C913" s="54">
        <v>302</v>
      </c>
      <c r="D913" s="54">
        <v>478</v>
      </c>
      <c r="E913">
        <f t="shared" si="29"/>
        <v>1.5827814569536425</v>
      </c>
    </row>
    <row r="914" spans="1:5" x14ac:dyDescent="0.3">
      <c r="A914">
        <f t="shared" si="28"/>
        <v>2019</v>
      </c>
      <c r="B914" s="59">
        <v>43649</v>
      </c>
      <c r="C914" s="54">
        <v>303.5</v>
      </c>
      <c r="D914" s="54">
        <v>484.5</v>
      </c>
      <c r="E914">
        <f t="shared" si="29"/>
        <v>1.5963756177924218</v>
      </c>
    </row>
    <row r="915" spans="1:5" x14ac:dyDescent="0.3">
      <c r="A915">
        <f t="shared" si="28"/>
        <v>2019</v>
      </c>
      <c r="B915" s="59">
        <v>43650</v>
      </c>
      <c r="C915" s="54">
        <v>309</v>
      </c>
      <c r="D915" s="54">
        <v>487.5</v>
      </c>
      <c r="E915">
        <f t="shared" si="29"/>
        <v>1.5776699029126213</v>
      </c>
    </row>
    <row r="916" spans="1:5" x14ac:dyDescent="0.3">
      <c r="A916">
        <f t="shared" si="28"/>
        <v>2019</v>
      </c>
      <c r="B916" s="59">
        <v>43651</v>
      </c>
      <c r="C916" s="54">
        <v>304.5</v>
      </c>
      <c r="D916" s="54">
        <v>484</v>
      </c>
      <c r="E916">
        <f t="shared" si="29"/>
        <v>1.5894909688013137</v>
      </c>
    </row>
    <row r="917" spans="1:5" x14ac:dyDescent="0.3">
      <c r="A917">
        <f t="shared" si="28"/>
        <v>2019</v>
      </c>
      <c r="B917" s="59">
        <v>43654</v>
      </c>
      <c r="C917" s="54">
        <v>305</v>
      </c>
      <c r="D917" s="54">
        <v>478.5</v>
      </c>
      <c r="E917">
        <f t="shared" si="29"/>
        <v>1.5688524590163935</v>
      </c>
    </row>
    <row r="918" spans="1:5" x14ac:dyDescent="0.3">
      <c r="A918">
        <f t="shared" si="28"/>
        <v>2019</v>
      </c>
      <c r="B918" s="59">
        <v>43655</v>
      </c>
      <c r="C918" s="54">
        <v>303</v>
      </c>
      <c r="D918" s="54">
        <v>480.5</v>
      </c>
      <c r="E918">
        <f t="shared" si="29"/>
        <v>1.5858085808580857</v>
      </c>
    </row>
    <row r="919" spans="1:5" x14ac:dyDescent="0.3">
      <c r="A919">
        <f t="shared" si="28"/>
        <v>2019</v>
      </c>
      <c r="B919" s="59">
        <v>43656</v>
      </c>
      <c r="C919" s="54">
        <v>305</v>
      </c>
      <c r="D919" s="54">
        <v>476</v>
      </c>
      <c r="E919">
        <f t="shared" si="29"/>
        <v>1.5606557377049179</v>
      </c>
    </row>
    <row r="920" spans="1:5" x14ac:dyDescent="0.3">
      <c r="A920">
        <f t="shared" si="28"/>
        <v>2019</v>
      </c>
      <c r="B920" s="59">
        <v>43657</v>
      </c>
      <c r="C920" s="54">
        <v>305.5</v>
      </c>
      <c r="D920" s="54">
        <v>476</v>
      </c>
      <c r="E920">
        <f t="shared" si="29"/>
        <v>1.5581014729950899</v>
      </c>
    </row>
    <row r="921" spans="1:5" x14ac:dyDescent="0.3">
      <c r="A921">
        <f t="shared" si="28"/>
        <v>2019</v>
      </c>
      <c r="B921" s="59">
        <v>43658</v>
      </c>
      <c r="C921" s="54">
        <v>302.5</v>
      </c>
      <c r="D921" s="54">
        <v>472</v>
      </c>
      <c r="E921">
        <f t="shared" si="29"/>
        <v>1.5603305785123966</v>
      </c>
    </row>
    <row r="922" spans="1:5" x14ac:dyDescent="0.3">
      <c r="A922">
        <f t="shared" si="28"/>
        <v>2019</v>
      </c>
      <c r="B922" s="59">
        <v>43661</v>
      </c>
      <c r="C922" s="54">
        <v>306.5</v>
      </c>
      <c r="D922" s="54">
        <v>479</v>
      </c>
      <c r="E922">
        <f t="shared" si="29"/>
        <v>1.5628058727569332</v>
      </c>
    </row>
    <row r="923" spans="1:5" x14ac:dyDescent="0.3">
      <c r="A923">
        <f t="shared" si="28"/>
        <v>2019</v>
      </c>
      <c r="B923" s="59">
        <v>43662</v>
      </c>
      <c r="C923" s="54">
        <v>304</v>
      </c>
      <c r="D923" s="54">
        <v>477</v>
      </c>
      <c r="E923">
        <f t="shared" si="29"/>
        <v>1.569078947368421</v>
      </c>
    </row>
    <row r="924" spans="1:5" x14ac:dyDescent="0.3">
      <c r="A924">
        <f t="shared" si="28"/>
        <v>2019</v>
      </c>
      <c r="B924" s="59">
        <v>43663</v>
      </c>
      <c r="C924" s="54">
        <v>307.5</v>
      </c>
      <c r="D924" s="54">
        <v>484</v>
      </c>
      <c r="E924">
        <f t="shared" si="29"/>
        <v>1.5739837398373984</v>
      </c>
    </row>
    <row r="925" spans="1:5" x14ac:dyDescent="0.3">
      <c r="A925">
        <f t="shared" si="28"/>
        <v>2019</v>
      </c>
      <c r="B925" s="59">
        <v>43664</v>
      </c>
      <c r="C925" s="54">
        <v>303</v>
      </c>
      <c r="D925" s="54">
        <v>477.5</v>
      </c>
      <c r="E925">
        <f t="shared" si="29"/>
        <v>1.5759075907590758</v>
      </c>
    </row>
    <row r="926" spans="1:5" x14ac:dyDescent="0.3">
      <c r="A926">
        <f t="shared" si="28"/>
        <v>2019</v>
      </c>
      <c r="B926" s="59">
        <v>43665</v>
      </c>
      <c r="C926" s="54">
        <v>303</v>
      </c>
      <c r="D926" s="54">
        <v>479</v>
      </c>
      <c r="E926">
        <f t="shared" si="29"/>
        <v>1.5808580858085808</v>
      </c>
    </row>
    <row r="927" spans="1:5" x14ac:dyDescent="0.3">
      <c r="A927">
        <f t="shared" si="28"/>
        <v>2019</v>
      </c>
      <c r="B927" s="59">
        <v>43668</v>
      </c>
      <c r="C927" s="54">
        <v>305</v>
      </c>
      <c r="D927" s="54">
        <v>477.5</v>
      </c>
      <c r="E927">
        <f t="shared" si="29"/>
        <v>1.5655737704918034</v>
      </c>
    </row>
    <row r="928" spans="1:5" x14ac:dyDescent="0.3">
      <c r="A928">
        <f t="shared" si="28"/>
        <v>2019</v>
      </c>
      <c r="B928" s="59">
        <v>43669</v>
      </c>
      <c r="C928" s="54">
        <v>304.5</v>
      </c>
      <c r="D928" s="54">
        <v>474</v>
      </c>
      <c r="E928">
        <f t="shared" si="29"/>
        <v>1.5566502463054188</v>
      </c>
    </row>
    <row r="929" spans="1:5" x14ac:dyDescent="0.3">
      <c r="A929">
        <f t="shared" si="28"/>
        <v>2019</v>
      </c>
      <c r="B929" s="59">
        <v>43670</v>
      </c>
      <c r="C929" s="54">
        <v>302</v>
      </c>
      <c r="D929" s="54">
        <v>469</v>
      </c>
      <c r="E929">
        <f t="shared" si="29"/>
        <v>1.5529801324503312</v>
      </c>
    </row>
    <row r="930" spans="1:5" x14ac:dyDescent="0.3">
      <c r="A930">
        <f t="shared" si="28"/>
        <v>2019</v>
      </c>
      <c r="B930" s="59">
        <v>43671</v>
      </c>
      <c r="C930" s="54">
        <v>299.5</v>
      </c>
      <c r="D930" s="54">
        <v>470.5</v>
      </c>
      <c r="E930">
        <f t="shared" si="29"/>
        <v>1.5709515859766277</v>
      </c>
    </row>
    <row r="931" spans="1:5" x14ac:dyDescent="0.3">
      <c r="A931">
        <f t="shared" si="28"/>
        <v>2019</v>
      </c>
      <c r="B931" s="59">
        <v>43672</v>
      </c>
      <c r="C931" s="54">
        <v>300</v>
      </c>
      <c r="D931" s="54">
        <v>469</v>
      </c>
      <c r="E931">
        <f t="shared" si="29"/>
        <v>1.5633333333333332</v>
      </c>
    </row>
    <row r="932" spans="1:5" x14ac:dyDescent="0.3">
      <c r="A932">
        <f t="shared" si="28"/>
        <v>2019</v>
      </c>
      <c r="B932" s="59">
        <v>43675</v>
      </c>
      <c r="C932" s="54">
        <v>300</v>
      </c>
      <c r="D932" s="54">
        <v>469</v>
      </c>
      <c r="E932">
        <f t="shared" si="29"/>
        <v>1.5633333333333332</v>
      </c>
    </row>
    <row r="933" spans="1:5" x14ac:dyDescent="0.3">
      <c r="A933">
        <f t="shared" si="28"/>
        <v>2019</v>
      </c>
      <c r="B933" s="59">
        <v>43676</v>
      </c>
      <c r="C933" s="54">
        <v>293</v>
      </c>
      <c r="D933" s="54">
        <v>469</v>
      </c>
      <c r="E933">
        <f t="shared" si="29"/>
        <v>1.6006825938566553</v>
      </c>
    </row>
    <row r="934" spans="1:5" x14ac:dyDescent="0.3">
      <c r="A934">
        <f t="shared" si="28"/>
        <v>2019</v>
      </c>
      <c r="B934" s="59">
        <v>43677</v>
      </c>
      <c r="C934" s="54">
        <v>293</v>
      </c>
      <c r="D934" s="54">
        <v>469.5</v>
      </c>
      <c r="E934">
        <f t="shared" si="29"/>
        <v>1.6023890784982935</v>
      </c>
    </row>
    <row r="935" spans="1:5" x14ac:dyDescent="0.3">
      <c r="A935">
        <f t="shared" si="28"/>
        <v>2019</v>
      </c>
      <c r="B935" s="59">
        <v>43678</v>
      </c>
      <c r="C935" s="54">
        <v>296.5</v>
      </c>
      <c r="D935" s="54">
        <v>471</v>
      </c>
      <c r="E935">
        <f t="shared" si="29"/>
        <v>1.5885328836424957</v>
      </c>
    </row>
    <row r="936" spans="1:5" x14ac:dyDescent="0.3">
      <c r="A936">
        <f t="shared" si="28"/>
        <v>2019</v>
      </c>
      <c r="B936" s="59">
        <v>43679</v>
      </c>
      <c r="C936" s="54">
        <v>296</v>
      </c>
      <c r="D936" s="54">
        <v>470</v>
      </c>
      <c r="E936">
        <f t="shared" si="29"/>
        <v>1.5878378378378379</v>
      </c>
    </row>
    <row r="937" spans="1:5" x14ac:dyDescent="0.3">
      <c r="A937">
        <f t="shared" si="28"/>
        <v>2019</v>
      </c>
      <c r="B937" s="59">
        <v>43682</v>
      </c>
      <c r="C937" s="54">
        <v>294</v>
      </c>
      <c r="D937" s="54">
        <v>470</v>
      </c>
      <c r="E937">
        <f t="shared" si="29"/>
        <v>1.5986394557823129</v>
      </c>
    </row>
    <row r="938" spans="1:5" x14ac:dyDescent="0.3">
      <c r="A938">
        <f t="shared" si="28"/>
        <v>2019</v>
      </c>
      <c r="B938" s="59">
        <v>43683</v>
      </c>
      <c r="C938" s="54">
        <v>293</v>
      </c>
      <c r="D938" s="54">
        <v>467</v>
      </c>
      <c r="E938">
        <f t="shared" si="29"/>
        <v>1.5938566552901023</v>
      </c>
    </row>
    <row r="939" spans="1:5" x14ac:dyDescent="0.3">
      <c r="A939">
        <f t="shared" si="28"/>
        <v>2019</v>
      </c>
      <c r="B939" s="59">
        <v>43684</v>
      </c>
      <c r="C939" s="54">
        <v>290</v>
      </c>
      <c r="D939" s="54">
        <v>461</v>
      </c>
      <c r="E939">
        <f t="shared" si="29"/>
        <v>1.5896551724137931</v>
      </c>
    </row>
    <row r="940" spans="1:5" x14ac:dyDescent="0.3">
      <c r="A940">
        <f t="shared" si="28"/>
        <v>2019</v>
      </c>
      <c r="B940" s="59">
        <v>43685</v>
      </c>
      <c r="C940" s="54">
        <v>293</v>
      </c>
      <c r="D940" s="54">
        <v>465.5</v>
      </c>
      <c r="E940">
        <f t="shared" si="29"/>
        <v>1.5887372013651877</v>
      </c>
    </row>
    <row r="941" spans="1:5" x14ac:dyDescent="0.3">
      <c r="A941">
        <f t="shared" si="28"/>
        <v>2019</v>
      </c>
      <c r="B941" s="59">
        <v>43686</v>
      </c>
      <c r="C941" s="54">
        <v>286</v>
      </c>
      <c r="D941" s="54">
        <v>457.5</v>
      </c>
      <c r="E941">
        <f t="shared" si="29"/>
        <v>1.5996503496503496</v>
      </c>
    </row>
    <row r="942" spans="1:5" x14ac:dyDescent="0.3">
      <c r="A942">
        <f t="shared" si="28"/>
        <v>2019</v>
      </c>
      <c r="B942" s="59">
        <v>43689</v>
      </c>
      <c r="C942" s="54">
        <v>286</v>
      </c>
      <c r="D942" s="54">
        <v>461.5</v>
      </c>
      <c r="E942">
        <f t="shared" si="29"/>
        <v>1.6136363636363635</v>
      </c>
    </row>
    <row r="943" spans="1:5" x14ac:dyDescent="0.3">
      <c r="A943">
        <f t="shared" si="28"/>
        <v>2019</v>
      </c>
      <c r="B943" s="59">
        <v>43690</v>
      </c>
      <c r="C943" s="54">
        <v>286</v>
      </c>
      <c r="D943" s="54">
        <v>460</v>
      </c>
      <c r="E943">
        <f t="shared" si="29"/>
        <v>1.6083916083916083</v>
      </c>
    </row>
    <row r="944" spans="1:5" x14ac:dyDescent="0.3">
      <c r="A944">
        <f t="shared" si="28"/>
        <v>2019</v>
      </c>
      <c r="B944" s="59">
        <v>43691</v>
      </c>
      <c r="C944" s="54">
        <v>294</v>
      </c>
      <c r="D944" s="54">
        <v>460</v>
      </c>
      <c r="E944">
        <f t="shared" si="29"/>
        <v>1.564625850340136</v>
      </c>
    </row>
    <row r="945" spans="1:5" x14ac:dyDescent="0.3">
      <c r="A945">
        <f t="shared" si="28"/>
        <v>2019</v>
      </c>
      <c r="B945" s="59">
        <v>43692</v>
      </c>
      <c r="C945" s="54">
        <v>287</v>
      </c>
      <c r="D945" s="54">
        <v>458</v>
      </c>
      <c r="E945">
        <f t="shared" si="29"/>
        <v>1.5958188153310104</v>
      </c>
    </row>
    <row r="946" spans="1:5" x14ac:dyDescent="0.3">
      <c r="A946">
        <f t="shared" si="28"/>
        <v>2019</v>
      </c>
      <c r="B946" s="59">
        <v>43693</v>
      </c>
      <c r="C946" s="54">
        <v>281</v>
      </c>
      <c r="D946" s="54">
        <v>461.5</v>
      </c>
      <c r="E946">
        <f t="shared" si="29"/>
        <v>1.6423487544483986</v>
      </c>
    </row>
    <row r="947" spans="1:5" x14ac:dyDescent="0.3">
      <c r="A947">
        <f t="shared" si="28"/>
        <v>2019</v>
      </c>
      <c r="B947" s="59">
        <v>43696</v>
      </c>
      <c r="C947" s="54">
        <v>280.5</v>
      </c>
      <c r="D947" s="54">
        <v>458</v>
      </c>
      <c r="E947">
        <f t="shared" si="29"/>
        <v>1.6327985739750446</v>
      </c>
    </row>
    <row r="948" spans="1:5" x14ac:dyDescent="0.3">
      <c r="A948">
        <f t="shared" si="28"/>
        <v>2019</v>
      </c>
      <c r="B948" s="59">
        <v>43697</v>
      </c>
      <c r="C948" s="54">
        <v>280</v>
      </c>
      <c r="D948" s="54">
        <v>450</v>
      </c>
      <c r="E948">
        <f t="shared" si="29"/>
        <v>1.6071428571428572</v>
      </c>
    </row>
    <row r="949" spans="1:5" x14ac:dyDescent="0.3">
      <c r="A949">
        <f t="shared" si="28"/>
        <v>2019</v>
      </c>
      <c r="B949" s="59">
        <v>43698</v>
      </c>
      <c r="C949" s="54">
        <v>275</v>
      </c>
      <c r="D949" s="54">
        <v>445.5</v>
      </c>
      <c r="E949">
        <f t="shared" si="29"/>
        <v>1.62</v>
      </c>
    </row>
    <row r="950" spans="1:5" x14ac:dyDescent="0.3">
      <c r="A950">
        <f t="shared" si="28"/>
        <v>2019</v>
      </c>
      <c r="B950" s="59">
        <v>43699</v>
      </c>
      <c r="C950" s="54">
        <v>279</v>
      </c>
      <c r="D950" s="54">
        <v>443</v>
      </c>
      <c r="E950">
        <f t="shared" si="29"/>
        <v>1.5878136200716846</v>
      </c>
    </row>
    <row r="951" spans="1:5" x14ac:dyDescent="0.3">
      <c r="A951">
        <f t="shared" si="28"/>
        <v>2019</v>
      </c>
      <c r="B951" s="59">
        <v>43700</v>
      </c>
      <c r="C951" s="54">
        <v>280</v>
      </c>
      <c r="D951" s="54">
        <v>443</v>
      </c>
      <c r="E951">
        <f t="shared" si="29"/>
        <v>1.5821428571428571</v>
      </c>
    </row>
    <row r="952" spans="1:5" x14ac:dyDescent="0.3">
      <c r="A952">
        <f t="shared" si="28"/>
        <v>2019</v>
      </c>
      <c r="B952" s="59">
        <v>43704</v>
      </c>
      <c r="C952" s="54">
        <v>273</v>
      </c>
      <c r="D952" s="54">
        <v>441</v>
      </c>
      <c r="E952">
        <f t="shared" si="29"/>
        <v>1.6153846153846154</v>
      </c>
    </row>
    <row r="953" spans="1:5" x14ac:dyDescent="0.3">
      <c r="A953">
        <f t="shared" si="28"/>
        <v>2019</v>
      </c>
      <c r="B953" s="59">
        <v>43705</v>
      </c>
      <c r="C953" s="54">
        <v>269.5</v>
      </c>
      <c r="D953" s="54">
        <v>444.5</v>
      </c>
      <c r="E953">
        <f t="shared" si="29"/>
        <v>1.6493506493506493</v>
      </c>
    </row>
    <row r="954" spans="1:5" x14ac:dyDescent="0.3">
      <c r="A954">
        <f t="shared" si="28"/>
        <v>2019</v>
      </c>
      <c r="B954" s="59">
        <v>43706</v>
      </c>
      <c r="C954" s="54">
        <v>267</v>
      </c>
      <c r="D954" s="54">
        <v>430</v>
      </c>
      <c r="E954">
        <f t="shared" si="29"/>
        <v>1.6104868913857677</v>
      </c>
    </row>
    <row r="955" spans="1:5" x14ac:dyDescent="0.3">
      <c r="A955">
        <f t="shared" si="28"/>
        <v>2019</v>
      </c>
      <c r="B955" s="59">
        <v>43707</v>
      </c>
      <c r="C955" s="54">
        <v>267</v>
      </c>
      <c r="D955" s="54">
        <v>435</v>
      </c>
      <c r="E955">
        <f t="shared" si="29"/>
        <v>1.6292134831460674</v>
      </c>
    </row>
    <row r="956" spans="1:5" x14ac:dyDescent="0.3">
      <c r="A956">
        <f t="shared" si="28"/>
        <v>2019</v>
      </c>
      <c r="B956" s="59">
        <v>43710</v>
      </c>
      <c r="C956" s="54">
        <v>268</v>
      </c>
      <c r="D956" s="54">
        <v>438.5</v>
      </c>
      <c r="E956">
        <f t="shared" si="29"/>
        <v>1.6361940298507462</v>
      </c>
    </row>
    <row r="957" spans="1:5" x14ac:dyDescent="0.3">
      <c r="A957">
        <f t="shared" si="28"/>
        <v>2019</v>
      </c>
      <c r="B957" s="59">
        <v>43711</v>
      </c>
      <c r="C957" s="54">
        <v>262.5</v>
      </c>
      <c r="D957" s="54">
        <v>428</v>
      </c>
      <c r="E957">
        <f t="shared" si="29"/>
        <v>1.6304761904761904</v>
      </c>
    </row>
    <row r="958" spans="1:5" x14ac:dyDescent="0.3">
      <c r="A958">
        <f t="shared" si="28"/>
        <v>2019</v>
      </c>
      <c r="B958" s="59">
        <v>43712</v>
      </c>
      <c r="C958" s="54">
        <v>266.5</v>
      </c>
      <c r="D958" s="54">
        <v>428</v>
      </c>
      <c r="E958">
        <f t="shared" si="29"/>
        <v>1.6060037523452158</v>
      </c>
    </row>
    <row r="959" spans="1:5" x14ac:dyDescent="0.3">
      <c r="A959">
        <f t="shared" si="28"/>
        <v>2019</v>
      </c>
      <c r="B959" s="59">
        <v>43713</v>
      </c>
      <c r="C959" s="54">
        <v>261</v>
      </c>
      <c r="D959" s="54">
        <v>419.5</v>
      </c>
      <c r="E959">
        <f t="shared" si="29"/>
        <v>1.6072796934865901</v>
      </c>
    </row>
    <row r="960" spans="1:5" x14ac:dyDescent="0.3">
      <c r="A960">
        <f t="shared" si="28"/>
        <v>2019</v>
      </c>
      <c r="B960" s="59">
        <v>43714</v>
      </c>
      <c r="C960" s="54">
        <v>255</v>
      </c>
      <c r="D960" s="54">
        <v>415.5</v>
      </c>
      <c r="E960">
        <f t="shared" si="29"/>
        <v>1.6294117647058823</v>
      </c>
    </row>
    <row r="961" spans="1:5" x14ac:dyDescent="0.3">
      <c r="A961">
        <f t="shared" si="28"/>
        <v>2019</v>
      </c>
      <c r="B961" s="59">
        <v>43717</v>
      </c>
      <c r="C961" s="54">
        <v>259</v>
      </c>
      <c r="D961" s="54">
        <v>422</v>
      </c>
      <c r="E961">
        <f t="shared" si="29"/>
        <v>1.6293436293436294</v>
      </c>
    </row>
    <row r="962" spans="1:5" x14ac:dyDescent="0.3">
      <c r="A962">
        <f t="shared" si="28"/>
        <v>2019</v>
      </c>
      <c r="B962" s="59">
        <v>43718</v>
      </c>
      <c r="C962" s="54">
        <v>261</v>
      </c>
      <c r="D962" s="54">
        <v>418</v>
      </c>
      <c r="E962">
        <f t="shared" si="29"/>
        <v>1.6015325670498084</v>
      </c>
    </row>
    <row r="963" spans="1:5" x14ac:dyDescent="0.3">
      <c r="A963">
        <f t="shared" si="28"/>
        <v>2019</v>
      </c>
      <c r="B963" s="59">
        <v>43719</v>
      </c>
      <c r="C963" s="54">
        <v>260</v>
      </c>
      <c r="D963" s="54">
        <v>421</v>
      </c>
      <c r="E963">
        <f t="shared" si="29"/>
        <v>1.6192307692307693</v>
      </c>
    </row>
    <row r="964" spans="1:5" x14ac:dyDescent="0.3">
      <c r="A964">
        <f t="shared" ref="A964:A1027" si="30">YEAR(B964)</f>
        <v>2019</v>
      </c>
      <c r="B964" s="59">
        <v>43720</v>
      </c>
      <c r="C964" s="54">
        <v>258.5</v>
      </c>
      <c r="D964" s="54">
        <v>430</v>
      </c>
      <c r="E964">
        <f t="shared" ref="E964:E1027" si="31">D964/C964</f>
        <v>1.6634429400386848</v>
      </c>
    </row>
    <row r="965" spans="1:5" x14ac:dyDescent="0.3">
      <c r="A965">
        <f t="shared" si="30"/>
        <v>2019</v>
      </c>
      <c r="B965" s="59">
        <v>43721</v>
      </c>
      <c r="C965" s="54">
        <v>253</v>
      </c>
      <c r="D965" s="54">
        <v>424</v>
      </c>
      <c r="E965">
        <f t="shared" si="31"/>
        <v>1.6758893280632412</v>
      </c>
    </row>
    <row r="966" spans="1:5" x14ac:dyDescent="0.3">
      <c r="A966">
        <f t="shared" si="30"/>
        <v>2019</v>
      </c>
      <c r="B966" s="59">
        <v>43724</v>
      </c>
      <c r="C966" s="54">
        <v>255</v>
      </c>
      <c r="D966" s="54">
        <v>420</v>
      </c>
      <c r="E966">
        <f t="shared" si="31"/>
        <v>1.6470588235294117</v>
      </c>
    </row>
    <row r="967" spans="1:5" x14ac:dyDescent="0.3">
      <c r="A967">
        <f t="shared" si="30"/>
        <v>2019</v>
      </c>
      <c r="B967" s="59">
        <v>43725</v>
      </c>
      <c r="C967" s="54">
        <v>255</v>
      </c>
      <c r="D967" s="54">
        <v>423.5</v>
      </c>
      <c r="E967">
        <f t="shared" si="31"/>
        <v>1.6607843137254903</v>
      </c>
    </row>
    <row r="968" spans="1:5" x14ac:dyDescent="0.3">
      <c r="A968">
        <f t="shared" si="30"/>
        <v>2019</v>
      </c>
      <c r="B968" s="59">
        <v>43726</v>
      </c>
      <c r="C968" s="54">
        <v>253.5</v>
      </c>
      <c r="D968" s="54">
        <v>418</v>
      </c>
      <c r="E968">
        <f t="shared" si="31"/>
        <v>1.6489151873767258</v>
      </c>
    </row>
    <row r="969" spans="1:5" x14ac:dyDescent="0.3">
      <c r="A969">
        <f t="shared" si="30"/>
        <v>2019</v>
      </c>
      <c r="B969" s="59">
        <v>43727</v>
      </c>
      <c r="C969" s="54">
        <v>249.5</v>
      </c>
      <c r="D969" s="54">
        <v>418</v>
      </c>
      <c r="E969">
        <f t="shared" si="31"/>
        <v>1.6753507014028055</v>
      </c>
    </row>
    <row r="970" spans="1:5" x14ac:dyDescent="0.3">
      <c r="A970">
        <f t="shared" si="30"/>
        <v>2019</v>
      </c>
      <c r="B970" s="59">
        <v>43728</v>
      </c>
      <c r="C970" s="54">
        <v>246</v>
      </c>
      <c r="D970" s="54">
        <v>412</v>
      </c>
      <c r="E970">
        <f t="shared" si="31"/>
        <v>1.6747967479674797</v>
      </c>
    </row>
    <row r="971" spans="1:5" x14ac:dyDescent="0.3">
      <c r="A971">
        <f t="shared" si="30"/>
        <v>2019</v>
      </c>
      <c r="B971" s="59">
        <v>43731</v>
      </c>
      <c r="C971" s="54">
        <v>246</v>
      </c>
      <c r="D971" s="54">
        <v>411</v>
      </c>
      <c r="E971">
        <f t="shared" si="31"/>
        <v>1.6707317073170731</v>
      </c>
    </row>
    <row r="972" spans="1:5" x14ac:dyDescent="0.3">
      <c r="A972">
        <f t="shared" si="30"/>
        <v>2019</v>
      </c>
      <c r="B972" s="59">
        <v>43732</v>
      </c>
      <c r="C972" s="54">
        <v>242.5</v>
      </c>
      <c r="D972" s="54">
        <v>408</v>
      </c>
      <c r="E972">
        <f t="shared" si="31"/>
        <v>1.6824742268041237</v>
      </c>
    </row>
    <row r="973" spans="1:5" x14ac:dyDescent="0.3">
      <c r="A973">
        <f t="shared" si="30"/>
        <v>2019</v>
      </c>
      <c r="B973" s="59">
        <v>43733</v>
      </c>
      <c r="C973" s="54">
        <v>238.5</v>
      </c>
      <c r="D973" s="54">
        <v>408</v>
      </c>
      <c r="E973">
        <f t="shared" si="31"/>
        <v>1.7106918238993711</v>
      </c>
    </row>
    <row r="974" spans="1:5" x14ac:dyDescent="0.3">
      <c r="A974">
        <f t="shared" si="30"/>
        <v>2019</v>
      </c>
      <c r="B974" s="59">
        <v>43734</v>
      </c>
      <c r="C974" s="54">
        <v>240</v>
      </c>
      <c r="D974" s="54">
        <v>405</v>
      </c>
      <c r="E974">
        <f t="shared" si="31"/>
        <v>1.6875</v>
      </c>
    </row>
    <row r="975" spans="1:5" x14ac:dyDescent="0.3">
      <c r="A975">
        <f t="shared" si="30"/>
        <v>2019</v>
      </c>
      <c r="B975" s="59">
        <v>43735</v>
      </c>
      <c r="C975" s="54">
        <v>241</v>
      </c>
      <c r="D975" s="54">
        <v>407</v>
      </c>
      <c r="E975">
        <f t="shared" si="31"/>
        <v>1.6887966804979253</v>
      </c>
    </row>
    <row r="976" spans="1:5" x14ac:dyDescent="0.3">
      <c r="A976">
        <f t="shared" si="30"/>
        <v>2019</v>
      </c>
      <c r="B976" s="59">
        <v>43738</v>
      </c>
      <c r="C976" s="54">
        <v>243</v>
      </c>
      <c r="D976" s="54">
        <v>407</v>
      </c>
      <c r="E976">
        <f t="shared" si="31"/>
        <v>1.6748971193415638</v>
      </c>
    </row>
    <row r="977" spans="1:5" x14ac:dyDescent="0.3">
      <c r="A977">
        <f t="shared" si="30"/>
        <v>2019</v>
      </c>
      <c r="B977" s="59">
        <v>43739</v>
      </c>
      <c r="C977" s="54">
        <v>245</v>
      </c>
      <c r="D977" s="54">
        <v>408</v>
      </c>
      <c r="E977">
        <f t="shared" si="31"/>
        <v>1.6653061224489796</v>
      </c>
    </row>
    <row r="978" spans="1:5" x14ac:dyDescent="0.3">
      <c r="A978">
        <f t="shared" si="30"/>
        <v>2019</v>
      </c>
      <c r="B978" s="59">
        <v>43740</v>
      </c>
      <c r="C978" s="54">
        <v>247</v>
      </c>
      <c r="D978" s="54">
        <v>411</v>
      </c>
      <c r="E978">
        <f t="shared" si="31"/>
        <v>1.6639676113360324</v>
      </c>
    </row>
    <row r="979" spans="1:5" x14ac:dyDescent="0.3">
      <c r="A979">
        <f t="shared" si="30"/>
        <v>2019</v>
      </c>
      <c r="B979" s="59">
        <v>43741</v>
      </c>
      <c r="C979" s="54">
        <v>246.5</v>
      </c>
      <c r="D979" s="54">
        <v>412.5</v>
      </c>
      <c r="E979">
        <f t="shared" si="31"/>
        <v>1.6734279918864097</v>
      </c>
    </row>
    <row r="980" spans="1:5" x14ac:dyDescent="0.3">
      <c r="A980">
        <f t="shared" si="30"/>
        <v>2019</v>
      </c>
      <c r="B980" s="59">
        <v>43742</v>
      </c>
      <c r="C980" s="54">
        <v>243.5</v>
      </c>
      <c r="D980" s="54">
        <v>412.5</v>
      </c>
      <c r="E980">
        <f t="shared" si="31"/>
        <v>1.6940451745379876</v>
      </c>
    </row>
    <row r="981" spans="1:5" x14ac:dyDescent="0.3">
      <c r="A981">
        <f t="shared" si="30"/>
        <v>2019</v>
      </c>
      <c r="B981" s="59">
        <v>43745</v>
      </c>
      <c r="C981" s="54">
        <v>246</v>
      </c>
      <c r="D981" s="54">
        <v>415</v>
      </c>
      <c r="E981">
        <f t="shared" si="31"/>
        <v>1.6869918699186992</v>
      </c>
    </row>
    <row r="982" spans="1:5" x14ac:dyDescent="0.3">
      <c r="A982">
        <f t="shared" si="30"/>
        <v>2019</v>
      </c>
      <c r="B982" s="59">
        <v>43746</v>
      </c>
      <c r="C982" s="54">
        <v>246</v>
      </c>
      <c r="D982" s="54">
        <v>414</v>
      </c>
      <c r="E982">
        <f t="shared" si="31"/>
        <v>1.6829268292682926</v>
      </c>
    </row>
    <row r="983" spans="1:5" x14ac:dyDescent="0.3">
      <c r="A983">
        <f t="shared" si="30"/>
        <v>2019</v>
      </c>
      <c r="B983" s="59">
        <v>43747</v>
      </c>
      <c r="C983" s="54">
        <v>249</v>
      </c>
      <c r="D983" s="54">
        <v>419</v>
      </c>
      <c r="E983">
        <f t="shared" si="31"/>
        <v>1.6827309236947792</v>
      </c>
    </row>
    <row r="984" spans="1:5" x14ac:dyDescent="0.3">
      <c r="A984">
        <f t="shared" si="30"/>
        <v>2019</v>
      </c>
      <c r="B984" s="59">
        <v>43748</v>
      </c>
      <c r="C984" s="54">
        <v>249.5</v>
      </c>
      <c r="D984" s="54">
        <v>417</v>
      </c>
      <c r="E984">
        <f t="shared" si="31"/>
        <v>1.6713426853707414</v>
      </c>
    </row>
    <row r="985" spans="1:5" x14ac:dyDescent="0.3">
      <c r="A985">
        <f t="shared" si="30"/>
        <v>2019</v>
      </c>
      <c r="B985" s="59">
        <v>43749</v>
      </c>
      <c r="C985" s="54">
        <v>248.5</v>
      </c>
      <c r="D985" s="54">
        <v>416</v>
      </c>
      <c r="E985">
        <f t="shared" si="31"/>
        <v>1.6740442655935615</v>
      </c>
    </row>
    <row r="986" spans="1:5" x14ac:dyDescent="0.3">
      <c r="A986">
        <f t="shared" si="30"/>
        <v>2019</v>
      </c>
      <c r="B986" s="59">
        <v>43752</v>
      </c>
      <c r="C986" s="54">
        <v>247.5</v>
      </c>
      <c r="D986" s="54">
        <v>410</v>
      </c>
      <c r="E986">
        <f t="shared" si="31"/>
        <v>1.6565656565656566</v>
      </c>
    </row>
    <row r="987" spans="1:5" x14ac:dyDescent="0.3">
      <c r="A987">
        <f t="shared" si="30"/>
        <v>2019</v>
      </c>
      <c r="B987" s="59">
        <v>43753</v>
      </c>
      <c r="C987" s="54">
        <v>247</v>
      </c>
      <c r="D987" s="54">
        <v>403.5</v>
      </c>
      <c r="E987">
        <f t="shared" si="31"/>
        <v>1.6336032388663968</v>
      </c>
    </row>
    <row r="988" spans="1:5" x14ac:dyDescent="0.3">
      <c r="A988">
        <f t="shared" si="30"/>
        <v>2019</v>
      </c>
      <c r="B988" s="59">
        <v>43754</v>
      </c>
      <c r="C988" s="54">
        <v>247.5</v>
      </c>
      <c r="D988" s="54">
        <v>410.5</v>
      </c>
      <c r="E988">
        <f t="shared" si="31"/>
        <v>1.6585858585858586</v>
      </c>
    </row>
    <row r="989" spans="1:5" x14ac:dyDescent="0.3">
      <c r="A989">
        <f t="shared" si="30"/>
        <v>2019</v>
      </c>
      <c r="B989" s="59">
        <v>43755</v>
      </c>
      <c r="C989" s="54">
        <v>248.5</v>
      </c>
      <c r="D989" s="54">
        <v>411</v>
      </c>
      <c r="E989">
        <f t="shared" si="31"/>
        <v>1.6539235412474849</v>
      </c>
    </row>
    <row r="990" spans="1:5" x14ac:dyDescent="0.3">
      <c r="A990">
        <f t="shared" si="30"/>
        <v>2019</v>
      </c>
      <c r="B990" s="59">
        <v>43756</v>
      </c>
      <c r="C990" s="54">
        <v>252.5</v>
      </c>
      <c r="D990" s="54">
        <v>416</v>
      </c>
      <c r="E990">
        <f t="shared" si="31"/>
        <v>1.6475247524752474</v>
      </c>
    </row>
    <row r="991" spans="1:5" x14ac:dyDescent="0.3">
      <c r="A991">
        <f t="shared" si="30"/>
        <v>2019</v>
      </c>
      <c r="B991" s="59">
        <v>43759</v>
      </c>
      <c r="C991" s="54">
        <v>256</v>
      </c>
      <c r="D991" s="54">
        <v>417</v>
      </c>
      <c r="E991">
        <f t="shared" si="31"/>
        <v>1.62890625</v>
      </c>
    </row>
    <row r="992" spans="1:5" x14ac:dyDescent="0.3">
      <c r="A992">
        <f t="shared" si="30"/>
        <v>2019</v>
      </c>
      <c r="B992" s="59">
        <v>43760</v>
      </c>
      <c r="C992" s="54">
        <v>253.5</v>
      </c>
      <c r="D992" s="54">
        <v>415.5</v>
      </c>
      <c r="E992">
        <f t="shared" si="31"/>
        <v>1.6390532544378698</v>
      </c>
    </row>
    <row r="993" spans="1:5" x14ac:dyDescent="0.3">
      <c r="A993">
        <f t="shared" si="30"/>
        <v>2019</v>
      </c>
      <c r="B993" s="59">
        <v>43761</v>
      </c>
      <c r="C993" s="54">
        <v>254</v>
      </c>
      <c r="D993" s="54">
        <v>413</v>
      </c>
      <c r="E993">
        <f t="shared" si="31"/>
        <v>1.6259842519685039</v>
      </c>
    </row>
    <row r="994" spans="1:5" x14ac:dyDescent="0.3">
      <c r="A994">
        <f t="shared" si="30"/>
        <v>2019</v>
      </c>
      <c r="B994" s="59">
        <v>43762</v>
      </c>
      <c r="C994" s="54">
        <v>253</v>
      </c>
      <c r="D994" s="54">
        <v>414</v>
      </c>
      <c r="E994">
        <f t="shared" si="31"/>
        <v>1.6363636363636365</v>
      </c>
    </row>
    <row r="995" spans="1:5" x14ac:dyDescent="0.3">
      <c r="A995">
        <f t="shared" si="30"/>
        <v>2019</v>
      </c>
      <c r="B995" s="59">
        <v>43763</v>
      </c>
      <c r="C995" s="54">
        <v>257</v>
      </c>
      <c r="D995" s="54">
        <v>416</v>
      </c>
      <c r="E995">
        <f t="shared" si="31"/>
        <v>1.6186770428015564</v>
      </c>
    </row>
    <row r="996" spans="1:5" x14ac:dyDescent="0.3">
      <c r="A996">
        <f t="shared" si="30"/>
        <v>2019</v>
      </c>
      <c r="B996" s="59">
        <v>43766</v>
      </c>
      <c r="C996" s="54">
        <v>257</v>
      </c>
      <c r="D996" s="54">
        <v>418</v>
      </c>
      <c r="E996">
        <f t="shared" si="31"/>
        <v>1.6264591439688716</v>
      </c>
    </row>
    <row r="997" spans="1:5" x14ac:dyDescent="0.3">
      <c r="A997">
        <f t="shared" si="30"/>
        <v>2019</v>
      </c>
      <c r="B997" s="59">
        <v>43767</v>
      </c>
      <c r="C997" s="54">
        <v>252.5</v>
      </c>
      <c r="D997" s="54">
        <v>414.5</v>
      </c>
      <c r="E997">
        <f t="shared" si="31"/>
        <v>1.6415841584158415</v>
      </c>
    </row>
    <row r="998" spans="1:5" x14ac:dyDescent="0.3">
      <c r="A998">
        <f t="shared" si="30"/>
        <v>2019</v>
      </c>
      <c r="B998" s="59">
        <v>43768</v>
      </c>
      <c r="C998" s="54">
        <v>252</v>
      </c>
      <c r="D998" s="54">
        <v>414.5</v>
      </c>
      <c r="E998">
        <f t="shared" si="31"/>
        <v>1.6448412698412698</v>
      </c>
    </row>
    <row r="999" spans="1:5" x14ac:dyDescent="0.3">
      <c r="A999">
        <f t="shared" si="30"/>
        <v>2019</v>
      </c>
      <c r="B999" s="59">
        <v>43769</v>
      </c>
      <c r="C999" s="54">
        <v>253</v>
      </c>
      <c r="D999" s="54">
        <v>410</v>
      </c>
      <c r="E999">
        <f t="shared" si="31"/>
        <v>1.6205533596837944</v>
      </c>
    </row>
    <row r="1000" spans="1:5" x14ac:dyDescent="0.3">
      <c r="A1000">
        <f t="shared" si="30"/>
        <v>2019</v>
      </c>
      <c r="B1000" s="59">
        <v>43770</v>
      </c>
      <c r="C1000" s="54">
        <v>257</v>
      </c>
      <c r="D1000" s="54">
        <v>414</v>
      </c>
      <c r="E1000">
        <f t="shared" si="31"/>
        <v>1.6108949416342413</v>
      </c>
    </row>
    <row r="1001" spans="1:5" x14ac:dyDescent="0.3">
      <c r="A1001">
        <f t="shared" si="30"/>
        <v>2019</v>
      </c>
      <c r="B1001" s="59">
        <v>43773</v>
      </c>
      <c r="C1001" s="54">
        <v>261.5</v>
      </c>
      <c r="D1001" s="54">
        <v>415</v>
      </c>
      <c r="E1001">
        <f t="shared" si="31"/>
        <v>1.5869980879541108</v>
      </c>
    </row>
    <row r="1002" spans="1:5" x14ac:dyDescent="0.3">
      <c r="A1002">
        <f t="shared" si="30"/>
        <v>2019</v>
      </c>
      <c r="B1002" s="59">
        <v>43774</v>
      </c>
      <c r="C1002" s="54">
        <v>263</v>
      </c>
      <c r="D1002" s="54">
        <v>419.5</v>
      </c>
      <c r="E1002">
        <f t="shared" si="31"/>
        <v>1.5950570342205324</v>
      </c>
    </row>
    <row r="1003" spans="1:5" x14ac:dyDescent="0.3">
      <c r="A1003">
        <f t="shared" si="30"/>
        <v>2019</v>
      </c>
      <c r="B1003" s="59">
        <v>43775</v>
      </c>
      <c r="C1003" s="54">
        <v>267.5</v>
      </c>
      <c r="D1003" s="54">
        <v>422</v>
      </c>
      <c r="E1003">
        <f t="shared" si="31"/>
        <v>1.577570093457944</v>
      </c>
    </row>
    <row r="1004" spans="1:5" x14ac:dyDescent="0.3">
      <c r="A1004">
        <f t="shared" si="30"/>
        <v>2019</v>
      </c>
      <c r="B1004" s="59">
        <v>43776</v>
      </c>
      <c r="C1004" s="54">
        <v>267.5</v>
      </c>
      <c r="D1004" s="54">
        <v>426</v>
      </c>
      <c r="E1004">
        <f t="shared" si="31"/>
        <v>1.5925233644859813</v>
      </c>
    </row>
    <row r="1005" spans="1:5" x14ac:dyDescent="0.3">
      <c r="A1005">
        <f t="shared" si="30"/>
        <v>2019</v>
      </c>
      <c r="B1005" s="59">
        <v>43777</v>
      </c>
      <c r="C1005" s="54">
        <v>267</v>
      </c>
      <c r="D1005" s="54">
        <v>422</v>
      </c>
      <c r="E1005">
        <f t="shared" si="31"/>
        <v>1.5805243445692885</v>
      </c>
    </row>
    <row r="1006" spans="1:5" x14ac:dyDescent="0.3">
      <c r="A1006">
        <f t="shared" si="30"/>
        <v>2019</v>
      </c>
      <c r="B1006" s="59">
        <v>43780</v>
      </c>
      <c r="C1006" s="54">
        <v>263.5</v>
      </c>
      <c r="D1006" s="54">
        <v>420</v>
      </c>
      <c r="E1006">
        <f t="shared" si="31"/>
        <v>1.5939278937381405</v>
      </c>
    </row>
    <row r="1007" spans="1:5" x14ac:dyDescent="0.3">
      <c r="A1007">
        <f t="shared" si="30"/>
        <v>2019</v>
      </c>
      <c r="B1007" s="59">
        <v>43781</v>
      </c>
      <c r="C1007" s="54">
        <v>263.5</v>
      </c>
      <c r="D1007" s="54">
        <v>421</v>
      </c>
      <c r="E1007">
        <f t="shared" si="31"/>
        <v>1.5977229601518026</v>
      </c>
    </row>
    <row r="1008" spans="1:5" x14ac:dyDescent="0.3">
      <c r="A1008">
        <f t="shared" si="30"/>
        <v>2019</v>
      </c>
      <c r="B1008" s="59">
        <v>43782</v>
      </c>
      <c r="C1008" s="54">
        <v>264.5</v>
      </c>
      <c r="D1008" s="54">
        <v>423.5</v>
      </c>
      <c r="E1008">
        <f t="shared" si="31"/>
        <v>1.6011342155009451</v>
      </c>
    </row>
    <row r="1009" spans="1:5" x14ac:dyDescent="0.3">
      <c r="A1009">
        <f t="shared" si="30"/>
        <v>2019</v>
      </c>
      <c r="B1009" s="59">
        <v>43783</v>
      </c>
      <c r="C1009" s="54">
        <v>265</v>
      </c>
      <c r="D1009" s="54">
        <v>426</v>
      </c>
      <c r="E1009">
        <f t="shared" si="31"/>
        <v>1.6075471698113208</v>
      </c>
    </row>
    <row r="1010" spans="1:5" x14ac:dyDescent="0.3">
      <c r="A1010">
        <f t="shared" si="30"/>
        <v>2019</v>
      </c>
      <c r="B1010" s="59">
        <v>43784</v>
      </c>
      <c r="C1010" s="54">
        <v>268</v>
      </c>
      <c r="D1010" s="54">
        <v>432</v>
      </c>
      <c r="E1010">
        <f t="shared" si="31"/>
        <v>1.6119402985074627</v>
      </c>
    </row>
    <row r="1011" spans="1:5" x14ac:dyDescent="0.3">
      <c r="A1011">
        <f t="shared" si="30"/>
        <v>2019</v>
      </c>
      <c r="B1011" s="59">
        <v>43787</v>
      </c>
      <c r="C1011" s="54">
        <v>267.5</v>
      </c>
      <c r="D1011" s="54">
        <v>428</v>
      </c>
      <c r="E1011">
        <f t="shared" si="31"/>
        <v>1.6</v>
      </c>
    </row>
    <row r="1012" spans="1:5" x14ac:dyDescent="0.3">
      <c r="A1012">
        <f t="shared" si="30"/>
        <v>2019</v>
      </c>
      <c r="B1012" s="59">
        <v>43788</v>
      </c>
      <c r="C1012" s="54">
        <v>269.5</v>
      </c>
      <c r="D1012" s="54">
        <v>427.5</v>
      </c>
      <c r="E1012">
        <f t="shared" si="31"/>
        <v>1.5862708719851577</v>
      </c>
    </row>
    <row r="1013" spans="1:5" x14ac:dyDescent="0.3">
      <c r="A1013">
        <f t="shared" si="30"/>
        <v>2019</v>
      </c>
      <c r="B1013" s="59">
        <v>43789</v>
      </c>
      <c r="C1013" s="54">
        <v>272.5</v>
      </c>
      <c r="D1013" s="54">
        <v>432</v>
      </c>
      <c r="E1013">
        <f t="shared" si="31"/>
        <v>1.5853211009174313</v>
      </c>
    </row>
    <row r="1014" spans="1:5" x14ac:dyDescent="0.3">
      <c r="A1014">
        <f t="shared" si="30"/>
        <v>2019</v>
      </c>
      <c r="B1014" s="59">
        <v>43790</v>
      </c>
      <c r="C1014" s="54">
        <v>270.5</v>
      </c>
      <c r="D1014" s="54">
        <v>427</v>
      </c>
      <c r="E1014">
        <f t="shared" si="31"/>
        <v>1.5785582255083179</v>
      </c>
    </row>
    <row r="1015" spans="1:5" x14ac:dyDescent="0.3">
      <c r="A1015">
        <f t="shared" si="30"/>
        <v>2019</v>
      </c>
      <c r="B1015" s="59">
        <v>43791</v>
      </c>
      <c r="C1015" s="54">
        <v>272</v>
      </c>
      <c r="D1015" s="54">
        <v>430.5</v>
      </c>
      <c r="E1015">
        <f t="shared" si="31"/>
        <v>1.5827205882352942</v>
      </c>
    </row>
    <row r="1016" spans="1:5" x14ac:dyDescent="0.3">
      <c r="A1016">
        <f t="shared" si="30"/>
        <v>2019</v>
      </c>
      <c r="B1016" s="59">
        <v>43794</v>
      </c>
      <c r="C1016" s="54">
        <v>270.5</v>
      </c>
      <c r="D1016" s="54">
        <v>430.5</v>
      </c>
      <c r="E1016">
        <f t="shared" si="31"/>
        <v>1.5914972273567467</v>
      </c>
    </row>
    <row r="1017" spans="1:5" x14ac:dyDescent="0.3">
      <c r="A1017">
        <f t="shared" si="30"/>
        <v>2019</v>
      </c>
      <c r="B1017" s="59">
        <v>43795</v>
      </c>
      <c r="C1017" s="54">
        <v>266</v>
      </c>
      <c r="D1017" s="54">
        <v>423.5</v>
      </c>
      <c r="E1017">
        <f t="shared" si="31"/>
        <v>1.5921052631578947</v>
      </c>
    </row>
    <row r="1018" spans="1:5" x14ac:dyDescent="0.3">
      <c r="A1018">
        <f t="shared" si="30"/>
        <v>2019</v>
      </c>
      <c r="B1018" s="59">
        <v>43796</v>
      </c>
      <c r="C1018" s="54">
        <v>272.5</v>
      </c>
      <c r="D1018" s="54">
        <v>428</v>
      </c>
      <c r="E1018">
        <f t="shared" si="31"/>
        <v>1.5706422018348625</v>
      </c>
    </row>
    <row r="1019" spans="1:5" x14ac:dyDescent="0.3">
      <c r="A1019">
        <f t="shared" si="30"/>
        <v>2019</v>
      </c>
      <c r="B1019" s="59">
        <v>43797</v>
      </c>
      <c r="C1019" s="54">
        <v>277</v>
      </c>
      <c r="D1019" s="54">
        <v>435</v>
      </c>
      <c r="E1019">
        <f t="shared" si="31"/>
        <v>1.5703971119133573</v>
      </c>
    </row>
    <row r="1020" spans="1:5" x14ac:dyDescent="0.3">
      <c r="A1020">
        <f t="shared" si="30"/>
        <v>2019</v>
      </c>
      <c r="B1020" s="59">
        <v>43798</v>
      </c>
      <c r="C1020" s="54">
        <v>275.5</v>
      </c>
      <c r="D1020" s="54">
        <v>431</v>
      </c>
      <c r="E1020">
        <f t="shared" si="31"/>
        <v>1.5644283121597096</v>
      </c>
    </row>
    <row r="1021" spans="1:5" x14ac:dyDescent="0.3">
      <c r="A1021">
        <f t="shared" si="30"/>
        <v>2019</v>
      </c>
      <c r="B1021" s="59">
        <v>43801</v>
      </c>
      <c r="C1021" s="54">
        <v>280.5</v>
      </c>
      <c r="D1021" s="54">
        <v>434.5</v>
      </c>
      <c r="E1021">
        <f t="shared" si="31"/>
        <v>1.5490196078431373</v>
      </c>
    </row>
    <row r="1022" spans="1:5" x14ac:dyDescent="0.3">
      <c r="A1022">
        <f t="shared" si="30"/>
        <v>2019</v>
      </c>
      <c r="B1022" s="59">
        <v>43802</v>
      </c>
      <c r="C1022" s="54">
        <v>283</v>
      </c>
      <c r="D1022" s="54">
        <v>439</v>
      </c>
      <c r="E1022">
        <f t="shared" si="31"/>
        <v>1.5512367491166077</v>
      </c>
    </row>
    <row r="1023" spans="1:5" x14ac:dyDescent="0.3">
      <c r="A1023">
        <f t="shared" si="30"/>
        <v>2019</v>
      </c>
      <c r="B1023" s="59">
        <v>43803</v>
      </c>
      <c r="C1023" s="54">
        <v>294</v>
      </c>
      <c r="D1023" s="54">
        <v>449.5</v>
      </c>
      <c r="E1023">
        <f t="shared" si="31"/>
        <v>1.5289115646258504</v>
      </c>
    </row>
    <row r="1024" spans="1:5" x14ac:dyDescent="0.3">
      <c r="A1024">
        <f t="shared" si="30"/>
        <v>2019</v>
      </c>
      <c r="B1024" s="59">
        <v>43804</v>
      </c>
      <c r="C1024" s="54">
        <v>281</v>
      </c>
      <c r="D1024" s="54">
        <v>442</v>
      </c>
      <c r="E1024">
        <f t="shared" si="31"/>
        <v>1.5729537366548043</v>
      </c>
    </row>
    <row r="1025" spans="1:5" x14ac:dyDescent="0.3">
      <c r="A1025">
        <f t="shared" si="30"/>
        <v>2019</v>
      </c>
      <c r="B1025" s="59">
        <v>43805</v>
      </c>
      <c r="C1025" s="54">
        <v>285</v>
      </c>
      <c r="D1025" s="54">
        <v>441</v>
      </c>
      <c r="E1025">
        <f t="shared" si="31"/>
        <v>1.5473684210526315</v>
      </c>
    </row>
    <row r="1026" spans="1:5" x14ac:dyDescent="0.3">
      <c r="A1026">
        <f t="shared" si="30"/>
        <v>2019</v>
      </c>
      <c r="B1026" s="59">
        <v>43808</v>
      </c>
      <c r="C1026" s="54">
        <v>287</v>
      </c>
      <c r="D1026" s="54">
        <v>447</v>
      </c>
      <c r="E1026">
        <f t="shared" si="31"/>
        <v>1.5574912891986064</v>
      </c>
    </row>
    <row r="1027" spans="1:5" x14ac:dyDescent="0.3">
      <c r="A1027">
        <f t="shared" si="30"/>
        <v>2019</v>
      </c>
      <c r="B1027" s="59">
        <v>43809</v>
      </c>
      <c r="C1027" s="54">
        <v>286</v>
      </c>
      <c r="D1027" s="54">
        <v>444</v>
      </c>
      <c r="E1027">
        <f t="shared" si="31"/>
        <v>1.5524475524475525</v>
      </c>
    </row>
    <row r="1028" spans="1:5" x14ac:dyDescent="0.3">
      <c r="A1028">
        <f t="shared" ref="A1028:A1091" si="32">YEAR(B1028)</f>
        <v>2019</v>
      </c>
      <c r="B1028" s="59">
        <v>43810</v>
      </c>
      <c r="C1028" s="54">
        <v>286</v>
      </c>
      <c r="D1028" s="54">
        <v>444</v>
      </c>
      <c r="E1028">
        <f t="shared" ref="E1028:E1091" si="33">D1028/C1028</f>
        <v>1.5524475524475525</v>
      </c>
    </row>
    <row r="1029" spans="1:5" x14ac:dyDescent="0.3">
      <c r="A1029">
        <f t="shared" si="32"/>
        <v>2019</v>
      </c>
      <c r="B1029" s="59">
        <v>43811</v>
      </c>
      <c r="C1029" s="54">
        <v>293.5</v>
      </c>
      <c r="D1029" s="54">
        <v>455.5</v>
      </c>
      <c r="E1029">
        <f t="shared" si="33"/>
        <v>1.5519591141396933</v>
      </c>
    </row>
    <row r="1030" spans="1:5" x14ac:dyDescent="0.3">
      <c r="A1030">
        <f t="shared" si="32"/>
        <v>2019</v>
      </c>
      <c r="B1030" s="59">
        <v>43812</v>
      </c>
      <c r="C1030" s="54">
        <v>294</v>
      </c>
      <c r="D1030" s="54">
        <v>454</v>
      </c>
      <c r="E1030">
        <f t="shared" si="33"/>
        <v>1.5442176870748299</v>
      </c>
    </row>
    <row r="1031" spans="1:5" x14ac:dyDescent="0.3">
      <c r="A1031">
        <f t="shared" si="32"/>
        <v>2019</v>
      </c>
      <c r="B1031" s="59">
        <v>43815</v>
      </c>
      <c r="C1031" s="54">
        <v>293</v>
      </c>
      <c r="D1031" s="54">
        <v>450</v>
      </c>
      <c r="E1031">
        <f t="shared" si="33"/>
        <v>1.5358361774744027</v>
      </c>
    </row>
    <row r="1032" spans="1:5" x14ac:dyDescent="0.3">
      <c r="A1032">
        <f t="shared" si="32"/>
        <v>2019</v>
      </c>
      <c r="B1032" s="59">
        <v>43816</v>
      </c>
      <c r="C1032" s="54">
        <v>295</v>
      </c>
      <c r="D1032" s="54">
        <v>449</v>
      </c>
      <c r="E1032">
        <f t="shared" si="33"/>
        <v>1.5220338983050847</v>
      </c>
    </row>
    <row r="1033" spans="1:5" x14ac:dyDescent="0.3">
      <c r="A1033">
        <f t="shared" si="32"/>
        <v>2019</v>
      </c>
      <c r="B1033" s="59">
        <v>43817</v>
      </c>
      <c r="C1033" s="54">
        <v>297</v>
      </c>
      <c r="D1033" s="54">
        <v>453.5</v>
      </c>
      <c r="E1033">
        <f t="shared" si="33"/>
        <v>1.526936026936027</v>
      </c>
    </row>
    <row r="1034" spans="1:5" x14ac:dyDescent="0.3">
      <c r="A1034">
        <f t="shared" si="32"/>
        <v>2019</v>
      </c>
      <c r="B1034" s="59">
        <v>43818</v>
      </c>
      <c r="C1034" s="54">
        <v>294.5</v>
      </c>
      <c r="D1034" s="54">
        <v>455</v>
      </c>
      <c r="E1034">
        <f t="shared" si="33"/>
        <v>1.5449915110356536</v>
      </c>
    </row>
    <row r="1035" spans="1:5" x14ac:dyDescent="0.3">
      <c r="A1035">
        <f t="shared" si="32"/>
        <v>2019</v>
      </c>
      <c r="B1035" s="59">
        <v>43819</v>
      </c>
      <c r="C1035" s="54">
        <v>294</v>
      </c>
      <c r="D1035" s="54">
        <v>455</v>
      </c>
      <c r="E1035">
        <f t="shared" si="33"/>
        <v>1.5476190476190477</v>
      </c>
    </row>
    <row r="1036" spans="1:5" x14ac:dyDescent="0.3">
      <c r="A1036">
        <f t="shared" si="32"/>
        <v>2019</v>
      </c>
      <c r="B1036" s="59">
        <v>43822</v>
      </c>
      <c r="C1036" s="54">
        <v>300.5</v>
      </c>
      <c r="D1036" s="54">
        <v>459.5</v>
      </c>
      <c r="E1036">
        <f t="shared" si="33"/>
        <v>1.5291181364392679</v>
      </c>
    </row>
    <row r="1037" spans="1:5" x14ac:dyDescent="0.3">
      <c r="A1037">
        <f t="shared" si="32"/>
        <v>2019</v>
      </c>
      <c r="B1037" s="59">
        <v>43823</v>
      </c>
      <c r="C1037" s="54">
        <v>300.5</v>
      </c>
      <c r="D1037" s="54">
        <v>460</v>
      </c>
      <c r="E1037">
        <f t="shared" si="33"/>
        <v>1.5307820299500832</v>
      </c>
    </row>
    <row r="1038" spans="1:5" x14ac:dyDescent="0.3">
      <c r="A1038">
        <f t="shared" si="32"/>
        <v>2019</v>
      </c>
      <c r="B1038" s="59">
        <v>43826</v>
      </c>
      <c r="C1038" s="54">
        <v>300</v>
      </c>
      <c r="D1038" s="54">
        <v>457</v>
      </c>
      <c r="E1038">
        <f t="shared" si="33"/>
        <v>1.5233333333333334</v>
      </c>
    </row>
    <row r="1039" spans="1:5" x14ac:dyDescent="0.3">
      <c r="A1039">
        <f t="shared" si="32"/>
        <v>2019</v>
      </c>
      <c r="B1039" s="59">
        <v>43829</v>
      </c>
      <c r="C1039" s="54">
        <v>298</v>
      </c>
      <c r="D1039" s="54">
        <v>457</v>
      </c>
      <c r="E1039">
        <f t="shared" si="33"/>
        <v>1.5335570469798658</v>
      </c>
    </row>
    <row r="1040" spans="1:5" x14ac:dyDescent="0.3">
      <c r="A1040">
        <f t="shared" si="32"/>
        <v>2019</v>
      </c>
      <c r="B1040" s="59">
        <v>43830</v>
      </c>
      <c r="C1040" s="54">
        <v>298</v>
      </c>
      <c r="D1040" s="54">
        <v>456</v>
      </c>
      <c r="E1040">
        <f t="shared" si="33"/>
        <v>1.5302013422818792</v>
      </c>
    </row>
    <row r="1041" spans="1:5" x14ac:dyDescent="0.3">
      <c r="A1041">
        <f t="shared" si="32"/>
        <v>2020</v>
      </c>
      <c r="B1041" s="59">
        <v>43832</v>
      </c>
      <c r="C1041" s="54">
        <v>293</v>
      </c>
      <c r="D1041" s="54">
        <v>451</v>
      </c>
      <c r="E1041">
        <f t="shared" si="33"/>
        <v>1.5392491467576792</v>
      </c>
    </row>
    <row r="1042" spans="1:5" x14ac:dyDescent="0.3">
      <c r="A1042">
        <f t="shared" si="32"/>
        <v>2020</v>
      </c>
      <c r="B1042" s="59">
        <v>43833</v>
      </c>
      <c r="C1042" s="54">
        <v>295</v>
      </c>
      <c r="D1042" s="54">
        <v>452</v>
      </c>
      <c r="E1042">
        <f t="shared" si="33"/>
        <v>1.5322033898305085</v>
      </c>
    </row>
    <row r="1043" spans="1:5" x14ac:dyDescent="0.3">
      <c r="A1043">
        <f t="shared" si="32"/>
        <v>2020</v>
      </c>
      <c r="B1043" s="59">
        <v>43836</v>
      </c>
      <c r="C1043" s="54">
        <v>294</v>
      </c>
      <c r="D1043" s="54">
        <v>452</v>
      </c>
      <c r="E1043">
        <f t="shared" si="33"/>
        <v>1.5374149659863945</v>
      </c>
    </row>
    <row r="1044" spans="1:5" x14ac:dyDescent="0.3">
      <c r="A1044">
        <f t="shared" si="32"/>
        <v>2020</v>
      </c>
      <c r="B1044" s="59">
        <v>43837</v>
      </c>
      <c r="C1044" s="54">
        <v>295.5</v>
      </c>
      <c r="D1044" s="54">
        <v>451</v>
      </c>
      <c r="E1044">
        <f t="shared" si="33"/>
        <v>1.5262267343485618</v>
      </c>
    </row>
    <row r="1045" spans="1:5" x14ac:dyDescent="0.3">
      <c r="A1045">
        <f t="shared" si="32"/>
        <v>2020</v>
      </c>
      <c r="B1045" s="59">
        <v>43838</v>
      </c>
      <c r="C1045" s="54">
        <v>297</v>
      </c>
      <c r="D1045" s="54">
        <v>454</v>
      </c>
      <c r="E1045">
        <f t="shared" si="33"/>
        <v>1.5286195286195285</v>
      </c>
    </row>
    <row r="1046" spans="1:5" x14ac:dyDescent="0.3">
      <c r="A1046">
        <f t="shared" si="32"/>
        <v>2020</v>
      </c>
      <c r="B1046" s="59">
        <v>43839</v>
      </c>
      <c r="C1046" s="54">
        <v>297</v>
      </c>
      <c r="D1046" s="54">
        <v>452</v>
      </c>
      <c r="E1046">
        <f t="shared" si="33"/>
        <v>1.5218855218855218</v>
      </c>
    </row>
    <row r="1047" spans="1:5" x14ac:dyDescent="0.3">
      <c r="A1047">
        <f t="shared" si="32"/>
        <v>2020</v>
      </c>
      <c r="B1047" s="59">
        <v>43840</v>
      </c>
      <c r="C1047" s="54">
        <v>298</v>
      </c>
      <c r="D1047" s="54">
        <v>456</v>
      </c>
      <c r="E1047">
        <f t="shared" si="33"/>
        <v>1.5302013422818792</v>
      </c>
    </row>
    <row r="1048" spans="1:5" x14ac:dyDescent="0.3">
      <c r="A1048">
        <f t="shared" si="32"/>
        <v>2020</v>
      </c>
      <c r="B1048" s="59">
        <v>43843</v>
      </c>
      <c r="C1048" s="54">
        <v>297.5</v>
      </c>
      <c r="D1048" s="54">
        <v>447.5</v>
      </c>
      <c r="E1048">
        <f t="shared" si="33"/>
        <v>1.5042016806722689</v>
      </c>
    </row>
    <row r="1049" spans="1:5" x14ac:dyDescent="0.3">
      <c r="A1049">
        <f t="shared" si="32"/>
        <v>2020</v>
      </c>
      <c r="B1049" s="59">
        <v>43844</v>
      </c>
      <c r="C1049" s="54">
        <v>297</v>
      </c>
      <c r="D1049" s="54">
        <v>446</v>
      </c>
      <c r="E1049">
        <f t="shared" si="33"/>
        <v>1.5016835016835017</v>
      </c>
    </row>
    <row r="1050" spans="1:5" x14ac:dyDescent="0.3">
      <c r="A1050">
        <f t="shared" si="32"/>
        <v>2020</v>
      </c>
      <c r="B1050" s="59">
        <v>43845</v>
      </c>
      <c r="C1050" s="54">
        <v>288</v>
      </c>
      <c r="D1050" s="54">
        <v>441</v>
      </c>
      <c r="E1050">
        <f t="shared" si="33"/>
        <v>1.53125</v>
      </c>
    </row>
    <row r="1051" spans="1:5" x14ac:dyDescent="0.3">
      <c r="A1051">
        <f t="shared" si="32"/>
        <v>2020</v>
      </c>
      <c r="B1051" s="59">
        <v>43846</v>
      </c>
      <c r="C1051" s="54">
        <v>285</v>
      </c>
      <c r="D1051" s="54">
        <v>442</v>
      </c>
      <c r="E1051">
        <f t="shared" si="33"/>
        <v>1.5508771929824561</v>
      </c>
    </row>
    <row r="1052" spans="1:5" x14ac:dyDescent="0.3">
      <c r="A1052">
        <f t="shared" si="32"/>
        <v>2020</v>
      </c>
      <c r="B1052" s="59">
        <v>43847</v>
      </c>
      <c r="C1052" s="54">
        <v>294</v>
      </c>
      <c r="D1052" s="54">
        <v>441</v>
      </c>
      <c r="E1052">
        <f t="shared" si="33"/>
        <v>1.5</v>
      </c>
    </row>
    <row r="1053" spans="1:5" x14ac:dyDescent="0.3">
      <c r="A1053">
        <f t="shared" si="32"/>
        <v>2020</v>
      </c>
      <c r="B1053" s="59">
        <v>43850</v>
      </c>
      <c r="C1053" s="54">
        <v>288</v>
      </c>
      <c r="D1053" s="54">
        <v>438</v>
      </c>
      <c r="E1053">
        <f t="shared" si="33"/>
        <v>1.5208333333333333</v>
      </c>
    </row>
    <row r="1054" spans="1:5" x14ac:dyDescent="0.3">
      <c r="A1054">
        <f t="shared" si="32"/>
        <v>2020</v>
      </c>
      <c r="B1054" s="59">
        <v>43851</v>
      </c>
      <c r="C1054" s="54">
        <v>286</v>
      </c>
      <c r="D1054" s="54">
        <v>435</v>
      </c>
      <c r="E1054">
        <f t="shared" si="33"/>
        <v>1.520979020979021</v>
      </c>
    </row>
    <row r="1055" spans="1:5" x14ac:dyDescent="0.3">
      <c r="A1055">
        <f t="shared" si="32"/>
        <v>2020</v>
      </c>
      <c r="B1055" s="59">
        <v>43852</v>
      </c>
      <c r="C1055" s="54">
        <v>282.5</v>
      </c>
      <c r="D1055" s="54">
        <v>437</v>
      </c>
      <c r="E1055">
        <f t="shared" si="33"/>
        <v>1.5469026548672566</v>
      </c>
    </row>
    <row r="1056" spans="1:5" x14ac:dyDescent="0.3">
      <c r="A1056">
        <f t="shared" si="32"/>
        <v>2020</v>
      </c>
      <c r="B1056" s="59">
        <v>43853</v>
      </c>
      <c r="C1056" s="54">
        <v>283</v>
      </c>
      <c r="D1056" s="54">
        <v>436</v>
      </c>
      <c r="E1056">
        <f t="shared" si="33"/>
        <v>1.5406360424028269</v>
      </c>
    </row>
    <row r="1057" spans="1:5" x14ac:dyDescent="0.3">
      <c r="A1057">
        <f t="shared" si="32"/>
        <v>2020</v>
      </c>
      <c r="B1057" s="59">
        <v>43854</v>
      </c>
      <c r="C1057" s="54">
        <v>280.5</v>
      </c>
      <c r="D1057" s="54">
        <v>433.5</v>
      </c>
      <c r="E1057">
        <f t="shared" si="33"/>
        <v>1.5454545454545454</v>
      </c>
    </row>
    <row r="1058" spans="1:5" x14ac:dyDescent="0.3">
      <c r="A1058">
        <f t="shared" si="32"/>
        <v>2020</v>
      </c>
      <c r="B1058" s="59">
        <v>43857</v>
      </c>
      <c r="C1058" s="54">
        <v>279</v>
      </c>
      <c r="D1058" s="54">
        <v>432</v>
      </c>
      <c r="E1058">
        <f t="shared" si="33"/>
        <v>1.5483870967741935</v>
      </c>
    </row>
    <row r="1059" spans="1:5" x14ac:dyDescent="0.3">
      <c r="A1059">
        <f t="shared" si="32"/>
        <v>2020</v>
      </c>
      <c r="B1059" s="59">
        <v>43858</v>
      </c>
      <c r="C1059" s="54">
        <v>279</v>
      </c>
      <c r="D1059" s="54">
        <v>431</v>
      </c>
      <c r="E1059">
        <f t="shared" si="33"/>
        <v>1.5448028673835126</v>
      </c>
    </row>
    <row r="1060" spans="1:5" x14ac:dyDescent="0.3">
      <c r="A1060">
        <f t="shared" si="32"/>
        <v>2020</v>
      </c>
      <c r="B1060" s="59">
        <v>43859</v>
      </c>
      <c r="C1060" s="54">
        <v>277</v>
      </c>
      <c r="D1060" s="54">
        <v>430</v>
      </c>
      <c r="E1060">
        <f t="shared" si="33"/>
        <v>1.552346570397112</v>
      </c>
    </row>
    <row r="1061" spans="1:5" x14ac:dyDescent="0.3">
      <c r="A1061">
        <f t="shared" si="32"/>
        <v>2020</v>
      </c>
      <c r="B1061" s="59">
        <v>43860</v>
      </c>
      <c r="C1061" s="54">
        <v>274</v>
      </c>
      <c r="D1061" s="54">
        <v>424</v>
      </c>
      <c r="E1061">
        <f t="shared" si="33"/>
        <v>1.5474452554744527</v>
      </c>
    </row>
    <row r="1062" spans="1:5" x14ac:dyDescent="0.3">
      <c r="A1062">
        <f t="shared" si="32"/>
        <v>2020</v>
      </c>
      <c r="B1062" s="59">
        <v>43861</v>
      </c>
      <c r="C1062" s="54">
        <v>274.5</v>
      </c>
      <c r="D1062" s="54">
        <v>421</v>
      </c>
      <c r="E1062">
        <f t="shared" si="33"/>
        <v>1.5336976320582878</v>
      </c>
    </row>
    <row r="1063" spans="1:5" x14ac:dyDescent="0.3">
      <c r="A1063">
        <f t="shared" si="32"/>
        <v>2020</v>
      </c>
      <c r="B1063" s="59">
        <v>43864</v>
      </c>
      <c r="C1063" s="54">
        <v>271</v>
      </c>
      <c r="D1063" s="54">
        <v>415</v>
      </c>
      <c r="E1063">
        <f t="shared" si="33"/>
        <v>1.5313653136531364</v>
      </c>
    </row>
    <row r="1064" spans="1:5" x14ac:dyDescent="0.3">
      <c r="A1064">
        <f t="shared" si="32"/>
        <v>2020</v>
      </c>
      <c r="B1064" s="59">
        <v>43865</v>
      </c>
      <c r="C1064" s="54">
        <v>268</v>
      </c>
      <c r="D1064" s="54">
        <v>420</v>
      </c>
      <c r="E1064">
        <f t="shared" si="33"/>
        <v>1.5671641791044777</v>
      </c>
    </row>
    <row r="1065" spans="1:5" x14ac:dyDescent="0.3">
      <c r="A1065">
        <f t="shared" si="32"/>
        <v>2020</v>
      </c>
      <c r="B1065" s="59">
        <v>43866</v>
      </c>
      <c r="C1065" s="54">
        <v>269.5</v>
      </c>
      <c r="D1065" s="54">
        <v>418</v>
      </c>
      <c r="E1065">
        <f t="shared" si="33"/>
        <v>1.5510204081632653</v>
      </c>
    </row>
    <row r="1066" spans="1:5" x14ac:dyDescent="0.3">
      <c r="A1066">
        <f t="shared" si="32"/>
        <v>2020</v>
      </c>
      <c r="B1066" s="59">
        <v>43867</v>
      </c>
      <c r="C1066" s="54">
        <v>274.5</v>
      </c>
      <c r="D1066" s="54">
        <v>421</v>
      </c>
      <c r="E1066">
        <f t="shared" si="33"/>
        <v>1.5336976320582878</v>
      </c>
    </row>
    <row r="1067" spans="1:5" x14ac:dyDescent="0.3">
      <c r="A1067">
        <f t="shared" si="32"/>
        <v>2020</v>
      </c>
      <c r="B1067" s="59">
        <v>43868</v>
      </c>
      <c r="C1067" s="54">
        <v>274.5</v>
      </c>
      <c r="D1067" s="54">
        <v>419.5</v>
      </c>
      <c r="E1067">
        <f t="shared" si="33"/>
        <v>1.5282331511839709</v>
      </c>
    </row>
    <row r="1068" spans="1:5" x14ac:dyDescent="0.3">
      <c r="A1068">
        <f t="shared" si="32"/>
        <v>2020</v>
      </c>
      <c r="B1068" s="59">
        <v>43871</v>
      </c>
      <c r="C1068" s="54">
        <v>276.5</v>
      </c>
      <c r="D1068" s="54">
        <v>424</v>
      </c>
      <c r="E1068">
        <f t="shared" si="33"/>
        <v>1.5334538878842676</v>
      </c>
    </row>
    <row r="1069" spans="1:5" x14ac:dyDescent="0.3">
      <c r="A1069">
        <f t="shared" si="32"/>
        <v>2020</v>
      </c>
      <c r="B1069" s="59">
        <v>43872</v>
      </c>
      <c r="C1069" s="54">
        <v>282</v>
      </c>
      <c r="D1069" s="54">
        <v>426</v>
      </c>
      <c r="E1069">
        <f t="shared" si="33"/>
        <v>1.5106382978723405</v>
      </c>
    </row>
    <row r="1070" spans="1:5" x14ac:dyDescent="0.3">
      <c r="A1070">
        <f t="shared" si="32"/>
        <v>2020</v>
      </c>
      <c r="B1070" s="59">
        <v>43873</v>
      </c>
      <c r="C1070" s="54">
        <v>282</v>
      </c>
      <c r="D1070" s="54">
        <v>428</v>
      </c>
      <c r="E1070">
        <f t="shared" si="33"/>
        <v>1.5177304964539007</v>
      </c>
    </row>
    <row r="1071" spans="1:5" x14ac:dyDescent="0.3">
      <c r="A1071">
        <f t="shared" si="32"/>
        <v>2020</v>
      </c>
      <c r="B1071" s="59">
        <v>43874</v>
      </c>
      <c r="C1071" s="54">
        <v>282</v>
      </c>
      <c r="D1071" s="54">
        <v>429</v>
      </c>
      <c r="E1071">
        <f t="shared" si="33"/>
        <v>1.5212765957446808</v>
      </c>
    </row>
    <row r="1072" spans="1:5" x14ac:dyDescent="0.3">
      <c r="A1072">
        <f t="shared" si="32"/>
        <v>2020</v>
      </c>
      <c r="B1072" s="59">
        <v>43875</v>
      </c>
      <c r="C1072" s="54">
        <v>282.5</v>
      </c>
      <c r="D1072" s="54">
        <v>425</v>
      </c>
      <c r="E1072">
        <f t="shared" si="33"/>
        <v>1.5044247787610618</v>
      </c>
    </row>
    <row r="1073" spans="1:5" x14ac:dyDescent="0.3">
      <c r="A1073">
        <f t="shared" si="32"/>
        <v>2020</v>
      </c>
      <c r="B1073" s="59">
        <v>43878</v>
      </c>
      <c r="C1073" s="54">
        <v>283</v>
      </c>
      <c r="D1073" s="54">
        <v>425</v>
      </c>
      <c r="E1073">
        <f t="shared" si="33"/>
        <v>1.5017667844522968</v>
      </c>
    </row>
    <row r="1074" spans="1:5" x14ac:dyDescent="0.3">
      <c r="A1074">
        <f t="shared" si="32"/>
        <v>2020</v>
      </c>
      <c r="B1074" s="59">
        <v>43879</v>
      </c>
      <c r="C1074" s="54">
        <v>283</v>
      </c>
      <c r="D1074" s="54">
        <v>429</v>
      </c>
      <c r="E1074">
        <f t="shared" si="33"/>
        <v>1.5159010600706713</v>
      </c>
    </row>
    <row r="1075" spans="1:5" x14ac:dyDescent="0.3">
      <c r="A1075">
        <f t="shared" si="32"/>
        <v>2020</v>
      </c>
      <c r="B1075" s="59">
        <v>43880</v>
      </c>
      <c r="C1075" s="54">
        <v>283</v>
      </c>
      <c r="D1075" s="54">
        <v>429</v>
      </c>
      <c r="E1075">
        <f t="shared" si="33"/>
        <v>1.5159010600706713</v>
      </c>
    </row>
    <row r="1076" spans="1:5" x14ac:dyDescent="0.3">
      <c r="A1076">
        <f t="shared" si="32"/>
        <v>2020</v>
      </c>
      <c r="B1076" s="59">
        <v>43881</v>
      </c>
      <c r="C1076" s="54">
        <v>286.5</v>
      </c>
      <c r="D1076" s="54">
        <v>434</v>
      </c>
      <c r="E1076">
        <f t="shared" si="33"/>
        <v>1.5148342059336823</v>
      </c>
    </row>
    <row r="1077" spans="1:5" x14ac:dyDescent="0.3">
      <c r="A1077">
        <f t="shared" si="32"/>
        <v>2020</v>
      </c>
      <c r="B1077" s="59">
        <v>43882</v>
      </c>
      <c r="C1077" s="54">
        <v>290</v>
      </c>
      <c r="D1077" s="54">
        <v>439</v>
      </c>
      <c r="E1077">
        <f t="shared" si="33"/>
        <v>1.5137931034482759</v>
      </c>
    </row>
    <row r="1078" spans="1:5" x14ac:dyDescent="0.3">
      <c r="A1078">
        <f t="shared" si="32"/>
        <v>2020</v>
      </c>
      <c r="B1078" s="59">
        <v>43885</v>
      </c>
      <c r="C1078" s="54">
        <v>290</v>
      </c>
      <c r="D1078" s="54">
        <v>442</v>
      </c>
      <c r="E1078">
        <f t="shared" si="33"/>
        <v>1.5241379310344827</v>
      </c>
    </row>
    <row r="1079" spans="1:5" x14ac:dyDescent="0.3">
      <c r="A1079">
        <f t="shared" si="32"/>
        <v>2020</v>
      </c>
      <c r="B1079" s="59">
        <v>43886</v>
      </c>
      <c r="C1079" s="54">
        <v>280</v>
      </c>
      <c r="D1079" s="54">
        <v>427</v>
      </c>
      <c r="E1079">
        <f t="shared" si="33"/>
        <v>1.5249999999999999</v>
      </c>
    </row>
    <row r="1080" spans="1:5" x14ac:dyDescent="0.3">
      <c r="A1080">
        <f t="shared" si="32"/>
        <v>2020</v>
      </c>
      <c r="B1080" s="59">
        <v>43887</v>
      </c>
      <c r="C1080" s="54">
        <v>280</v>
      </c>
      <c r="D1080" s="54">
        <v>432.5</v>
      </c>
      <c r="E1080">
        <f t="shared" si="33"/>
        <v>1.5446428571428572</v>
      </c>
    </row>
    <row r="1081" spans="1:5" x14ac:dyDescent="0.3">
      <c r="A1081">
        <f t="shared" si="32"/>
        <v>2020</v>
      </c>
      <c r="B1081" s="59">
        <v>43888</v>
      </c>
      <c r="C1081" s="54">
        <v>280</v>
      </c>
      <c r="D1081" s="54">
        <v>430</v>
      </c>
      <c r="E1081">
        <f t="shared" si="33"/>
        <v>1.5357142857142858</v>
      </c>
    </row>
    <row r="1082" spans="1:5" x14ac:dyDescent="0.3">
      <c r="A1082">
        <f t="shared" si="32"/>
        <v>2020</v>
      </c>
      <c r="B1082" s="59">
        <v>43889</v>
      </c>
      <c r="C1082" s="54">
        <v>278</v>
      </c>
      <c r="D1082" s="54">
        <v>422</v>
      </c>
      <c r="E1082">
        <f t="shared" si="33"/>
        <v>1.5179856115107915</v>
      </c>
    </row>
    <row r="1083" spans="1:5" x14ac:dyDescent="0.3">
      <c r="A1083">
        <f t="shared" si="32"/>
        <v>2020</v>
      </c>
      <c r="B1083" s="59">
        <v>43892</v>
      </c>
      <c r="C1083" s="54">
        <v>286</v>
      </c>
      <c r="D1083" s="54">
        <v>429</v>
      </c>
      <c r="E1083">
        <f t="shared" si="33"/>
        <v>1.5</v>
      </c>
    </row>
    <row r="1084" spans="1:5" x14ac:dyDescent="0.3">
      <c r="A1084">
        <f t="shared" si="32"/>
        <v>2020</v>
      </c>
      <c r="B1084" s="59">
        <v>43893</v>
      </c>
      <c r="C1084" s="54">
        <v>281</v>
      </c>
      <c r="D1084" s="54">
        <v>429</v>
      </c>
      <c r="E1084">
        <f t="shared" si="33"/>
        <v>1.5266903914590748</v>
      </c>
    </row>
    <row r="1085" spans="1:5" x14ac:dyDescent="0.3">
      <c r="A1085">
        <f t="shared" si="32"/>
        <v>2020</v>
      </c>
      <c r="B1085" s="59">
        <v>43894</v>
      </c>
      <c r="C1085" s="54">
        <v>281.5</v>
      </c>
      <c r="D1085" s="54">
        <v>429</v>
      </c>
      <c r="E1085">
        <f t="shared" si="33"/>
        <v>1.5239786856127886</v>
      </c>
    </row>
    <row r="1086" spans="1:5" x14ac:dyDescent="0.3">
      <c r="A1086">
        <f t="shared" si="32"/>
        <v>2020</v>
      </c>
      <c r="B1086" s="59">
        <v>43895</v>
      </c>
      <c r="C1086" s="54">
        <v>282</v>
      </c>
      <c r="D1086" s="54">
        <v>429</v>
      </c>
      <c r="E1086">
        <f t="shared" si="33"/>
        <v>1.5212765957446808</v>
      </c>
    </row>
    <row r="1087" spans="1:5" x14ac:dyDescent="0.3">
      <c r="A1087">
        <f t="shared" si="32"/>
        <v>2020</v>
      </c>
      <c r="B1087" s="59">
        <v>43896</v>
      </c>
      <c r="C1087" s="54">
        <v>280</v>
      </c>
      <c r="D1087" s="54">
        <v>429</v>
      </c>
      <c r="E1087">
        <f t="shared" si="33"/>
        <v>1.5321428571428573</v>
      </c>
    </row>
    <row r="1088" spans="1:5" x14ac:dyDescent="0.3">
      <c r="A1088">
        <f t="shared" si="32"/>
        <v>2020</v>
      </c>
      <c r="B1088" s="59">
        <v>43899</v>
      </c>
      <c r="C1088" s="54">
        <v>276</v>
      </c>
      <c r="D1088" s="54">
        <v>429</v>
      </c>
      <c r="E1088">
        <f t="shared" si="33"/>
        <v>1.5543478260869565</v>
      </c>
    </row>
    <row r="1089" spans="1:5" x14ac:dyDescent="0.3">
      <c r="A1089">
        <f t="shared" si="32"/>
        <v>2020</v>
      </c>
      <c r="B1089" s="59">
        <v>43900</v>
      </c>
      <c r="C1089" s="54">
        <v>280</v>
      </c>
      <c r="D1089" s="54">
        <v>432</v>
      </c>
      <c r="E1089">
        <f t="shared" si="33"/>
        <v>1.5428571428571429</v>
      </c>
    </row>
    <row r="1090" spans="1:5" x14ac:dyDescent="0.3">
      <c r="A1090">
        <f t="shared" si="32"/>
        <v>2020</v>
      </c>
      <c r="B1090" s="59">
        <v>43901</v>
      </c>
      <c r="C1090" s="54">
        <v>277</v>
      </c>
      <c r="D1090" s="54">
        <v>432</v>
      </c>
      <c r="E1090">
        <f t="shared" si="33"/>
        <v>1.5595667870036101</v>
      </c>
    </row>
    <row r="1091" spans="1:5" x14ac:dyDescent="0.3">
      <c r="A1091">
        <f t="shared" si="32"/>
        <v>2020</v>
      </c>
      <c r="B1091" s="59">
        <v>43902</v>
      </c>
      <c r="C1091" s="54">
        <v>264</v>
      </c>
      <c r="D1091" s="54">
        <v>420</v>
      </c>
      <c r="E1091">
        <f t="shared" si="33"/>
        <v>1.5909090909090908</v>
      </c>
    </row>
    <row r="1092" spans="1:5" x14ac:dyDescent="0.3">
      <c r="A1092">
        <f t="shared" ref="A1092:A1155" si="34">YEAR(B1092)</f>
        <v>2020</v>
      </c>
      <c r="B1092" s="59">
        <v>43903</v>
      </c>
      <c r="C1092" s="54">
        <v>275</v>
      </c>
      <c r="D1092" s="54">
        <v>420</v>
      </c>
      <c r="E1092">
        <f t="shared" ref="E1092:E1155" si="35">D1092/C1092</f>
        <v>1.5272727272727273</v>
      </c>
    </row>
    <row r="1093" spans="1:5" x14ac:dyDescent="0.3">
      <c r="A1093">
        <f t="shared" si="34"/>
        <v>2020</v>
      </c>
      <c r="B1093" s="59">
        <v>43906</v>
      </c>
      <c r="C1093" s="54">
        <v>269</v>
      </c>
      <c r="D1093" s="54">
        <v>420</v>
      </c>
      <c r="E1093">
        <f t="shared" si="35"/>
        <v>1.5613382899628252</v>
      </c>
    </row>
    <row r="1094" spans="1:5" x14ac:dyDescent="0.3">
      <c r="A1094">
        <f t="shared" si="34"/>
        <v>2020</v>
      </c>
      <c r="B1094" s="59">
        <v>43907</v>
      </c>
      <c r="C1094" s="54">
        <v>260.5</v>
      </c>
      <c r="D1094" s="54">
        <v>415</v>
      </c>
      <c r="E1094">
        <f t="shared" si="35"/>
        <v>1.5930902111324377</v>
      </c>
    </row>
    <row r="1095" spans="1:5" x14ac:dyDescent="0.3">
      <c r="A1095">
        <f t="shared" si="34"/>
        <v>2020</v>
      </c>
      <c r="B1095" s="59">
        <v>43908</v>
      </c>
      <c r="C1095" s="54">
        <v>236</v>
      </c>
      <c r="D1095" s="54">
        <v>396</v>
      </c>
      <c r="E1095">
        <f t="shared" si="35"/>
        <v>1.6779661016949152</v>
      </c>
    </row>
    <row r="1096" spans="1:5" x14ac:dyDescent="0.3">
      <c r="A1096">
        <f t="shared" si="34"/>
        <v>2020</v>
      </c>
      <c r="B1096" s="59">
        <v>43909</v>
      </c>
      <c r="C1096" s="54">
        <v>244</v>
      </c>
      <c r="D1096" s="54">
        <v>384</v>
      </c>
      <c r="E1096">
        <f t="shared" si="35"/>
        <v>1.5737704918032787</v>
      </c>
    </row>
    <row r="1097" spans="1:5" x14ac:dyDescent="0.3">
      <c r="A1097">
        <f t="shared" si="34"/>
        <v>2020</v>
      </c>
      <c r="B1097" s="59">
        <v>43910</v>
      </c>
      <c r="C1097" s="54">
        <v>240</v>
      </c>
      <c r="D1097" s="54">
        <v>381</v>
      </c>
      <c r="E1097">
        <f t="shared" si="35"/>
        <v>1.5874999999999999</v>
      </c>
    </row>
    <row r="1098" spans="1:5" x14ac:dyDescent="0.3">
      <c r="A1098">
        <f t="shared" si="34"/>
        <v>2020</v>
      </c>
      <c r="B1098" s="59">
        <v>43913</v>
      </c>
      <c r="C1098" s="54">
        <v>240</v>
      </c>
      <c r="D1098" s="54">
        <v>374</v>
      </c>
      <c r="E1098">
        <f t="shared" si="35"/>
        <v>1.5583333333333333</v>
      </c>
    </row>
    <row r="1099" spans="1:5" x14ac:dyDescent="0.3">
      <c r="A1099">
        <f t="shared" si="34"/>
        <v>2020</v>
      </c>
      <c r="B1099" s="59">
        <v>43914</v>
      </c>
      <c r="C1099" s="54">
        <v>245</v>
      </c>
      <c r="D1099" s="54">
        <v>374</v>
      </c>
      <c r="E1099">
        <f t="shared" si="35"/>
        <v>1.5265306122448981</v>
      </c>
    </row>
    <row r="1100" spans="1:5" x14ac:dyDescent="0.3">
      <c r="A1100">
        <f t="shared" si="34"/>
        <v>2020</v>
      </c>
      <c r="B1100" s="59">
        <v>43915</v>
      </c>
      <c r="C1100" s="54">
        <v>235</v>
      </c>
      <c r="D1100" s="54">
        <v>375</v>
      </c>
      <c r="E1100">
        <f t="shared" si="35"/>
        <v>1.5957446808510638</v>
      </c>
    </row>
    <row r="1101" spans="1:5" x14ac:dyDescent="0.3">
      <c r="A1101">
        <f t="shared" si="34"/>
        <v>2020</v>
      </c>
      <c r="B1101" s="59">
        <v>43916</v>
      </c>
      <c r="C1101" s="54">
        <v>234</v>
      </c>
      <c r="D1101" s="54">
        <v>375</v>
      </c>
      <c r="E1101">
        <f t="shared" si="35"/>
        <v>1.6025641025641026</v>
      </c>
    </row>
    <row r="1102" spans="1:5" x14ac:dyDescent="0.3">
      <c r="A1102">
        <f t="shared" si="34"/>
        <v>2020</v>
      </c>
      <c r="B1102" s="59">
        <v>43917</v>
      </c>
      <c r="C1102" s="54">
        <v>230</v>
      </c>
      <c r="D1102" s="54">
        <v>375</v>
      </c>
      <c r="E1102">
        <f t="shared" si="35"/>
        <v>1.6304347826086956</v>
      </c>
    </row>
    <row r="1103" spans="1:5" x14ac:dyDescent="0.3">
      <c r="A1103">
        <f t="shared" si="34"/>
        <v>2020</v>
      </c>
      <c r="B1103" s="59">
        <v>43920</v>
      </c>
      <c r="C1103" s="54">
        <v>211.5</v>
      </c>
      <c r="D1103" s="54">
        <v>375</v>
      </c>
      <c r="E1103">
        <f t="shared" si="35"/>
        <v>1.7730496453900708</v>
      </c>
    </row>
    <row r="1104" spans="1:5" x14ac:dyDescent="0.3">
      <c r="A1104">
        <f t="shared" si="34"/>
        <v>2020</v>
      </c>
      <c r="B1104" s="59">
        <v>43921</v>
      </c>
      <c r="C1104" s="54">
        <v>230</v>
      </c>
      <c r="D1104" s="54">
        <v>380</v>
      </c>
      <c r="E1104">
        <f t="shared" si="35"/>
        <v>1.6521739130434783</v>
      </c>
    </row>
    <row r="1105" spans="1:5" x14ac:dyDescent="0.3">
      <c r="A1105">
        <f t="shared" si="34"/>
        <v>2020</v>
      </c>
      <c r="B1105" s="59">
        <v>43922</v>
      </c>
      <c r="C1105" s="54">
        <v>243</v>
      </c>
      <c r="D1105" s="54">
        <v>395</v>
      </c>
      <c r="E1105">
        <f t="shared" si="35"/>
        <v>1.6255144032921811</v>
      </c>
    </row>
    <row r="1106" spans="1:5" x14ac:dyDescent="0.3">
      <c r="A1106">
        <f t="shared" si="34"/>
        <v>2020</v>
      </c>
      <c r="B1106" s="59">
        <v>43923</v>
      </c>
      <c r="C1106" s="54">
        <v>251</v>
      </c>
      <c r="D1106" s="54">
        <v>395</v>
      </c>
      <c r="E1106">
        <f t="shared" si="35"/>
        <v>1.5737051792828685</v>
      </c>
    </row>
    <row r="1107" spans="1:5" x14ac:dyDescent="0.3">
      <c r="A1107">
        <f t="shared" si="34"/>
        <v>2020</v>
      </c>
      <c r="B1107" s="59">
        <v>43924</v>
      </c>
      <c r="C1107" s="54">
        <v>260</v>
      </c>
      <c r="D1107" s="54">
        <v>395</v>
      </c>
      <c r="E1107">
        <f t="shared" si="35"/>
        <v>1.5192307692307692</v>
      </c>
    </row>
    <row r="1108" spans="1:5" x14ac:dyDescent="0.3">
      <c r="A1108">
        <f t="shared" si="34"/>
        <v>2020</v>
      </c>
      <c r="B1108" s="59">
        <v>43927</v>
      </c>
      <c r="C1108" s="54">
        <v>263</v>
      </c>
      <c r="D1108" s="54">
        <v>395</v>
      </c>
      <c r="E1108">
        <f t="shared" si="35"/>
        <v>1.5019011406844107</v>
      </c>
    </row>
    <row r="1109" spans="1:5" x14ac:dyDescent="0.3">
      <c r="A1109">
        <f t="shared" si="34"/>
        <v>2020</v>
      </c>
      <c r="B1109" s="59">
        <v>43928</v>
      </c>
      <c r="C1109" s="54">
        <v>262</v>
      </c>
      <c r="D1109" s="54">
        <v>395</v>
      </c>
      <c r="E1109">
        <f t="shared" si="35"/>
        <v>1.5076335877862594</v>
      </c>
    </row>
    <row r="1110" spans="1:5" x14ac:dyDescent="0.3">
      <c r="A1110">
        <f t="shared" si="34"/>
        <v>2020</v>
      </c>
      <c r="B1110" s="59">
        <v>43929</v>
      </c>
      <c r="C1110" s="54">
        <v>265.5</v>
      </c>
      <c r="D1110" s="54">
        <v>403</v>
      </c>
      <c r="E1110">
        <f t="shared" si="35"/>
        <v>1.5178907721280603</v>
      </c>
    </row>
    <row r="1111" spans="1:5" x14ac:dyDescent="0.3">
      <c r="A1111">
        <f t="shared" si="34"/>
        <v>2020</v>
      </c>
      <c r="B1111" s="59">
        <v>43930</v>
      </c>
      <c r="C1111" s="54">
        <v>263.5</v>
      </c>
      <c r="D1111" s="54">
        <v>403</v>
      </c>
      <c r="E1111">
        <f t="shared" si="35"/>
        <v>1.5294117647058822</v>
      </c>
    </row>
    <row r="1112" spans="1:5" x14ac:dyDescent="0.3">
      <c r="A1112">
        <f t="shared" si="34"/>
        <v>2020</v>
      </c>
      <c r="B1112" s="59">
        <v>43935</v>
      </c>
      <c r="C1112" s="54">
        <v>269</v>
      </c>
      <c r="D1112" s="54">
        <v>420</v>
      </c>
      <c r="E1112">
        <f t="shared" si="35"/>
        <v>1.5613382899628252</v>
      </c>
    </row>
    <row r="1113" spans="1:5" x14ac:dyDescent="0.3">
      <c r="A1113">
        <f t="shared" si="34"/>
        <v>2020</v>
      </c>
      <c r="B1113" s="59">
        <v>43936</v>
      </c>
      <c r="C1113" s="54">
        <v>267.5</v>
      </c>
      <c r="D1113" s="54">
        <v>426</v>
      </c>
      <c r="E1113">
        <f t="shared" si="35"/>
        <v>1.5925233644859813</v>
      </c>
    </row>
    <row r="1114" spans="1:5" x14ac:dyDescent="0.3">
      <c r="A1114">
        <f t="shared" si="34"/>
        <v>2020</v>
      </c>
      <c r="B1114" s="59">
        <v>43937</v>
      </c>
      <c r="C1114" s="54">
        <v>268.5</v>
      </c>
      <c r="D1114" s="54">
        <v>421</v>
      </c>
      <c r="E1114">
        <f t="shared" si="35"/>
        <v>1.5679702048417132</v>
      </c>
    </row>
    <row r="1115" spans="1:5" x14ac:dyDescent="0.3">
      <c r="A1115">
        <f t="shared" si="34"/>
        <v>2020</v>
      </c>
      <c r="B1115" s="59">
        <v>43938</v>
      </c>
      <c r="C1115" s="54">
        <v>267.5</v>
      </c>
      <c r="D1115" s="54">
        <v>417</v>
      </c>
      <c r="E1115">
        <f t="shared" si="35"/>
        <v>1.5588785046728972</v>
      </c>
    </row>
    <row r="1116" spans="1:5" x14ac:dyDescent="0.3">
      <c r="A1116">
        <f t="shared" si="34"/>
        <v>2020</v>
      </c>
      <c r="B1116" s="59">
        <v>43941</v>
      </c>
      <c r="C1116" s="54">
        <v>269.5</v>
      </c>
      <c r="D1116" s="54">
        <v>420</v>
      </c>
      <c r="E1116">
        <f t="shared" si="35"/>
        <v>1.5584415584415585</v>
      </c>
    </row>
    <row r="1117" spans="1:5" x14ac:dyDescent="0.3">
      <c r="A1117">
        <f t="shared" si="34"/>
        <v>2020</v>
      </c>
      <c r="B1117" s="59">
        <v>43942</v>
      </c>
      <c r="C1117" s="54">
        <v>255</v>
      </c>
      <c r="D1117" s="54">
        <v>410</v>
      </c>
      <c r="E1117">
        <f t="shared" si="35"/>
        <v>1.607843137254902</v>
      </c>
    </row>
    <row r="1118" spans="1:5" x14ac:dyDescent="0.3">
      <c r="A1118">
        <f t="shared" si="34"/>
        <v>2020</v>
      </c>
      <c r="B1118" s="59">
        <v>43943</v>
      </c>
      <c r="C1118" s="54">
        <v>256</v>
      </c>
      <c r="D1118" s="54">
        <v>405</v>
      </c>
      <c r="E1118">
        <f t="shared" si="35"/>
        <v>1.58203125</v>
      </c>
    </row>
    <row r="1119" spans="1:5" x14ac:dyDescent="0.3">
      <c r="A1119">
        <f t="shared" si="34"/>
        <v>2020</v>
      </c>
      <c r="B1119" s="59">
        <v>43944</v>
      </c>
      <c r="C1119" s="54">
        <v>249.5</v>
      </c>
      <c r="D1119" s="54">
        <v>397</v>
      </c>
      <c r="E1119">
        <f t="shared" si="35"/>
        <v>1.591182364729459</v>
      </c>
    </row>
    <row r="1120" spans="1:5" x14ac:dyDescent="0.3">
      <c r="A1120">
        <f t="shared" si="34"/>
        <v>2020</v>
      </c>
      <c r="B1120" s="59">
        <v>43945</v>
      </c>
      <c r="C1120" s="54">
        <v>253</v>
      </c>
      <c r="D1120" s="54">
        <v>400.5</v>
      </c>
      <c r="E1120">
        <f t="shared" si="35"/>
        <v>1.5830039525691699</v>
      </c>
    </row>
    <row r="1121" spans="1:5" x14ac:dyDescent="0.3">
      <c r="A1121">
        <f t="shared" si="34"/>
        <v>2020</v>
      </c>
      <c r="B1121" s="59">
        <v>43948</v>
      </c>
      <c r="C1121" s="54">
        <v>253</v>
      </c>
      <c r="D1121" s="54">
        <v>404.5</v>
      </c>
      <c r="E1121">
        <f t="shared" si="35"/>
        <v>1.598814229249012</v>
      </c>
    </row>
    <row r="1122" spans="1:5" x14ac:dyDescent="0.3">
      <c r="A1122">
        <f t="shared" si="34"/>
        <v>2020</v>
      </c>
      <c r="B1122" s="59">
        <v>43949</v>
      </c>
      <c r="C1122" s="54">
        <v>253</v>
      </c>
      <c r="D1122" s="54">
        <v>403</v>
      </c>
      <c r="E1122">
        <f t="shared" si="35"/>
        <v>1.5928853754940711</v>
      </c>
    </row>
    <row r="1123" spans="1:5" x14ac:dyDescent="0.3">
      <c r="A1123">
        <f t="shared" si="34"/>
        <v>2020</v>
      </c>
      <c r="B1123" s="59">
        <v>43950</v>
      </c>
      <c r="C1123" s="54">
        <v>250</v>
      </c>
      <c r="D1123" s="54">
        <v>405</v>
      </c>
      <c r="E1123">
        <f t="shared" si="35"/>
        <v>1.62</v>
      </c>
    </row>
    <row r="1124" spans="1:5" x14ac:dyDescent="0.3">
      <c r="A1124">
        <f t="shared" si="34"/>
        <v>2020</v>
      </c>
      <c r="B1124" s="59">
        <v>43951</v>
      </c>
      <c r="C1124" s="54">
        <v>250</v>
      </c>
      <c r="D1124" s="54">
        <v>406</v>
      </c>
      <c r="E1124">
        <f t="shared" si="35"/>
        <v>1.6240000000000001</v>
      </c>
    </row>
    <row r="1125" spans="1:5" x14ac:dyDescent="0.3">
      <c r="A1125">
        <f t="shared" si="34"/>
        <v>2020</v>
      </c>
      <c r="B1125" s="59">
        <v>43952</v>
      </c>
      <c r="C1125" s="54">
        <v>250</v>
      </c>
      <c r="D1125" s="54">
        <v>404</v>
      </c>
      <c r="E1125">
        <f t="shared" si="35"/>
        <v>1.6160000000000001</v>
      </c>
    </row>
    <row r="1126" spans="1:5" x14ac:dyDescent="0.3">
      <c r="A1126">
        <f t="shared" si="34"/>
        <v>2020</v>
      </c>
      <c r="B1126" s="59">
        <v>43955</v>
      </c>
      <c r="C1126" s="54">
        <v>254</v>
      </c>
      <c r="D1126" s="54">
        <v>406</v>
      </c>
      <c r="E1126">
        <f t="shared" si="35"/>
        <v>1.5984251968503937</v>
      </c>
    </row>
    <row r="1127" spans="1:5" x14ac:dyDescent="0.3">
      <c r="A1127">
        <f t="shared" si="34"/>
        <v>2020</v>
      </c>
      <c r="B1127" s="59">
        <v>43956</v>
      </c>
      <c r="C1127" s="54">
        <v>258</v>
      </c>
      <c r="D1127" s="54">
        <v>408.5</v>
      </c>
      <c r="E1127">
        <f t="shared" si="35"/>
        <v>1.5833333333333333</v>
      </c>
    </row>
    <row r="1128" spans="1:5" x14ac:dyDescent="0.3">
      <c r="A1128">
        <f t="shared" si="34"/>
        <v>2020</v>
      </c>
      <c r="B1128" s="59">
        <v>43957</v>
      </c>
      <c r="C1128" s="54">
        <v>260</v>
      </c>
      <c r="D1128" s="54">
        <v>409</v>
      </c>
      <c r="E1128">
        <f t="shared" si="35"/>
        <v>1.573076923076923</v>
      </c>
    </row>
    <row r="1129" spans="1:5" x14ac:dyDescent="0.3">
      <c r="A1129">
        <f t="shared" si="34"/>
        <v>2020</v>
      </c>
      <c r="B1129" s="59">
        <v>43958</v>
      </c>
      <c r="C1129" s="54">
        <v>262</v>
      </c>
      <c r="D1129" s="54">
        <v>416.5</v>
      </c>
      <c r="E1129">
        <f t="shared" si="35"/>
        <v>1.5896946564885497</v>
      </c>
    </row>
    <row r="1130" spans="1:5" x14ac:dyDescent="0.3">
      <c r="A1130">
        <f t="shared" si="34"/>
        <v>2020</v>
      </c>
      <c r="B1130" s="59">
        <v>43962</v>
      </c>
      <c r="C1130" s="54">
        <v>269</v>
      </c>
      <c r="D1130" s="54">
        <v>420</v>
      </c>
      <c r="E1130">
        <f t="shared" si="35"/>
        <v>1.5613382899628252</v>
      </c>
    </row>
    <row r="1131" spans="1:5" x14ac:dyDescent="0.3">
      <c r="A1131">
        <f t="shared" si="34"/>
        <v>2020</v>
      </c>
      <c r="B1131" s="59">
        <v>43963</v>
      </c>
      <c r="C1131" s="54">
        <v>270</v>
      </c>
      <c r="D1131" s="54">
        <v>419</v>
      </c>
      <c r="E1131">
        <f t="shared" si="35"/>
        <v>1.5518518518518518</v>
      </c>
    </row>
    <row r="1132" spans="1:5" x14ac:dyDescent="0.3">
      <c r="A1132">
        <f t="shared" si="34"/>
        <v>2020</v>
      </c>
      <c r="B1132" s="59">
        <v>43964</v>
      </c>
      <c r="C1132" s="54">
        <v>266</v>
      </c>
      <c r="D1132" s="54">
        <v>419</v>
      </c>
      <c r="E1132">
        <f t="shared" si="35"/>
        <v>1.5751879699248121</v>
      </c>
    </row>
    <row r="1133" spans="1:5" x14ac:dyDescent="0.3">
      <c r="A1133">
        <f t="shared" si="34"/>
        <v>2020</v>
      </c>
      <c r="B1133" s="59">
        <v>43965</v>
      </c>
      <c r="C1133" s="54">
        <v>263.5</v>
      </c>
      <c r="D1133" s="54">
        <v>419.5</v>
      </c>
      <c r="E1133">
        <f t="shared" si="35"/>
        <v>1.5920303605313093</v>
      </c>
    </row>
    <row r="1134" spans="1:5" x14ac:dyDescent="0.3">
      <c r="A1134">
        <f t="shared" si="34"/>
        <v>2020</v>
      </c>
      <c r="B1134" s="59">
        <v>43966</v>
      </c>
      <c r="C1134" s="54">
        <v>267</v>
      </c>
      <c r="D1134" s="54">
        <v>422</v>
      </c>
      <c r="E1134">
        <f t="shared" si="35"/>
        <v>1.5805243445692885</v>
      </c>
    </row>
    <row r="1135" spans="1:5" x14ac:dyDescent="0.3">
      <c r="A1135">
        <f t="shared" si="34"/>
        <v>2020</v>
      </c>
      <c r="B1135" s="59">
        <v>43969</v>
      </c>
      <c r="C1135" s="54">
        <v>269</v>
      </c>
      <c r="D1135" s="54">
        <v>430.5</v>
      </c>
      <c r="E1135">
        <f t="shared" si="35"/>
        <v>1.6003717472118959</v>
      </c>
    </row>
    <row r="1136" spans="1:5" x14ac:dyDescent="0.3">
      <c r="A1136">
        <f t="shared" si="34"/>
        <v>2020</v>
      </c>
      <c r="B1136" s="59">
        <v>43970</v>
      </c>
      <c r="C1136" s="54">
        <v>275</v>
      </c>
      <c r="D1136" s="54">
        <v>434.5</v>
      </c>
      <c r="E1136">
        <f t="shared" si="35"/>
        <v>1.58</v>
      </c>
    </row>
    <row r="1137" spans="1:5" x14ac:dyDescent="0.3">
      <c r="A1137">
        <f t="shared" si="34"/>
        <v>2020</v>
      </c>
      <c r="B1137" s="59">
        <v>43971</v>
      </c>
      <c r="C1137" s="54">
        <v>274</v>
      </c>
      <c r="D1137" s="54">
        <v>430</v>
      </c>
      <c r="E1137">
        <f t="shared" si="35"/>
        <v>1.5693430656934306</v>
      </c>
    </row>
    <row r="1138" spans="1:5" x14ac:dyDescent="0.3">
      <c r="A1138">
        <f t="shared" si="34"/>
        <v>2020</v>
      </c>
      <c r="B1138" s="59">
        <v>43972</v>
      </c>
      <c r="C1138" s="54">
        <v>270.5</v>
      </c>
      <c r="D1138" s="54">
        <v>426.5</v>
      </c>
      <c r="E1138">
        <f t="shared" si="35"/>
        <v>1.5767097966728281</v>
      </c>
    </row>
    <row r="1139" spans="1:5" x14ac:dyDescent="0.3">
      <c r="A1139">
        <f t="shared" si="34"/>
        <v>2020</v>
      </c>
      <c r="B1139" s="59">
        <v>43973</v>
      </c>
      <c r="C1139" s="54">
        <v>267.5</v>
      </c>
      <c r="D1139" s="54">
        <v>420.5</v>
      </c>
      <c r="E1139">
        <f t="shared" si="35"/>
        <v>1.5719626168224299</v>
      </c>
    </row>
    <row r="1140" spans="1:5" x14ac:dyDescent="0.3">
      <c r="A1140">
        <f t="shared" si="34"/>
        <v>2020</v>
      </c>
      <c r="B1140" s="59">
        <v>43977</v>
      </c>
      <c r="C1140" s="54">
        <v>265</v>
      </c>
      <c r="D1140" s="54">
        <v>424.5</v>
      </c>
      <c r="E1140">
        <f t="shared" si="35"/>
        <v>1.6018867924528302</v>
      </c>
    </row>
    <row r="1141" spans="1:5" x14ac:dyDescent="0.3">
      <c r="A1141">
        <f t="shared" si="34"/>
        <v>2020</v>
      </c>
      <c r="B1141" s="59">
        <v>43978</v>
      </c>
      <c r="C1141" s="54">
        <v>265.5</v>
      </c>
      <c r="D1141" s="54">
        <v>420</v>
      </c>
      <c r="E1141">
        <f t="shared" si="35"/>
        <v>1.5819209039548023</v>
      </c>
    </row>
    <row r="1142" spans="1:5" x14ac:dyDescent="0.3">
      <c r="A1142">
        <f t="shared" si="34"/>
        <v>2020</v>
      </c>
      <c r="B1142" s="59">
        <v>43979</v>
      </c>
      <c r="C1142" s="54">
        <v>263.5</v>
      </c>
      <c r="D1142" s="54">
        <v>422</v>
      </c>
      <c r="E1142">
        <f t="shared" si="35"/>
        <v>1.6015180265654649</v>
      </c>
    </row>
    <row r="1143" spans="1:5" x14ac:dyDescent="0.3">
      <c r="A1143">
        <f t="shared" si="34"/>
        <v>2020</v>
      </c>
      <c r="B1143" s="59">
        <v>43980</v>
      </c>
      <c r="C1143" s="54">
        <v>267</v>
      </c>
      <c r="D1143" s="54">
        <v>426.5</v>
      </c>
      <c r="E1143">
        <f t="shared" si="35"/>
        <v>1.5973782771535581</v>
      </c>
    </row>
    <row r="1144" spans="1:5" x14ac:dyDescent="0.3">
      <c r="A1144">
        <f t="shared" si="34"/>
        <v>2020</v>
      </c>
      <c r="B1144" s="59">
        <v>43983</v>
      </c>
      <c r="C1144" s="54">
        <v>270</v>
      </c>
      <c r="D1144" s="54">
        <v>432</v>
      </c>
      <c r="E1144">
        <f t="shared" si="35"/>
        <v>1.6</v>
      </c>
    </row>
    <row r="1145" spans="1:5" x14ac:dyDescent="0.3">
      <c r="A1145">
        <f t="shared" si="34"/>
        <v>2020</v>
      </c>
      <c r="B1145" s="59">
        <v>43984</v>
      </c>
      <c r="C1145" s="54">
        <v>270</v>
      </c>
      <c r="D1145" s="54">
        <v>437.5</v>
      </c>
      <c r="E1145">
        <f t="shared" si="35"/>
        <v>1.6203703703703705</v>
      </c>
    </row>
    <row r="1146" spans="1:5" x14ac:dyDescent="0.3">
      <c r="A1146">
        <f t="shared" si="34"/>
        <v>2020</v>
      </c>
      <c r="B1146" s="59">
        <v>43985</v>
      </c>
      <c r="C1146" s="54">
        <v>266.5</v>
      </c>
      <c r="D1146" s="54">
        <v>425.5</v>
      </c>
      <c r="E1146">
        <f t="shared" si="35"/>
        <v>1.5966228893058161</v>
      </c>
    </row>
    <row r="1147" spans="1:5" x14ac:dyDescent="0.3">
      <c r="A1147">
        <f t="shared" si="34"/>
        <v>2020</v>
      </c>
      <c r="B1147" s="59">
        <v>43986</v>
      </c>
      <c r="C1147" s="54">
        <v>266.5</v>
      </c>
      <c r="D1147" s="54">
        <v>422</v>
      </c>
      <c r="E1147">
        <f t="shared" si="35"/>
        <v>1.5834896810506567</v>
      </c>
    </row>
    <row r="1148" spans="1:5" x14ac:dyDescent="0.3">
      <c r="A1148">
        <f t="shared" si="34"/>
        <v>2020</v>
      </c>
      <c r="B1148" s="59">
        <v>43987</v>
      </c>
      <c r="C1148" s="54">
        <v>263</v>
      </c>
      <c r="D1148" s="54">
        <v>422</v>
      </c>
      <c r="E1148">
        <f t="shared" si="35"/>
        <v>1.6045627376425855</v>
      </c>
    </row>
    <row r="1149" spans="1:5" x14ac:dyDescent="0.3">
      <c r="A1149">
        <f t="shared" si="34"/>
        <v>2020</v>
      </c>
      <c r="B1149" s="59">
        <v>43990</v>
      </c>
      <c r="C1149" s="54">
        <v>268.5</v>
      </c>
      <c r="D1149" s="54">
        <v>430</v>
      </c>
      <c r="E1149">
        <f t="shared" si="35"/>
        <v>1.601489757914339</v>
      </c>
    </row>
    <row r="1150" spans="1:5" x14ac:dyDescent="0.3">
      <c r="A1150">
        <f t="shared" si="34"/>
        <v>2020</v>
      </c>
      <c r="B1150" s="59">
        <v>43991</v>
      </c>
      <c r="C1150" s="54">
        <v>269</v>
      </c>
      <c r="D1150" s="54">
        <v>432</v>
      </c>
      <c r="E1150">
        <f t="shared" si="35"/>
        <v>1.6059479553903346</v>
      </c>
    </row>
    <row r="1151" spans="1:5" x14ac:dyDescent="0.3">
      <c r="A1151">
        <f t="shared" si="34"/>
        <v>2020</v>
      </c>
      <c r="B1151" s="59">
        <v>43992</v>
      </c>
      <c r="C1151" s="54">
        <v>267</v>
      </c>
      <c r="D1151" s="54">
        <v>428</v>
      </c>
      <c r="E1151">
        <f t="shared" si="35"/>
        <v>1.6029962546816479</v>
      </c>
    </row>
    <row r="1152" spans="1:5" x14ac:dyDescent="0.3">
      <c r="A1152">
        <f t="shared" si="34"/>
        <v>2020</v>
      </c>
      <c r="B1152" s="59">
        <v>43993</v>
      </c>
      <c r="C1152" s="54">
        <v>265.5</v>
      </c>
      <c r="D1152" s="54">
        <v>420.5</v>
      </c>
      <c r="E1152">
        <f t="shared" si="35"/>
        <v>1.5838041431261771</v>
      </c>
    </row>
    <row r="1153" spans="1:5" x14ac:dyDescent="0.3">
      <c r="A1153">
        <f t="shared" si="34"/>
        <v>2020</v>
      </c>
      <c r="B1153" s="59">
        <v>43994</v>
      </c>
      <c r="C1153" s="54">
        <v>265</v>
      </c>
      <c r="D1153" s="54">
        <v>420</v>
      </c>
      <c r="E1153">
        <f t="shared" si="35"/>
        <v>1.5849056603773586</v>
      </c>
    </row>
    <row r="1154" spans="1:5" x14ac:dyDescent="0.3">
      <c r="A1154">
        <f t="shared" si="34"/>
        <v>2020</v>
      </c>
      <c r="B1154" s="59">
        <v>43997</v>
      </c>
      <c r="C1154" s="54">
        <v>266</v>
      </c>
      <c r="D1154" s="54">
        <v>428</v>
      </c>
      <c r="E1154">
        <f t="shared" si="35"/>
        <v>1.6090225563909775</v>
      </c>
    </row>
    <row r="1155" spans="1:5" x14ac:dyDescent="0.3">
      <c r="A1155">
        <f t="shared" si="34"/>
        <v>2020</v>
      </c>
      <c r="B1155" s="59">
        <v>43998</v>
      </c>
      <c r="C1155" s="54">
        <v>267</v>
      </c>
      <c r="D1155" s="54">
        <v>427.5</v>
      </c>
      <c r="E1155">
        <f t="shared" si="35"/>
        <v>1.601123595505618</v>
      </c>
    </row>
    <row r="1156" spans="1:5" x14ac:dyDescent="0.3">
      <c r="A1156">
        <f t="shared" ref="A1156:A1219" si="36">YEAR(B1156)</f>
        <v>2020</v>
      </c>
      <c r="B1156" s="59">
        <v>43999</v>
      </c>
      <c r="C1156" s="54">
        <v>266</v>
      </c>
      <c r="D1156" s="54">
        <v>423</v>
      </c>
      <c r="E1156">
        <f t="shared" ref="E1156:E1219" si="37">D1156/C1156</f>
        <v>1.5902255639097744</v>
      </c>
    </row>
    <row r="1157" spans="1:5" x14ac:dyDescent="0.3">
      <c r="A1157">
        <f t="shared" si="36"/>
        <v>2020</v>
      </c>
      <c r="B1157" s="59">
        <v>44000</v>
      </c>
      <c r="C1157" s="54">
        <v>260</v>
      </c>
      <c r="D1157" s="54">
        <v>419</v>
      </c>
      <c r="E1157">
        <f t="shared" si="37"/>
        <v>1.6115384615384616</v>
      </c>
    </row>
    <row r="1158" spans="1:5" x14ac:dyDescent="0.3">
      <c r="A1158">
        <f t="shared" si="36"/>
        <v>2020</v>
      </c>
      <c r="B1158" s="59">
        <v>44001</v>
      </c>
      <c r="C1158" s="54">
        <v>257</v>
      </c>
      <c r="D1158" s="54">
        <v>417.5</v>
      </c>
      <c r="E1158">
        <f t="shared" si="37"/>
        <v>1.6245136186770428</v>
      </c>
    </row>
    <row r="1159" spans="1:5" x14ac:dyDescent="0.3">
      <c r="A1159">
        <f t="shared" si="36"/>
        <v>2020</v>
      </c>
      <c r="B1159" s="59">
        <v>44004</v>
      </c>
      <c r="C1159" s="54">
        <v>260</v>
      </c>
      <c r="D1159" s="54">
        <v>419.5</v>
      </c>
      <c r="E1159">
        <f t="shared" si="37"/>
        <v>1.6134615384615385</v>
      </c>
    </row>
    <row r="1160" spans="1:5" x14ac:dyDescent="0.3">
      <c r="A1160">
        <f t="shared" si="36"/>
        <v>2020</v>
      </c>
      <c r="B1160" s="59">
        <v>44005</v>
      </c>
      <c r="C1160" s="54">
        <v>263</v>
      </c>
      <c r="D1160" s="54">
        <v>421.5</v>
      </c>
      <c r="E1160">
        <f t="shared" si="37"/>
        <v>1.602661596958175</v>
      </c>
    </row>
    <row r="1161" spans="1:5" x14ac:dyDescent="0.3">
      <c r="A1161">
        <f t="shared" si="36"/>
        <v>2020</v>
      </c>
      <c r="B1161" s="59">
        <v>44006</v>
      </c>
      <c r="C1161" s="54">
        <v>264</v>
      </c>
      <c r="D1161" s="54">
        <v>428</v>
      </c>
      <c r="E1161">
        <f t="shared" si="37"/>
        <v>1.6212121212121211</v>
      </c>
    </row>
    <row r="1162" spans="1:5" x14ac:dyDescent="0.3">
      <c r="A1162">
        <f t="shared" si="36"/>
        <v>2020</v>
      </c>
      <c r="B1162" s="59">
        <v>44007</v>
      </c>
      <c r="C1162" s="54">
        <v>260</v>
      </c>
      <c r="D1162" s="54">
        <v>417</v>
      </c>
      <c r="E1162">
        <f t="shared" si="37"/>
        <v>1.6038461538461539</v>
      </c>
    </row>
    <row r="1163" spans="1:5" x14ac:dyDescent="0.3">
      <c r="A1163">
        <f t="shared" si="36"/>
        <v>2020</v>
      </c>
      <c r="B1163" s="59">
        <v>44008</v>
      </c>
      <c r="C1163" s="54">
        <v>263</v>
      </c>
      <c r="D1163" s="54">
        <v>421.5</v>
      </c>
      <c r="E1163">
        <f t="shared" si="37"/>
        <v>1.602661596958175</v>
      </c>
    </row>
    <row r="1164" spans="1:5" x14ac:dyDescent="0.3">
      <c r="A1164">
        <f t="shared" si="36"/>
        <v>2020</v>
      </c>
      <c r="B1164" s="59">
        <v>44011</v>
      </c>
      <c r="C1164" s="54">
        <v>263</v>
      </c>
      <c r="D1164" s="54">
        <v>417.5</v>
      </c>
      <c r="E1164">
        <f t="shared" si="37"/>
        <v>1.5874524714828897</v>
      </c>
    </row>
    <row r="1165" spans="1:5" x14ac:dyDescent="0.3">
      <c r="A1165">
        <f t="shared" si="36"/>
        <v>2020</v>
      </c>
      <c r="B1165" s="59">
        <v>44012</v>
      </c>
      <c r="C1165" s="54">
        <v>264.5</v>
      </c>
      <c r="D1165" s="54">
        <v>417.5</v>
      </c>
      <c r="E1165">
        <f t="shared" si="37"/>
        <v>1.5784499054820416</v>
      </c>
    </row>
    <row r="1166" spans="1:5" x14ac:dyDescent="0.3">
      <c r="A1166">
        <f t="shared" si="36"/>
        <v>2020</v>
      </c>
      <c r="B1166" s="59">
        <v>44013</v>
      </c>
      <c r="C1166" s="54">
        <v>258.5</v>
      </c>
      <c r="D1166" s="54">
        <v>422</v>
      </c>
      <c r="E1166">
        <f t="shared" si="37"/>
        <v>1.632495164410058</v>
      </c>
    </row>
    <row r="1167" spans="1:5" x14ac:dyDescent="0.3">
      <c r="A1167">
        <f t="shared" si="36"/>
        <v>2020</v>
      </c>
      <c r="B1167" s="59">
        <v>44014</v>
      </c>
      <c r="C1167" s="54">
        <v>260</v>
      </c>
      <c r="D1167" s="54">
        <v>418.5</v>
      </c>
      <c r="E1167">
        <f t="shared" si="37"/>
        <v>1.6096153846153847</v>
      </c>
    </row>
    <row r="1168" spans="1:5" x14ac:dyDescent="0.3">
      <c r="A1168">
        <f t="shared" si="36"/>
        <v>2020</v>
      </c>
      <c r="B1168" s="59">
        <v>44015</v>
      </c>
      <c r="C1168" s="54">
        <v>265</v>
      </c>
      <c r="D1168" s="54">
        <v>419</v>
      </c>
      <c r="E1168">
        <f t="shared" si="37"/>
        <v>1.5811320754716982</v>
      </c>
    </row>
    <row r="1169" spans="1:5" x14ac:dyDescent="0.3">
      <c r="A1169">
        <f t="shared" si="36"/>
        <v>2020</v>
      </c>
      <c r="B1169" s="59">
        <v>44018</v>
      </c>
      <c r="C1169" s="54">
        <v>262.5</v>
      </c>
      <c r="D1169" s="54">
        <v>419.5</v>
      </c>
      <c r="E1169">
        <f t="shared" si="37"/>
        <v>1.598095238095238</v>
      </c>
    </row>
    <row r="1170" spans="1:5" x14ac:dyDescent="0.3">
      <c r="A1170">
        <f t="shared" si="36"/>
        <v>2020</v>
      </c>
      <c r="B1170" s="59">
        <v>44019</v>
      </c>
      <c r="C1170" s="54">
        <v>262.5</v>
      </c>
      <c r="D1170" s="54">
        <v>420.5</v>
      </c>
      <c r="E1170">
        <f t="shared" si="37"/>
        <v>1.6019047619047619</v>
      </c>
    </row>
    <row r="1171" spans="1:5" x14ac:dyDescent="0.3">
      <c r="A1171">
        <f t="shared" si="36"/>
        <v>2020</v>
      </c>
      <c r="B1171" s="59">
        <v>44020</v>
      </c>
      <c r="C1171" s="54">
        <v>265.5</v>
      </c>
      <c r="D1171" s="54">
        <v>415.5</v>
      </c>
      <c r="E1171">
        <f t="shared" si="37"/>
        <v>1.5649717514124293</v>
      </c>
    </row>
    <row r="1172" spans="1:5" x14ac:dyDescent="0.3">
      <c r="A1172">
        <f t="shared" si="36"/>
        <v>2020</v>
      </c>
      <c r="B1172" s="59">
        <v>44021</v>
      </c>
      <c r="C1172" s="54">
        <v>259</v>
      </c>
      <c r="D1172" s="54">
        <v>422.5</v>
      </c>
      <c r="E1172">
        <f t="shared" si="37"/>
        <v>1.6312741312741312</v>
      </c>
    </row>
    <row r="1173" spans="1:5" x14ac:dyDescent="0.3">
      <c r="A1173">
        <f t="shared" si="36"/>
        <v>2020</v>
      </c>
      <c r="B1173" s="59">
        <v>44022</v>
      </c>
      <c r="C1173" s="54">
        <v>262</v>
      </c>
      <c r="D1173" s="54">
        <v>418.5</v>
      </c>
      <c r="E1173">
        <f t="shared" si="37"/>
        <v>1.5973282442748091</v>
      </c>
    </row>
    <row r="1174" spans="1:5" x14ac:dyDescent="0.3">
      <c r="A1174">
        <f t="shared" si="36"/>
        <v>2020</v>
      </c>
      <c r="B1174" s="59">
        <v>44025</v>
      </c>
      <c r="C1174" s="54">
        <v>261</v>
      </c>
      <c r="D1174" s="54">
        <v>418.5</v>
      </c>
      <c r="E1174">
        <f t="shared" si="37"/>
        <v>1.603448275862069</v>
      </c>
    </row>
    <row r="1175" spans="1:5" x14ac:dyDescent="0.3">
      <c r="A1175">
        <f t="shared" si="36"/>
        <v>2020</v>
      </c>
      <c r="B1175" s="59">
        <v>44026</v>
      </c>
      <c r="C1175" s="54">
        <v>266.5</v>
      </c>
      <c r="D1175" s="54">
        <v>421.5</v>
      </c>
      <c r="E1175">
        <f t="shared" si="37"/>
        <v>1.5816135084427767</v>
      </c>
    </row>
    <row r="1176" spans="1:5" x14ac:dyDescent="0.3">
      <c r="A1176">
        <f t="shared" si="36"/>
        <v>2020</v>
      </c>
      <c r="B1176" s="59">
        <v>44027</v>
      </c>
      <c r="C1176" s="54">
        <v>263</v>
      </c>
      <c r="D1176" s="54">
        <v>423.5</v>
      </c>
      <c r="E1176">
        <f t="shared" si="37"/>
        <v>1.6102661596958174</v>
      </c>
    </row>
    <row r="1177" spans="1:5" x14ac:dyDescent="0.3">
      <c r="A1177">
        <f t="shared" si="36"/>
        <v>2020</v>
      </c>
      <c r="B1177" s="59">
        <v>44028</v>
      </c>
      <c r="C1177" s="54">
        <v>262</v>
      </c>
      <c r="D1177" s="54">
        <v>421</v>
      </c>
      <c r="E1177">
        <f t="shared" si="37"/>
        <v>1.6068702290076335</v>
      </c>
    </row>
    <row r="1178" spans="1:5" x14ac:dyDescent="0.3">
      <c r="A1178">
        <f t="shared" si="36"/>
        <v>2020</v>
      </c>
      <c r="B1178" s="59">
        <v>44029</v>
      </c>
      <c r="C1178" s="54">
        <v>262.5</v>
      </c>
      <c r="D1178" s="54">
        <v>420.5</v>
      </c>
      <c r="E1178">
        <f t="shared" si="37"/>
        <v>1.6019047619047619</v>
      </c>
    </row>
    <row r="1179" spans="1:5" x14ac:dyDescent="0.3">
      <c r="A1179">
        <f t="shared" si="36"/>
        <v>2020</v>
      </c>
      <c r="B1179" s="59">
        <v>44032</v>
      </c>
      <c r="C1179" s="54">
        <v>271.5</v>
      </c>
      <c r="D1179" s="54">
        <v>429.5</v>
      </c>
      <c r="E1179">
        <f t="shared" si="37"/>
        <v>1.5819521178637201</v>
      </c>
    </row>
    <row r="1180" spans="1:5" x14ac:dyDescent="0.3">
      <c r="A1180">
        <f t="shared" si="36"/>
        <v>2020</v>
      </c>
      <c r="B1180" s="59">
        <v>44033</v>
      </c>
      <c r="C1180" s="54">
        <v>265.5</v>
      </c>
      <c r="D1180" s="54">
        <v>429</v>
      </c>
      <c r="E1180">
        <f t="shared" si="37"/>
        <v>1.615819209039548</v>
      </c>
    </row>
    <row r="1181" spans="1:5" x14ac:dyDescent="0.3">
      <c r="A1181">
        <f t="shared" si="36"/>
        <v>2020</v>
      </c>
      <c r="B1181" s="59">
        <v>44034</v>
      </c>
      <c r="C1181" s="54">
        <v>270</v>
      </c>
      <c r="D1181" s="54">
        <v>435.5</v>
      </c>
      <c r="E1181">
        <f t="shared" si="37"/>
        <v>1.6129629629629629</v>
      </c>
    </row>
    <row r="1182" spans="1:5" x14ac:dyDescent="0.3">
      <c r="A1182">
        <f t="shared" si="36"/>
        <v>2020</v>
      </c>
      <c r="B1182" s="59">
        <v>44035</v>
      </c>
      <c r="C1182" s="54">
        <v>280</v>
      </c>
      <c r="D1182" s="54">
        <v>439.5</v>
      </c>
      <c r="E1182">
        <f t="shared" si="37"/>
        <v>1.5696428571428571</v>
      </c>
    </row>
    <row r="1183" spans="1:5" x14ac:dyDescent="0.3">
      <c r="A1183">
        <f t="shared" si="36"/>
        <v>2020</v>
      </c>
      <c r="B1183" s="59">
        <v>44036</v>
      </c>
      <c r="C1183" s="54">
        <v>279</v>
      </c>
      <c r="D1183" s="54">
        <v>439</v>
      </c>
      <c r="E1183">
        <f t="shared" si="37"/>
        <v>1.5734767025089607</v>
      </c>
    </row>
    <row r="1184" spans="1:5" x14ac:dyDescent="0.3">
      <c r="A1184">
        <f t="shared" si="36"/>
        <v>2020</v>
      </c>
      <c r="B1184" s="59">
        <v>44039</v>
      </c>
      <c r="C1184" s="54">
        <v>277</v>
      </c>
      <c r="D1184" s="54">
        <v>439</v>
      </c>
      <c r="E1184">
        <f t="shared" si="37"/>
        <v>1.5848375451263539</v>
      </c>
    </row>
    <row r="1185" spans="1:5" x14ac:dyDescent="0.3">
      <c r="A1185">
        <f t="shared" si="36"/>
        <v>2020</v>
      </c>
      <c r="B1185" s="59">
        <v>44040</v>
      </c>
      <c r="C1185" s="54">
        <v>275</v>
      </c>
      <c r="D1185" s="54">
        <v>439</v>
      </c>
      <c r="E1185">
        <f t="shared" si="37"/>
        <v>1.5963636363636364</v>
      </c>
    </row>
    <row r="1186" spans="1:5" x14ac:dyDescent="0.3">
      <c r="A1186">
        <f t="shared" si="36"/>
        <v>2020</v>
      </c>
      <c r="B1186" s="59">
        <v>44041</v>
      </c>
      <c r="C1186" s="54">
        <v>280</v>
      </c>
      <c r="D1186" s="54">
        <v>438.5</v>
      </c>
      <c r="E1186">
        <f t="shared" si="37"/>
        <v>1.5660714285714286</v>
      </c>
    </row>
    <row r="1187" spans="1:5" x14ac:dyDescent="0.3">
      <c r="A1187">
        <f t="shared" si="36"/>
        <v>2020</v>
      </c>
      <c r="B1187" s="59">
        <v>44042</v>
      </c>
      <c r="C1187" s="54">
        <v>280.5</v>
      </c>
      <c r="D1187" s="54">
        <v>442</v>
      </c>
      <c r="E1187">
        <f t="shared" si="37"/>
        <v>1.5757575757575757</v>
      </c>
    </row>
    <row r="1188" spans="1:5" x14ac:dyDescent="0.3">
      <c r="A1188">
        <f t="shared" si="36"/>
        <v>2020</v>
      </c>
      <c r="B1188" s="59">
        <v>44043</v>
      </c>
      <c r="C1188" s="54">
        <v>285</v>
      </c>
      <c r="D1188" s="54">
        <v>451</v>
      </c>
      <c r="E1188">
        <f t="shared" si="37"/>
        <v>1.5824561403508772</v>
      </c>
    </row>
    <row r="1189" spans="1:5" x14ac:dyDescent="0.3">
      <c r="A1189">
        <f t="shared" si="36"/>
        <v>2020</v>
      </c>
      <c r="B1189" s="59">
        <v>44046</v>
      </c>
      <c r="C1189" s="54">
        <v>283</v>
      </c>
      <c r="D1189" s="54">
        <v>449.5</v>
      </c>
      <c r="E1189">
        <f t="shared" si="37"/>
        <v>1.588339222614841</v>
      </c>
    </row>
    <row r="1190" spans="1:5" x14ac:dyDescent="0.3">
      <c r="A1190">
        <f t="shared" si="36"/>
        <v>2020</v>
      </c>
      <c r="B1190" s="59">
        <v>44047</v>
      </c>
      <c r="C1190" s="54">
        <v>280</v>
      </c>
      <c r="D1190" s="54">
        <v>443</v>
      </c>
      <c r="E1190">
        <f t="shared" si="37"/>
        <v>1.5821428571428571</v>
      </c>
    </row>
    <row r="1191" spans="1:5" x14ac:dyDescent="0.3">
      <c r="A1191">
        <f t="shared" si="36"/>
        <v>2020</v>
      </c>
      <c r="B1191" s="59">
        <v>44048</v>
      </c>
      <c r="C1191" s="54">
        <v>284</v>
      </c>
      <c r="D1191" s="54">
        <v>447.5</v>
      </c>
      <c r="E1191">
        <f t="shared" si="37"/>
        <v>1.5757042253521127</v>
      </c>
    </row>
    <row r="1192" spans="1:5" x14ac:dyDescent="0.3">
      <c r="A1192">
        <f t="shared" si="36"/>
        <v>2020</v>
      </c>
      <c r="B1192" s="59">
        <v>44049</v>
      </c>
      <c r="C1192" s="54">
        <v>285.5</v>
      </c>
      <c r="D1192" s="54">
        <v>451.5</v>
      </c>
      <c r="E1192">
        <f t="shared" si="37"/>
        <v>1.5814360770577933</v>
      </c>
    </row>
    <row r="1193" spans="1:5" x14ac:dyDescent="0.3">
      <c r="A1193">
        <f t="shared" si="36"/>
        <v>2020</v>
      </c>
      <c r="B1193" s="59">
        <v>44050</v>
      </c>
      <c r="C1193" s="54">
        <v>283.5</v>
      </c>
      <c r="D1193" s="54">
        <v>446.5</v>
      </c>
      <c r="E1193">
        <f t="shared" si="37"/>
        <v>1.5749559082892417</v>
      </c>
    </row>
    <row r="1194" spans="1:5" x14ac:dyDescent="0.3">
      <c r="A1194">
        <f t="shared" si="36"/>
        <v>2020</v>
      </c>
      <c r="B1194" s="59">
        <v>44053</v>
      </c>
      <c r="C1194" s="54">
        <v>278</v>
      </c>
      <c r="D1194" s="54">
        <v>444.5</v>
      </c>
      <c r="E1194">
        <f t="shared" si="37"/>
        <v>1.5989208633093526</v>
      </c>
    </row>
    <row r="1195" spans="1:5" x14ac:dyDescent="0.3">
      <c r="A1195">
        <f t="shared" si="36"/>
        <v>2020</v>
      </c>
      <c r="B1195" s="59">
        <v>44054</v>
      </c>
      <c r="C1195" s="54">
        <v>283.5</v>
      </c>
      <c r="D1195" s="54">
        <v>440.5</v>
      </c>
      <c r="E1195">
        <f t="shared" si="37"/>
        <v>1.5537918871252205</v>
      </c>
    </row>
    <row r="1196" spans="1:5" x14ac:dyDescent="0.3">
      <c r="A1196">
        <f t="shared" si="36"/>
        <v>2020</v>
      </c>
      <c r="B1196" s="59">
        <v>44055</v>
      </c>
      <c r="C1196" s="54">
        <v>283.5</v>
      </c>
      <c r="D1196" s="54">
        <v>441.5</v>
      </c>
      <c r="E1196">
        <f t="shared" si="37"/>
        <v>1.5573192239858906</v>
      </c>
    </row>
    <row r="1197" spans="1:5" x14ac:dyDescent="0.3">
      <c r="A1197">
        <f t="shared" si="36"/>
        <v>2020</v>
      </c>
      <c r="B1197" s="59">
        <v>44056</v>
      </c>
      <c r="C1197" s="54">
        <v>283</v>
      </c>
      <c r="D1197" s="54">
        <v>442</v>
      </c>
      <c r="E1197">
        <f t="shared" si="37"/>
        <v>1.5618374558303887</v>
      </c>
    </row>
    <row r="1198" spans="1:5" x14ac:dyDescent="0.3">
      <c r="A1198">
        <f t="shared" si="36"/>
        <v>2020</v>
      </c>
      <c r="B1198" s="59">
        <v>44057</v>
      </c>
      <c r="C1198" s="54">
        <v>280</v>
      </c>
      <c r="D1198" s="54">
        <v>441</v>
      </c>
      <c r="E1198">
        <f t="shared" si="37"/>
        <v>1.575</v>
      </c>
    </row>
    <row r="1199" spans="1:5" x14ac:dyDescent="0.3">
      <c r="A1199">
        <f t="shared" si="36"/>
        <v>2020</v>
      </c>
      <c r="B1199" s="59">
        <v>44060</v>
      </c>
      <c r="C1199" s="54">
        <v>283</v>
      </c>
      <c r="D1199" s="54">
        <v>442</v>
      </c>
      <c r="E1199">
        <f t="shared" si="37"/>
        <v>1.5618374558303887</v>
      </c>
    </row>
    <row r="1200" spans="1:5" x14ac:dyDescent="0.3">
      <c r="A1200">
        <f t="shared" si="36"/>
        <v>2020</v>
      </c>
      <c r="B1200" s="59">
        <v>44061</v>
      </c>
      <c r="C1200" s="54">
        <v>284</v>
      </c>
      <c r="D1200" s="54">
        <v>445.5</v>
      </c>
      <c r="E1200">
        <f t="shared" si="37"/>
        <v>1.568661971830986</v>
      </c>
    </row>
    <row r="1201" spans="1:5" x14ac:dyDescent="0.3">
      <c r="A1201">
        <f t="shared" si="36"/>
        <v>2020</v>
      </c>
      <c r="B1201" s="59">
        <v>44062</v>
      </c>
      <c r="C1201" s="54">
        <v>289</v>
      </c>
      <c r="D1201" s="54">
        <v>445</v>
      </c>
      <c r="E1201">
        <f t="shared" si="37"/>
        <v>1.5397923875432526</v>
      </c>
    </row>
    <row r="1202" spans="1:5" x14ac:dyDescent="0.3">
      <c r="A1202">
        <f t="shared" si="36"/>
        <v>2020</v>
      </c>
      <c r="B1202" s="59">
        <v>44063</v>
      </c>
      <c r="C1202" s="54">
        <v>287</v>
      </c>
      <c r="D1202" s="54">
        <v>447.5</v>
      </c>
      <c r="E1202">
        <f t="shared" si="37"/>
        <v>1.5592334494773519</v>
      </c>
    </row>
    <row r="1203" spans="1:5" x14ac:dyDescent="0.3">
      <c r="A1203">
        <f t="shared" si="36"/>
        <v>2020</v>
      </c>
      <c r="B1203" s="59">
        <v>44064</v>
      </c>
      <c r="C1203" s="54">
        <v>286.5</v>
      </c>
      <c r="D1203" s="54">
        <v>441.5</v>
      </c>
      <c r="E1203">
        <f t="shared" si="37"/>
        <v>1.5410122164048865</v>
      </c>
    </row>
    <row r="1204" spans="1:5" x14ac:dyDescent="0.3">
      <c r="A1204">
        <f t="shared" si="36"/>
        <v>2020</v>
      </c>
      <c r="B1204" s="59">
        <v>44067</v>
      </c>
      <c r="C1204" s="54">
        <v>285.5</v>
      </c>
      <c r="D1204" s="54">
        <v>444.5</v>
      </c>
      <c r="E1204">
        <f t="shared" si="37"/>
        <v>1.5569176882661997</v>
      </c>
    </row>
    <row r="1205" spans="1:5" x14ac:dyDescent="0.3">
      <c r="A1205">
        <f t="shared" si="36"/>
        <v>2020</v>
      </c>
      <c r="B1205" s="59">
        <v>44068</v>
      </c>
      <c r="C1205" s="54">
        <v>289</v>
      </c>
      <c r="D1205" s="54">
        <v>447.5</v>
      </c>
      <c r="E1205">
        <f t="shared" si="37"/>
        <v>1.5484429065743945</v>
      </c>
    </row>
    <row r="1206" spans="1:5" x14ac:dyDescent="0.3">
      <c r="A1206">
        <f t="shared" si="36"/>
        <v>2020</v>
      </c>
      <c r="B1206" s="59">
        <v>44069</v>
      </c>
      <c r="C1206" s="54">
        <v>293.5</v>
      </c>
      <c r="D1206" s="54">
        <v>451</v>
      </c>
      <c r="E1206">
        <f t="shared" si="37"/>
        <v>1.536626916524702</v>
      </c>
    </row>
    <row r="1207" spans="1:5" x14ac:dyDescent="0.3">
      <c r="A1207">
        <f t="shared" si="36"/>
        <v>2020</v>
      </c>
      <c r="B1207" s="59">
        <v>44070</v>
      </c>
      <c r="C1207" s="54">
        <v>291.5</v>
      </c>
      <c r="D1207" s="54">
        <v>451.5</v>
      </c>
      <c r="E1207">
        <f t="shared" si="37"/>
        <v>1.548885077186964</v>
      </c>
    </row>
    <row r="1208" spans="1:5" x14ac:dyDescent="0.3">
      <c r="A1208">
        <f t="shared" si="36"/>
        <v>2020</v>
      </c>
      <c r="B1208" s="59">
        <v>44071</v>
      </c>
      <c r="C1208" s="54">
        <v>296</v>
      </c>
      <c r="D1208" s="54">
        <v>456</v>
      </c>
      <c r="E1208">
        <f t="shared" si="37"/>
        <v>1.5405405405405406</v>
      </c>
    </row>
    <row r="1209" spans="1:5" x14ac:dyDescent="0.3">
      <c r="A1209">
        <f t="shared" si="36"/>
        <v>2020</v>
      </c>
      <c r="B1209" s="59">
        <v>44075</v>
      </c>
      <c r="C1209" s="54">
        <v>294</v>
      </c>
      <c r="D1209" s="54">
        <v>460</v>
      </c>
      <c r="E1209">
        <f t="shared" si="37"/>
        <v>1.564625850340136</v>
      </c>
    </row>
    <row r="1210" spans="1:5" x14ac:dyDescent="0.3">
      <c r="A1210">
        <f t="shared" si="36"/>
        <v>2020</v>
      </c>
      <c r="B1210" s="59">
        <v>44076</v>
      </c>
      <c r="C1210" s="54">
        <v>298.5</v>
      </c>
      <c r="D1210" s="54">
        <v>460</v>
      </c>
      <c r="E1210">
        <f t="shared" si="37"/>
        <v>1.5410385259631492</v>
      </c>
    </row>
    <row r="1211" spans="1:5" x14ac:dyDescent="0.3">
      <c r="A1211">
        <f t="shared" si="36"/>
        <v>2020</v>
      </c>
      <c r="B1211" s="59">
        <v>44077</v>
      </c>
      <c r="C1211" s="54">
        <v>306.5</v>
      </c>
      <c r="D1211" s="54">
        <v>465.5</v>
      </c>
      <c r="E1211">
        <f t="shared" si="37"/>
        <v>1.5187601957585644</v>
      </c>
    </row>
    <row r="1212" spans="1:5" x14ac:dyDescent="0.3">
      <c r="A1212">
        <f t="shared" si="36"/>
        <v>2020</v>
      </c>
      <c r="B1212" s="59">
        <v>44078</v>
      </c>
      <c r="C1212" s="54">
        <v>296.5</v>
      </c>
      <c r="D1212" s="54">
        <v>460.5</v>
      </c>
      <c r="E1212">
        <f t="shared" si="37"/>
        <v>1.5531197301854975</v>
      </c>
    </row>
    <row r="1213" spans="1:5" x14ac:dyDescent="0.3">
      <c r="A1213">
        <f t="shared" si="36"/>
        <v>2020</v>
      </c>
      <c r="B1213" s="59">
        <v>44081</v>
      </c>
      <c r="C1213" s="54">
        <v>302.5</v>
      </c>
      <c r="D1213" s="54">
        <v>464.5</v>
      </c>
      <c r="E1213">
        <f t="shared" si="37"/>
        <v>1.5355371900826447</v>
      </c>
    </row>
    <row r="1214" spans="1:5" x14ac:dyDescent="0.3">
      <c r="A1214">
        <f t="shared" si="36"/>
        <v>2020</v>
      </c>
      <c r="B1214" s="59">
        <v>44082</v>
      </c>
      <c r="C1214" s="54">
        <v>305.5</v>
      </c>
      <c r="D1214" s="54">
        <v>466</v>
      </c>
      <c r="E1214">
        <f t="shared" si="37"/>
        <v>1.525368248772504</v>
      </c>
    </row>
    <row r="1215" spans="1:5" x14ac:dyDescent="0.3">
      <c r="A1215">
        <f t="shared" si="36"/>
        <v>2020</v>
      </c>
      <c r="B1215" s="59">
        <v>44083</v>
      </c>
      <c r="C1215" s="54">
        <v>300.5</v>
      </c>
      <c r="D1215" s="54">
        <v>458.5</v>
      </c>
      <c r="E1215">
        <f t="shared" si="37"/>
        <v>1.5257903494176372</v>
      </c>
    </row>
    <row r="1216" spans="1:5" x14ac:dyDescent="0.3">
      <c r="A1216">
        <f t="shared" si="36"/>
        <v>2020</v>
      </c>
      <c r="B1216" s="59">
        <v>44084</v>
      </c>
      <c r="C1216" s="54">
        <v>300.5</v>
      </c>
      <c r="D1216" s="54">
        <v>458</v>
      </c>
      <c r="E1216">
        <f t="shared" si="37"/>
        <v>1.5241264559068219</v>
      </c>
    </row>
    <row r="1217" spans="1:5" x14ac:dyDescent="0.3">
      <c r="A1217">
        <f t="shared" si="36"/>
        <v>2020</v>
      </c>
      <c r="B1217" s="59">
        <v>44085</v>
      </c>
      <c r="C1217" s="54">
        <v>301</v>
      </c>
      <c r="D1217" s="54">
        <v>461.5</v>
      </c>
      <c r="E1217">
        <f t="shared" si="37"/>
        <v>1.5332225913621262</v>
      </c>
    </row>
    <row r="1218" spans="1:5" x14ac:dyDescent="0.3">
      <c r="A1218">
        <f t="shared" si="36"/>
        <v>2020</v>
      </c>
      <c r="B1218" s="59">
        <v>44088</v>
      </c>
      <c r="C1218" s="54">
        <v>295.19</v>
      </c>
      <c r="D1218" s="54">
        <v>459</v>
      </c>
      <c r="E1218">
        <f t="shared" si="37"/>
        <v>1.5549307225854534</v>
      </c>
    </row>
    <row r="1219" spans="1:5" x14ac:dyDescent="0.3">
      <c r="A1219">
        <f t="shared" si="36"/>
        <v>2020</v>
      </c>
      <c r="B1219" s="59">
        <v>44089</v>
      </c>
      <c r="C1219" s="54">
        <v>297.5</v>
      </c>
      <c r="D1219" s="54">
        <v>455</v>
      </c>
      <c r="E1219">
        <f t="shared" si="37"/>
        <v>1.5294117647058822</v>
      </c>
    </row>
    <row r="1220" spans="1:5" x14ac:dyDescent="0.3">
      <c r="A1220">
        <f t="shared" ref="A1220:A1283" si="38">YEAR(B1220)</f>
        <v>2020</v>
      </c>
      <c r="B1220" s="59">
        <v>44090</v>
      </c>
      <c r="C1220" s="54">
        <v>296.5</v>
      </c>
      <c r="D1220" s="54">
        <v>450.5</v>
      </c>
      <c r="E1220">
        <f t="shared" ref="E1220:E1283" si="39">D1220/C1220</f>
        <v>1.5193929173693086</v>
      </c>
    </row>
    <row r="1221" spans="1:5" x14ac:dyDescent="0.3">
      <c r="A1221">
        <f t="shared" si="38"/>
        <v>2020</v>
      </c>
      <c r="B1221" s="59">
        <v>44091</v>
      </c>
      <c r="C1221" s="54">
        <v>296.5</v>
      </c>
      <c r="D1221" s="54">
        <v>452</v>
      </c>
      <c r="E1221">
        <f t="shared" si="39"/>
        <v>1.5244519392917368</v>
      </c>
    </row>
    <row r="1222" spans="1:5" x14ac:dyDescent="0.3">
      <c r="A1222">
        <f t="shared" si="38"/>
        <v>2020</v>
      </c>
      <c r="B1222" s="59">
        <v>44092</v>
      </c>
      <c r="C1222" s="54">
        <v>298</v>
      </c>
      <c r="D1222" s="54">
        <v>456</v>
      </c>
      <c r="E1222">
        <f t="shared" si="39"/>
        <v>1.5302013422818792</v>
      </c>
    </row>
    <row r="1223" spans="1:5" x14ac:dyDescent="0.3">
      <c r="A1223">
        <f t="shared" si="38"/>
        <v>2020</v>
      </c>
      <c r="B1223" s="59">
        <v>44095</v>
      </c>
      <c r="C1223" s="54">
        <v>295.5</v>
      </c>
      <c r="D1223" s="54">
        <v>452.5</v>
      </c>
      <c r="E1223">
        <f t="shared" si="39"/>
        <v>1.5313028764805414</v>
      </c>
    </row>
    <row r="1224" spans="1:5" x14ac:dyDescent="0.3">
      <c r="A1224">
        <f t="shared" si="38"/>
        <v>2020</v>
      </c>
      <c r="B1224" s="59">
        <v>44096</v>
      </c>
      <c r="C1224" s="54">
        <v>294</v>
      </c>
      <c r="D1224" s="54">
        <v>450</v>
      </c>
      <c r="E1224">
        <f t="shared" si="39"/>
        <v>1.5306122448979591</v>
      </c>
    </row>
    <row r="1225" spans="1:5" x14ac:dyDescent="0.3">
      <c r="A1225">
        <f t="shared" si="38"/>
        <v>2020</v>
      </c>
      <c r="B1225" s="59">
        <v>44097</v>
      </c>
      <c r="C1225" s="54">
        <v>291</v>
      </c>
      <c r="D1225" s="54">
        <v>448.5</v>
      </c>
      <c r="E1225">
        <f t="shared" si="39"/>
        <v>1.5412371134020619</v>
      </c>
    </row>
    <row r="1226" spans="1:5" x14ac:dyDescent="0.3">
      <c r="A1226">
        <f t="shared" si="38"/>
        <v>2020</v>
      </c>
      <c r="B1226" s="59">
        <v>44098</v>
      </c>
      <c r="C1226" s="54">
        <v>291</v>
      </c>
      <c r="D1226" s="54">
        <v>448.5</v>
      </c>
      <c r="E1226">
        <f t="shared" si="39"/>
        <v>1.5412371134020619</v>
      </c>
    </row>
    <row r="1227" spans="1:5" x14ac:dyDescent="0.3">
      <c r="A1227">
        <f t="shared" si="38"/>
        <v>2020</v>
      </c>
      <c r="B1227" s="59">
        <v>44099</v>
      </c>
      <c r="C1227" s="54">
        <v>292</v>
      </c>
      <c r="D1227" s="54">
        <v>449</v>
      </c>
      <c r="E1227">
        <f t="shared" si="39"/>
        <v>1.5376712328767124</v>
      </c>
    </row>
    <row r="1228" spans="1:5" x14ac:dyDescent="0.3">
      <c r="A1228">
        <f t="shared" si="38"/>
        <v>2020</v>
      </c>
      <c r="B1228" s="59">
        <v>44102</v>
      </c>
      <c r="C1228" s="54">
        <v>287.5</v>
      </c>
      <c r="D1228" s="54">
        <v>453.5</v>
      </c>
      <c r="E1228">
        <f t="shared" si="39"/>
        <v>1.577391304347826</v>
      </c>
    </row>
    <row r="1229" spans="1:5" x14ac:dyDescent="0.3">
      <c r="A1229">
        <f t="shared" si="38"/>
        <v>2020</v>
      </c>
      <c r="B1229" s="59">
        <v>44103</v>
      </c>
      <c r="C1229" s="54">
        <v>290.5</v>
      </c>
      <c r="D1229" s="54">
        <v>447.5</v>
      </c>
      <c r="E1229">
        <f t="shared" si="39"/>
        <v>1.540447504302926</v>
      </c>
    </row>
    <row r="1230" spans="1:5" x14ac:dyDescent="0.3">
      <c r="A1230">
        <f t="shared" si="38"/>
        <v>2020</v>
      </c>
      <c r="B1230" s="59">
        <v>44104</v>
      </c>
      <c r="C1230" s="54">
        <v>293</v>
      </c>
      <c r="D1230" s="54">
        <v>447</v>
      </c>
      <c r="E1230">
        <f t="shared" si="39"/>
        <v>1.5255972696245734</v>
      </c>
    </row>
    <row r="1231" spans="1:5" x14ac:dyDescent="0.3">
      <c r="A1231">
        <f t="shared" si="38"/>
        <v>2020</v>
      </c>
      <c r="B1231" s="59">
        <v>44105</v>
      </c>
      <c r="C1231" s="54">
        <v>290.5</v>
      </c>
      <c r="D1231" s="54">
        <v>452</v>
      </c>
      <c r="E1231">
        <f t="shared" si="39"/>
        <v>1.5559380378657488</v>
      </c>
    </row>
    <row r="1232" spans="1:5" x14ac:dyDescent="0.3">
      <c r="A1232">
        <f t="shared" si="38"/>
        <v>2020</v>
      </c>
      <c r="B1232" s="59">
        <v>44106</v>
      </c>
      <c r="C1232" s="54">
        <v>284.5</v>
      </c>
      <c r="D1232" s="54">
        <v>446</v>
      </c>
      <c r="E1232">
        <f t="shared" si="39"/>
        <v>1.5676625659050967</v>
      </c>
    </row>
    <row r="1233" spans="1:5" x14ac:dyDescent="0.3">
      <c r="A1233">
        <f t="shared" si="38"/>
        <v>2020</v>
      </c>
      <c r="B1233" s="59">
        <v>44109</v>
      </c>
      <c r="C1233" s="54">
        <v>285.5</v>
      </c>
      <c r="D1233" s="54">
        <v>447.5</v>
      </c>
      <c r="E1233">
        <f t="shared" si="39"/>
        <v>1.5674255691768826</v>
      </c>
    </row>
    <row r="1234" spans="1:5" x14ac:dyDescent="0.3">
      <c r="A1234">
        <f t="shared" si="38"/>
        <v>2020</v>
      </c>
      <c r="B1234" s="59">
        <v>44110</v>
      </c>
      <c r="C1234" s="54">
        <v>290</v>
      </c>
      <c r="D1234" s="54">
        <v>448</v>
      </c>
      <c r="E1234">
        <f t="shared" si="39"/>
        <v>1.5448275862068965</v>
      </c>
    </row>
    <row r="1235" spans="1:5" x14ac:dyDescent="0.3">
      <c r="A1235">
        <f t="shared" si="38"/>
        <v>2020</v>
      </c>
      <c r="B1235" s="59">
        <v>44111</v>
      </c>
      <c r="C1235" s="54">
        <v>289</v>
      </c>
      <c r="D1235" s="54">
        <v>449.5</v>
      </c>
      <c r="E1235">
        <f t="shared" si="39"/>
        <v>1.5553633217993079</v>
      </c>
    </row>
    <row r="1236" spans="1:5" x14ac:dyDescent="0.3">
      <c r="A1236">
        <f t="shared" si="38"/>
        <v>2020</v>
      </c>
      <c r="B1236" s="59">
        <v>44112</v>
      </c>
      <c r="C1236" s="54">
        <v>286.5</v>
      </c>
      <c r="D1236" s="54">
        <v>446.5</v>
      </c>
      <c r="E1236">
        <f t="shared" si="39"/>
        <v>1.5584642233856894</v>
      </c>
    </row>
    <row r="1237" spans="1:5" x14ac:dyDescent="0.3">
      <c r="A1237">
        <f t="shared" si="38"/>
        <v>2020</v>
      </c>
      <c r="B1237" s="59">
        <v>44113</v>
      </c>
      <c r="C1237" s="54">
        <v>292.5</v>
      </c>
      <c r="D1237" s="54">
        <v>452.5</v>
      </c>
      <c r="E1237">
        <f t="shared" si="39"/>
        <v>1.5470085470085471</v>
      </c>
    </row>
    <row r="1238" spans="1:5" x14ac:dyDescent="0.3">
      <c r="A1238">
        <f t="shared" si="38"/>
        <v>2020</v>
      </c>
      <c r="B1238" s="59">
        <v>44116</v>
      </c>
      <c r="C1238" s="54">
        <v>295</v>
      </c>
      <c r="D1238" s="54">
        <v>455</v>
      </c>
      <c r="E1238">
        <f t="shared" si="39"/>
        <v>1.5423728813559323</v>
      </c>
    </row>
    <row r="1239" spans="1:5" x14ac:dyDescent="0.3">
      <c r="A1239">
        <f t="shared" si="38"/>
        <v>2020</v>
      </c>
      <c r="B1239" s="59">
        <v>44117</v>
      </c>
      <c r="C1239" s="54">
        <v>294</v>
      </c>
      <c r="D1239" s="54">
        <v>453</v>
      </c>
      <c r="E1239">
        <f t="shared" si="39"/>
        <v>1.5408163265306123</v>
      </c>
    </row>
    <row r="1240" spans="1:5" x14ac:dyDescent="0.3">
      <c r="A1240">
        <f t="shared" si="38"/>
        <v>2020</v>
      </c>
      <c r="B1240" s="59">
        <v>44118</v>
      </c>
      <c r="C1240" s="54">
        <v>295</v>
      </c>
      <c r="D1240" s="54">
        <v>455</v>
      </c>
      <c r="E1240">
        <f t="shared" si="39"/>
        <v>1.5423728813559323</v>
      </c>
    </row>
    <row r="1241" spans="1:5" x14ac:dyDescent="0.3">
      <c r="A1241">
        <f t="shared" si="38"/>
        <v>2020</v>
      </c>
      <c r="B1241" s="59">
        <v>44119</v>
      </c>
      <c r="C1241" s="54">
        <v>293</v>
      </c>
      <c r="D1241" s="54">
        <v>454.5</v>
      </c>
      <c r="E1241">
        <f t="shared" si="39"/>
        <v>1.5511945392491469</v>
      </c>
    </row>
    <row r="1242" spans="1:5" x14ac:dyDescent="0.3">
      <c r="A1242">
        <f t="shared" si="38"/>
        <v>2020</v>
      </c>
      <c r="B1242" s="59">
        <v>44120</v>
      </c>
      <c r="C1242" s="54">
        <v>296</v>
      </c>
      <c r="D1242" s="54">
        <v>454</v>
      </c>
      <c r="E1242">
        <f t="shared" si="39"/>
        <v>1.5337837837837838</v>
      </c>
    </row>
    <row r="1243" spans="1:5" x14ac:dyDescent="0.3">
      <c r="A1243">
        <f t="shared" si="38"/>
        <v>2020</v>
      </c>
      <c r="B1243" s="59">
        <v>44123</v>
      </c>
      <c r="C1243" s="54">
        <v>297.5</v>
      </c>
      <c r="D1243" s="54">
        <v>456</v>
      </c>
      <c r="E1243">
        <f t="shared" si="39"/>
        <v>1.5327731092436976</v>
      </c>
    </row>
    <row r="1244" spans="1:5" x14ac:dyDescent="0.3">
      <c r="A1244">
        <f t="shared" si="38"/>
        <v>2020</v>
      </c>
      <c r="B1244" s="59">
        <v>44124</v>
      </c>
      <c r="C1244" s="54">
        <v>299.5</v>
      </c>
      <c r="D1244" s="54">
        <v>459</v>
      </c>
      <c r="E1244">
        <f t="shared" si="39"/>
        <v>1.5325542570951587</v>
      </c>
    </row>
    <row r="1245" spans="1:5" x14ac:dyDescent="0.3">
      <c r="A1245">
        <f t="shared" si="38"/>
        <v>2020</v>
      </c>
      <c r="B1245" s="59">
        <v>44125</v>
      </c>
      <c r="C1245" s="54">
        <v>303.5</v>
      </c>
      <c r="D1245" s="54">
        <v>462.5</v>
      </c>
      <c r="E1245">
        <f t="shared" si="39"/>
        <v>1.5238879736408566</v>
      </c>
    </row>
    <row r="1246" spans="1:5" x14ac:dyDescent="0.3">
      <c r="A1246">
        <f t="shared" si="38"/>
        <v>2020</v>
      </c>
      <c r="B1246" s="59">
        <v>44126</v>
      </c>
      <c r="C1246" s="54">
        <v>305</v>
      </c>
      <c r="D1246" s="54">
        <v>463.5</v>
      </c>
      <c r="E1246">
        <f t="shared" si="39"/>
        <v>1.519672131147541</v>
      </c>
    </row>
    <row r="1247" spans="1:5" x14ac:dyDescent="0.3">
      <c r="A1247">
        <f t="shared" si="38"/>
        <v>2020</v>
      </c>
      <c r="B1247" s="59">
        <v>44127</v>
      </c>
      <c r="C1247" s="54">
        <v>305</v>
      </c>
      <c r="D1247" s="54">
        <v>468.5</v>
      </c>
      <c r="E1247">
        <f t="shared" si="39"/>
        <v>1.5360655737704918</v>
      </c>
    </row>
    <row r="1248" spans="1:5" x14ac:dyDescent="0.3">
      <c r="A1248">
        <f t="shared" si="38"/>
        <v>2020</v>
      </c>
      <c r="B1248" s="59">
        <v>44130</v>
      </c>
      <c r="C1248" s="54">
        <v>303</v>
      </c>
      <c r="D1248" s="54">
        <v>461</v>
      </c>
      <c r="E1248">
        <f t="shared" si="39"/>
        <v>1.5214521452145215</v>
      </c>
    </row>
    <row r="1249" spans="1:5" x14ac:dyDescent="0.3">
      <c r="A1249">
        <f t="shared" si="38"/>
        <v>2020</v>
      </c>
      <c r="B1249" s="59">
        <v>44131</v>
      </c>
      <c r="C1249" s="54">
        <v>302</v>
      </c>
      <c r="D1249" s="54">
        <v>458</v>
      </c>
      <c r="E1249">
        <f t="shared" si="39"/>
        <v>1.5165562913907285</v>
      </c>
    </row>
    <row r="1250" spans="1:5" x14ac:dyDescent="0.3">
      <c r="A1250">
        <f t="shared" si="38"/>
        <v>2020</v>
      </c>
      <c r="B1250" s="59">
        <v>44132</v>
      </c>
      <c r="C1250" s="54">
        <v>302</v>
      </c>
      <c r="D1250" s="54">
        <v>462</v>
      </c>
      <c r="E1250">
        <f t="shared" si="39"/>
        <v>1.5298013245033113</v>
      </c>
    </row>
    <row r="1251" spans="1:5" x14ac:dyDescent="0.3">
      <c r="A1251">
        <f t="shared" si="38"/>
        <v>2020</v>
      </c>
      <c r="B1251" s="59">
        <v>44133</v>
      </c>
      <c r="C1251" s="54">
        <v>303</v>
      </c>
      <c r="D1251" s="54">
        <v>460.5</v>
      </c>
      <c r="E1251">
        <f t="shared" si="39"/>
        <v>1.5198019801980198</v>
      </c>
    </row>
    <row r="1252" spans="1:5" x14ac:dyDescent="0.3">
      <c r="A1252">
        <f t="shared" si="38"/>
        <v>2020</v>
      </c>
      <c r="B1252" s="59">
        <v>44134</v>
      </c>
      <c r="C1252" s="54">
        <v>304</v>
      </c>
      <c r="D1252" s="54">
        <v>460</v>
      </c>
      <c r="E1252">
        <f t="shared" si="39"/>
        <v>1.513157894736842</v>
      </c>
    </row>
    <row r="1253" spans="1:5" x14ac:dyDescent="0.3">
      <c r="A1253">
        <f t="shared" si="38"/>
        <v>2020</v>
      </c>
      <c r="B1253" s="59">
        <v>44137</v>
      </c>
      <c r="C1253" s="54">
        <v>303</v>
      </c>
      <c r="D1253" s="54">
        <v>460</v>
      </c>
      <c r="E1253">
        <f t="shared" si="39"/>
        <v>1.5181518151815181</v>
      </c>
    </row>
    <row r="1254" spans="1:5" x14ac:dyDescent="0.3">
      <c r="A1254">
        <f t="shared" si="38"/>
        <v>2020</v>
      </c>
      <c r="B1254" s="59">
        <v>44138</v>
      </c>
      <c r="C1254" s="54">
        <v>305</v>
      </c>
      <c r="D1254" s="54">
        <v>463.5</v>
      </c>
      <c r="E1254">
        <f t="shared" si="39"/>
        <v>1.519672131147541</v>
      </c>
    </row>
    <row r="1255" spans="1:5" x14ac:dyDescent="0.3">
      <c r="A1255">
        <f t="shared" si="38"/>
        <v>2020</v>
      </c>
      <c r="B1255" s="59">
        <v>44139</v>
      </c>
      <c r="C1255" s="54">
        <v>311</v>
      </c>
      <c r="D1255" s="54">
        <v>465</v>
      </c>
      <c r="E1255">
        <f t="shared" si="39"/>
        <v>1.495176848874598</v>
      </c>
    </row>
    <row r="1256" spans="1:5" x14ac:dyDescent="0.3">
      <c r="A1256">
        <f t="shared" si="38"/>
        <v>2020</v>
      </c>
      <c r="B1256" s="59">
        <v>44140</v>
      </c>
      <c r="C1256" s="54">
        <v>309</v>
      </c>
      <c r="D1256" s="54">
        <v>465</v>
      </c>
      <c r="E1256">
        <f t="shared" si="39"/>
        <v>1.5048543689320388</v>
      </c>
    </row>
    <row r="1257" spans="1:5" x14ac:dyDescent="0.3">
      <c r="A1257">
        <f t="shared" si="38"/>
        <v>2020</v>
      </c>
      <c r="B1257" s="59">
        <v>44141</v>
      </c>
      <c r="C1257" s="54">
        <v>322</v>
      </c>
      <c r="D1257" s="54">
        <v>472</v>
      </c>
      <c r="E1257">
        <f t="shared" si="39"/>
        <v>1.4658385093167703</v>
      </c>
    </row>
    <row r="1258" spans="1:5" x14ac:dyDescent="0.3">
      <c r="A1258">
        <f t="shared" si="38"/>
        <v>2020</v>
      </c>
      <c r="B1258" s="59">
        <v>44144</v>
      </c>
      <c r="C1258" s="54">
        <v>318</v>
      </c>
      <c r="D1258" s="54">
        <v>480</v>
      </c>
      <c r="E1258">
        <f t="shared" si="39"/>
        <v>1.5094339622641511</v>
      </c>
    </row>
    <row r="1259" spans="1:5" x14ac:dyDescent="0.3">
      <c r="A1259">
        <f t="shared" si="38"/>
        <v>2020</v>
      </c>
      <c r="B1259" s="59">
        <v>44145</v>
      </c>
      <c r="C1259" s="54">
        <v>316.5</v>
      </c>
      <c r="D1259" s="54">
        <v>476</v>
      </c>
      <c r="E1259">
        <f t="shared" si="39"/>
        <v>1.5039494470774091</v>
      </c>
    </row>
    <row r="1260" spans="1:5" x14ac:dyDescent="0.3">
      <c r="A1260">
        <f t="shared" si="38"/>
        <v>2020</v>
      </c>
      <c r="B1260" s="59">
        <v>44146</v>
      </c>
      <c r="C1260" s="54">
        <v>324.5</v>
      </c>
      <c r="D1260" s="54">
        <v>481</v>
      </c>
      <c r="E1260">
        <f t="shared" si="39"/>
        <v>1.4822804314329738</v>
      </c>
    </row>
    <row r="1261" spans="1:5" x14ac:dyDescent="0.3">
      <c r="A1261">
        <f t="shared" si="38"/>
        <v>2020</v>
      </c>
      <c r="B1261" s="59">
        <v>44147</v>
      </c>
      <c r="C1261" s="54">
        <v>326</v>
      </c>
      <c r="D1261" s="54">
        <v>486</v>
      </c>
      <c r="E1261">
        <f t="shared" si="39"/>
        <v>1.49079754601227</v>
      </c>
    </row>
    <row r="1262" spans="1:5" x14ac:dyDescent="0.3">
      <c r="A1262">
        <f t="shared" si="38"/>
        <v>2020</v>
      </c>
      <c r="B1262" s="59">
        <v>44148</v>
      </c>
      <c r="C1262" s="54">
        <v>329.5</v>
      </c>
      <c r="D1262" s="54">
        <v>488</v>
      </c>
      <c r="E1262">
        <f t="shared" si="39"/>
        <v>1.4810318664643398</v>
      </c>
    </row>
    <row r="1263" spans="1:5" x14ac:dyDescent="0.3">
      <c r="A1263">
        <f t="shared" si="38"/>
        <v>2020</v>
      </c>
      <c r="B1263" s="59">
        <v>44151</v>
      </c>
      <c r="C1263" s="54">
        <v>338.5</v>
      </c>
      <c r="D1263" s="54">
        <v>502</v>
      </c>
      <c r="E1263">
        <f t="shared" si="39"/>
        <v>1.48301329394387</v>
      </c>
    </row>
    <row r="1264" spans="1:5" x14ac:dyDescent="0.3">
      <c r="A1264">
        <f t="shared" si="38"/>
        <v>2020</v>
      </c>
      <c r="B1264" s="59">
        <v>44152</v>
      </c>
      <c r="C1264" s="54">
        <v>350</v>
      </c>
      <c r="D1264" s="54">
        <v>518.5</v>
      </c>
      <c r="E1264">
        <f t="shared" si="39"/>
        <v>1.4814285714285715</v>
      </c>
    </row>
    <row r="1265" spans="1:5" x14ac:dyDescent="0.3">
      <c r="A1265">
        <f t="shared" si="38"/>
        <v>2020</v>
      </c>
      <c r="B1265" s="59">
        <v>44153</v>
      </c>
      <c r="C1265" s="54">
        <v>351</v>
      </c>
      <c r="D1265" s="54">
        <v>521</v>
      </c>
      <c r="E1265">
        <f t="shared" si="39"/>
        <v>1.4843304843304843</v>
      </c>
    </row>
    <row r="1266" spans="1:5" x14ac:dyDescent="0.3">
      <c r="A1266">
        <f t="shared" si="38"/>
        <v>2020</v>
      </c>
      <c r="B1266" s="59">
        <v>44154</v>
      </c>
      <c r="C1266" s="54">
        <v>353.5</v>
      </c>
      <c r="D1266" s="54">
        <v>529</v>
      </c>
      <c r="E1266">
        <f t="shared" si="39"/>
        <v>1.4964639321074964</v>
      </c>
    </row>
    <row r="1267" spans="1:5" x14ac:dyDescent="0.3">
      <c r="A1267">
        <f t="shared" si="38"/>
        <v>2020</v>
      </c>
      <c r="B1267" s="59">
        <v>44155</v>
      </c>
      <c r="C1267" s="54">
        <v>357.5</v>
      </c>
      <c r="D1267" s="54">
        <v>531.5</v>
      </c>
      <c r="E1267">
        <f t="shared" si="39"/>
        <v>1.4867132867132866</v>
      </c>
    </row>
    <row r="1268" spans="1:5" x14ac:dyDescent="0.3">
      <c r="A1268">
        <f t="shared" si="38"/>
        <v>2020</v>
      </c>
      <c r="B1268" s="59">
        <v>44158</v>
      </c>
      <c r="C1268" s="54">
        <v>362.5</v>
      </c>
      <c r="D1268" s="54">
        <v>530</v>
      </c>
      <c r="E1268">
        <f t="shared" si="39"/>
        <v>1.4620689655172414</v>
      </c>
    </row>
    <row r="1269" spans="1:5" x14ac:dyDescent="0.3">
      <c r="A1269">
        <f t="shared" si="38"/>
        <v>2020</v>
      </c>
      <c r="B1269" s="59">
        <v>44159</v>
      </c>
      <c r="C1269" s="54">
        <v>366</v>
      </c>
      <c r="D1269" s="54">
        <v>534.5</v>
      </c>
      <c r="E1269">
        <f t="shared" si="39"/>
        <v>1.4603825136612021</v>
      </c>
    </row>
    <row r="1270" spans="1:5" x14ac:dyDescent="0.3">
      <c r="A1270">
        <f t="shared" si="38"/>
        <v>2020</v>
      </c>
      <c r="B1270" s="59">
        <v>44160</v>
      </c>
      <c r="C1270" s="54">
        <v>381</v>
      </c>
      <c r="D1270" s="54">
        <v>541</v>
      </c>
      <c r="E1270">
        <f t="shared" si="39"/>
        <v>1.4199475065616798</v>
      </c>
    </row>
    <row r="1271" spans="1:5" x14ac:dyDescent="0.3">
      <c r="A1271">
        <f t="shared" si="38"/>
        <v>2020</v>
      </c>
      <c r="B1271" s="59">
        <v>44161</v>
      </c>
      <c r="C1271" s="54">
        <v>382</v>
      </c>
      <c r="D1271" s="54">
        <v>553.5</v>
      </c>
      <c r="E1271">
        <f t="shared" si="39"/>
        <v>1.4489528795811519</v>
      </c>
    </row>
    <row r="1272" spans="1:5" x14ac:dyDescent="0.3">
      <c r="A1272">
        <f t="shared" si="38"/>
        <v>2020</v>
      </c>
      <c r="B1272" s="59">
        <v>44162</v>
      </c>
      <c r="C1272" s="54">
        <v>385</v>
      </c>
      <c r="D1272" s="54">
        <v>556.5</v>
      </c>
      <c r="E1272">
        <f t="shared" si="39"/>
        <v>1.4454545454545455</v>
      </c>
    </row>
    <row r="1273" spans="1:5" x14ac:dyDescent="0.3">
      <c r="A1273">
        <f t="shared" si="38"/>
        <v>2020</v>
      </c>
      <c r="B1273" s="59">
        <v>44165</v>
      </c>
      <c r="C1273" s="54">
        <v>371.5</v>
      </c>
      <c r="D1273" s="54">
        <v>554</v>
      </c>
      <c r="E1273">
        <f t="shared" si="39"/>
        <v>1.4912516823687751</v>
      </c>
    </row>
    <row r="1274" spans="1:5" x14ac:dyDescent="0.3">
      <c r="A1274">
        <f t="shared" si="38"/>
        <v>2020</v>
      </c>
      <c r="B1274" s="59">
        <v>44166</v>
      </c>
      <c r="C1274" s="54">
        <v>364.5</v>
      </c>
      <c r="D1274" s="54">
        <v>542.5</v>
      </c>
      <c r="E1274">
        <f t="shared" si="39"/>
        <v>1.4883401920438957</v>
      </c>
    </row>
    <row r="1275" spans="1:5" x14ac:dyDescent="0.3">
      <c r="A1275">
        <f t="shared" si="38"/>
        <v>2020</v>
      </c>
      <c r="B1275" s="59">
        <v>44167</v>
      </c>
      <c r="C1275" s="54">
        <v>365</v>
      </c>
      <c r="D1275" s="54">
        <v>542.5</v>
      </c>
      <c r="E1275">
        <f t="shared" si="39"/>
        <v>1.4863013698630136</v>
      </c>
    </row>
    <row r="1276" spans="1:5" x14ac:dyDescent="0.3">
      <c r="A1276">
        <f t="shared" si="38"/>
        <v>2020</v>
      </c>
      <c r="B1276" s="59">
        <v>44168</v>
      </c>
      <c r="C1276" s="54">
        <v>373</v>
      </c>
      <c r="D1276" s="54">
        <v>544</v>
      </c>
      <c r="E1276">
        <f t="shared" si="39"/>
        <v>1.4584450402144773</v>
      </c>
    </row>
    <row r="1277" spans="1:5" x14ac:dyDescent="0.3">
      <c r="A1277">
        <f t="shared" si="38"/>
        <v>2020</v>
      </c>
      <c r="B1277" s="59">
        <v>44169</v>
      </c>
      <c r="C1277" s="54">
        <v>380</v>
      </c>
      <c r="D1277" s="54">
        <v>549</v>
      </c>
      <c r="E1277">
        <f t="shared" si="39"/>
        <v>1.4447368421052631</v>
      </c>
    </row>
    <row r="1278" spans="1:5" x14ac:dyDescent="0.3">
      <c r="A1278">
        <f t="shared" si="38"/>
        <v>2020</v>
      </c>
      <c r="B1278" s="59">
        <v>44172</v>
      </c>
      <c r="C1278" s="54">
        <v>394.5</v>
      </c>
      <c r="D1278" s="54">
        <v>569.5</v>
      </c>
      <c r="E1278">
        <f t="shared" si="39"/>
        <v>1.4435994930291509</v>
      </c>
    </row>
    <row r="1279" spans="1:5" x14ac:dyDescent="0.3">
      <c r="A1279">
        <f t="shared" si="38"/>
        <v>2020</v>
      </c>
      <c r="B1279" s="59">
        <v>44173</v>
      </c>
      <c r="C1279" s="54">
        <v>400.5</v>
      </c>
      <c r="D1279" s="54">
        <v>573.5</v>
      </c>
      <c r="E1279">
        <f t="shared" si="39"/>
        <v>1.431960049937578</v>
      </c>
    </row>
    <row r="1280" spans="1:5" x14ac:dyDescent="0.3">
      <c r="A1280">
        <f t="shared" si="38"/>
        <v>2020</v>
      </c>
      <c r="B1280" s="59">
        <v>44174</v>
      </c>
      <c r="C1280" s="54">
        <v>412.5</v>
      </c>
      <c r="D1280" s="54">
        <v>585</v>
      </c>
      <c r="E1280">
        <f t="shared" si="39"/>
        <v>1.4181818181818182</v>
      </c>
    </row>
    <row r="1281" spans="1:5" x14ac:dyDescent="0.3">
      <c r="A1281">
        <f t="shared" si="38"/>
        <v>2020</v>
      </c>
      <c r="B1281" s="59">
        <v>44175</v>
      </c>
      <c r="C1281" s="54">
        <v>441</v>
      </c>
      <c r="D1281" s="54">
        <v>615.5</v>
      </c>
      <c r="E1281">
        <f t="shared" si="39"/>
        <v>1.3956916099773242</v>
      </c>
    </row>
    <row r="1282" spans="1:5" x14ac:dyDescent="0.3">
      <c r="A1282">
        <f t="shared" si="38"/>
        <v>2020</v>
      </c>
      <c r="B1282" s="59">
        <v>44176</v>
      </c>
      <c r="C1282" s="54">
        <v>435</v>
      </c>
      <c r="D1282" s="54">
        <v>610.5</v>
      </c>
      <c r="E1282">
        <f t="shared" si="39"/>
        <v>1.403448275862069</v>
      </c>
    </row>
    <row r="1283" spans="1:5" x14ac:dyDescent="0.3">
      <c r="A1283">
        <f t="shared" si="38"/>
        <v>2020</v>
      </c>
      <c r="B1283" s="59">
        <v>44179</v>
      </c>
      <c r="C1283" s="54">
        <v>427</v>
      </c>
      <c r="D1283" s="54">
        <v>592.5</v>
      </c>
      <c r="E1283">
        <f t="shared" si="39"/>
        <v>1.3875878220140516</v>
      </c>
    </row>
    <row r="1284" spans="1:5" x14ac:dyDescent="0.3">
      <c r="A1284">
        <f t="shared" ref="A1284:A1347" si="40">YEAR(B1284)</f>
        <v>2020</v>
      </c>
      <c r="B1284" s="59">
        <v>44180</v>
      </c>
      <c r="C1284" s="54">
        <v>421</v>
      </c>
      <c r="D1284" s="54">
        <v>599</v>
      </c>
      <c r="E1284">
        <f t="shared" ref="E1284:E1347" si="41">D1284/C1284</f>
        <v>1.4228028503562946</v>
      </c>
    </row>
    <row r="1285" spans="1:5" x14ac:dyDescent="0.3">
      <c r="A1285">
        <f t="shared" si="40"/>
        <v>2020</v>
      </c>
      <c r="B1285" s="59">
        <v>44181</v>
      </c>
      <c r="C1285" s="54">
        <v>424</v>
      </c>
      <c r="D1285" s="54">
        <v>597</v>
      </c>
      <c r="E1285">
        <f t="shared" si="41"/>
        <v>1.4080188679245282</v>
      </c>
    </row>
    <row r="1286" spans="1:5" x14ac:dyDescent="0.3">
      <c r="A1286">
        <f t="shared" si="40"/>
        <v>2020</v>
      </c>
      <c r="B1286" s="59">
        <v>44182</v>
      </c>
      <c r="C1286" s="54">
        <v>436</v>
      </c>
      <c r="D1286" s="54">
        <v>609.5</v>
      </c>
      <c r="E1286">
        <f t="shared" si="41"/>
        <v>1.3979357798165137</v>
      </c>
    </row>
    <row r="1287" spans="1:5" x14ac:dyDescent="0.3">
      <c r="A1287">
        <f t="shared" si="40"/>
        <v>2020</v>
      </c>
      <c r="B1287" s="59">
        <v>44183</v>
      </c>
      <c r="C1287" s="54">
        <v>435.5</v>
      </c>
      <c r="D1287" s="54">
        <v>616.5</v>
      </c>
      <c r="E1287">
        <f t="shared" si="41"/>
        <v>1.4156142365097588</v>
      </c>
    </row>
    <row r="1288" spans="1:5" x14ac:dyDescent="0.3">
      <c r="A1288">
        <f t="shared" si="40"/>
        <v>2020</v>
      </c>
      <c r="B1288" s="59">
        <v>44186</v>
      </c>
      <c r="C1288" s="54">
        <v>456</v>
      </c>
      <c r="D1288" s="54">
        <v>626</v>
      </c>
      <c r="E1288">
        <f t="shared" si="41"/>
        <v>1.3728070175438596</v>
      </c>
    </row>
    <row r="1289" spans="1:5" x14ac:dyDescent="0.3">
      <c r="A1289">
        <f t="shared" si="40"/>
        <v>2020</v>
      </c>
      <c r="B1289" s="59">
        <v>44187</v>
      </c>
      <c r="C1289" s="54">
        <v>441</v>
      </c>
      <c r="D1289" s="54">
        <v>615</v>
      </c>
      <c r="E1289">
        <f t="shared" si="41"/>
        <v>1.3945578231292517</v>
      </c>
    </row>
    <row r="1290" spans="1:5" x14ac:dyDescent="0.3">
      <c r="A1290">
        <f t="shared" si="40"/>
        <v>2020</v>
      </c>
      <c r="B1290" s="59">
        <v>44188</v>
      </c>
      <c r="C1290" s="54">
        <v>435.5</v>
      </c>
      <c r="D1290" s="54">
        <v>613.5</v>
      </c>
      <c r="E1290">
        <f t="shared" si="41"/>
        <v>1.4087256027554536</v>
      </c>
    </row>
    <row r="1291" spans="1:5" x14ac:dyDescent="0.3">
      <c r="A1291">
        <f t="shared" si="40"/>
        <v>2020</v>
      </c>
      <c r="B1291" s="59">
        <v>44189</v>
      </c>
      <c r="C1291" s="54">
        <v>439.5</v>
      </c>
      <c r="D1291" s="54">
        <v>614</v>
      </c>
      <c r="E1291">
        <f t="shared" si="41"/>
        <v>1.3970420932878271</v>
      </c>
    </row>
    <row r="1292" spans="1:5" x14ac:dyDescent="0.3">
      <c r="A1292">
        <f t="shared" si="40"/>
        <v>2020</v>
      </c>
      <c r="B1292" s="59">
        <v>44194</v>
      </c>
      <c r="C1292" s="54">
        <v>434</v>
      </c>
      <c r="D1292" s="54">
        <v>605</v>
      </c>
      <c r="E1292">
        <f t="shared" si="41"/>
        <v>1.3940092165898617</v>
      </c>
    </row>
    <row r="1293" spans="1:5" x14ac:dyDescent="0.3">
      <c r="A1293">
        <f t="shared" si="40"/>
        <v>2020</v>
      </c>
      <c r="B1293" s="59">
        <v>44195</v>
      </c>
      <c r="C1293" s="54">
        <v>441.5</v>
      </c>
      <c r="D1293" s="54">
        <v>614.5</v>
      </c>
      <c r="E1293">
        <f t="shared" si="41"/>
        <v>1.3918459796149489</v>
      </c>
    </row>
    <row r="1294" spans="1:5" x14ac:dyDescent="0.3">
      <c r="A1294">
        <f t="shared" si="40"/>
        <v>2020</v>
      </c>
      <c r="B1294" s="59">
        <v>44196</v>
      </c>
      <c r="C1294" s="54">
        <v>439</v>
      </c>
      <c r="D1294" s="54">
        <v>610</v>
      </c>
      <c r="E1294">
        <f t="shared" si="41"/>
        <v>1.3895216400911161</v>
      </c>
    </row>
    <row r="1295" spans="1:5" x14ac:dyDescent="0.3">
      <c r="A1295">
        <f t="shared" si="40"/>
        <v>2021</v>
      </c>
      <c r="B1295" s="59">
        <v>44200</v>
      </c>
      <c r="C1295" s="54">
        <v>439</v>
      </c>
      <c r="D1295" s="54">
        <v>619</v>
      </c>
      <c r="E1295">
        <f t="shared" si="41"/>
        <v>1.4100227790432802</v>
      </c>
    </row>
    <row r="1296" spans="1:5" x14ac:dyDescent="0.3">
      <c r="A1296">
        <f t="shared" si="40"/>
        <v>2021</v>
      </c>
      <c r="B1296" s="59">
        <v>44201</v>
      </c>
      <c r="C1296" s="54">
        <v>449</v>
      </c>
      <c r="D1296" s="54">
        <v>628</v>
      </c>
      <c r="E1296">
        <f t="shared" si="41"/>
        <v>1.3986636971046771</v>
      </c>
    </row>
    <row r="1297" spans="1:5" x14ac:dyDescent="0.3">
      <c r="A1297">
        <f t="shared" si="40"/>
        <v>2021</v>
      </c>
      <c r="B1297" s="59">
        <v>44202</v>
      </c>
      <c r="C1297" s="54">
        <v>459</v>
      </c>
      <c r="D1297" s="54">
        <v>640</v>
      </c>
      <c r="E1297">
        <f t="shared" si="41"/>
        <v>1.3943355119825709</v>
      </c>
    </row>
    <row r="1298" spans="1:5" x14ac:dyDescent="0.3">
      <c r="A1298">
        <f t="shared" si="40"/>
        <v>2021</v>
      </c>
      <c r="B1298" s="59">
        <v>44203</v>
      </c>
      <c r="C1298" s="54">
        <v>460</v>
      </c>
      <c r="D1298" s="54">
        <v>642.5</v>
      </c>
      <c r="E1298">
        <f t="shared" si="41"/>
        <v>1.3967391304347827</v>
      </c>
    </row>
    <row r="1299" spans="1:5" x14ac:dyDescent="0.3">
      <c r="A1299">
        <f t="shared" si="40"/>
        <v>2021</v>
      </c>
      <c r="B1299" s="59">
        <v>44204</v>
      </c>
      <c r="C1299" s="54">
        <v>471.5</v>
      </c>
      <c r="D1299" s="54">
        <v>650.5</v>
      </c>
      <c r="E1299">
        <f t="shared" si="41"/>
        <v>1.3796394485683987</v>
      </c>
    </row>
    <row r="1300" spans="1:5" x14ac:dyDescent="0.3">
      <c r="A1300">
        <f t="shared" si="40"/>
        <v>2021</v>
      </c>
      <c r="B1300" s="59">
        <v>44207</v>
      </c>
      <c r="C1300" s="54">
        <v>454.5</v>
      </c>
      <c r="D1300" s="54">
        <v>629.5</v>
      </c>
      <c r="E1300">
        <f t="shared" si="41"/>
        <v>1.385038503850385</v>
      </c>
    </row>
    <row r="1301" spans="1:5" x14ac:dyDescent="0.3">
      <c r="A1301">
        <f t="shared" si="40"/>
        <v>2021</v>
      </c>
      <c r="B1301" s="59">
        <v>44208</v>
      </c>
      <c r="C1301" s="54">
        <v>448</v>
      </c>
      <c r="D1301" s="54">
        <v>626</v>
      </c>
      <c r="E1301">
        <f t="shared" si="41"/>
        <v>1.3973214285714286</v>
      </c>
    </row>
    <row r="1302" spans="1:5" x14ac:dyDescent="0.3">
      <c r="A1302">
        <f t="shared" si="40"/>
        <v>2021</v>
      </c>
      <c r="B1302" s="59">
        <v>44209</v>
      </c>
      <c r="C1302" s="54">
        <v>442</v>
      </c>
      <c r="D1302" s="54">
        <v>619.5</v>
      </c>
      <c r="E1302">
        <f t="shared" si="41"/>
        <v>1.4015837104072397</v>
      </c>
    </row>
    <row r="1303" spans="1:5" x14ac:dyDescent="0.3">
      <c r="A1303">
        <f t="shared" si="40"/>
        <v>2021</v>
      </c>
      <c r="B1303" s="59">
        <v>44210</v>
      </c>
      <c r="C1303" s="54">
        <v>457.5</v>
      </c>
      <c r="D1303" s="54">
        <v>638.5</v>
      </c>
      <c r="E1303">
        <f t="shared" si="41"/>
        <v>1.3956284153005465</v>
      </c>
    </row>
    <row r="1304" spans="1:5" x14ac:dyDescent="0.3">
      <c r="A1304">
        <f t="shared" si="40"/>
        <v>2021</v>
      </c>
      <c r="B1304" s="59">
        <v>44211</v>
      </c>
      <c r="C1304" s="54">
        <v>445.5</v>
      </c>
      <c r="D1304" s="54">
        <v>622.5</v>
      </c>
      <c r="E1304">
        <f t="shared" si="41"/>
        <v>1.3973063973063973</v>
      </c>
    </row>
    <row r="1305" spans="1:5" x14ac:dyDescent="0.3">
      <c r="A1305">
        <f t="shared" si="40"/>
        <v>2021</v>
      </c>
      <c r="B1305" s="59">
        <v>44214</v>
      </c>
      <c r="C1305" s="54">
        <v>455</v>
      </c>
      <c r="D1305" s="54">
        <v>634.5</v>
      </c>
      <c r="E1305">
        <f t="shared" si="41"/>
        <v>1.3945054945054944</v>
      </c>
    </row>
    <row r="1306" spans="1:5" x14ac:dyDescent="0.3">
      <c r="A1306">
        <f t="shared" si="40"/>
        <v>2021</v>
      </c>
      <c r="B1306" s="59">
        <v>44215</v>
      </c>
      <c r="C1306" s="54">
        <v>438.5</v>
      </c>
      <c r="D1306" s="54">
        <v>615</v>
      </c>
      <c r="E1306">
        <f t="shared" si="41"/>
        <v>1.402508551881414</v>
      </c>
    </row>
    <row r="1307" spans="1:5" x14ac:dyDescent="0.3">
      <c r="A1307">
        <f t="shared" si="40"/>
        <v>2021</v>
      </c>
      <c r="B1307" s="59">
        <v>44216</v>
      </c>
      <c r="C1307" s="54">
        <v>429.5</v>
      </c>
      <c r="D1307" s="54">
        <v>614</v>
      </c>
      <c r="E1307">
        <f t="shared" si="41"/>
        <v>1.4295692665890571</v>
      </c>
    </row>
    <row r="1308" spans="1:5" x14ac:dyDescent="0.3">
      <c r="A1308">
        <f t="shared" si="40"/>
        <v>2021</v>
      </c>
      <c r="B1308" s="59">
        <v>44217</v>
      </c>
      <c r="C1308" s="54">
        <v>439</v>
      </c>
      <c r="D1308" s="54">
        <v>626</v>
      </c>
      <c r="E1308">
        <f t="shared" si="41"/>
        <v>1.4259681093394077</v>
      </c>
    </row>
    <row r="1309" spans="1:5" x14ac:dyDescent="0.3">
      <c r="A1309">
        <f t="shared" si="40"/>
        <v>2021</v>
      </c>
      <c r="B1309" s="59">
        <v>44218</v>
      </c>
      <c r="C1309" s="54">
        <v>443</v>
      </c>
      <c r="D1309" s="54">
        <v>615</v>
      </c>
      <c r="E1309">
        <f t="shared" si="41"/>
        <v>1.3882618510158014</v>
      </c>
    </row>
    <row r="1310" spans="1:5" x14ac:dyDescent="0.3">
      <c r="A1310">
        <f t="shared" si="40"/>
        <v>2021</v>
      </c>
      <c r="B1310" s="59">
        <v>44221</v>
      </c>
      <c r="C1310" s="54">
        <v>434.5</v>
      </c>
      <c r="D1310" s="54">
        <v>615</v>
      </c>
      <c r="E1310">
        <f t="shared" si="41"/>
        <v>1.4154200230149596</v>
      </c>
    </row>
    <row r="1311" spans="1:5" x14ac:dyDescent="0.3">
      <c r="A1311">
        <f t="shared" si="40"/>
        <v>2021</v>
      </c>
      <c r="B1311" s="59">
        <v>44222</v>
      </c>
      <c r="C1311" s="54">
        <v>427</v>
      </c>
      <c r="D1311" s="54">
        <v>600</v>
      </c>
      <c r="E1311">
        <f t="shared" si="41"/>
        <v>1.405152224824356</v>
      </c>
    </row>
    <row r="1312" spans="1:5" x14ac:dyDescent="0.3">
      <c r="A1312">
        <f t="shared" si="40"/>
        <v>2021</v>
      </c>
      <c r="B1312" s="59">
        <v>44223</v>
      </c>
      <c r="C1312" s="54">
        <v>421</v>
      </c>
      <c r="D1312" s="54">
        <v>595</v>
      </c>
      <c r="E1312">
        <f t="shared" si="41"/>
        <v>1.4133016627078385</v>
      </c>
    </row>
    <row r="1313" spans="1:5" x14ac:dyDescent="0.3">
      <c r="A1313">
        <f t="shared" si="40"/>
        <v>2021</v>
      </c>
      <c r="B1313" s="59">
        <v>44224</v>
      </c>
      <c r="C1313" s="54">
        <v>424</v>
      </c>
      <c r="D1313" s="54">
        <v>603</v>
      </c>
      <c r="E1313">
        <f t="shared" si="41"/>
        <v>1.4221698113207548</v>
      </c>
    </row>
    <row r="1314" spans="1:5" x14ac:dyDescent="0.3">
      <c r="A1314">
        <f t="shared" si="40"/>
        <v>2021</v>
      </c>
      <c r="B1314" s="59">
        <v>44225</v>
      </c>
      <c r="C1314" s="54">
        <v>420.5</v>
      </c>
      <c r="D1314" s="54">
        <v>587</v>
      </c>
      <c r="E1314">
        <f t="shared" si="41"/>
        <v>1.3959571938168847</v>
      </c>
    </row>
    <row r="1315" spans="1:5" x14ac:dyDescent="0.3">
      <c r="A1315">
        <f t="shared" si="40"/>
        <v>2021</v>
      </c>
      <c r="B1315" s="59">
        <v>44228</v>
      </c>
      <c r="C1315" s="54">
        <v>396</v>
      </c>
      <c r="D1315" s="54">
        <v>565</v>
      </c>
      <c r="E1315">
        <f t="shared" si="41"/>
        <v>1.4267676767676767</v>
      </c>
    </row>
    <row r="1316" spans="1:5" x14ac:dyDescent="0.3">
      <c r="A1316">
        <f t="shared" si="40"/>
        <v>2021</v>
      </c>
      <c r="B1316" s="59">
        <v>44229</v>
      </c>
      <c r="C1316" s="54">
        <v>406.5</v>
      </c>
      <c r="D1316" s="54">
        <v>578.5</v>
      </c>
      <c r="E1316">
        <f t="shared" si="41"/>
        <v>1.4231242312423125</v>
      </c>
    </row>
    <row r="1317" spans="1:5" x14ac:dyDescent="0.3">
      <c r="A1317">
        <f t="shared" si="40"/>
        <v>2021</v>
      </c>
      <c r="B1317" s="59">
        <v>44230</v>
      </c>
      <c r="C1317" s="54">
        <v>408</v>
      </c>
      <c r="D1317" s="54">
        <v>577.5</v>
      </c>
      <c r="E1317">
        <f t="shared" si="41"/>
        <v>1.4154411764705883</v>
      </c>
    </row>
    <row r="1318" spans="1:5" x14ac:dyDescent="0.3">
      <c r="A1318">
        <f t="shared" si="40"/>
        <v>2021</v>
      </c>
      <c r="B1318" s="59">
        <v>44231</v>
      </c>
      <c r="C1318" s="54">
        <v>422</v>
      </c>
      <c r="D1318" s="54">
        <v>602</v>
      </c>
      <c r="E1318">
        <f t="shared" si="41"/>
        <v>1.4265402843601895</v>
      </c>
    </row>
    <row r="1319" spans="1:5" x14ac:dyDescent="0.3">
      <c r="A1319">
        <f t="shared" si="40"/>
        <v>2021</v>
      </c>
      <c r="B1319" s="59">
        <v>44232</v>
      </c>
      <c r="C1319" s="54">
        <v>422.5</v>
      </c>
      <c r="D1319" s="54">
        <v>605.5</v>
      </c>
      <c r="E1319">
        <f t="shared" si="41"/>
        <v>1.4331360946745562</v>
      </c>
    </row>
    <row r="1320" spans="1:5" x14ac:dyDescent="0.3">
      <c r="A1320">
        <f t="shared" si="40"/>
        <v>2021</v>
      </c>
      <c r="B1320" s="59">
        <v>44235</v>
      </c>
      <c r="C1320" s="54">
        <v>427.5</v>
      </c>
      <c r="D1320" s="54">
        <v>605</v>
      </c>
      <c r="E1320">
        <f t="shared" si="41"/>
        <v>1.4152046783625731</v>
      </c>
    </row>
    <row r="1321" spans="1:5" x14ac:dyDescent="0.3">
      <c r="A1321">
        <f t="shared" si="40"/>
        <v>2021</v>
      </c>
      <c r="B1321" s="59">
        <v>44236</v>
      </c>
      <c r="C1321" s="54">
        <v>442</v>
      </c>
      <c r="D1321" s="54">
        <v>613.5</v>
      </c>
      <c r="E1321">
        <f t="shared" si="41"/>
        <v>1.3880090497737556</v>
      </c>
    </row>
    <row r="1322" spans="1:5" x14ac:dyDescent="0.3">
      <c r="A1322">
        <f t="shared" si="40"/>
        <v>2021</v>
      </c>
      <c r="B1322" s="59">
        <v>44237</v>
      </c>
      <c r="C1322" s="54">
        <v>440</v>
      </c>
      <c r="D1322" s="54">
        <v>615</v>
      </c>
      <c r="E1322">
        <f t="shared" si="41"/>
        <v>1.3977272727272727</v>
      </c>
    </row>
    <row r="1323" spans="1:5" x14ac:dyDescent="0.3">
      <c r="A1323">
        <f t="shared" si="40"/>
        <v>2021</v>
      </c>
      <c r="B1323" s="59">
        <v>44238</v>
      </c>
      <c r="C1323" s="54">
        <v>449</v>
      </c>
      <c r="D1323" s="54">
        <v>620</v>
      </c>
      <c r="E1323">
        <f t="shared" si="41"/>
        <v>1.3808463251670378</v>
      </c>
    </row>
    <row r="1324" spans="1:5" x14ac:dyDescent="0.3">
      <c r="A1324">
        <f t="shared" si="40"/>
        <v>2021</v>
      </c>
      <c r="B1324" s="59">
        <v>44239</v>
      </c>
      <c r="C1324" s="54">
        <v>455</v>
      </c>
      <c r="D1324" s="54">
        <v>628.5</v>
      </c>
      <c r="E1324">
        <f t="shared" si="41"/>
        <v>1.3813186813186813</v>
      </c>
    </row>
    <row r="1325" spans="1:5" x14ac:dyDescent="0.3">
      <c r="A1325">
        <f t="shared" si="40"/>
        <v>2021</v>
      </c>
      <c r="B1325" s="59">
        <v>44242</v>
      </c>
      <c r="C1325" s="54">
        <v>456.5</v>
      </c>
      <c r="D1325" s="54">
        <v>635</v>
      </c>
      <c r="E1325">
        <f t="shared" si="41"/>
        <v>1.3910186199342827</v>
      </c>
    </row>
    <row r="1326" spans="1:5" x14ac:dyDescent="0.3">
      <c r="A1326">
        <f t="shared" si="40"/>
        <v>2021</v>
      </c>
      <c r="B1326" s="59">
        <v>44243</v>
      </c>
      <c r="C1326" s="54">
        <v>457.5</v>
      </c>
      <c r="D1326" s="54">
        <v>641</v>
      </c>
      <c r="E1326">
        <f t="shared" si="41"/>
        <v>1.4010928961748634</v>
      </c>
    </row>
    <row r="1327" spans="1:5" x14ac:dyDescent="0.3">
      <c r="A1327">
        <f t="shared" si="40"/>
        <v>2021</v>
      </c>
      <c r="B1327" s="59">
        <v>44244</v>
      </c>
      <c r="C1327" s="54">
        <v>455</v>
      </c>
      <c r="D1327" s="54">
        <v>632</v>
      </c>
      <c r="E1327">
        <f t="shared" si="41"/>
        <v>1.389010989010989</v>
      </c>
    </row>
    <row r="1328" spans="1:5" x14ac:dyDescent="0.3">
      <c r="A1328">
        <f t="shared" si="40"/>
        <v>2021</v>
      </c>
      <c r="B1328" s="59">
        <v>44245</v>
      </c>
      <c r="C1328" s="54">
        <v>453</v>
      </c>
      <c r="D1328" s="54">
        <v>634</v>
      </c>
      <c r="E1328">
        <f t="shared" si="41"/>
        <v>1.3995584988962473</v>
      </c>
    </row>
    <row r="1329" spans="1:5" x14ac:dyDescent="0.3">
      <c r="A1329">
        <f t="shared" si="40"/>
        <v>2021</v>
      </c>
      <c r="B1329" s="59">
        <v>44246</v>
      </c>
      <c r="C1329" s="54">
        <v>457</v>
      </c>
      <c r="D1329" s="54">
        <v>640</v>
      </c>
      <c r="E1329">
        <f t="shared" si="41"/>
        <v>1.4004376367614879</v>
      </c>
    </row>
    <row r="1330" spans="1:5" x14ac:dyDescent="0.3">
      <c r="A1330">
        <f t="shared" si="40"/>
        <v>2021</v>
      </c>
      <c r="B1330" s="59">
        <v>44249</v>
      </c>
      <c r="C1330" s="54">
        <v>464</v>
      </c>
      <c r="D1330" s="54">
        <v>633.5</v>
      </c>
      <c r="E1330">
        <f t="shared" si="41"/>
        <v>1.365301724137931</v>
      </c>
    </row>
    <row r="1331" spans="1:5" x14ac:dyDescent="0.3">
      <c r="A1331">
        <f t="shared" si="40"/>
        <v>2021</v>
      </c>
      <c r="B1331" s="59">
        <v>44250</v>
      </c>
      <c r="C1331" s="54">
        <v>468</v>
      </c>
      <c r="D1331" s="54">
        <v>640</v>
      </c>
      <c r="E1331">
        <f t="shared" si="41"/>
        <v>1.3675213675213675</v>
      </c>
    </row>
    <row r="1332" spans="1:5" x14ac:dyDescent="0.3">
      <c r="A1332">
        <f t="shared" si="40"/>
        <v>2021</v>
      </c>
      <c r="B1332" s="59">
        <v>44251</v>
      </c>
      <c r="C1332" s="54">
        <v>469</v>
      </c>
      <c r="D1332" s="54">
        <v>648</v>
      </c>
      <c r="E1332">
        <f t="shared" si="41"/>
        <v>1.3816631130063965</v>
      </c>
    </row>
    <row r="1333" spans="1:5" x14ac:dyDescent="0.3">
      <c r="A1333">
        <f t="shared" si="40"/>
        <v>2021</v>
      </c>
      <c r="B1333" s="59">
        <v>44252</v>
      </c>
      <c r="C1333" s="54">
        <v>483</v>
      </c>
      <c r="D1333" s="54">
        <v>659</v>
      </c>
      <c r="E1333">
        <f t="shared" si="41"/>
        <v>1.3643892339544514</v>
      </c>
    </row>
    <row r="1334" spans="1:5" x14ac:dyDescent="0.3">
      <c r="A1334">
        <f t="shared" si="40"/>
        <v>2021</v>
      </c>
      <c r="B1334" s="59">
        <v>44253</v>
      </c>
      <c r="C1334" s="54">
        <v>492.5</v>
      </c>
      <c r="D1334" s="54">
        <v>663</v>
      </c>
      <c r="E1334">
        <f t="shared" si="41"/>
        <v>1.3461928934010152</v>
      </c>
    </row>
    <row r="1335" spans="1:5" x14ac:dyDescent="0.3">
      <c r="A1335">
        <f t="shared" si="40"/>
        <v>2021</v>
      </c>
      <c r="B1335" s="59">
        <v>44256</v>
      </c>
      <c r="C1335" s="54">
        <v>482</v>
      </c>
      <c r="D1335" s="54">
        <v>655.5</v>
      </c>
      <c r="E1335">
        <f t="shared" si="41"/>
        <v>1.3599585062240664</v>
      </c>
    </row>
    <row r="1336" spans="1:5" x14ac:dyDescent="0.3">
      <c r="A1336">
        <f t="shared" si="40"/>
        <v>2021</v>
      </c>
      <c r="B1336" s="59">
        <v>44257</v>
      </c>
      <c r="C1336" s="54">
        <v>479</v>
      </c>
      <c r="D1336" s="54">
        <v>659.5</v>
      </c>
      <c r="E1336">
        <f t="shared" si="41"/>
        <v>1.3768267223382047</v>
      </c>
    </row>
    <row r="1337" spans="1:5" x14ac:dyDescent="0.3">
      <c r="A1337">
        <f t="shared" si="40"/>
        <v>2021</v>
      </c>
      <c r="B1337" s="59">
        <v>44258</v>
      </c>
      <c r="C1337" s="54">
        <v>483</v>
      </c>
      <c r="D1337" s="54">
        <v>657</v>
      </c>
      <c r="E1337">
        <f t="shared" si="41"/>
        <v>1.360248447204969</v>
      </c>
    </row>
    <row r="1338" spans="1:5" x14ac:dyDescent="0.3">
      <c r="A1338">
        <f t="shared" si="40"/>
        <v>2021</v>
      </c>
      <c r="B1338" s="59">
        <v>44259</v>
      </c>
      <c r="C1338" s="54">
        <v>479</v>
      </c>
      <c r="D1338" s="54">
        <v>656</v>
      </c>
      <c r="E1338">
        <f t="shared" si="41"/>
        <v>1.3695198329853862</v>
      </c>
    </row>
    <row r="1339" spans="1:5" x14ac:dyDescent="0.3">
      <c r="A1339">
        <f t="shared" si="40"/>
        <v>2021</v>
      </c>
      <c r="B1339" s="59">
        <v>44260</v>
      </c>
      <c r="C1339" s="54">
        <v>475</v>
      </c>
      <c r="D1339" s="54">
        <v>642.5</v>
      </c>
      <c r="E1339">
        <f t="shared" si="41"/>
        <v>1.3526315789473684</v>
      </c>
    </row>
    <row r="1340" spans="1:5" x14ac:dyDescent="0.3">
      <c r="A1340">
        <f t="shared" si="40"/>
        <v>2021</v>
      </c>
      <c r="B1340" s="59">
        <v>44263</v>
      </c>
      <c r="C1340" s="54">
        <v>470</v>
      </c>
      <c r="D1340" s="54">
        <v>642</v>
      </c>
      <c r="E1340">
        <f t="shared" si="41"/>
        <v>1.3659574468085107</v>
      </c>
    </row>
    <row r="1341" spans="1:5" x14ac:dyDescent="0.3">
      <c r="A1341">
        <f t="shared" si="40"/>
        <v>2021</v>
      </c>
      <c r="B1341" s="59">
        <v>44264</v>
      </c>
      <c r="C1341" s="54">
        <v>464.5</v>
      </c>
      <c r="D1341" s="54">
        <v>636</v>
      </c>
      <c r="E1341">
        <f t="shared" si="41"/>
        <v>1.3692142088266954</v>
      </c>
    </row>
    <row r="1342" spans="1:5" x14ac:dyDescent="0.3">
      <c r="A1342">
        <f t="shared" si="40"/>
        <v>2021</v>
      </c>
      <c r="B1342" s="59">
        <v>44265</v>
      </c>
      <c r="C1342" s="54">
        <v>450</v>
      </c>
      <c r="D1342" s="54">
        <v>627</v>
      </c>
      <c r="E1342">
        <f t="shared" si="41"/>
        <v>1.3933333333333333</v>
      </c>
    </row>
    <row r="1343" spans="1:5" x14ac:dyDescent="0.3">
      <c r="A1343">
        <f t="shared" si="40"/>
        <v>2021</v>
      </c>
      <c r="B1343" s="59">
        <v>44266</v>
      </c>
      <c r="C1343" s="54">
        <v>453</v>
      </c>
      <c r="D1343" s="54">
        <v>636</v>
      </c>
      <c r="E1343">
        <f t="shared" si="41"/>
        <v>1.4039735099337749</v>
      </c>
    </row>
    <row r="1344" spans="1:5" x14ac:dyDescent="0.3">
      <c r="A1344">
        <f t="shared" si="40"/>
        <v>2021</v>
      </c>
      <c r="B1344" s="59">
        <v>44267</v>
      </c>
      <c r="C1344" s="54">
        <v>458</v>
      </c>
      <c r="D1344" s="54">
        <v>635.5</v>
      </c>
      <c r="E1344">
        <f t="shared" si="41"/>
        <v>1.3875545851528384</v>
      </c>
    </row>
    <row r="1345" spans="1:5" x14ac:dyDescent="0.3">
      <c r="A1345">
        <f t="shared" si="40"/>
        <v>2021</v>
      </c>
      <c r="B1345" s="59">
        <v>44270</v>
      </c>
      <c r="C1345" s="54">
        <v>462</v>
      </c>
      <c r="D1345" s="54">
        <v>635.5</v>
      </c>
      <c r="E1345">
        <f t="shared" si="41"/>
        <v>1.3755411255411256</v>
      </c>
    </row>
    <row r="1346" spans="1:5" x14ac:dyDescent="0.3">
      <c r="A1346">
        <f t="shared" si="40"/>
        <v>2021</v>
      </c>
      <c r="B1346" s="59">
        <v>44271</v>
      </c>
      <c r="C1346" s="54">
        <v>459</v>
      </c>
      <c r="D1346" s="54">
        <v>635.5</v>
      </c>
      <c r="E1346">
        <f t="shared" si="41"/>
        <v>1.3845315904139432</v>
      </c>
    </row>
    <row r="1347" spans="1:5" x14ac:dyDescent="0.3">
      <c r="A1347">
        <f t="shared" si="40"/>
        <v>2021</v>
      </c>
      <c r="B1347" s="59">
        <v>44272</v>
      </c>
      <c r="C1347" s="54">
        <v>459</v>
      </c>
      <c r="D1347" s="54">
        <v>628</v>
      </c>
      <c r="E1347">
        <f t="shared" si="41"/>
        <v>1.3681917211328976</v>
      </c>
    </row>
    <row r="1348" spans="1:5" x14ac:dyDescent="0.3">
      <c r="A1348">
        <f t="shared" ref="A1348:A1411" si="42">YEAR(B1348)</f>
        <v>2021</v>
      </c>
      <c r="B1348" s="59">
        <v>44273</v>
      </c>
      <c r="C1348" s="54">
        <v>458</v>
      </c>
      <c r="D1348" s="54">
        <v>632.5</v>
      </c>
      <c r="E1348">
        <f t="shared" ref="E1348:E1411" si="43">D1348/C1348</f>
        <v>1.3810043668122272</v>
      </c>
    </row>
    <row r="1349" spans="1:5" x14ac:dyDescent="0.3">
      <c r="A1349">
        <f t="shared" si="42"/>
        <v>2021</v>
      </c>
      <c r="B1349" s="59">
        <v>44274</v>
      </c>
      <c r="C1349" s="54">
        <v>458</v>
      </c>
      <c r="D1349" s="54">
        <v>623</v>
      </c>
      <c r="E1349">
        <f t="shared" si="43"/>
        <v>1.3602620087336244</v>
      </c>
    </row>
    <row r="1350" spans="1:5" x14ac:dyDescent="0.3">
      <c r="A1350">
        <f t="shared" si="42"/>
        <v>2021</v>
      </c>
      <c r="B1350" s="59">
        <v>44277</v>
      </c>
      <c r="C1350" s="54">
        <v>453</v>
      </c>
      <c r="D1350" s="54">
        <v>619.5</v>
      </c>
      <c r="E1350">
        <f t="shared" si="43"/>
        <v>1.3675496688741722</v>
      </c>
    </row>
    <row r="1351" spans="1:5" x14ac:dyDescent="0.3">
      <c r="A1351">
        <f t="shared" si="42"/>
        <v>2021</v>
      </c>
      <c r="B1351" s="59">
        <v>44278</v>
      </c>
      <c r="C1351" s="54">
        <v>448.5</v>
      </c>
      <c r="D1351" s="54">
        <v>622</v>
      </c>
      <c r="E1351">
        <f t="shared" si="43"/>
        <v>1.386845039018952</v>
      </c>
    </row>
    <row r="1352" spans="1:5" x14ac:dyDescent="0.3">
      <c r="A1352">
        <f t="shared" si="42"/>
        <v>2021</v>
      </c>
      <c r="B1352" s="59">
        <v>44279</v>
      </c>
      <c r="C1352" s="54">
        <v>445</v>
      </c>
      <c r="D1352" s="54">
        <v>623</v>
      </c>
      <c r="E1352">
        <f t="shared" si="43"/>
        <v>1.4</v>
      </c>
    </row>
    <row r="1353" spans="1:5" x14ac:dyDescent="0.3">
      <c r="A1353">
        <f t="shared" si="42"/>
        <v>2021</v>
      </c>
      <c r="B1353" s="59">
        <v>44280</v>
      </c>
      <c r="C1353" s="54">
        <v>451</v>
      </c>
      <c r="D1353" s="54">
        <v>625</v>
      </c>
      <c r="E1353">
        <f t="shared" si="43"/>
        <v>1.3858093126385809</v>
      </c>
    </row>
    <row r="1354" spans="1:5" x14ac:dyDescent="0.3">
      <c r="A1354">
        <f t="shared" si="42"/>
        <v>2021</v>
      </c>
      <c r="B1354" s="59">
        <v>44281</v>
      </c>
      <c r="C1354" s="54">
        <v>460.5</v>
      </c>
      <c r="D1354" s="54">
        <v>636</v>
      </c>
      <c r="E1354">
        <f t="shared" si="43"/>
        <v>1.3811074918566775</v>
      </c>
    </row>
    <row r="1355" spans="1:5" x14ac:dyDescent="0.3">
      <c r="A1355">
        <f t="shared" si="42"/>
        <v>2021</v>
      </c>
      <c r="B1355" s="59">
        <v>44284</v>
      </c>
      <c r="C1355" s="54">
        <v>466</v>
      </c>
      <c r="D1355" s="54">
        <v>635.5</v>
      </c>
      <c r="E1355">
        <f t="shared" si="43"/>
        <v>1.3637339055793991</v>
      </c>
    </row>
    <row r="1356" spans="1:5" x14ac:dyDescent="0.3">
      <c r="A1356">
        <f t="shared" si="42"/>
        <v>2021</v>
      </c>
      <c r="B1356" s="59">
        <v>44285</v>
      </c>
      <c r="C1356" s="54">
        <v>471</v>
      </c>
      <c r="D1356" s="54">
        <v>647.5</v>
      </c>
      <c r="E1356">
        <f t="shared" si="43"/>
        <v>1.3747346072186837</v>
      </c>
    </row>
    <row r="1357" spans="1:5" x14ac:dyDescent="0.3">
      <c r="A1357">
        <f t="shared" si="42"/>
        <v>2021</v>
      </c>
      <c r="B1357" s="59">
        <v>44286</v>
      </c>
      <c r="C1357" s="54">
        <v>475</v>
      </c>
      <c r="D1357" s="54">
        <v>646</v>
      </c>
      <c r="E1357">
        <f t="shared" si="43"/>
        <v>1.36</v>
      </c>
    </row>
    <row r="1358" spans="1:5" x14ac:dyDescent="0.3">
      <c r="A1358">
        <f t="shared" si="42"/>
        <v>2021</v>
      </c>
      <c r="B1358" s="59">
        <v>44287</v>
      </c>
      <c r="C1358" s="54">
        <v>476</v>
      </c>
      <c r="D1358" s="54">
        <v>643</v>
      </c>
      <c r="E1358">
        <f t="shared" si="43"/>
        <v>1.3508403361344539</v>
      </c>
    </row>
    <row r="1359" spans="1:5" x14ac:dyDescent="0.3">
      <c r="A1359">
        <f t="shared" si="42"/>
        <v>2021</v>
      </c>
      <c r="B1359" s="59">
        <v>44292</v>
      </c>
      <c r="C1359" s="54">
        <v>479.5</v>
      </c>
      <c r="D1359" s="54">
        <v>651</v>
      </c>
      <c r="E1359">
        <f t="shared" si="43"/>
        <v>1.3576642335766422</v>
      </c>
    </row>
    <row r="1360" spans="1:5" x14ac:dyDescent="0.3">
      <c r="A1360">
        <f t="shared" si="42"/>
        <v>2021</v>
      </c>
      <c r="B1360" s="59">
        <v>44293</v>
      </c>
      <c r="C1360" s="54">
        <v>481</v>
      </c>
      <c r="D1360" s="54">
        <v>651</v>
      </c>
      <c r="E1360">
        <f t="shared" si="43"/>
        <v>1.3534303534303533</v>
      </c>
    </row>
    <row r="1361" spans="1:5" x14ac:dyDescent="0.3">
      <c r="A1361">
        <f t="shared" si="42"/>
        <v>2021</v>
      </c>
      <c r="B1361" s="59">
        <v>44294</v>
      </c>
      <c r="C1361" s="54">
        <v>478</v>
      </c>
      <c r="D1361" s="54">
        <v>647</v>
      </c>
      <c r="E1361">
        <f t="shared" si="43"/>
        <v>1.3535564853556485</v>
      </c>
    </row>
    <row r="1362" spans="1:5" x14ac:dyDescent="0.3">
      <c r="A1362">
        <f t="shared" si="42"/>
        <v>2021</v>
      </c>
      <c r="B1362" s="59">
        <v>44295</v>
      </c>
      <c r="C1362" s="54">
        <v>472</v>
      </c>
      <c r="D1362" s="54">
        <v>647.5</v>
      </c>
      <c r="E1362">
        <f t="shared" si="43"/>
        <v>1.3718220338983051</v>
      </c>
    </row>
    <row r="1363" spans="1:5" x14ac:dyDescent="0.3">
      <c r="A1363">
        <f t="shared" si="42"/>
        <v>2021</v>
      </c>
      <c r="B1363" s="59">
        <v>44298</v>
      </c>
      <c r="C1363" s="54">
        <v>466</v>
      </c>
      <c r="D1363" s="54">
        <v>644.5</v>
      </c>
      <c r="E1363">
        <f t="shared" si="43"/>
        <v>1.3830472103004292</v>
      </c>
    </row>
    <row r="1364" spans="1:5" x14ac:dyDescent="0.3">
      <c r="A1364">
        <f t="shared" si="42"/>
        <v>2021</v>
      </c>
      <c r="B1364" s="59">
        <v>44299</v>
      </c>
      <c r="C1364" s="54">
        <v>468</v>
      </c>
      <c r="D1364" s="54">
        <v>644</v>
      </c>
      <c r="E1364">
        <f t="shared" si="43"/>
        <v>1.3760683760683761</v>
      </c>
    </row>
    <row r="1365" spans="1:5" x14ac:dyDescent="0.3">
      <c r="A1365">
        <f t="shared" si="42"/>
        <v>2021</v>
      </c>
      <c r="B1365" s="59">
        <v>44300</v>
      </c>
      <c r="C1365" s="54">
        <v>474</v>
      </c>
      <c r="D1365" s="54">
        <v>650</v>
      </c>
      <c r="E1365">
        <f t="shared" si="43"/>
        <v>1.371308016877637</v>
      </c>
    </row>
    <row r="1366" spans="1:5" x14ac:dyDescent="0.3">
      <c r="A1366">
        <f t="shared" si="42"/>
        <v>2021</v>
      </c>
      <c r="B1366" s="59">
        <v>44301</v>
      </c>
      <c r="C1366" s="54">
        <v>468</v>
      </c>
      <c r="D1366" s="54">
        <v>651.5</v>
      </c>
      <c r="E1366">
        <f t="shared" si="43"/>
        <v>1.392094017094017</v>
      </c>
    </row>
    <row r="1367" spans="1:5" x14ac:dyDescent="0.3">
      <c r="A1367">
        <f t="shared" si="42"/>
        <v>2021</v>
      </c>
      <c r="B1367" s="59">
        <v>44302</v>
      </c>
      <c r="C1367" s="54">
        <v>470</v>
      </c>
      <c r="D1367" s="54">
        <v>658</v>
      </c>
      <c r="E1367">
        <f t="shared" si="43"/>
        <v>1.4</v>
      </c>
    </row>
    <row r="1368" spans="1:5" x14ac:dyDescent="0.3">
      <c r="A1368">
        <f t="shared" si="42"/>
        <v>2021</v>
      </c>
      <c r="B1368" s="59">
        <v>44305</v>
      </c>
      <c r="C1368" s="54">
        <v>464.5</v>
      </c>
      <c r="D1368" s="54">
        <v>657</v>
      </c>
      <c r="E1368">
        <f t="shared" si="43"/>
        <v>1.4144241119483316</v>
      </c>
    </row>
    <row r="1369" spans="1:5" x14ac:dyDescent="0.3">
      <c r="A1369">
        <f t="shared" si="42"/>
        <v>2021</v>
      </c>
      <c r="B1369" s="59">
        <v>44306</v>
      </c>
      <c r="C1369" s="54">
        <v>461</v>
      </c>
      <c r="D1369" s="54">
        <v>653.5</v>
      </c>
      <c r="E1369">
        <f t="shared" si="43"/>
        <v>1.4175704989154012</v>
      </c>
    </row>
    <row r="1370" spans="1:5" x14ac:dyDescent="0.3">
      <c r="A1370">
        <f t="shared" si="42"/>
        <v>2021</v>
      </c>
      <c r="B1370" s="59">
        <v>44307</v>
      </c>
      <c r="C1370" s="54">
        <v>459.5</v>
      </c>
      <c r="D1370" s="54">
        <v>649.5</v>
      </c>
      <c r="E1370">
        <f t="shared" si="43"/>
        <v>1.4134929270946681</v>
      </c>
    </row>
    <row r="1371" spans="1:5" x14ac:dyDescent="0.3">
      <c r="A1371">
        <f t="shared" si="42"/>
        <v>2021</v>
      </c>
      <c r="B1371" s="59">
        <v>44308</v>
      </c>
      <c r="C1371" s="54">
        <v>457</v>
      </c>
      <c r="D1371" s="54">
        <v>650.5</v>
      </c>
      <c r="E1371">
        <f t="shared" si="43"/>
        <v>1.4234135667396062</v>
      </c>
    </row>
    <row r="1372" spans="1:5" x14ac:dyDescent="0.3">
      <c r="A1372">
        <f t="shared" si="42"/>
        <v>2021</v>
      </c>
      <c r="B1372" s="59">
        <v>44309</v>
      </c>
      <c r="C1372" s="54">
        <v>460</v>
      </c>
      <c r="D1372" s="54">
        <v>654</v>
      </c>
      <c r="E1372">
        <f t="shared" si="43"/>
        <v>1.4217391304347826</v>
      </c>
    </row>
    <row r="1373" spans="1:5" x14ac:dyDescent="0.3">
      <c r="A1373">
        <f t="shared" si="42"/>
        <v>2021</v>
      </c>
      <c r="B1373" s="59">
        <v>44312</v>
      </c>
      <c r="C1373" s="54">
        <v>468</v>
      </c>
      <c r="D1373" s="54">
        <v>652</v>
      </c>
      <c r="E1373">
        <f t="shared" si="43"/>
        <v>1.3931623931623931</v>
      </c>
    </row>
    <row r="1374" spans="1:5" x14ac:dyDescent="0.3">
      <c r="A1374">
        <f t="shared" si="42"/>
        <v>2021</v>
      </c>
      <c r="B1374" s="59">
        <v>44313</v>
      </c>
      <c r="C1374" s="54">
        <v>469</v>
      </c>
      <c r="D1374" s="54">
        <v>660</v>
      </c>
      <c r="E1374">
        <f t="shared" si="43"/>
        <v>1.4072494669509594</v>
      </c>
    </row>
    <row r="1375" spans="1:5" x14ac:dyDescent="0.3">
      <c r="A1375">
        <f t="shared" si="42"/>
        <v>2021</v>
      </c>
      <c r="B1375" s="59">
        <v>44314</v>
      </c>
      <c r="C1375" s="54">
        <v>465.5</v>
      </c>
      <c r="D1375" s="54">
        <v>660</v>
      </c>
      <c r="E1375">
        <f t="shared" si="43"/>
        <v>1.4178302900107411</v>
      </c>
    </row>
    <row r="1376" spans="1:5" x14ac:dyDescent="0.3">
      <c r="A1376">
        <f t="shared" si="42"/>
        <v>2021</v>
      </c>
      <c r="B1376" s="59">
        <v>44315</v>
      </c>
      <c r="C1376" s="54">
        <v>468</v>
      </c>
      <c r="D1376" s="54">
        <v>663</v>
      </c>
      <c r="E1376">
        <f t="shared" si="43"/>
        <v>1.4166666666666667</v>
      </c>
    </row>
    <row r="1377" spans="1:5" x14ac:dyDescent="0.3">
      <c r="A1377">
        <f t="shared" si="42"/>
        <v>2021</v>
      </c>
      <c r="B1377" s="59">
        <v>44316</v>
      </c>
      <c r="C1377" s="54">
        <v>475</v>
      </c>
      <c r="D1377" s="54">
        <v>681</v>
      </c>
      <c r="E1377">
        <f t="shared" si="43"/>
        <v>1.4336842105263159</v>
      </c>
    </row>
    <row r="1378" spans="1:5" x14ac:dyDescent="0.3">
      <c r="A1378">
        <f t="shared" si="42"/>
        <v>2021</v>
      </c>
      <c r="B1378" s="59">
        <v>44320</v>
      </c>
      <c r="C1378" s="54">
        <v>489</v>
      </c>
      <c r="D1378" s="54">
        <v>698.5</v>
      </c>
      <c r="E1378">
        <f t="shared" si="43"/>
        <v>1.4284253578732107</v>
      </c>
    </row>
    <row r="1379" spans="1:5" x14ac:dyDescent="0.3">
      <c r="A1379">
        <f t="shared" si="42"/>
        <v>2021</v>
      </c>
      <c r="B1379" s="59">
        <v>44321</v>
      </c>
      <c r="C1379" s="54">
        <v>500</v>
      </c>
      <c r="D1379" s="54">
        <v>724</v>
      </c>
      <c r="E1379">
        <f t="shared" si="43"/>
        <v>1.448</v>
      </c>
    </row>
    <row r="1380" spans="1:5" x14ac:dyDescent="0.3">
      <c r="A1380">
        <f t="shared" si="42"/>
        <v>2021</v>
      </c>
      <c r="B1380" s="59">
        <v>44322</v>
      </c>
      <c r="C1380" s="54">
        <v>515</v>
      </c>
      <c r="D1380" s="54">
        <v>740</v>
      </c>
      <c r="E1380">
        <f t="shared" si="43"/>
        <v>1.4368932038834952</v>
      </c>
    </row>
    <row r="1381" spans="1:5" x14ac:dyDescent="0.3">
      <c r="A1381">
        <f t="shared" si="42"/>
        <v>2021</v>
      </c>
      <c r="B1381" s="59">
        <v>44323</v>
      </c>
      <c r="C1381" s="54">
        <v>547.5</v>
      </c>
      <c r="D1381" s="54">
        <v>763</v>
      </c>
      <c r="E1381">
        <f t="shared" si="43"/>
        <v>1.393607305936073</v>
      </c>
    </row>
    <row r="1382" spans="1:5" x14ac:dyDescent="0.3">
      <c r="A1382">
        <f t="shared" si="42"/>
        <v>2021</v>
      </c>
      <c r="B1382" s="59">
        <v>44326</v>
      </c>
      <c r="C1382" s="54">
        <v>547.5</v>
      </c>
      <c r="D1382" s="54">
        <v>780</v>
      </c>
      <c r="E1382">
        <f t="shared" si="43"/>
        <v>1.4246575342465753</v>
      </c>
    </row>
    <row r="1383" spans="1:5" x14ac:dyDescent="0.3">
      <c r="A1383">
        <f t="shared" si="42"/>
        <v>2021</v>
      </c>
      <c r="B1383" s="59">
        <v>44327</v>
      </c>
      <c r="C1383" s="54">
        <v>561.5</v>
      </c>
      <c r="D1383" s="54">
        <v>790</v>
      </c>
      <c r="E1383">
        <f t="shared" si="43"/>
        <v>1.4069456812110419</v>
      </c>
    </row>
    <row r="1384" spans="1:5" x14ac:dyDescent="0.3">
      <c r="A1384">
        <f t="shared" si="42"/>
        <v>2021</v>
      </c>
      <c r="B1384" s="59">
        <v>44328</v>
      </c>
      <c r="C1384" s="54">
        <v>565</v>
      </c>
      <c r="D1384" s="54">
        <v>848</v>
      </c>
      <c r="E1384">
        <f t="shared" si="43"/>
        <v>1.5008849557522124</v>
      </c>
    </row>
    <row r="1385" spans="1:5" x14ac:dyDescent="0.3">
      <c r="A1385">
        <f t="shared" si="42"/>
        <v>2021</v>
      </c>
      <c r="B1385" s="59">
        <v>44329</v>
      </c>
      <c r="C1385" s="54">
        <v>540</v>
      </c>
      <c r="D1385" s="54">
        <v>848</v>
      </c>
      <c r="E1385">
        <f t="shared" si="43"/>
        <v>1.5703703703703704</v>
      </c>
    </row>
    <row r="1386" spans="1:5" x14ac:dyDescent="0.3">
      <c r="A1386">
        <f t="shared" si="42"/>
        <v>2021</v>
      </c>
      <c r="B1386" s="59">
        <v>44330</v>
      </c>
      <c r="C1386" s="54">
        <v>522</v>
      </c>
      <c r="D1386" s="54">
        <v>785</v>
      </c>
      <c r="E1386">
        <f t="shared" si="43"/>
        <v>1.5038314176245211</v>
      </c>
    </row>
    <row r="1387" spans="1:5" x14ac:dyDescent="0.3">
      <c r="A1387">
        <f t="shared" si="42"/>
        <v>2021</v>
      </c>
      <c r="B1387" s="59">
        <v>44333</v>
      </c>
      <c r="C1387" s="54">
        <v>517</v>
      </c>
      <c r="D1387" s="54">
        <v>775.5</v>
      </c>
      <c r="E1387">
        <f t="shared" si="43"/>
        <v>1.5</v>
      </c>
    </row>
    <row r="1388" spans="1:5" x14ac:dyDescent="0.3">
      <c r="A1388">
        <f t="shared" si="42"/>
        <v>2021</v>
      </c>
      <c r="B1388" s="59">
        <v>44334</v>
      </c>
      <c r="C1388" s="54">
        <v>525</v>
      </c>
      <c r="D1388" s="54">
        <v>788</v>
      </c>
      <c r="E1388">
        <f t="shared" si="43"/>
        <v>1.500952380952381</v>
      </c>
    </row>
    <row r="1389" spans="1:5" x14ac:dyDescent="0.3">
      <c r="A1389">
        <f t="shared" si="42"/>
        <v>2021</v>
      </c>
      <c r="B1389" s="59">
        <v>44335</v>
      </c>
      <c r="C1389" s="54">
        <v>515.5</v>
      </c>
      <c r="D1389" s="54">
        <v>779</v>
      </c>
      <c r="E1389">
        <f t="shared" si="43"/>
        <v>1.5111542192046556</v>
      </c>
    </row>
    <row r="1390" spans="1:5" x14ac:dyDescent="0.3">
      <c r="A1390">
        <f t="shared" si="42"/>
        <v>2021</v>
      </c>
      <c r="B1390" s="59">
        <v>44336</v>
      </c>
      <c r="C1390" s="54">
        <v>517.5</v>
      </c>
      <c r="D1390" s="54">
        <v>780</v>
      </c>
      <c r="E1390">
        <f t="shared" si="43"/>
        <v>1.5072463768115942</v>
      </c>
    </row>
    <row r="1391" spans="1:5" x14ac:dyDescent="0.3">
      <c r="A1391">
        <f t="shared" si="42"/>
        <v>2021</v>
      </c>
      <c r="B1391" s="59">
        <v>44337</v>
      </c>
      <c r="C1391" s="54">
        <v>520</v>
      </c>
      <c r="D1391" s="54">
        <v>774</v>
      </c>
      <c r="E1391">
        <f t="shared" si="43"/>
        <v>1.4884615384615385</v>
      </c>
    </row>
    <row r="1392" spans="1:5" x14ac:dyDescent="0.3">
      <c r="A1392">
        <f t="shared" si="42"/>
        <v>2021</v>
      </c>
      <c r="B1392" s="59">
        <v>44340</v>
      </c>
      <c r="C1392" s="54">
        <v>521.5</v>
      </c>
      <c r="D1392" s="54">
        <v>774</v>
      </c>
      <c r="E1392">
        <f t="shared" si="43"/>
        <v>1.4841802492809204</v>
      </c>
    </row>
    <row r="1393" spans="1:5" x14ac:dyDescent="0.3">
      <c r="A1393">
        <f t="shared" si="42"/>
        <v>2021</v>
      </c>
      <c r="B1393" s="59">
        <v>44341</v>
      </c>
      <c r="C1393" s="54">
        <v>518</v>
      </c>
      <c r="D1393" s="54">
        <v>782.5</v>
      </c>
      <c r="E1393">
        <f t="shared" si="43"/>
        <v>1.5106177606177607</v>
      </c>
    </row>
    <row r="1394" spans="1:5" x14ac:dyDescent="0.3">
      <c r="A1394">
        <f t="shared" si="42"/>
        <v>2021</v>
      </c>
      <c r="B1394" s="59">
        <v>44342</v>
      </c>
      <c r="C1394" s="54">
        <v>510</v>
      </c>
      <c r="D1394" s="54">
        <v>760</v>
      </c>
      <c r="E1394">
        <f t="shared" si="43"/>
        <v>1.4901960784313726</v>
      </c>
    </row>
    <row r="1395" spans="1:5" x14ac:dyDescent="0.3">
      <c r="A1395">
        <f t="shared" si="42"/>
        <v>2021</v>
      </c>
      <c r="B1395" s="59">
        <v>44343</v>
      </c>
      <c r="C1395" s="54">
        <v>515</v>
      </c>
      <c r="D1395" s="54">
        <v>758</v>
      </c>
      <c r="E1395">
        <f t="shared" si="43"/>
        <v>1.4718446601941748</v>
      </c>
    </row>
    <row r="1396" spans="1:5" x14ac:dyDescent="0.3">
      <c r="A1396">
        <f t="shared" si="42"/>
        <v>2021</v>
      </c>
      <c r="B1396" s="59">
        <v>44344</v>
      </c>
      <c r="C1396" s="54">
        <v>507</v>
      </c>
      <c r="D1396" s="54">
        <v>748.5</v>
      </c>
      <c r="E1396">
        <f t="shared" si="43"/>
        <v>1.4763313609467457</v>
      </c>
    </row>
    <row r="1397" spans="1:5" x14ac:dyDescent="0.3">
      <c r="A1397">
        <f t="shared" si="42"/>
        <v>2021</v>
      </c>
      <c r="B1397" s="59">
        <v>44348</v>
      </c>
      <c r="C1397" s="54">
        <v>507</v>
      </c>
      <c r="D1397" s="54">
        <v>747.5</v>
      </c>
      <c r="E1397">
        <f t="shared" si="43"/>
        <v>1.4743589743589745</v>
      </c>
    </row>
    <row r="1398" spans="1:5" x14ac:dyDescent="0.3">
      <c r="A1398">
        <f t="shared" si="42"/>
        <v>2021</v>
      </c>
      <c r="B1398" s="59">
        <v>44349</v>
      </c>
      <c r="C1398" s="54">
        <v>510</v>
      </c>
      <c r="D1398" s="54">
        <v>755</v>
      </c>
      <c r="E1398">
        <f t="shared" si="43"/>
        <v>1.4803921568627452</v>
      </c>
    </row>
    <row r="1399" spans="1:5" x14ac:dyDescent="0.3">
      <c r="A1399">
        <f t="shared" si="42"/>
        <v>2021</v>
      </c>
      <c r="B1399" s="59">
        <v>44350</v>
      </c>
      <c r="C1399" s="54">
        <v>514</v>
      </c>
      <c r="D1399" s="54">
        <v>762</v>
      </c>
      <c r="E1399">
        <f t="shared" si="43"/>
        <v>1.4824902723735409</v>
      </c>
    </row>
    <row r="1400" spans="1:5" x14ac:dyDescent="0.3">
      <c r="A1400">
        <f t="shared" si="42"/>
        <v>2021</v>
      </c>
      <c r="B1400" s="59">
        <v>44351</v>
      </c>
      <c r="C1400" s="54">
        <v>512</v>
      </c>
      <c r="D1400" s="54">
        <v>762</v>
      </c>
      <c r="E1400">
        <f t="shared" si="43"/>
        <v>1.48828125</v>
      </c>
    </row>
    <row r="1401" spans="1:5" x14ac:dyDescent="0.3">
      <c r="A1401">
        <f t="shared" si="42"/>
        <v>2021</v>
      </c>
      <c r="B1401" s="59">
        <v>44354</v>
      </c>
      <c r="C1401" s="54">
        <v>508</v>
      </c>
      <c r="D1401" s="54">
        <v>762</v>
      </c>
      <c r="E1401">
        <f t="shared" si="43"/>
        <v>1.5</v>
      </c>
    </row>
    <row r="1402" spans="1:5" x14ac:dyDescent="0.3">
      <c r="A1402">
        <f t="shared" si="42"/>
        <v>2021</v>
      </c>
      <c r="B1402" s="59">
        <v>44355</v>
      </c>
      <c r="C1402" s="54">
        <v>512</v>
      </c>
      <c r="D1402" s="54">
        <v>749.5</v>
      </c>
      <c r="E1402">
        <f t="shared" si="43"/>
        <v>1.4638671875</v>
      </c>
    </row>
    <row r="1403" spans="1:5" x14ac:dyDescent="0.3">
      <c r="A1403">
        <f t="shared" si="42"/>
        <v>2021</v>
      </c>
      <c r="B1403" s="59">
        <v>44356</v>
      </c>
      <c r="C1403" s="54">
        <v>508</v>
      </c>
      <c r="D1403" s="54">
        <v>749.5</v>
      </c>
      <c r="E1403">
        <f t="shared" si="43"/>
        <v>1.4753937007874016</v>
      </c>
    </row>
    <row r="1404" spans="1:5" x14ac:dyDescent="0.3">
      <c r="A1404">
        <f t="shared" si="42"/>
        <v>2021</v>
      </c>
      <c r="B1404" s="59">
        <v>44357</v>
      </c>
      <c r="C1404" s="54">
        <v>517</v>
      </c>
      <c r="D1404" s="54">
        <v>749.5</v>
      </c>
      <c r="E1404">
        <f t="shared" si="43"/>
        <v>1.4497098646034816</v>
      </c>
    </row>
    <row r="1405" spans="1:5" x14ac:dyDescent="0.3">
      <c r="A1405">
        <f t="shared" si="42"/>
        <v>2021</v>
      </c>
      <c r="B1405" s="59">
        <v>44358</v>
      </c>
      <c r="C1405" s="54">
        <v>517</v>
      </c>
      <c r="D1405" s="54">
        <v>749.5</v>
      </c>
      <c r="E1405">
        <f t="shared" si="43"/>
        <v>1.4497098646034816</v>
      </c>
    </row>
    <row r="1406" spans="1:5" x14ac:dyDescent="0.3">
      <c r="A1406">
        <f t="shared" si="42"/>
        <v>2021</v>
      </c>
      <c r="B1406" s="59">
        <v>44361</v>
      </c>
      <c r="C1406" s="54">
        <v>510</v>
      </c>
      <c r="D1406" s="54">
        <v>749.5</v>
      </c>
      <c r="E1406">
        <f t="shared" si="43"/>
        <v>1.469607843137255</v>
      </c>
    </row>
    <row r="1407" spans="1:5" x14ac:dyDescent="0.3">
      <c r="A1407">
        <f t="shared" si="42"/>
        <v>2021</v>
      </c>
      <c r="B1407" s="59">
        <v>44362</v>
      </c>
      <c r="C1407" s="54">
        <v>510</v>
      </c>
      <c r="D1407" s="54">
        <v>750</v>
      </c>
      <c r="E1407">
        <f t="shared" si="43"/>
        <v>1.4705882352941178</v>
      </c>
    </row>
    <row r="1408" spans="1:5" x14ac:dyDescent="0.3">
      <c r="A1408">
        <f t="shared" si="42"/>
        <v>2021</v>
      </c>
      <c r="B1408" s="59">
        <v>44363</v>
      </c>
      <c r="C1408" s="54">
        <v>503.5</v>
      </c>
      <c r="D1408" s="54">
        <v>750</v>
      </c>
      <c r="E1408">
        <f t="shared" si="43"/>
        <v>1.4895729890764648</v>
      </c>
    </row>
    <row r="1409" spans="1:5" x14ac:dyDescent="0.3">
      <c r="A1409">
        <f t="shared" si="42"/>
        <v>2021</v>
      </c>
      <c r="B1409" s="59">
        <v>44364</v>
      </c>
      <c r="C1409" s="54">
        <v>510</v>
      </c>
      <c r="D1409" s="54">
        <v>750</v>
      </c>
      <c r="E1409">
        <f t="shared" si="43"/>
        <v>1.4705882352941178</v>
      </c>
    </row>
    <row r="1410" spans="1:5" x14ac:dyDescent="0.3">
      <c r="A1410">
        <f t="shared" si="42"/>
        <v>2021</v>
      </c>
      <c r="B1410" s="59">
        <v>44365</v>
      </c>
      <c r="C1410" s="54">
        <v>511</v>
      </c>
      <c r="D1410" s="54">
        <v>750</v>
      </c>
      <c r="E1410">
        <f t="shared" si="43"/>
        <v>1.4677103718199609</v>
      </c>
    </row>
    <row r="1411" spans="1:5" x14ac:dyDescent="0.3">
      <c r="A1411">
        <f t="shared" si="42"/>
        <v>2021</v>
      </c>
      <c r="B1411" s="59">
        <v>44368</v>
      </c>
      <c r="C1411" s="54">
        <v>500</v>
      </c>
      <c r="D1411" s="54">
        <v>750</v>
      </c>
      <c r="E1411">
        <f t="shared" si="43"/>
        <v>1.5</v>
      </c>
    </row>
    <row r="1412" spans="1:5" x14ac:dyDescent="0.3">
      <c r="A1412">
        <f t="shared" ref="A1412:A1420" si="44">YEAR(B1412)</f>
        <v>2021</v>
      </c>
      <c r="B1412" s="59">
        <v>44369</v>
      </c>
      <c r="C1412" s="54">
        <v>500.5</v>
      </c>
      <c r="D1412" s="54">
        <v>750</v>
      </c>
      <c r="E1412">
        <f t="shared" ref="E1412:E1420" si="45">D1412/C1412</f>
        <v>1.4985014985014986</v>
      </c>
    </row>
    <row r="1413" spans="1:5" x14ac:dyDescent="0.3">
      <c r="A1413">
        <f t="shared" si="44"/>
        <v>2021</v>
      </c>
      <c r="B1413" s="59">
        <v>44370</v>
      </c>
      <c r="C1413" s="54">
        <v>490</v>
      </c>
      <c r="D1413" s="54">
        <v>740</v>
      </c>
      <c r="E1413">
        <f t="shared" si="45"/>
        <v>1.510204081632653</v>
      </c>
    </row>
    <row r="1414" spans="1:5" x14ac:dyDescent="0.3">
      <c r="A1414">
        <f t="shared" si="44"/>
        <v>2021</v>
      </c>
      <c r="B1414" s="59">
        <v>44371</v>
      </c>
      <c r="C1414" s="54">
        <v>495</v>
      </c>
      <c r="D1414" s="54">
        <v>738</v>
      </c>
      <c r="E1414">
        <f t="shared" si="45"/>
        <v>1.490909090909091</v>
      </c>
    </row>
    <row r="1415" spans="1:5" x14ac:dyDescent="0.3">
      <c r="A1415">
        <f t="shared" si="44"/>
        <v>2021</v>
      </c>
      <c r="B1415" s="59">
        <v>44372</v>
      </c>
      <c r="C1415" s="54">
        <v>505</v>
      </c>
      <c r="D1415" s="54">
        <v>753</v>
      </c>
      <c r="E1415">
        <f t="shared" si="45"/>
        <v>1.4910891089108911</v>
      </c>
    </row>
    <row r="1416" spans="1:5" x14ac:dyDescent="0.3">
      <c r="A1416">
        <f t="shared" si="44"/>
        <v>2021</v>
      </c>
      <c r="B1416" s="59">
        <v>44375</v>
      </c>
      <c r="C1416" s="54">
        <v>505</v>
      </c>
      <c r="D1416" s="54">
        <v>749</v>
      </c>
      <c r="E1416">
        <f t="shared" si="45"/>
        <v>1.4831683168316832</v>
      </c>
    </row>
    <row r="1417" spans="1:5" x14ac:dyDescent="0.3">
      <c r="A1417">
        <f t="shared" si="44"/>
        <v>2021</v>
      </c>
      <c r="B1417" s="59">
        <v>44376</v>
      </c>
      <c r="C1417" s="54">
        <v>500</v>
      </c>
      <c r="D1417" s="54">
        <v>749</v>
      </c>
      <c r="E1417">
        <f t="shared" si="45"/>
        <v>1.498</v>
      </c>
    </row>
    <row r="1418" spans="1:5" x14ac:dyDescent="0.3">
      <c r="A1418">
        <f t="shared" si="44"/>
        <v>2021</v>
      </c>
      <c r="B1418" s="59">
        <v>44377</v>
      </c>
      <c r="C1418" s="54">
        <v>503</v>
      </c>
      <c r="D1418" s="54">
        <v>728</v>
      </c>
      <c r="E1418">
        <f t="shared" si="45"/>
        <v>1.4473161033797217</v>
      </c>
    </row>
    <row r="1419" spans="1:5" x14ac:dyDescent="0.3">
      <c r="A1419">
        <f t="shared" si="44"/>
        <v>2021</v>
      </c>
      <c r="B1419" s="59">
        <v>44378</v>
      </c>
      <c r="C1419" s="54">
        <v>505.5</v>
      </c>
      <c r="D1419" s="54">
        <v>732.5</v>
      </c>
      <c r="E1419">
        <f t="shared" si="45"/>
        <v>1.4490603363006924</v>
      </c>
    </row>
    <row r="1420" spans="1:5" x14ac:dyDescent="0.3">
      <c r="A1420">
        <f t="shared" si="44"/>
        <v>2021</v>
      </c>
      <c r="B1420" s="59">
        <v>44379</v>
      </c>
      <c r="C1420" s="54">
        <v>503.5</v>
      </c>
      <c r="D1420" s="54">
        <v>734</v>
      </c>
      <c r="E1420">
        <f t="shared" si="45"/>
        <v>1.4577954319761668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788572E952AD343BEE5AACE3C7DBD64" ma:contentTypeVersion="14" ma:contentTypeDescription="Создание документа." ma:contentTypeScope="" ma:versionID="eb72acefbf3abede0e58902ec48fba2f">
  <xsd:schema xmlns:xsd="http://www.w3.org/2001/XMLSchema" xmlns:xs="http://www.w3.org/2001/XMLSchema" xmlns:p="http://schemas.microsoft.com/office/2006/metadata/properties" xmlns:ns3="333550d4-ac89-4c0c-a5f4-fa3f928247ff" xmlns:ns4="ea637897-6a80-4673-8f04-5bab1ab8baa1" targetNamespace="http://schemas.microsoft.com/office/2006/metadata/properties" ma:root="true" ma:fieldsID="6afbee25fe6f44c03b517c8b96e271fd" ns3:_="" ns4:_="">
    <xsd:import namespace="333550d4-ac89-4c0c-a5f4-fa3f928247ff"/>
    <xsd:import namespace="ea637897-6a80-4673-8f04-5bab1ab8baa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550d4-ac89-4c0c-a5f4-fa3f928247f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Общий доступ с использованием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Совместно с подробностями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Хэш подсказки о совместном доступе" ma:description="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37897-6a80-4673-8f04-5bab1ab8ba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9E53E5F-7620-4D09-AE60-7AFDD078C7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F13E4F-698E-4EEE-AF65-BE7E8B9DC4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3550d4-ac89-4c0c-a5f4-fa3f928247ff"/>
    <ds:schemaRef ds:uri="ea637897-6a80-4673-8f04-5bab1ab8b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9FA5993-516C-4A40-B76B-723006930AB2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terms/"/>
    <ds:schemaRef ds:uri="ea637897-6a80-4673-8f04-5bab1ab8baa1"/>
    <ds:schemaRef ds:uri="http://schemas.microsoft.com/office/infopath/2007/PartnerControls"/>
    <ds:schemaRef ds:uri="333550d4-ac89-4c0c-a5f4-fa3f928247ff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128</vt:i4>
      </vt:variant>
    </vt:vector>
  </HeadingPairs>
  <TitlesOfParts>
    <vt:vector size="140" baseType="lpstr">
      <vt:lpstr>Модель</vt:lpstr>
      <vt:lpstr>Эластичности замещения</vt:lpstr>
      <vt:lpstr>Эластичности предложения</vt:lpstr>
      <vt:lpstr>Источники данных</vt:lpstr>
      <vt:lpstr>Курс</vt:lpstr>
      <vt:lpstr>ЕМИСС_Отгружено</vt:lpstr>
      <vt:lpstr>ЕМИСС_Цены</vt:lpstr>
      <vt:lpstr>Лист8</vt:lpstr>
      <vt:lpstr>ЕМИСС_Производство</vt:lpstr>
      <vt:lpstr>Данные ФТС</vt:lpstr>
      <vt:lpstr>Данные WB LME</vt:lpstr>
      <vt:lpstr>LME</vt:lpstr>
      <vt:lpstr>A_FCD</vt:lpstr>
      <vt:lpstr>A_FCW</vt:lpstr>
      <vt:lpstr>A_KPD</vt:lpstr>
      <vt:lpstr>A_NPD</vt:lpstr>
      <vt:lpstr>B_KCD</vt:lpstr>
      <vt:lpstr>B_KSW</vt:lpstr>
      <vt:lpstr>B_KXD</vt:lpstr>
      <vt:lpstr>B_KXW</vt:lpstr>
      <vt:lpstr>B_NCD</vt:lpstr>
      <vt:lpstr>B_NSW</vt:lpstr>
      <vt:lpstr>B_NXD</vt:lpstr>
      <vt:lpstr>B_NXW</vt:lpstr>
      <vt:lpstr>DER_0</vt:lpstr>
      <vt:lpstr>DER_1</vt:lpstr>
      <vt:lpstr>DS_FCD_DEMAND_0</vt:lpstr>
      <vt:lpstr>DS_FCD_DEMAND_1</vt:lpstr>
      <vt:lpstr>DS_FCW_DEMAND_0</vt:lpstr>
      <vt:lpstr>DS_FCW_DEMAND_1</vt:lpstr>
      <vt:lpstr>DWPK_0</vt:lpstr>
      <vt:lpstr>DWPK_1</vt:lpstr>
      <vt:lpstr>DWPN_0</vt:lpstr>
      <vt:lpstr>DWPN_1</vt:lpstr>
      <vt:lpstr>ER_0</vt:lpstr>
      <vt:lpstr>ER_1</vt:lpstr>
      <vt:lpstr>K_FCD</vt:lpstr>
      <vt:lpstr>K_FCW</vt:lpstr>
      <vt:lpstr>K_KCD</vt:lpstr>
      <vt:lpstr>K_KPD</vt:lpstr>
      <vt:lpstr>K_KSW</vt:lpstr>
      <vt:lpstr>K_KXD</vt:lpstr>
      <vt:lpstr>K_KXW</vt:lpstr>
      <vt:lpstr>K_NCD</vt:lpstr>
      <vt:lpstr>K_NPD</vt:lpstr>
      <vt:lpstr>K_NSW</vt:lpstr>
      <vt:lpstr>K_NXD</vt:lpstr>
      <vt:lpstr>K_NXW</vt:lpstr>
      <vt:lpstr>P_FCD_0</vt:lpstr>
      <vt:lpstr>P_FCD_1</vt:lpstr>
      <vt:lpstr>P_FCW_0</vt:lpstr>
      <vt:lpstr>P_FCW_1</vt:lpstr>
      <vt:lpstr>P_KCD_0</vt:lpstr>
      <vt:lpstr>P_KCD_1</vt:lpstr>
      <vt:lpstr>P_KPD_0</vt:lpstr>
      <vt:lpstr>P_KPD_1</vt:lpstr>
      <vt:lpstr>P_KSW_0</vt:lpstr>
      <vt:lpstr>P_KSW_1</vt:lpstr>
      <vt:lpstr>P_KXD_0</vt:lpstr>
      <vt:lpstr>P_KXD_1</vt:lpstr>
      <vt:lpstr>P_KXD_USD_0</vt:lpstr>
      <vt:lpstr>P_KXD_USD_1</vt:lpstr>
      <vt:lpstr>P_KXW_0</vt:lpstr>
      <vt:lpstr>P_KXW_1</vt:lpstr>
      <vt:lpstr>P_NCD_0</vt:lpstr>
      <vt:lpstr>P_NCD_1</vt:lpstr>
      <vt:lpstr>P_NPD_0</vt:lpstr>
      <vt:lpstr>P_NPD_1</vt:lpstr>
      <vt:lpstr>P_NSW_0</vt:lpstr>
      <vt:lpstr>P_NSW_1</vt:lpstr>
      <vt:lpstr>P_NXD_0</vt:lpstr>
      <vt:lpstr>P_NXD_1</vt:lpstr>
      <vt:lpstr>P_NXD_USD_0</vt:lpstr>
      <vt:lpstr>P_NXD_USD_1</vt:lpstr>
      <vt:lpstr>P_NXW_0</vt:lpstr>
      <vt:lpstr>P_NXW_1</vt:lpstr>
      <vt:lpstr>Q_FCD_0</vt:lpstr>
      <vt:lpstr>Q_FCD_1</vt:lpstr>
      <vt:lpstr>Q_FCW_0</vt:lpstr>
      <vt:lpstr>Q_FCW_1</vt:lpstr>
      <vt:lpstr>Q_KCD_0</vt:lpstr>
      <vt:lpstr>Q_KCD_1</vt:lpstr>
      <vt:lpstr>Q_KPD_0</vt:lpstr>
      <vt:lpstr>Q_KPD_1</vt:lpstr>
      <vt:lpstr>Q_KSW_0</vt:lpstr>
      <vt:lpstr>Q_KSW_1</vt:lpstr>
      <vt:lpstr>Q_KXD_0</vt:lpstr>
      <vt:lpstr>Q_KXD_1</vt:lpstr>
      <vt:lpstr>Q_KXW_0</vt:lpstr>
      <vt:lpstr>Q_KXW_1</vt:lpstr>
      <vt:lpstr>Q_NCD_0</vt:lpstr>
      <vt:lpstr>Q_NCD_1</vt:lpstr>
      <vt:lpstr>Q_NPD_0</vt:lpstr>
      <vt:lpstr>Q_NPD_1</vt:lpstr>
      <vt:lpstr>Q_NSW_0</vt:lpstr>
      <vt:lpstr>Q_NSW_1</vt:lpstr>
      <vt:lpstr>Q_NXD_0</vt:lpstr>
      <vt:lpstr>Q_NXD_1</vt:lpstr>
      <vt:lpstr>Q_NXW_0</vt:lpstr>
      <vt:lpstr>Q_NXW_1</vt:lpstr>
      <vt:lpstr>r_σ_FCD</vt:lpstr>
      <vt:lpstr>r_σ_FCW</vt:lpstr>
      <vt:lpstr>r_σ_KSW</vt:lpstr>
      <vt:lpstr>r_σ_NSW</vt:lpstr>
      <vt:lpstr>r_Ω_KPD</vt:lpstr>
      <vt:lpstr>r_Ω_NPD</vt:lpstr>
      <vt:lpstr>SS_KPD_SUPPLY_0</vt:lpstr>
      <vt:lpstr>SS_KPD_SUPPLY_1</vt:lpstr>
      <vt:lpstr>SS_KXW_SUPPLY_0</vt:lpstr>
      <vt:lpstr>SS_KXW_SUPPLY_1</vt:lpstr>
      <vt:lpstr>SS_NPD_SUPPLY_0</vt:lpstr>
      <vt:lpstr>SS_NPD_SUPPLY_1</vt:lpstr>
      <vt:lpstr>SS_NXW_SUPPLY_0</vt:lpstr>
      <vt:lpstr>SS_NXW_SUPPLY_1</vt:lpstr>
      <vt:lpstr>TKXD_0</vt:lpstr>
      <vt:lpstr>TKXD_1</vt:lpstr>
      <vt:lpstr>TNXD_0</vt:lpstr>
      <vt:lpstr>TNXD_1</vt:lpstr>
      <vt:lpstr>WPK_0</vt:lpstr>
      <vt:lpstr>WPK_1</vt:lpstr>
      <vt:lpstr>WPN_0</vt:lpstr>
      <vt:lpstr>WPN_1</vt:lpstr>
      <vt:lpstr>Z_FCD</vt:lpstr>
      <vt:lpstr>Z_FCW</vt:lpstr>
      <vt:lpstr>Z_KPD</vt:lpstr>
      <vt:lpstr>Z_KXW</vt:lpstr>
      <vt:lpstr>Z_NPD</vt:lpstr>
      <vt:lpstr>Z_NXW</vt:lpstr>
      <vt:lpstr>ε_FCD</vt:lpstr>
      <vt:lpstr>ε_FCW</vt:lpstr>
      <vt:lpstr>ε_KPD</vt:lpstr>
      <vt:lpstr>ε_KXW</vt:lpstr>
      <vt:lpstr>ε_NPD</vt:lpstr>
      <vt:lpstr>ε_NXW</vt:lpstr>
      <vt:lpstr>σ_FCD</vt:lpstr>
      <vt:lpstr>σ_FCW</vt:lpstr>
      <vt:lpstr>σ_KSW</vt:lpstr>
      <vt:lpstr>σ_NSW</vt:lpstr>
      <vt:lpstr>Ω_KPD</vt:lpstr>
      <vt:lpstr>Ω_NPD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2022-12-19T17:06:59Z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0x010100B788572E952AD343BEE5AACE3C7DBD64</vt:lpwstr>
  </property>
</Properties>
</file>